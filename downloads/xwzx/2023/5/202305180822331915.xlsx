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activeTab="1"/>
  </bookViews>
  <sheets>
    <sheet name="高一原始数据" sheetId="1" r:id="rId1"/>
    <sheet name="高一成绩" sheetId="2" r:id="rId2"/>
    <sheet name="高一平均成绩" sheetId="3" r:id="rId3"/>
    <sheet name="男平均" sheetId="5" r:id="rId4"/>
    <sheet name="女平均" sheetId="6" r:id="rId5"/>
    <sheet name="Sheet1" sheetId="7" r:id="rId6"/>
  </sheets>
  <definedNames>
    <definedName name="_xlnm._FilterDatabase" localSheetId="1" hidden="1">高一成绩!$A$1:$X$746</definedName>
    <definedName name="_xlnm._FilterDatabase" localSheetId="2" hidden="1">高一平均成绩!$A$1:$Y$754</definedName>
    <definedName name="_xlnm._FilterDatabase" localSheetId="3" hidden="1">男平均!$A$1:$Y$450</definedName>
    <definedName name="_xlnm._FilterDatabase" localSheetId="4" hidden="1">女平均!$A$1:$Y$320</definedName>
    <definedName name="_xlnm._FilterDatabase" localSheetId="0" hidden="1">高一原始数据!$A$1:$K$974</definedName>
  </definedNames>
  <calcPr calcId="144525"/>
</workbook>
</file>

<file path=xl/sharedStrings.xml><?xml version="1.0" encoding="utf-8"?>
<sst xmlns="http://schemas.openxmlformats.org/spreadsheetml/2006/main" count="7010" uniqueCount="860">
  <si>
    <t>第1组</t>
  </si>
  <si>
    <t>班级</t>
  </si>
  <si>
    <t>号码</t>
  </si>
  <si>
    <t>姓名</t>
  </si>
  <si>
    <t>性别</t>
  </si>
  <si>
    <t>坐位体前屈</t>
  </si>
  <si>
    <t>立定跳远</t>
  </si>
  <si>
    <t>仰卧/引体</t>
  </si>
  <si>
    <t>长跑</t>
  </si>
  <si>
    <t>备注</t>
  </si>
  <si>
    <t>高铧泽</t>
  </si>
  <si>
    <t>男</t>
  </si>
  <si>
    <t>肖乐水</t>
  </si>
  <si>
    <t>单廷楷</t>
  </si>
  <si>
    <t>茹铖琪</t>
  </si>
  <si>
    <t>夏泽锴</t>
  </si>
  <si>
    <t>傅子衿</t>
  </si>
  <si>
    <t>俞徐涵</t>
  </si>
  <si>
    <t>俞家庆</t>
  </si>
  <si>
    <t>陈慧杰</t>
  </si>
  <si>
    <t>沈纯羽</t>
  </si>
  <si>
    <t>第2组</t>
  </si>
  <si>
    <t>隋依航</t>
  </si>
  <si>
    <t>俞弘毅</t>
  </si>
  <si>
    <t>裘夏源</t>
  </si>
  <si>
    <t>秦彦博</t>
  </si>
  <si>
    <t>补</t>
  </si>
  <si>
    <t>滕杰宇</t>
  </si>
  <si>
    <t>傅枥上</t>
  </si>
  <si>
    <t>季乐天</t>
  </si>
  <si>
    <t>陈宇扬</t>
  </si>
  <si>
    <t>李宇喆</t>
  </si>
  <si>
    <t>张宇涵</t>
  </si>
  <si>
    <t>第3组</t>
  </si>
  <si>
    <t>凌乐凯</t>
  </si>
  <si>
    <t>朱景行</t>
  </si>
  <si>
    <t>袁祎哲</t>
  </si>
  <si>
    <t>黄子恒</t>
  </si>
  <si>
    <t>陈桢毅</t>
  </si>
  <si>
    <t>丁瑞乐</t>
  </si>
  <si>
    <t>王张驰</t>
  </si>
  <si>
    <t>徐飞扬</t>
  </si>
  <si>
    <t>王冬贺</t>
  </si>
  <si>
    <t>吕铭扬</t>
  </si>
  <si>
    <t>第4组</t>
  </si>
  <si>
    <t>任冉</t>
  </si>
  <si>
    <t>女</t>
  </si>
  <si>
    <t>童悦家</t>
  </si>
  <si>
    <t>请假</t>
  </si>
  <si>
    <t>潘虹宇</t>
  </si>
  <si>
    <t>孟奕菲</t>
  </si>
  <si>
    <t>钱舒倩</t>
  </si>
  <si>
    <t>寿恺雯</t>
  </si>
  <si>
    <t>叶涵</t>
  </si>
  <si>
    <t>梁乐瑜</t>
  </si>
  <si>
    <t>第5组</t>
  </si>
  <si>
    <t>金晨希</t>
  </si>
  <si>
    <t>杨加伊</t>
  </si>
  <si>
    <t>谢银楠</t>
  </si>
  <si>
    <t>王嘉阳</t>
  </si>
  <si>
    <t>金语彤</t>
  </si>
  <si>
    <t>章嘉文</t>
  </si>
  <si>
    <t>骆贝尔</t>
  </si>
  <si>
    <t>丁揿瑜</t>
  </si>
  <si>
    <t>第6组</t>
  </si>
  <si>
    <t>周泽震</t>
  </si>
  <si>
    <t>童源钧</t>
  </si>
  <si>
    <t>章涵瑜</t>
  </si>
  <si>
    <t>曹南</t>
  </si>
  <si>
    <t>陈禹睿</t>
  </si>
  <si>
    <t>丁嘉宸</t>
  </si>
  <si>
    <t>陈治杰</t>
  </si>
  <si>
    <t>胡心远</t>
  </si>
  <si>
    <t>宣坤宇</t>
  </si>
  <si>
    <t>陈梓钰</t>
  </si>
  <si>
    <t>第7组</t>
  </si>
  <si>
    <t>张斯铖</t>
  </si>
  <si>
    <t>金凡博</t>
  </si>
  <si>
    <t>陈嘉睿</t>
  </si>
  <si>
    <t>潘傅宸</t>
  </si>
  <si>
    <t>张沐杰</t>
  </si>
  <si>
    <t>施杰</t>
  </si>
  <si>
    <t>徐益凯</t>
  </si>
  <si>
    <t>余越恺</t>
  </si>
  <si>
    <t>病免</t>
  </si>
  <si>
    <t>金陈浩</t>
  </si>
  <si>
    <t>阮政</t>
  </si>
  <si>
    <t>第8组</t>
  </si>
  <si>
    <t>祝鹞宸</t>
  </si>
  <si>
    <t>俞洲涛</t>
  </si>
  <si>
    <t>范金坤</t>
  </si>
  <si>
    <t>董潇尧</t>
  </si>
  <si>
    <t>冯杨</t>
  </si>
  <si>
    <t>夏昊天</t>
  </si>
  <si>
    <t>严弘毅</t>
  </si>
  <si>
    <t>徐费阳</t>
  </si>
  <si>
    <t>金典</t>
  </si>
  <si>
    <t>任浩原</t>
  </si>
  <si>
    <t>沈易达</t>
  </si>
  <si>
    <t>第9组</t>
  </si>
  <si>
    <t>俞悦晗</t>
  </si>
  <si>
    <t>金莎</t>
  </si>
  <si>
    <t>吴晨菲</t>
  </si>
  <si>
    <t>凌逸沁</t>
  </si>
  <si>
    <t>俞文捷</t>
  </si>
  <si>
    <t>李茜</t>
  </si>
  <si>
    <t>陶煦</t>
  </si>
  <si>
    <t>丁余杰喆</t>
  </si>
  <si>
    <t>第10组</t>
  </si>
  <si>
    <t>黄一诺</t>
  </si>
  <si>
    <t>张珠雯</t>
  </si>
  <si>
    <t>王岩</t>
  </si>
  <si>
    <t>张蕴萁</t>
  </si>
  <si>
    <t>李夏悦</t>
  </si>
  <si>
    <t>叶嘉平</t>
  </si>
  <si>
    <t>冯嘉妮</t>
  </si>
  <si>
    <t>第11组</t>
  </si>
  <si>
    <t>秦悦棋</t>
  </si>
  <si>
    <t>周伽乐</t>
  </si>
  <si>
    <t>陈泯睿</t>
  </si>
  <si>
    <t>韩钧宇</t>
  </si>
  <si>
    <t>孔嘉浩</t>
  </si>
  <si>
    <t>杜启帆</t>
  </si>
  <si>
    <t>张逸尘</t>
  </si>
  <si>
    <t>周通通</t>
  </si>
  <si>
    <t>王在洲</t>
  </si>
  <si>
    <t>俞凡</t>
  </si>
  <si>
    <t>第12组</t>
  </si>
  <si>
    <t>曹轶群</t>
  </si>
  <si>
    <t>周铭皓</t>
  </si>
  <si>
    <t>朱海榕</t>
  </si>
  <si>
    <t>余一男</t>
  </si>
  <si>
    <t>李锴文</t>
  </si>
  <si>
    <t>孟陈慷</t>
  </si>
  <si>
    <t>李晨镟</t>
  </si>
  <si>
    <t>范一哲</t>
  </si>
  <si>
    <t>谢铭涛</t>
  </si>
  <si>
    <t>第13组</t>
  </si>
  <si>
    <t>滕杰</t>
  </si>
  <si>
    <t>王鑫悦</t>
  </si>
  <si>
    <t>方兴</t>
  </si>
  <si>
    <t>王增烨</t>
  </si>
  <si>
    <t>平悠阳</t>
  </si>
  <si>
    <t>徐锦鑫</t>
  </si>
  <si>
    <t>施煜祺</t>
  </si>
  <si>
    <t>袁亦文</t>
  </si>
  <si>
    <t>陈家乐</t>
  </si>
  <si>
    <t>第14组</t>
  </si>
  <si>
    <t>洪鸿</t>
  </si>
  <si>
    <t>陈羽飞</t>
  </si>
  <si>
    <t>段赵含</t>
  </si>
  <si>
    <t>包筱冉</t>
  </si>
  <si>
    <t>许盈盈</t>
  </si>
  <si>
    <t>徐陶然</t>
  </si>
  <si>
    <t>虞李飒</t>
  </si>
  <si>
    <t>陈扬</t>
  </si>
  <si>
    <t>金姝言</t>
  </si>
  <si>
    <t>第15组</t>
  </si>
  <si>
    <t>姒奕诺</t>
  </si>
  <si>
    <t>吴瑶华</t>
  </si>
  <si>
    <t>倪彬彬</t>
  </si>
  <si>
    <t>安金柯璐</t>
  </si>
  <si>
    <t>邵悠然</t>
  </si>
  <si>
    <t>马晨希</t>
  </si>
  <si>
    <t>许瀚文</t>
  </si>
  <si>
    <t>金子璇</t>
  </si>
  <si>
    <t>娄书懿</t>
  </si>
  <si>
    <t>第16组</t>
  </si>
  <si>
    <t>陈钧宥</t>
  </si>
  <si>
    <t>钱冠臻</t>
  </si>
  <si>
    <t>李兆元</t>
  </si>
  <si>
    <t>金润禾</t>
  </si>
  <si>
    <t>黄天翔</t>
  </si>
  <si>
    <t>李添晨</t>
  </si>
  <si>
    <t>沈舟行</t>
  </si>
  <si>
    <t>周超</t>
  </si>
  <si>
    <t>郦若铿</t>
  </si>
  <si>
    <t>叶琪琛</t>
  </si>
  <si>
    <t>第17组</t>
  </si>
  <si>
    <t>赵梓轩</t>
  </si>
  <si>
    <t>朱俊杰</t>
  </si>
  <si>
    <t>陈一旸</t>
  </si>
  <si>
    <t>丁科瑜</t>
  </si>
  <si>
    <t>赵钧天</t>
  </si>
  <si>
    <t>韩钧帆</t>
  </si>
  <si>
    <t>孙嘉睿</t>
  </si>
  <si>
    <t>陈愉</t>
  </si>
  <si>
    <t>金城杰</t>
  </si>
  <si>
    <t>第18组</t>
  </si>
  <si>
    <t>李泓颐</t>
  </si>
  <si>
    <t>赵奕铭</t>
  </si>
  <si>
    <t>丁晓恺</t>
  </si>
  <si>
    <t>张锐</t>
  </si>
  <si>
    <t>何硕</t>
  </si>
  <si>
    <t>朱泽安</t>
  </si>
  <si>
    <t>何飞</t>
  </si>
  <si>
    <t>沈凯</t>
  </si>
  <si>
    <t>赵静远</t>
  </si>
  <si>
    <t>第19组</t>
  </si>
  <si>
    <t>范卓然</t>
  </si>
  <si>
    <t>谢栩嫣</t>
  </si>
  <si>
    <t>包晗</t>
  </si>
  <si>
    <t>刘诗语</t>
  </si>
  <si>
    <t>张驰</t>
  </si>
  <si>
    <t>沈雨橦</t>
  </si>
  <si>
    <t>冯敏瑶</t>
  </si>
  <si>
    <t>杨璐瑶</t>
  </si>
  <si>
    <t>骆玥宁瑞</t>
  </si>
  <si>
    <t>第20组</t>
  </si>
  <si>
    <t>金妍秀</t>
  </si>
  <si>
    <t>孟绮</t>
  </si>
  <si>
    <t>王可昕</t>
  </si>
  <si>
    <t>姚嘉懿</t>
  </si>
  <si>
    <t>赵静怡</t>
  </si>
  <si>
    <t>沈沁</t>
  </si>
  <si>
    <t>何珠楠</t>
  </si>
  <si>
    <t>敖佳琪</t>
  </si>
  <si>
    <t>第21组</t>
  </si>
  <si>
    <t>谢之晗</t>
  </si>
  <si>
    <t>潘彦</t>
  </si>
  <si>
    <t>张子衡</t>
  </si>
  <si>
    <t>楼宇辰</t>
  </si>
  <si>
    <t>竞赛</t>
  </si>
  <si>
    <t>傅翔宇</t>
  </si>
  <si>
    <t>朱闻天</t>
  </si>
  <si>
    <t>宋谦</t>
  </si>
  <si>
    <t>薛宇辰</t>
  </si>
  <si>
    <t>俞开</t>
  </si>
  <si>
    <t>张厚华</t>
  </si>
  <si>
    <t>潘世钊</t>
  </si>
  <si>
    <t>陈嘉年</t>
  </si>
  <si>
    <t>第22组</t>
  </si>
  <si>
    <t>徐睿</t>
  </si>
  <si>
    <t>钱正</t>
  </si>
  <si>
    <t>茹豪正</t>
  </si>
  <si>
    <t>马浩诚</t>
  </si>
  <si>
    <t>陈佳冶</t>
  </si>
  <si>
    <t>王梓涵</t>
  </si>
  <si>
    <t>施文俊</t>
  </si>
  <si>
    <t>任昶杰</t>
  </si>
  <si>
    <t>马浩军</t>
  </si>
  <si>
    <t>陈茁</t>
  </si>
  <si>
    <t>侯之远</t>
  </si>
  <si>
    <t>第23组</t>
  </si>
  <si>
    <t>俞晨鑫</t>
  </si>
  <si>
    <t>黄阅</t>
  </si>
  <si>
    <t>张骋伟</t>
  </si>
  <si>
    <t>汪宸宇</t>
  </si>
  <si>
    <t>赵徐锴</t>
  </si>
  <si>
    <t>金鑫</t>
  </si>
  <si>
    <t>刘景远</t>
  </si>
  <si>
    <t>留学</t>
  </si>
  <si>
    <t>王善祺</t>
  </si>
  <si>
    <t>张剑彪</t>
  </si>
  <si>
    <t>邵雨泽</t>
  </si>
  <si>
    <t>第24组</t>
  </si>
  <si>
    <t>王旭韬</t>
  </si>
  <si>
    <t>朱憧远</t>
  </si>
  <si>
    <t>邵天健</t>
  </si>
  <si>
    <t>赵奕昕</t>
  </si>
  <si>
    <t>黄逸阳</t>
  </si>
  <si>
    <t>陈锦宏</t>
  </si>
  <si>
    <t>黄河清</t>
  </si>
  <si>
    <t>胡树杰</t>
  </si>
  <si>
    <t>胡晨阳</t>
  </si>
  <si>
    <t>谢秦汉</t>
  </si>
  <si>
    <t>第25组</t>
  </si>
  <si>
    <t>章双强</t>
  </si>
  <si>
    <t>陈雯韬</t>
  </si>
  <si>
    <t>高敏杰</t>
  </si>
  <si>
    <t>潘楷楠</t>
  </si>
  <si>
    <t>周浩楠</t>
  </si>
  <si>
    <t>骆章昊</t>
  </si>
  <si>
    <t>刘冰</t>
  </si>
  <si>
    <t>沈旭涛</t>
  </si>
  <si>
    <t>张弛诚</t>
  </si>
  <si>
    <t>第26组</t>
  </si>
  <si>
    <t>陈嘉华</t>
  </si>
  <si>
    <t>斯婳</t>
  </si>
  <si>
    <t>周子涵</t>
  </si>
  <si>
    <t>付心语</t>
  </si>
  <si>
    <t>金京</t>
  </si>
  <si>
    <t>邵柯颖</t>
  </si>
  <si>
    <t>王菲颖</t>
  </si>
  <si>
    <t>张乐颖</t>
  </si>
  <si>
    <t>裘金晶</t>
  </si>
  <si>
    <t>章思莹</t>
  </si>
  <si>
    <t>第27组</t>
  </si>
  <si>
    <t>韩沐芸</t>
  </si>
  <si>
    <t>沈欣</t>
  </si>
  <si>
    <t>鲍佳莹</t>
  </si>
  <si>
    <t>范姿彤</t>
  </si>
  <si>
    <t>韩睿</t>
  </si>
  <si>
    <t>潘慧雅</t>
  </si>
  <si>
    <t>金思怡</t>
  </si>
  <si>
    <t>徐楠</t>
  </si>
  <si>
    <t>钱思宇</t>
  </si>
  <si>
    <t>第28组</t>
  </si>
  <si>
    <t>骆润极</t>
  </si>
  <si>
    <t>毛宇迪</t>
  </si>
  <si>
    <t>楼弈涛</t>
  </si>
  <si>
    <t>蒋子冲</t>
  </si>
  <si>
    <t>詹一帆</t>
  </si>
  <si>
    <t>徐哲宇</t>
  </si>
  <si>
    <t>柯泓涛</t>
  </si>
  <si>
    <t>王尚任</t>
  </si>
  <si>
    <t>过星宇</t>
  </si>
  <si>
    <t>徐瑜阳</t>
  </si>
  <si>
    <t>第29组</t>
  </si>
  <si>
    <t>杨贸晖</t>
  </si>
  <si>
    <t>吴锐</t>
  </si>
  <si>
    <t>水天浩</t>
  </si>
  <si>
    <t>戴灏</t>
  </si>
  <si>
    <t>沈卓男</t>
  </si>
  <si>
    <t>蒋锦诚</t>
  </si>
  <si>
    <t>王一炀</t>
  </si>
  <si>
    <t>陈弘洲</t>
  </si>
  <si>
    <t>王晨琦</t>
  </si>
  <si>
    <t>娄霖</t>
  </si>
  <si>
    <t>第30组</t>
  </si>
  <si>
    <t>徐诺</t>
  </si>
  <si>
    <t>董毅彬</t>
  </si>
  <si>
    <t>袁思铖</t>
  </si>
  <si>
    <t>范晟晟</t>
  </si>
  <si>
    <t>冯亦丁</t>
  </si>
  <si>
    <t>朱知白</t>
  </si>
  <si>
    <t>王嘉睿</t>
  </si>
  <si>
    <t>冯宇泽</t>
  </si>
  <si>
    <t>黄凯</t>
  </si>
  <si>
    <t>第31组</t>
  </si>
  <si>
    <t>张幸晨</t>
  </si>
  <si>
    <t>高佳睿</t>
  </si>
  <si>
    <t>孙照恩</t>
  </si>
  <si>
    <t>王欣怡</t>
  </si>
  <si>
    <t>樊玥</t>
  </si>
  <si>
    <t>刘畅</t>
  </si>
  <si>
    <t>赵思瑜</t>
  </si>
  <si>
    <t>陈宣伊</t>
  </si>
  <si>
    <t>沈文琪</t>
  </si>
  <si>
    <t>冯颖琪</t>
  </si>
  <si>
    <t>第32组</t>
  </si>
  <si>
    <t>陈毓昕</t>
  </si>
  <si>
    <t>顾雨晨</t>
  </si>
  <si>
    <t>冯仪</t>
  </si>
  <si>
    <t>许晨露</t>
  </si>
  <si>
    <t>陈芳怡</t>
  </si>
  <si>
    <t>任毅</t>
  </si>
  <si>
    <t>严瑶琳</t>
  </si>
  <si>
    <t>戴嘉楠</t>
  </si>
  <si>
    <t>王一珂</t>
  </si>
  <si>
    <t>第33组</t>
  </si>
  <si>
    <t>金何棋</t>
  </si>
  <si>
    <t>葛佳杰</t>
  </si>
  <si>
    <t>梅桂源</t>
  </si>
  <si>
    <t>曾逸航</t>
  </si>
  <si>
    <t>陈起</t>
  </si>
  <si>
    <t>朱禹辰</t>
  </si>
  <si>
    <t>周骏仰</t>
  </si>
  <si>
    <t>叶劲辉</t>
  </si>
  <si>
    <t>邱砺寒</t>
  </si>
  <si>
    <t>石泓斌</t>
  </si>
  <si>
    <t>第34组</t>
  </si>
  <si>
    <t>周于祺</t>
  </si>
  <si>
    <t>张晓鸣</t>
  </si>
  <si>
    <t>冯奕铭</t>
  </si>
  <si>
    <t>包锦超</t>
  </si>
  <si>
    <t>赵天涵</t>
  </si>
  <si>
    <t>方翔</t>
  </si>
  <si>
    <t>受伤</t>
  </si>
  <si>
    <t>赵嘉宸</t>
  </si>
  <si>
    <t>任开羽</t>
  </si>
  <si>
    <t>王其文</t>
  </si>
  <si>
    <t>马文旭</t>
  </si>
  <si>
    <t>第35组</t>
  </si>
  <si>
    <t>李言哲</t>
  </si>
  <si>
    <t>陈浩宇</t>
  </si>
  <si>
    <t>陈彬</t>
  </si>
  <si>
    <t>黄奕阳</t>
  </si>
  <si>
    <t>严梓轩</t>
  </si>
  <si>
    <t>李东润</t>
  </si>
  <si>
    <t>桑航霆</t>
  </si>
  <si>
    <t>谢王昕</t>
  </si>
  <si>
    <t>周灿</t>
  </si>
  <si>
    <t>第36组</t>
  </si>
  <si>
    <t>俞函劼</t>
  </si>
  <si>
    <t>王无忧</t>
  </si>
  <si>
    <t>陶沁玥</t>
  </si>
  <si>
    <t>张蕾</t>
  </si>
  <si>
    <t>胡靓钰</t>
  </si>
  <si>
    <t>刘思维</t>
  </si>
  <si>
    <t>王佳锳</t>
  </si>
  <si>
    <t>马艳霏</t>
  </si>
  <si>
    <t>王芷菡</t>
  </si>
  <si>
    <t>盛佳宁</t>
  </si>
  <si>
    <t>第37组</t>
  </si>
  <si>
    <t>单琪</t>
  </si>
  <si>
    <t>陈兴渝</t>
  </si>
  <si>
    <t>陈碧颖</t>
  </si>
  <si>
    <t>丁可钦</t>
  </si>
  <si>
    <t>陈奕宁</t>
  </si>
  <si>
    <t>张娅楠</t>
  </si>
  <si>
    <t>沈乐瑶</t>
  </si>
  <si>
    <t>王雨凡</t>
  </si>
  <si>
    <t>蒋梦斐</t>
  </si>
  <si>
    <t>第38组</t>
  </si>
  <si>
    <t>陈翰铮</t>
  </si>
  <si>
    <t>王耀磊</t>
  </si>
  <si>
    <t>陈柯睿</t>
  </si>
  <si>
    <t>诸俊皓</t>
  </si>
  <si>
    <t>章徐珉</t>
  </si>
  <si>
    <t>陈若轩</t>
  </si>
  <si>
    <t>秦瑞</t>
  </si>
  <si>
    <t>陈徐乐</t>
  </si>
  <si>
    <t>黄磊</t>
  </si>
  <si>
    <t>单一汀</t>
  </si>
  <si>
    <t>第39组</t>
  </si>
  <si>
    <t>陶易鑫</t>
  </si>
  <si>
    <t>顾均昊</t>
  </si>
  <si>
    <t>马子铮</t>
  </si>
  <si>
    <t>黄泽宇</t>
  </si>
  <si>
    <t>金楚杰</t>
  </si>
  <si>
    <t>陈世杰</t>
  </si>
  <si>
    <t>宋志轩</t>
  </si>
  <si>
    <t>张海洋</t>
  </si>
  <si>
    <t>陈嘉乐</t>
  </si>
  <si>
    <t>第40组</t>
  </si>
  <si>
    <t>赵轶杰</t>
  </si>
  <si>
    <t>蒋铭宇</t>
  </si>
  <si>
    <t>罗圣锴</t>
  </si>
  <si>
    <t>钱志洲</t>
  </si>
  <si>
    <t>单康富</t>
  </si>
  <si>
    <t>王海华</t>
  </si>
  <si>
    <t>陈宏涛</t>
  </si>
  <si>
    <t>屠佳程</t>
  </si>
  <si>
    <t>许简鑫</t>
  </si>
  <si>
    <t>第41组</t>
  </si>
  <si>
    <t>冯桐</t>
  </si>
  <si>
    <t>王心宁</t>
  </si>
  <si>
    <t>秦柯</t>
  </si>
  <si>
    <t>俞思颖</t>
  </si>
  <si>
    <t>转学</t>
  </si>
  <si>
    <t>宋曦妍</t>
  </si>
  <si>
    <t>冯思羽</t>
  </si>
  <si>
    <t>沈凡想</t>
  </si>
  <si>
    <t>李可钰</t>
  </si>
  <si>
    <t>王新颜</t>
  </si>
  <si>
    <t>王紫菲</t>
  </si>
  <si>
    <t>第42组</t>
  </si>
  <si>
    <t>杨文雅</t>
  </si>
  <si>
    <t>陈紫贻</t>
  </si>
  <si>
    <t>黄佳佳</t>
  </si>
  <si>
    <t>朱可均</t>
  </si>
  <si>
    <t>李可儿</t>
  </si>
  <si>
    <t>江琳琦</t>
  </si>
  <si>
    <t>吴玉谚</t>
  </si>
  <si>
    <t>沈梦菲</t>
  </si>
  <si>
    <t>何和</t>
  </si>
  <si>
    <t>唐浅暄</t>
  </si>
  <si>
    <t>第43组</t>
  </si>
  <si>
    <t>赏宇恒</t>
  </si>
  <si>
    <t>宋天异</t>
  </si>
  <si>
    <t>池易</t>
  </si>
  <si>
    <t>袁博威</t>
  </si>
  <si>
    <t>谢金泽</t>
  </si>
  <si>
    <t>张宏斌</t>
  </si>
  <si>
    <t>王幸杰</t>
  </si>
  <si>
    <t>刘鑫宇</t>
  </si>
  <si>
    <t>梁仕杰</t>
  </si>
  <si>
    <t>王桢涛</t>
  </si>
  <si>
    <t>第44组</t>
  </si>
  <si>
    <t>娄凯乐</t>
  </si>
  <si>
    <t>邵毅城</t>
  </si>
  <si>
    <t>宋骏杰</t>
  </si>
  <si>
    <t>马亮</t>
  </si>
  <si>
    <t>周云飞</t>
  </si>
  <si>
    <t>蒲绍彬</t>
  </si>
  <si>
    <t>肖铭洋</t>
  </si>
  <si>
    <t>陈锦琦</t>
  </si>
  <si>
    <t>樊明铧</t>
  </si>
  <si>
    <t>第45组</t>
  </si>
  <si>
    <t>邢俊杰</t>
  </si>
  <si>
    <t>陶李天夏</t>
  </si>
  <si>
    <t>休学</t>
  </si>
  <si>
    <t>徐哲晖</t>
  </si>
  <si>
    <t>王珏</t>
  </si>
  <si>
    <t>朱增鑫</t>
  </si>
  <si>
    <t>蒋泽楷</t>
  </si>
  <si>
    <t>尉浛錩</t>
  </si>
  <si>
    <t>丁宇浩</t>
  </si>
  <si>
    <t>张佑泽</t>
  </si>
  <si>
    <t>第46组</t>
  </si>
  <si>
    <t>沈沛蓉</t>
  </si>
  <si>
    <t>樊妍延</t>
  </si>
  <si>
    <t>张倩倩</t>
  </si>
  <si>
    <t>邵筱淇</t>
  </si>
  <si>
    <t>陈含瑀</t>
  </si>
  <si>
    <t>李佩函</t>
  </si>
  <si>
    <t>DNS</t>
  </si>
  <si>
    <t>季乐然</t>
  </si>
  <si>
    <t>俞诗奕</t>
  </si>
  <si>
    <t>吴蔚铃</t>
  </si>
  <si>
    <t>何慧妤</t>
  </si>
  <si>
    <t>劳心妤</t>
  </si>
  <si>
    <t>第47组</t>
  </si>
  <si>
    <t>何雨菁</t>
  </si>
  <si>
    <t>谢雯婷</t>
  </si>
  <si>
    <t>王逸菲</t>
  </si>
  <si>
    <t>袁梦瑶</t>
  </si>
  <si>
    <t>饶怡敏</t>
  </si>
  <si>
    <t>陈伊雯</t>
  </si>
  <si>
    <t>马怡洁</t>
  </si>
  <si>
    <t>韩佳毅</t>
  </si>
  <si>
    <t>周忆宁</t>
  </si>
  <si>
    <t>病</t>
  </si>
  <si>
    <t>第48组</t>
  </si>
  <si>
    <t>周车豪</t>
  </si>
  <si>
    <t>尚煜翔</t>
  </si>
  <si>
    <t>任鑫宇</t>
  </si>
  <si>
    <t>吴俊达</t>
  </si>
  <si>
    <t>平隽逸</t>
  </si>
  <si>
    <t>陶锴垚</t>
  </si>
  <si>
    <t>陈栩可</t>
  </si>
  <si>
    <t>周一铮</t>
  </si>
  <si>
    <t>阮砚清</t>
  </si>
  <si>
    <t>郑皓天</t>
  </si>
  <si>
    <t>高宇杭</t>
  </si>
  <si>
    <t>鲁先洋</t>
  </si>
  <si>
    <t>戎人杰</t>
  </si>
  <si>
    <t>第49组</t>
  </si>
  <si>
    <t>陆轩</t>
  </si>
  <si>
    <t>傅赞铭</t>
  </si>
  <si>
    <t>钱泓凯</t>
  </si>
  <si>
    <t>朱彦臣</t>
  </si>
  <si>
    <t>叶拓宇</t>
  </si>
  <si>
    <t>丁亦杰</t>
  </si>
  <si>
    <t>章景源</t>
  </si>
  <si>
    <t>蒋雨晨</t>
  </si>
  <si>
    <t>陈昕楠</t>
  </si>
  <si>
    <t>吴佳林</t>
  </si>
  <si>
    <t>余金城</t>
  </si>
  <si>
    <t>刘毅</t>
  </si>
  <si>
    <t>许行舟</t>
  </si>
  <si>
    <t>病\学籍不在</t>
  </si>
  <si>
    <t>第50组</t>
  </si>
  <si>
    <t>项征</t>
  </si>
  <si>
    <t>汪梦源</t>
  </si>
  <si>
    <t>王艺涵</t>
  </si>
  <si>
    <t>童心</t>
  </si>
  <si>
    <t>金钰钦</t>
  </si>
  <si>
    <t>陈思楠</t>
  </si>
  <si>
    <t>邵一楠</t>
  </si>
  <si>
    <t>施可荇</t>
  </si>
  <si>
    <t>宋佳航</t>
  </si>
  <si>
    <t>王晨羽</t>
  </si>
  <si>
    <t>陈科技</t>
  </si>
  <si>
    <t>第51组</t>
  </si>
  <si>
    <t>杨佳妮</t>
  </si>
  <si>
    <t>赵诗楠</t>
  </si>
  <si>
    <t>陶妙婧</t>
  </si>
  <si>
    <t>包一诺</t>
  </si>
  <si>
    <t>王钦雅</t>
  </si>
  <si>
    <t>金奕菡</t>
  </si>
  <si>
    <t>王奕沁</t>
  </si>
  <si>
    <t>王思涵</t>
  </si>
  <si>
    <t>茅翌晨</t>
  </si>
  <si>
    <t>朱欣妍</t>
  </si>
  <si>
    <t>陈诗怡</t>
  </si>
  <si>
    <t>钮靖涵</t>
  </si>
  <si>
    <t>第52组</t>
  </si>
  <si>
    <t>赖亿</t>
  </si>
  <si>
    <t>杨涛宁</t>
  </si>
  <si>
    <t>刘李钦</t>
  </si>
  <si>
    <t>孙照为</t>
  </si>
  <si>
    <t>冯浩</t>
  </si>
  <si>
    <t>伍跃</t>
  </si>
  <si>
    <t>周家楠</t>
  </si>
  <si>
    <t>章谌珝</t>
  </si>
  <si>
    <t>金瀚栋</t>
  </si>
  <si>
    <t>第53组</t>
  </si>
  <si>
    <t>许皓翔</t>
  </si>
  <si>
    <t>朱乐陶</t>
  </si>
  <si>
    <t>焦天宇</t>
  </si>
  <si>
    <t>施昊天</t>
  </si>
  <si>
    <t>张辰梁</t>
  </si>
  <si>
    <t>朱航成</t>
  </si>
  <si>
    <t>蔡宇珂</t>
  </si>
  <si>
    <t>叶凯</t>
  </si>
  <si>
    <t>金子涵</t>
  </si>
  <si>
    <t>第54组</t>
  </si>
  <si>
    <t>苏绪淇</t>
  </si>
  <si>
    <t>章昊楠</t>
  </si>
  <si>
    <t>王诺诚</t>
  </si>
  <si>
    <t>陈飞扬</t>
  </si>
  <si>
    <t>俞杰</t>
  </si>
  <si>
    <t>郦哲能</t>
  </si>
  <si>
    <t>刘俊毅</t>
  </si>
  <si>
    <t>邱振豪</t>
  </si>
  <si>
    <t>朱彦伍</t>
  </si>
  <si>
    <t>第55组</t>
  </si>
  <si>
    <t>石笑熠</t>
  </si>
  <si>
    <t>周小冉</t>
  </si>
  <si>
    <t>高悦宁</t>
  </si>
  <si>
    <t>凌孜言</t>
  </si>
  <si>
    <t>徐若然</t>
  </si>
  <si>
    <t>孙竹喧</t>
  </si>
  <si>
    <t>韩青磬</t>
  </si>
  <si>
    <t>梁笑悦</t>
  </si>
  <si>
    <t>平思怡</t>
  </si>
  <si>
    <t>谢子欣</t>
  </si>
  <si>
    <t>林凯怡</t>
  </si>
  <si>
    <t>第56组</t>
  </si>
  <si>
    <t>周楠楠</t>
  </si>
  <si>
    <t>胡沁文</t>
  </si>
  <si>
    <t>金艺晗</t>
  </si>
  <si>
    <t>沈佳</t>
  </si>
  <si>
    <t>冯一帆</t>
  </si>
  <si>
    <t>吴书悦</t>
  </si>
  <si>
    <t>王愉菲</t>
  </si>
  <si>
    <t>张琳茜</t>
  </si>
  <si>
    <t>徐玮琦</t>
  </si>
  <si>
    <t>孙静雯</t>
  </si>
  <si>
    <t>肖语</t>
  </si>
  <si>
    <t>第57组</t>
  </si>
  <si>
    <t>罗梓枷</t>
  </si>
  <si>
    <t>吴杨锦</t>
  </si>
  <si>
    <t>戴剑策</t>
  </si>
  <si>
    <t>赵子浩</t>
  </si>
  <si>
    <t>鲁予同</t>
  </si>
  <si>
    <t>袁梓涵</t>
  </si>
  <si>
    <t>王诗文</t>
  </si>
  <si>
    <t>冯政</t>
  </si>
  <si>
    <t>孟超</t>
  </si>
  <si>
    <t>裘泽涛</t>
  </si>
  <si>
    <t>赵进京</t>
  </si>
  <si>
    <t>徐浩添</t>
  </si>
  <si>
    <t>第58组</t>
  </si>
  <si>
    <t>朱浩川</t>
  </si>
  <si>
    <t>孔知远</t>
  </si>
  <si>
    <t>李乔</t>
  </si>
  <si>
    <t>王彬睿</t>
  </si>
  <si>
    <t>尉铖康</t>
  </si>
  <si>
    <t>金星宇</t>
  </si>
  <si>
    <t>丁清扬</t>
  </si>
  <si>
    <t>傅鑫磊</t>
  </si>
  <si>
    <t>谢铮</t>
  </si>
  <si>
    <t>费越</t>
  </si>
  <si>
    <t>王品一</t>
  </si>
  <si>
    <t>王哲渊</t>
  </si>
  <si>
    <t>金炜</t>
  </si>
  <si>
    <t>第59组</t>
  </si>
  <si>
    <t>蒋雨桐</t>
  </si>
  <si>
    <t>靖云霄</t>
  </si>
  <si>
    <t>毛铮</t>
  </si>
  <si>
    <t>江羽菲</t>
  </si>
  <si>
    <t>曹亦可</t>
  </si>
  <si>
    <t>史可璇</t>
  </si>
  <si>
    <t>徐忆晓</t>
  </si>
  <si>
    <t>李书享</t>
  </si>
  <si>
    <t>徐锦倩</t>
  </si>
  <si>
    <t>阮笑尘</t>
  </si>
  <si>
    <t>孙嘉旎</t>
  </si>
  <si>
    <t>朱杨祯</t>
  </si>
  <si>
    <t>许敉萱</t>
  </si>
  <si>
    <t>第60组</t>
  </si>
  <si>
    <t>孙可可</t>
  </si>
  <si>
    <t>徐慧仁</t>
  </si>
  <si>
    <t>张雨暄</t>
  </si>
  <si>
    <t>彭奚妍</t>
  </si>
  <si>
    <t>谭清心</t>
  </si>
  <si>
    <t>栾乐涵</t>
  </si>
  <si>
    <t>张妍</t>
  </si>
  <si>
    <t>陈烁妍</t>
  </si>
  <si>
    <t>陆冉</t>
  </si>
  <si>
    <t>谢心怡</t>
  </si>
  <si>
    <t>刘子仪</t>
  </si>
  <si>
    <t>陈钱绮逅</t>
  </si>
  <si>
    <t>第61组</t>
  </si>
  <si>
    <t>汤博文</t>
  </si>
  <si>
    <t>裘文唐</t>
  </si>
  <si>
    <t>王哲启</t>
  </si>
  <si>
    <t>杨子骞</t>
  </si>
  <si>
    <t>葛筱丞</t>
  </si>
  <si>
    <t>廖善哲</t>
  </si>
  <si>
    <t>陈鑫淇</t>
  </si>
  <si>
    <t>徐荣晅</t>
  </si>
  <si>
    <t>顾方南</t>
  </si>
  <si>
    <t>朱逸樵</t>
  </si>
  <si>
    <t>钱宽</t>
  </si>
  <si>
    <t>孙俊</t>
  </si>
  <si>
    <t>第62组</t>
  </si>
  <si>
    <t>任思远</t>
  </si>
  <si>
    <t>陈毅阳</t>
  </si>
  <si>
    <t>封轶洲</t>
  </si>
  <si>
    <t>史柏豪</t>
  </si>
  <si>
    <t>张逸睿</t>
  </si>
  <si>
    <t>朱骏逸</t>
  </si>
  <si>
    <t>李阳洋</t>
  </si>
  <si>
    <t>许楚一</t>
  </si>
  <si>
    <t>陈涛</t>
  </si>
  <si>
    <t>何启昊</t>
  </si>
  <si>
    <t>邢米格</t>
  </si>
  <si>
    <t>吕一末</t>
  </si>
  <si>
    <t>黄一洋</t>
  </si>
  <si>
    <t>第63组</t>
  </si>
  <si>
    <t>丁李宁</t>
  </si>
  <si>
    <t>蒋佳珂</t>
  </si>
  <si>
    <t>俞思羽</t>
  </si>
  <si>
    <t>王笑笑</t>
  </si>
  <si>
    <t>周珈伊</t>
  </si>
  <si>
    <t>王钰涵</t>
  </si>
  <si>
    <t>肖笑甜</t>
  </si>
  <si>
    <t>任清遥</t>
  </si>
  <si>
    <t>冯欣颜</t>
  </si>
  <si>
    <t>吕锦和</t>
  </si>
  <si>
    <t>华好月圆</t>
  </si>
  <si>
    <t>章琼文</t>
  </si>
  <si>
    <t>第64组</t>
  </si>
  <si>
    <t>潘奕含</t>
  </si>
  <si>
    <t>濮欣怡</t>
  </si>
  <si>
    <t>方玥琬</t>
  </si>
  <si>
    <t>季楚楚</t>
  </si>
  <si>
    <t>王禹群</t>
  </si>
  <si>
    <t>祝子萱</t>
  </si>
  <si>
    <t>裘思懿</t>
  </si>
  <si>
    <t>马艺文</t>
  </si>
  <si>
    <t>何琪好</t>
  </si>
  <si>
    <t>陈宇燕</t>
  </si>
  <si>
    <t>曾琦雯</t>
  </si>
  <si>
    <t>第65组</t>
  </si>
  <si>
    <t>谢豪杰</t>
  </si>
  <si>
    <t>孙奕泽</t>
  </si>
  <si>
    <t>张樂添</t>
  </si>
  <si>
    <t>金乐韬</t>
  </si>
  <si>
    <t>傅铮</t>
  </si>
  <si>
    <t>陈智俊</t>
  </si>
  <si>
    <t>钱益鑫</t>
  </si>
  <si>
    <t>陈俊豪</t>
  </si>
  <si>
    <t>胡航晨</t>
  </si>
  <si>
    <t>戴宇鑫</t>
  </si>
  <si>
    <t>唐向天</t>
  </si>
  <si>
    <t>陈鋆杰</t>
  </si>
  <si>
    <t>第66组</t>
  </si>
  <si>
    <t>王智</t>
  </si>
  <si>
    <t>王彦涛</t>
  </si>
  <si>
    <t>徐晟垚</t>
  </si>
  <si>
    <t>陈家富</t>
  </si>
  <si>
    <t>徐放</t>
  </si>
  <si>
    <t>胡昊楠</t>
  </si>
  <si>
    <t>陈翰铭</t>
  </si>
  <si>
    <t>林鑫阳</t>
  </si>
  <si>
    <t>傅泽宇</t>
  </si>
  <si>
    <t>蒋佳成</t>
  </si>
  <si>
    <t>钱圣韬</t>
  </si>
  <si>
    <t>第67组</t>
  </si>
  <si>
    <t>王小丫</t>
  </si>
  <si>
    <t>陈欣怡</t>
  </si>
  <si>
    <t>杨雨睿</t>
  </si>
  <si>
    <t>周可晨</t>
  </si>
  <si>
    <t>金思敏</t>
  </si>
  <si>
    <t>周梦瑶</t>
  </si>
  <si>
    <t>金弥</t>
  </si>
  <si>
    <t>孟思瑜</t>
  </si>
  <si>
    <t>陈婧奕</t>
  </si>
  <si>
    <t>钱弈衡</t>
  </si>
  <si>
    <t>孙珂媛</t>
  </si>
  <si>
    <t>施筱婷</t>
  </si>
  <si>
    <t>第68组</t>
  </si>
  <si>
    <t>吴曦妍</t>
  </si>
  <si>
    <t>茹菁菁</t>
  </si>
  <si>
    <t>徐汇欣</t>
  </si>
  <si>
    <t>潘颖岚</t>
  </si>
  <si>
    <t>王欣雨</t>
  </si>
  <si>
    <t>曹子墨</t>
  </si>
  <si>
    <t>蒋镓璐</t>
  </si>
  <si>
    <t>平钰儿</t>
  </si>
  <si>
    <t>张思熠</t>
  </si>
  <si>
    <t>陈思羽</t>
  </si>
  <si>
    <t>滕佳琪</t>
  </si>
  <si>
    <t>胡诗晨</t>
  </si>
  <si>
    <t>第69组</t>
  </si>
  <si>
    <t>何晨楷</t>
  </si>
  <si>
    <t>孙智</t>
  </si>
  <si>
    <t>潘聿铭</t>
  </si>
  <si>
    <t>杜远航</t>
  </si>
  <si>
    <t>陈祺</t>
  </si>
  <si>
    <t>张宏捷</t>
  </si>
  <si>
    <t>杨翰林</t>
  </si>
  <si>
    <t>钱可为</t>
  </si>
  <si>
    <t>陈志川</t>
  </si>
  <si>
    <t>吴恺睿</t>
  </si>
  <si>
    <t>单麒文</t>
  </si>
  <si>
    <t>竹弘毅</t>
  </si>
  <si>
    <t>朱琦</t>
  </si>
  <si>
    <t>第70组</t>
  </si>
  <si>
    <t>倪天宇</t>
  </si>
  <si>
    <t>范昊哲</t>
  </si>
  <si>
    <t>彭浩洋</t>
  </si>
  <si>
    <t>魏凡淞</t>
  </si>
  <si>
    <t>冯晨宇</t>
  </si>
  <si>
    <t>朱将铭</t>
  </si>
  <si>
    <t>沈哲豪</t>
  </si>
  <si>
    <t>丁榆轩</t>
  </si>
  <si>
    <t>施煜城</t>
  </si>
  <si>
    <t>陶雪峰</t>
  </si>
  <si>
    <t>傅林钦</t>
  </si>
  <si>
    <t>俞马成</t>
  </si>
  <si>
    <t>第71组</t>
  </si>
  <si>
    <t>王浙茗</t>
  </si>
  <si>
    <t>张筠溪</t>
  </si>
  <si>
    <t>金珈馨</t>
  </si>
  <si>
    <t>平欣儿</t>
  </si>
  <si>
    <t>钱柯亦</t>
  </si>
  <si>
    <t>魏律</t>
  </si>
  <si>
    <t>陶奕兮</t>
  </si>
  <si>
    <t>郑润菲</t>
  </si>
  <si>
    <t>陈奕桦</t>
  </si>
  <si>
    <t>陈芃芃</t>
  </si>
  <si>
    <t>王天瑜</t>
  </si>
  <si>
    <t>罗涵雁</t>
  </si>
  <si>
    <t>屠玲</t>
  </si>
  <si>
    <t>第72组</t>
  </si>
  <si>
    <t>安金柯嘉</t>
  </si>
  <si>
    <t>丁煜婷</t>
  </si>
  <si>
    <t>邓应许</t>
  </si>
  <si>
    <t>茹易</t>
  </si>
  <si>
    <t>李羽钶</t>
  </si>
  <si>
    <t>冯涵颖</t>
  </si>
  <si>
    <t>陈道言</t>
  </si>
  <si>
    <t>余易萱</t>
  </si>
  <si>
    <t>潘妍霖</t>
  </si>
  <si>
    <t>周瑾奕</t>
  </si>
  <si>
    <t>徐栅栅</t>
  </si>
  <si>
    <t>董劲羽</t>
  </si>
  <si>
    <t>沈嫣迟</t>
  </si>
  <si>
    <t>得分</t>
  </si>
  <si>
    <t>超出个数</t>
  </si>
  <si>
    <t>加分</t>
  </si>
  <si>
    <t>得分+加分</t>
  </si>
  <si>
    <t>折算</t>
  </si>
  <si>
    <t>快</t>
  </si>
  <si>
    <t>原始总分</t>
  </si>
  <si>
    <t>折算总分（+附加分）</t>
  </si>
  <si>
    <t>101 平均值</t>
  </si>
  <si>
    <t>102 平均值</t>
  </si>
  <si>
    <t>103 平均值</t>
  </si>
  <si>
    <t>104 平均值</t>
  </si>
  <si>
    <t>105 平均值</t>
  </si>
  <si>
    <t>106 平均值</t>
  </si>
  <si>
    <t>107 平均值</t>
  </si>
  <si>
    <t>108 平均值</t>
  </si>
  <si>
    <t>109 平均值</t>
  </si>
  <si>
    <t>110 平均值</t>
  </si>
  <si>
    <t>111 平均值</t>
  </si>
  <si>
    <t>112 平均值</t>
  </si>
  <si>
    <t>113 平均值</t>
  </si>
  <si>
    <t>114 平均值</t>
  </si>
  <si>
    <t>115 平均值</t>
  </si>
  <si>
    <t>116 平均值</t>
  </si>
  <si>
    <t>总平均值</t>
  </si>
  <si>
    <t>82.96.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</si>
</sst>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sz val="11"/>
      <color rgb="FF171A1D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13" borderId="2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176" fontId="1" fillId="0" borderId="0" xfId="0" applyNumberFormat="1" applyFont="1" applyFill="1" applyBorder="1" applyAlignment="1">
      <alignment vertical="center"/>
    </xf>
    <xf numFmtId="176" fontId="0" fillId="0" borderId="0" xfId="0" applyNumberForma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 applyProtection="1">
      <alignment horizontal="center" vertical="center"/>
    </xf>
    <xf numFmtId="176" fontId="2" fillId="0" borderId="1" xfId="0" applyNumberFormat="1" applyFont="1" applyFill="1" applyBorder="1" applyAlignment="1" applyProtection="1">
      <alignment horizontal="center" vertical="center"/>
    </xf>
    <xf numFmtId="176" fontId="4" fillId="0" borderId="1" xfId="0" applyNumberFormat="1" applyFont="1" applyFill="1" applyBorder="1" applyAlignment="1" applyProtection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3" fillId="2" borderId="0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4"/>
  <sheetViews>
    <sheetView topLeftCell="A16" workbookViewId="0">
      <selection activeCell="A581" sqref="A581:K974"/>
    </sheetView>
  </sheetViews>
  <sheetFormatPr defaultColWidth="9" defaultRowHeight="14.4"/>
  <cols>
    <col min="1" max="1" width="9" style="42"/>
    <col min="2" max="3" width="9" style="6"/>
    <col min="4" max="4" width="9.87962962962963" style="6" customWidth="1"/>
    <col min="5" max="5" width="9" style="6"/>
    <col min="6" max="11" width="12.3796296296296" style="6" customWidth="1"/>
    <col min="12" max="16384" width="9" style="7"/>
  </cols>
  <sheetData>
    <row r="1" s="3" customFormat="1" spans="1:11">
      <c r="A1" s="58" t="s">
        <v>0</v>
      </c>
      <c r="B1" s="30" t="s">
        <v>1</v>
      </c>
      <c r="C1" s="31" t="s">
        <v>2</v>
      </c>
      <c r="D1" s="32" t="s">
        <v>3</v>
      </c>
      <c r="E1" s="32" t="s">
        <v>4</v>
      </c>
      <c r="F1" s="33" t="s">
        <v>5</v>
      </c>
      <c r="G1" s="33" t="s">
        <v>6</v>
      </c>
      <c r="H1" s="33" t="s">
        <v>7</v>
      </c>
      <c r="I1" s="33">
        <v>50</v>
      </c>
      <c r="J1" s="33" t="s">
        <v>8</v>
      </c>
      <c r="K1" s="31" t="s">
        <v>9</v>
      </c>
    </row>
    <row r="2" spans="2:10">
      <c r="B2" s="6">
        <v>101</v>
      </c>
      <c r="C2" s="6">
        <v>1</v>
      </c>
      <c r="D2" s="39" t="s">
        <v>10</v>
      </c>
      <c r="E2" s="29" t="s">
        <v>11</v>
      </c>
      <c r="F2" s="6">
        <v>5</v>
      </c>
      <c r="G2" s="6">
        <v>260</v>
      </c>
      <c r="H2" s="6">
        <v>15</v>
      </c>
      <c r="I2" s="6">
        <v>7.3</v>
      </c>
      <c r="J2" s="6">
        <v>3.41</v>
      </c>
    </row>
    <row r="3" spans="2:10">
      <c r="B3" s="6">
        <v>101</v>
      </c>
      <c r="C3" s="6">
        <v>2</v>
      </c>
      <c r="D3" s="29" t="s">
        <v>12</v>
      </c>
      <c r="E3" s="29" t="s">
        <v>11</v>
      </c>
      <c r="F3" s="6">
        <v>5.3</v>
      </c>
      <c r="G3" s="6">
        <v>283</v>
      </c>
      <c r="H3" s="6">
        <v>20</v>
      </c>
      <c r="I3" s="6">
        <v>6.7</v>
      </c>
      <c r="J3" s="6">
        <v>3.25</v>
      </c>
    </row>
    <row r="4" spans="2:10">
      <c r="B4" s="6">
        <v>101</v>
      </c>
      <c r="C4" s="6">
        <v>3</v>
      </c>
      <c r="D4" s="29" t="s">
        <v>13</v>
      </c>
      <c r="E4" s="29" t="s">
        <v>11</v>
      </c>
      <c r="F4" s="6">
        <v>5.5</v>
      </c>
      <c r="G4" s="6">
        <v>223</v>
      </c>
      <c r="H4" s="6">
        <v>13</v>
      </c>
      <c r="I4" s="6">
        <v>7.4</v>
      </c>
      <c r="J4" s="6">
        <v>3.33</v>
      </c>
    </row>
    <row r="5" spans="2:10">
      <c r="B5" s="6">
        <v>101</v>
      </c>
      <c r="C5" s="6">
        <v>4</v>
      </c>
      <c r="D5" s="29" t="s">
        <v>14</v>
      </c>
      <c r="E5" s="29" t="s">
        <v>11</v>
      </c>
      <c r="F5" s="6">
        <v>11.2</v>
      </c>
      <c r="G5" s="6">
        <v>250</v>
      </c>
      <c r="H5" s="6">
        <v>2</v>
      </c>
      <c r="I5" s="6">
        <v>6.7</v>
      </c>
      <c r="J5" s="6">
        <v>4.07</v>
      </c>
    </row>
    <row r="6" spans="2:10">
      <c r="B6" s="6">
        <v>101</v>
      </c>
      <c r="C6" s="6">
        <v>5</v>
      </c>
      <c r="D6" s="29" t="s">
        <v>15</v>
      </c>
      <c r="E6" s="29" t="s">
        <v>11</v>
      </c>
      <c r="F6" s="6">
        <v>6.7</v>
      </c>
      <c r="G6" s="6">
        <v>180</v>
      </c>
      <c r="H6" s="6">
        <v>0</v>
      </c>
      <c r="I6" s="6">
        <v>8.8</v>
      </c>
      <c r="J6" s="6">
        <v>5.32</v>
      </c>
    </row>
    <row r="7" spans="2:10">
      <c r="B7" s="6">
        <v>101</v>
      </c>
      <c r="C7" s="6">
        <v>6</v>
      </c>
      <c r="D7" s="29" t="s">
        <v>16</v>
      </c>
      <c r="E7" s="29" t="s">
        <v>11</v>
      </c>
      <c r="F7" s="6">
        <v>10.6</v>
      </c>
      <c r="G7" s="6">
        <v>238</v>
      </c>
      <c r="H7" s="6">
        <v>1</v>
      </c>
      <c r="I7" s="6">
        <v>7.6</v>
      </c>
      <c r="J7" s="6">
        <v>3.57</v>
      </c>
    </row>
    <row r="8" spans="2:10">
      <c r="B8" s="6">
        <v>101</v>
      </c>
      <c r="C8" s="6">
        <v>7</v>
      </c>
      <c r="D8" s="29" t="s">
        <v>17</v>
      </c>
      <c r="E8" s="29" t="s">
        <v>11</v>
      </c>
      <c r="F8" s="6">
        <v>9.8</v>
      </c>
      <c r="G8" s="6">
        <v>205</v>
      </c>
      <c r="H8" s="6">
        <v>1</v>
      </c>
      <c r="I8" s="6">
        <v>7.6</v>
      </c>
      <c r="J8" s="6">
        <v>4.02</v>
      </c>
    </row>
    <row r="9" spans="2:10">
      <c r="B9" s="6">
        <v>101</v>
      </c>
      <c r="C9" s="6">
        <v>8</v>
      </c>
      <c r="D9" s="29" t="s">
        <v>18</v>
      </c>
      <c r="E9" s="29" t="s">
        <v>11</v>
      </c>
      <c r="F9" s="6">
        <v>22.2</v>
      </c>
      <c r="G9" s="6">
        <v>230</v>
      </c>
      <c r="H9" s="6">
        <v>3</v>
      </c>
      <c r="I9" s="6">
        <v>7.4</v>
      </c>
      <c r="J9" s="6">
        <v>4</v>
      </c>
    </row>
    <row r="10" spans="2:10">
      <c r="B10" s="6">
        <v>101</v>
      </c>
      <c r="C10" s="6">
        <v>9</v>
      </c>
      <c r="D10" s="29" t="s">
        <v>19</v>
      </c>
      <c r="E10" s="29" t="s">
        <v>11</v>
      </c>
      <c r="F10" s="6">
        <v>10</v>
      </c>
      <c r="G10" s="6">
        <v>238</v>
      </c>
      <c r="H10" s="6">
        <v>10</v>
      </c>
      <c r="I10" s="6">
        <v>7.9</v>
      </c>
      <c r="J10" s="6">
        <v>3.58</v>
      </c>
    </row>
    <row r="11" spans="2:10">
      <c r="B11" s="6">
        <v>101</v>
      </c>
      <c r="C11" s="6">
        <v>10</v>
      </c>
      <c r="D11" s="29" t="s">
        <v>20</v>
      </c>
      <c r="E11" s="29" t="s">
        <v>11</v>
      </c>
      <c r="F11" s="6">
        <v>15</v>
      </c>
      <c r="G11" s="6">
        <v>265</v>
      </c>
      <c r="H11" s="6">
        <v>8</v>
      </c>
      <c r="I11" s="6">
        <v>6.8</v>
      </c>
      <c r="J11" s="6">
        <v>3.49</v>
      </c>
    </row>
    <row r="12" spans="4:5">
      <c r="D12" s="29"/>
      <c r="E12" s="29"/>
    </row>
    <row r="13" s="3" customFormat="1" spans="1:11">
      <c r="A13" s="58" t="s">
        <v>21</v>
      </c>
      <c r="B13" s="30" t="s">
        <v>1</v>
      </c>
      <c r="C13" s="31" t="s">
        <v>2</v>
      </c>
      <c r="D13" s="32" t="s">
        <v>3</v>
      </c>
      <c r="E13" s="32" t="s">
        <v>4</v>
      </c>
      <c r="F13" s="33" t="s">
        <v>5</v>
      </c>
      <c r="G13" s="33" t="s">
        <v>6</v>
      </c>
      <c r="H13" s="33" t="s">
        <v>7</v>
      </c>
      <c r="I13" s="33">
        <v>50</v>
      </c>
      <c r="J13" s="33" t="s">
        <v>8</v>
      </c>
      <c r="K13" s="31" t="s">
        <v>9</v>
      </c>
    </row>
    <row r="14" spans="2:10">
      <c r="B14" s="6">
        <v>101</v>
      </c>
      <c r="C14" s="6">
        <v>11</v>
      </c>
      <c r="D14" s="39" t="s">
        <v>22</v>
      </c>
      <c r="E14" s="29" t="s">
        <v>11</v>
      </c>
      <c r="F14" s="6">
        <v>23.5</v>
      </c>
      <c r="G14" s="6">
        <v>272</v>
      </c>
      <c r="H14" s="6">
        <v>16</v>
      </c>
      <c r="I14" s="6">
        <v>6.8</v>
      </c>
      <c r="J14" s="6">
        <v>3.28</v>
      </c>
    </row>
    <row r="15" spans="2:10">
      <c r="B15" s="6">
        <v>101</v>
      </c>
      <c r="C15" s="6">
        <v>12</v>
      </c>
      <c r="D15" s="29" t="s">
        <v>23</v>
      </c>
      <c r="E15" s="29" t="s">
        <v>11</v>
      </c>
      <c r="F15" s="6">
        <v>3.5</v>
      </c>
      <c r="G15" s="6">
        <v>233</v>
      </c>
      <c r="H15" s="6">
        <v>30</v>
      </c>
      <c r="J15" s="6">
        <v>3.2</v>
      </c>
    </row>
    <row r="16" spans="2:10">
      <c r="B16" s="6">
        <v>101</v>
      </c>
      <c r="C16" s="6">
        <v>13</v>
      </c>
      <c r="D16" s="29" t="s">
        <v>24</v>
      </c>
      <c r="E16" s="29" t="s">
        <v>11</v>
      </c>
      <c r="F16" s="6">
        <v>21.5</v>
      </c>
      <c r="G16" s="6">
        <v>281</v>
      </c>
      <c r="H16" s="6">
        <v>22</v>
      </c>
      <c r="J16" s="6">
        <v>3.46</v>
      </c>
    </row>
    <row r="17" spans="2:11">
      <c r="B17" s="6">
        <v>101</v>
      </c>
      <c r="C17" s="6">
        <v>14</v>
      </c>
      <c r="D17" s="29" t="s">
        <v>25</v>
      </c>
      <c r="E17" s="29" t="s">
        <v>11</v>
      </c>
      <c r="F17" s="6">
        <v>13</v>
      </c>
      <c r="G17" s="6">
        <v>257</v>
      </c>
      <c r="H17" s="6">
        <v>11</v>
      </c>
      <c r="I17" s="6">
        <v>7</v>
      </c>
      <c r="K17" s="6" t="s">
        <v>26</v>
      </c>
    </row>
    <row r="18" spans="2:10">
      <c r="B18" s="6">
        <v>101</v>
      </c>
      <c r="C18" s="6">
        <v>15</v>
      </c>
      <c r="D18" s="29" t="s">
        <v>27</v>
      </c>
      <c r="E18" s="29" t="s">
        <v>11</v>
      </c>
      <c r="F18" s="6">
        <v>12.5</v>
      </c>
      <c r="G18" s="6">
        <v>248</v>
      </c>
      <c r="H18" s="6">
        <v>25</v>
      </c>
      <c r="J18" s="6">
        <v>3.04</v>
      </c>
    </row>
    <row r="19" spans="2:10">
      <c r="B19" s="6">
        <v>101</v>
      </c>
      <c r="C19" s="6">
        <v>16</v>
      </c>
      <c r="D19" s="29" t="s">
        <v>28</v>
      </c>
      <c r="E19" s="29" t="s">
        <v>11</v>
      </c>
      <c r="F19" s="6">
        <v>17.5</v>
      </c>
      <c r="G19" s="6">
        <v>269</v>
      </c>
      <c r="H19" s="6">
        <v>9</v>
      </c>
      <c r="I19" s="6">
        <v>7</v>
      </c>
      <c r="J19" s="6">
        <v>3.36</v>
      </c>
    </row>
    <row r="20" spans="2:10">
      <c r="B20" s="6">
        <v>101</v>
      </c>
      <c r="C20" s="6">
        <v>17</v>
      </c>
      <c r="D20" s="29" t="s">
        <v>29</v>
      </c>
      <c r="E20" s="29" t="s">
        <v>11</v>
      </c>
      <c r="F20" s="6">
        <v>-2</v>
      </c>
      <c r="G20" s="6">
        <v>217</v>
      </c>
      <c r="H20" s="6">
        <v>23</v>
      </c>
      <c r="I20" s="6">
        <v>7.2</v>
      </c>
      <c r="J20" s="6">
        <v>4.09</v>
      </c>
    </row>
    <row r="21" spans="2:10">
      <c r="B21" s="6">
        <v>101</v>
      </c>
      <c r="C21" s="6">
        <v>18</v>
      </c>
      <c r="D21" s="29" t="s">
        <v>30</v>
      </c>
      <c r="E21" s="29" t="s">
        <v>11</v>
      </c>
      <c r="F21" s="6">
        <v>10.5</v>
      </c>
      <c r="G21" s="6">
        <v>232</v>
      </c>
      <c r="H21" s="6">
        <v>4</v>
      </c>
      <c r="J21" s="6">
        <v>3.38</v>
      </c>
    </row>
    <row r="22" spans="2:10">
      <c r="B22" s="6">
        <v>101</v>
      </c>
      <c r="C22" s="6">
        <v>19</v>
      </c>
      <c r="D22" s="29" t="s">
        <v>31</v>
      </c>
      <c r="E22" s="29" t="s">
        <v>11</v>
      </c>
      <c r="F22" s="6">
        <v>15</v>
      </c>
      <c r="G22" s="6">
        <v>227</v>
      </c>
      <c r="H22" s="6">
        <v>2</v>
      </c>
      <c r="I22" s="6">
        <v>8.2</v>
      </c>
      <c r="J22" s="6">
        <v>4.42</v>
      </c>
    </row>
    <row r="23" spans="2:10">
      <c r="B23" s="6">
        <v>101</v>
      </c>
      <c r="C23" s="6">
        <v>20</v>
      </c>
      <c r="D23" s="29" t="s">
        <v>32</v>
      </c>
      <c r="E23" s="29" t="s">
        <v>11</v>
      </c>
      <c r="F23" s="6">
        <v>22</v>
      </c>
      <c r="G23" s="6">
        <v>237</v>
      </c>
      <c r="H23" s="6">
        <v>23</v>
      </c>
      <c r="I23" s="6">
        <v>6.7</v>
      </c>
      <c r="J23" s="6">
        <v>3.24</v>
      </c>
    </row>
    <row r="24" spans="4:5">
      <c r="D24" s="29"/>
      <c r="E24" s="29"/>
    </row>
    <row r="25" s="3" customFormat="1" spans="1:11">
      <c r="A25" s="58" t="s">
        <v>33</v>
      </c>
      <c r="B25" s="30" t="s">
        <v>1</v>
      </c>
      <c r="C25" s="31" t="s">
        <v>2</v>
      </c>
      <c r="D25" s="32" t="s">
        <v>3</v>
      </c>
      <c r="E25" s="32" t="s">
        <v>4</v>
      </c>
      <c r="F25" s="33" t="s">
        <v>5</v>
      </c>
      <c r="G25" s="33" t="s">
        <v>6</v>
      </c>
      <c r="H25" s="33" t="s">
        <v>7</v>
      </c>
      <c r="I25" s="33">
        <v>50</v>
      </c>
      <c r="J25" s="33" t="s">
        <v>8</v>
      </c>
      <c r="K25" s="31" t="s">
        <v>9</v>
      </c>
    </row>
    <row r="26" spans="2:10">
      <c r="B26" s="6">
        <v>101</v>
      </c>
      <c r="C26" s="6">
        <v>21</v>
      </c>
      <c r="D26" s="39" t="s">
        <v>34</v>
      </c>
      <c r="E26" s="29" t="s">
        <v>11</v>
      </c>
      <c r="F26" s="6">
        <v>-1</v>
      </c>
      <c r="G26" s="6">
        <v>215</v>
      </c>
      <c r="H26" s="6">
        <v>19</v>
      </c>
      <c r="I26" s="6">
        <v>6.9</v>
      </c>
      <c r="J26" s="6">
        <v>4.03</v>
      </c>
    </row>
    <row r="27" spans="2:10">
      <c r="B27" s="6">
        <v>101</v>
      </c>
      <c r="C27" s="6">
        <v>22</v>
      </c>
      <c r="D27" s="29" t="s">
        <v>35</v>
      </c>
      <c r="E27" s="29" t="s">
        <v>11</v>
      </c>
      <c r="F27" s="6">
        <v>9.5</v>
      </c>
      <c r="G27" s="6">
        <v>270</v>
      </c>
      <c r="H27" s="6">
        <v>23</v>
      </c>
      <c r="I27" s="6">
        <v>6.8</v>
      </c>
      <c r="J27" s="6">
        <v>3.37</v>
      </c>
    </row>
    <row r="28" spans="2:10">
      <c r="B28" s="6">
        <v>101</v>
      </c>
      <c r="C28" s="6">
        <v>23</v>
      </c>
      <c r="D28" s="29" t="s">
        <v>36</v>
      </c>
      <c r="E28" s="29" t="s">
        <v>11</v>
      </c>
      <c r="F28" s="6">
        <v>14.5</v>
      </c>
      <c r="G28" s="6">
        <v>230</v>
      </c>
      <c r="H28" s="6">
        <v>15</v>
      </c>
      <c r="I28" s="6">
        <v>7.2</v>
      </c>
      <c r="J28" s="6">
        <v>4.08</v>
      </c>
    </row>
    <row r="29" spans="2:10">
      <c r="B29" s="6">
        <v>101</v>
      </c>
      <c r="C29" s="6">
        <v>24</v>
      </c>
      <c r="D29" s="29" t="s">
        <v>37</v>
      </c>
      <c r="E29" s="29" t="s">
        <v>11</v>
      </c>
      <c r="F29" s="6">
        <v>6</v>
      </c>
      <c r="G29" s="6">
        <v>230</v>
      </c>
      <c r="H29" s="6">
        <v>11</v>
      </c>
      <c r="I29" s="6">
        <v>7.4</v>
      </c>
      <c r="J29" s="6">
        <v>3.57</v>
      </c>
    </row>
    <row r="30" spans="2:10">
      <c r="B30" s="6">
        <v>101</v>
      </c>
      <c r="C30" s="6">
        <v>25</v>
      </c>
      <c r="D30" s="29" t="s">
        <v>38</v>
      </c>
      <c r="E30" s="29" t="s">
        <v>11</v>
      </c>
      <c r="F30" s="6">
        <v>3.5</v>
      </c>
      <c r="G30" s="6">
        <v>240</v>
      </c>
      <c r="H30" s="6">
        <v>9</v>
      </c>
      <c r="I30" s="6">
        <v>7</v>
      </c>
      <c r="J30" s="6">
        <v>3.38</v>
      </c>
    </row>
    <row r="31" spans="2:10">
      <c r="B31" s="6">
        <v>101</v>
      </c>
      <c r="C31" s="6">
        <v>26</v>
      </c>
      <c r="D31" s="29" t="s">
        <v>39</v>
      </c>
      <c r="E31" s="29" t="s">
        <v>11</v>
      </c>
      <c r="F31" s="6">
        <v>7.5</v>
      </c>
      <c r="G31" s="6">
        <v>220</v>
      </c>
      <c r="H31" s="6">
        <v>23</v>
      </c>
      <c r="J31" s="6">
        <v>3.34</v>
      </c>
    </row>
    <row r="32" spans="2:10">
      <c r="B32" s="6">
        <v>101</v>
      </c>
      <c r="C32" s="6">
        <v>27</v>
      </c>
      <c r="D32" s="29" t="s">
        <v>40</v>
      </c>
      <c r="E32" s="29" t="s">
        <v>11</v>
      </c>
      <c r="F32" s="6">
        <v>9.5</v>
      </c>
      <c r="G32" s="6">
        <v>255</v>
      </c>
      <c r="H32" s="6">
        <v>13</v>
      </c>
      <c r="I32" s="6">
        <v>6.7</v>
      </c>
      <c r="J32" s="6">
        <v>3.25</v>
      </c>
    </row>
    <row r="33" spans="2:10">
      <c r="B33" s="6">
        <v>101</v>
      </c>
      <c r="C33" s="6">
        <v>28</v>
      </c>
      <c r="D33" s="29" t="s">
        <v>41</v>
      </c>
      <c r="E33" s="29" t="s">
        <v>11</v>
      </c>
      <c r="F33" s="6">
        <v>5.5</v>
      </c>
      <c r="G33" s="6">
        <v>205</v>
      </c>
      <c r="H33" s="6">
        <v>1</v>
      </c>
      <c r="J33" s="6">
        <v>3.14</v>
      </c>
    </row>
    <row r="34" spans="2:10">
      <c r="B34" s="6">
        <v>101</v>
      </c>
      <c r="C34" s="6">
        <v>29</v>
      </c>
      <c r="D34" s="29" t="s">
        <v>42</v>
      </c>
      <c r="E34" s="29" t="s">
        <v>11</v>
      </c>
      <c r="F34" s="6">
        <v>11</v>
      </c>
      <c r="G34" s="6">
        <v>255</v>
      </c>
      <c r="H34" s="6">
        <v>14</v>
      </c>
      <c r="I34" s="6">
        <v>7</v>
      </c>
      <c r="J34" s="6">
        <v>3.31</v>
      </c>
    </row>
    <row r="35" spans="2:10">
      <c r="B35" s="6">
        <v>101</v>
      </c>
      <c r="C35" s="6">
        <v>30</v>
      </c>
      <c r="D35" s="29" t="s">
        <v>43</v>
      </c>
      <c r="E35" s="29" t="s">
        <v>11</v>
      </c>
      <c r="F35" s="6">
        <v>12</v>
      </c>
      <c r="G35" s="6">
        <v>230</v>
      </c>
      <c r="H35" s="6">
        <v>17</v>
      </c>
      <c r="I35" s="6">
        <v>7.1</v>
      </c>
      <c r="J35" s="6">
        <v>3.21</v>
      </c>
    </row>
    <row r="36" s="3" customFormat="1" spans="1:11">
      <c r="A36" s="58" t="s">
        <v>44</v>
      </c>
      <c r="B36" s="30" t="s">
        <v>1</v>
      </c>
      <c r="C36" s="31" t="s">
        <v>2</v>
      </c>
      <c r="D36" s="32" t="s">
        <v>3</v>
      </c>
      <c r="E36" s="32" t="s">
        <v>4</v>
      </c>
      <c r="F36" s="33" t="s">
        <v>5</v>
      </c>
      <c r="G36" s="33" t="s">
        <v>6</v>
      </c>
      <c r="H36" s="33" t="s">
        <v>7</v>
      </c>
      <c r="I36" s="33">
        <v>50</v>
      </c>
      <c r="J36" s="33" t="s">
        <v>8</v>
      </c>
      <c r="K36" s="31" t="s">
        <v>9</v>
      </c>
    </row>
    <row r="37" spans="2:10">
      <c r="B37" s="6">
        <v>101</v>
      </c>
      <c r="C37" s="6">
        <v>31</v>
      </c>
      <c r="D37" s="39" t="s">
        <v>45</v>
      </c>
      <c r="E37" s="29" t="s">
        <v>46</v>
      </c>
      <c r="F37" s="6">
        <v>21</v>
      </c>
      <c r="G37" s="6">
        <v>168</v>
      </c>
      <c r="H37" s="6">
        <v>49</v>
      </c>
      <c r="I37" s="6">
        <v>9.3</v>
      </c>
      <c r="J37" s="6">
        <v>3.58</v>
      </c>
    </row>
    <row r="38" spans="2:11">
      <c r="B38" s="6">
        <v>101</v>
      </c>
      <c r="C38" s="6">
        <v>32</v>
      </c>
      <c r="D38" s="29" t="s">
        <v>47</v>
      </c>
      <c r="E38" s="29" t="s">
        <v>46</v>
      </c>
      <c r="K38" s="6" t="s">
        <v>48</v>
      </c>
    </row>
    <row r="39" spans="2:10">
      <c r="B39" s="6">
        <v>101</v>
      </c>
      <c r="C39" s="6">
        <v>33</v>
      </c>
      <c r="D39" s="29" t="s">
        <v>49</v>
      </c>
      <c r="E39" s="29" t="s">
        <v>46</v>
      </c>
      <c r="F39" s="6">
        <v>18.17</v>
      </c>
      <c r="G39" s="6">
        <v>170</v>
      </c>
      <c r="H39" s="6">
        <v>46</v>
      </c>
      <c r="I39" s="6">
        <v>8.4</v>
      </c>
      <c r="J39" s="6">
        <v>3.24</v>
      </c>
    </row>
    <row r="40" spans="2:10">
      <c r="B40" s="6">
        <v>101</v>
      </c>
      <c r="C40" s="6">
        <v>34</v>
      </c>
      <c r="D40" s="29" t="s">
        <v>50</v>
      </c>
      <c r="E40" s="29" t="s">
        <v>46</v>
      </c>
      <c r="F40" s="6">
        <v>25.5</v>
      </c>
      <c r="G40" s="6">
        <v>173</v>
      </c>
      <c r="H40" s="6">
        <v>46</v>
      </c>
      <c r="I40" s="6">
        <v>8.87</v>
      </c>
      <c r="J40" s="6">
        <v>3.31</v>
      </c>
    </row>
    <row r="41" spans="2:10">
      <c r="B41" s="6">
        <v>101</v>
      </c>
      <c r="C41" s="6">
        <v>35</v>
      </c>
      <c r="D41" s="29" t="s">
        <v>51</v>
      </c>
      <c r="E41" s="29" t="s">
        <v>46</v>
      </c>
      <c r="F41" s="6">
        <v>17.6</v>
      </c>
      <c r="G41" s="6">
        <v>212</v>
      </c>
      <c r="H41" s="6">
        <v>55</v>
      </c>
      <c r="I41" s="6">
        <v>8.18</v>
      </c>
      <c r="J41" s="6">
        <v>3.38</v>
      </c>
    </row>
    <row r="42" spans="2:10">
      <c r="B42" s="6">
        <v>101</v>
      </c>
      <c r="C42" s="6">
        <v>36</v>
      </c>
      <c r="D42" s="29" t="s">
        <v>52</v>
      </c>
      <c r="E42" s="29" t="s">
        <v>46</v>
      </c>
      <c r="F42" s="6">
        <v>19.5</v>
      </c>
      <c r="G42" s="6">
        <v>175</v>
      </c>
      <c r="H42" s="6">
        <v>42</v>
      </c>
      <c r="I42" s="6">
        <v>8.4</v>
      </c>
      <c r="J42" s="6">
        <v>3.35</v>
      </c>
    </row>
    <row r="43" spans="2:10">
      <c r="B43" s="6">
        <v>101</v>
      </c>
      <c r="C43" s="6">
        <v>37</v>
      </c>
      <c r="D43" s="29" t="s">
        <v>53</v>
      </c>
      <c r="E43" s="29" t="s">
        <v>46</v>
      </c>
      <c r="F43" s="6">
        <v>19</v>
      </c>
      <c r="G43" s="6">
        <v>190</v>
      </c>
      <c r="H43" s="6">
        <v>53</v>
      </c>
      <c r="I43" s="6">
        <v>8.4</v>
      </c>
      <c r="J43" s="6">
        <v>3.14</v>
      </c>
    </row>
    <row r="44" spans="2:10">
      <c r="B44" s="6">
        <v>101</v>
      </c>
      <c r="C44" s="6">
        <v>38</v>
      </c>
      <c r="D44" s="29" t="s">
        <v>54</v>
      </c>
      <c r="E44" s="29" t="s">
        <v>46</v>
      </c>
      <c r="F44" s="6">
        <v>18.1</v>
      </c>
      <c r="G44" s="6">
        <v>190</v>
      </c>
      <c r="H44" s="6">
        <v>52</v>
      </c>
      <c r="I44" s="6">
        <v>8.3</v>
      </c>
      <c r="J44" s="6">
        <v>3.18</v>
      </c>
    </row>
    <row r="45" spans="4:5">
      <c r="D45" s="29"/>
      <c r="E45" s="29"/>
    </row>
    <row r="46" spans="4:5">
      <c r="D46" s="29"/>
      <c r="E46" s="29"/>
    </row>
    <row r="47" s="3" customFormat="1" spans="1:11">
      <c r="A47" s="58" t="s">
        <v>55</v>
      </c>
      <c r="B47" s="30" t="s">
        <v>1</v>
      </c>
      <c r="C47" s="31" t="s">
        <v>2</v>
      </c>
      <c r="D47" s="32" t="s">
        <v>3</v>
      </c>
      <c r="E47" s="32" t="s">
        <v>4</v>
      </c>
      <c r="F47" s="33" t="s">
        <v>5</v>
      </c>
      <c r="G47" s="33" t="s">
        <v>6</v>
      </c>
      <c r="H47" s="33" t="s">
        <v>7</v>
      </c>
      <c r="I47" s="33">
        <v>50</v>
      </c>
      <c r="J47" s="33" t="s">
        <v>8</v>
      </c>
      <c r="K47" s="31" t="s">
        <v>9</v>
      </c>
    </row>
    <row r="48" spans="2:10">
      <c r="B48" s="6">
        <v>101</v>
      </c>
      <c r="C48" s="6">
        <v>39</v>
      </c>
      <c r="D48" s="39" t="s">
        <v>56</v>
      </c>
      <c r="E48" s="29" t="s">
        <v>46</v>
      </c>
      <c r="F48" s="6">
        <v>15.5</v>
      </c>
      <c r="G48" s="6">
        <v>210</v>
      </c>
      <c r="H48" s="6">
        <v>53</v>
      </c>
      <c r="I48" s="6">
        <v>7.8</v>
      </c>
      <c r="J48" s="6">
        <v>3.16</v>
      </c>
    </row>
    <row r="49" spans="2:10">
      <c r="B49" s="6">
        <v>101</v>
      </c>
      <c r="C49" s="6">
        <v>40</v>
      </c>
      <c r="D49" s="29" t="s">
        <v>57</v>
      </c>
      <c r="E49" s="29" t="s">
        <v>46</v>
      </c>
      <c r="F49" s="6">
        <v>15.2</v>
      </c>
      <c r="G49" s="6">
        <v>165</v>
      </c>
      <c r="H49" s="6">
        <v>41</v>
      </c>
      <c r="I49" s="6">
        <v>10.1</v>
      </c>
      <c r="J49" s="6">
        <v>4.32</v>
      </c>
    </row>
    <row r="50" spans="2:10">
      <c r="B50" s="6">
        <v>101</v>
      </c>
      <c r="C50" s="6">
        <v>41</v>
      </c>
      <c r="D50" s="29" t="s">
        <v>58</v>
      </c>
      <c r="E50" s="29" t="s">
        <v>46</v>
      </c>
      <c r="F50" s="6">
        <v>17</v>
      </c>
      <c r="G50" s="6">
        <v>200</v>
      </c>
      <c r="H50" s="6">
        <v>43</v>
      </c>
      <c r="I50" s="6">
        <v>8</v>
      </c>
      <c r="J50" s="6">
        <v>3.29</v>
      </c>
    </row>
    <row r="51" spans="2:10">
      <c r="B51" s="6">
        <v>101</v>
      </c>
      <c r="C51" s="6">
        <v>42</v>
      </c>
      <c r="D51" s="29" t="s">
        <v>59</v>
      </c>
      <c r="E51" s="29" t="s">
        <v>46</v>
      </c>
      <c r="F51" s="6">
        <v>17</v>
      </c>
      <c r="G51" s="6">
        <v>200</v>
      </c>
      <c r="H51" s="6">
        <v>50</v>
      </c>
      <c r="I51" s="6">
        <v>8.5</v>
      </c>
      <c r="J51" s="6">
        <v>3.19</v>
      </c>
    </row>
    <row r="52" spans="2:10">
      <c r="B52" s="6">
        <v>101</v>
      </c>
      <c r="C52" s="6">
        <v>43</v>
      </c>
      <c r="D52" s="29" t="s">
        <v>60</v>
      </c>
      <c r="E52" s="29" t="s">
        <v>46</v>
      </c>
      <c r="F52" s="6">
        <v>27.1</v>
      </c>
      <c r="G52" s="6">
        <v>184</v>
      </c>
      <c r="H52" s="6">
        <v>43</v>
      </c>
      <c r="I52" s="6">
        <v>8.2</v>
      </c>
      <c r="J52" s="6">
        <v>3.2</v>
      </c>
    </row>
    <row r="53" spans="2:10">
      <c r="B53" s="6">
        <v>101</v>
      </c>
      <c r="C53" s="6">
        <v>44</v>
      </c>
      <c r="D53" s="29" t="s">
        <v>61</v>
      </c>
      <c r="E53" s="29" t="s">
        <v>46</v>
      </c>
      <c r="F53" s="6">
        <v>18.9</v>
      </c>
      <c r="G53" s="6">
        <v>178</v>
      </c>
      <c r="H53" s="6">
        <v>54</v>
      </c>
      <c r="I53" s="6">
        <v>8.6</v>
      </c>
      <c r="J53" s="6">
        <v>3.19</v>
      </c>
    </row>
    <row r="54" spans="2:10">
      <c r="B54" s="6">
        <v>101</v>
      </c>
      <c r="C54" s="6">
        <v>45</v>
      </c>
      <c r="D54" s="29" t="s">
        <v>62</v>
      </c>
      <c r="E54" s="29" t="s">
        <v>46</v>
      </c>
      <c r="F54" s="6">
        <v>17.5</v>
      </c>
      <c r="G54" s="6">
        <v>185</v>
      </c>
      <c r="H54" s="6">
        <v>52</v>
      </c>
      <c r="I54" s="6">
        <v>8.7</v>
      </c>
      <c r="J54" s="6">
        <v>3.31</v>
      </c>
    </row>
    <row r="55" spans="2:10">
      <c r="B55" s="6">
        <v>101</v>
      </c>
      <c r="C55" s="6">
        <v>46</v>
      </c>
      <c r="D55" s="29" t="s">
        <v>63</v>
      </c>
      <c r="E55" s="29" t="s">
        <v>46</v>
      </c>
      <c r="F55" s="6">
        <v>21.1</v>
      </c>
      <c r="G55" s="6">
        <v>173</v>
      </c>
      <c r="H55" s="6">
        <v>42</v>
      </c>
      <c r="I55" s="6">
        <v>8.3</v>
      </c>
      <c r="J55" s="6">
        <v>4.01</v>
      </c>
    </row>
    <row r="58" s="3" customFormat="1" spans="1:11">
      <c r="A58" s="58" t="s">
        <v>64</v>
      </c>
      <c r="B58" s="30" t="s">
        <v>1</v>
      </c>
      <c r="C58" s="31" t="s">
        <v>2</v>
      </c>
      <c r="D58" s="32" t="s">
        <v>3</v>
      </c>
      <c r="E58" s="32" t="s">
        <v>4</v>
      </c>
      <c r="F58" s="33" t="s">
        <v>5</v>
      </c>
      <c r="G58" s="33" t="s">
        <v>6</v>
      </c>
      <c r="H58" s="33" t="s">
        <v>7</v>
      </c>
      <c r="I58" s="33">
        <v>50</v>
      </c>
      <c r="J58" s="33" t="s">
        <v>8</v>
      </c>
      <c r="K58" s="31" t="s">
        <v>9</v>
      </c>
    </row>
    <row r="59" spans="2:10">
      <c r="B59" s="6">
        <v>102</v>
      </c>
      <c r="C59" s="6">
        <v>1</v>
      </c>
      <c r="D59" s="39" t="s">
        <v>65</v>
      </c>
      <c r="E59" s="29" t="s">
        <v>11</v>
      </c>
      <c r="F59" s="6">
        <v>12.1</v>
      </c>
      <c r="G59" s="6">
        <v>241</v>
      </c>
      <c r="H59" s="6">
        <v>3</v>
      </c>
      <c r="J59" s="6">
        <v>3.31</v>
      </c>
    </row>
    <row r="60" spans="2:10">
      <c r="B60" s="6">
        <v>102</v>
      </c>
      <c r="C60" s="6">
        <v>2</v>
      </c>
      <c r="D60" s="29" t="s">
        <v>66</v>
      </c>
      <c r="E60" s="29" t="s">
        <v>11</v>
      </c>
      <c r="F60" s="6">
        <v>6.4</v>
      </c>
      <c r="G60" s="6">
        <v>168</v>
      </c>
      <c r="H60" s="6">
        <v>5</v>
      </c>
      <c r="I60" s="6">
        <v>6.8</v>
      </c>
      <c r="J60" s="6">
        <v>3.5</v>
      </c>
    </row>
    <row r="61" spans="2:10">
      <c r="B61" s="6">
        <v>102</v>
      </c>
      <c r="C61" s="6">
        <v>3</v>
      </c>
      <c r="D61" s="29" t="s">
        <v>67</v>
      </c>
      <c r="E61" s="29" t="s">
        <v>11</v>
      </c>
      <c r="F61" s="6">
        <v>8.3</v>
      </c>
      <c r="G61" s="6">
        <v>257</v>
      </c>
      <c r="H61" s="6">
        <v>3</v>
      </c>
      <c r="I61" s="6">
        <v>7.1</v>
      </c>
      <c r="J61" s="6">
        <v>3.46</v>
      </c>
    </row>
    <row r="62" spans="2:10">
      <c r="B62" s="6">
        <v>102</v>
      </c>
      <c r="C62" s="6">
        <v>4</v>
      </c>
      <c r="D62" s="29" t="s">
        <v>68</v>
      </c>
      <c r="E62" s="29" t="s">
        <v>11</v>
      </c>
      <c r="F62" s="6">
        <v>9.6</v>
      </c>
      <c r="G62" s="6">
        <v>227</v>
      </c>
      <c r="H62" s="6">
        <v>6</v>
      </c>
      <c r="I62" s="6">
        <v>6.8</v>
      </c>
      <c r="J62" s="6">
        <v>3.2</v>
      </c>
    </row>
    <row r="63" spans="2:10">
      <c r="B63" s="6">
        <v>102</v>
      </c>
      <c r="C63" s="6">
        <v>5</v>
      </c>
      <c r="D63" s="29" t="s">
        <v>69</v>
      </c>
      <c r="E63" s="29" t="s">
        <v>11</v>
      </c>
      <c r="F63" s="6">
        <v>-4.5</v>
      </c>
      <c r="G63" s="6">
        <v>251</v>
      </c>
      <c r="H63" s="6">
        <v>24</v>
      </c>
      <c r="J63" s="6">
        <v>3.3</v>
      </c>
    </row>
    <row r="64" spans="2:10">
      <c r="B64" s="6">
        <v>102</v>
      </c>
      <c r="C64" s="6">
        <v>6</v>
      </c>
      <c r="D64" s="29" t="s">
        <v>70</v>
      </c>
      <c r="E64" s="29" t="s">
        <v>11</v>
      </c>
      <c r="F64" s="6">
        <v>5.6</v>
      </c>
      <c r="G64" s="6">
        <v>251</v>
      </c>
      <c r="H64" s="6">
        <v>21</v>
      </c>
      <c r="I64" s="6">
        <v>6.7</v>
      </c>
      <c r="J64" s="6">
        <v>3.38</v>
      </c>
    </row>
    <row r="65" spans="2:10">
      <c r="B65" s="6">
        <v>102</v>
      </c>
      <c r="C65" s="6">
        <v>7</v>
      </c>
      <c r="D65" s="29" t="s">
        <v>71</v>
      </c>
      <c r="E65" s="29" t="s">
        <v>11</v>
      </c>
      <c r="F65" s="6">
        <v>7.1</v>
      </c>
      <c r="G65" s="6">
        <v>205</v>
      </c>
      <c r="H65" s="6">
        <v>5</v>
      </c>
      <c r="I65" s="6">
        <v>7.1</v>
      </c>
      <c r="J65" s="6">
        <v>3.36</v>
      </c>
    </row>
    <row r="66" spans="2:10">
      <c r="B66" s="6">
        <v>102</v>
      </c>
      <c r="C66" s="6">
        <v>8</v>
      </c>
      <c r="D66" s="29" t="s">
        <v>72</v>
      </c>
      <c r="E66" s="29" t="s">
        <v>11</v>
      </c>
      <c r="F66" s="6">
        <v>8.6</v>
      </c>
      <c r="G66" s="6">
        <v>247</v>
      </c>
      <c r="H66" s="6">
        <v>21</v>
      </c>
      <c r="I66" s="6">
        <v>6.8</v>
      </c>
      <c r="J66" s="6">
        <v>4.24</v>
      </c>
    </row>
    <row r="67" spans="2:10">
      <c r="B67" s="6">
        <v>102</v>
      </c>
      <c r="C67" s="6">
        <v>9</v>
      </c>
      <c r="D67" s="29" t="s">
        <v>73</v>
      </c>
      <c r="E67" s="29" t="s">
        <v>11</v>
      </c>
      <c r="F67" s="6">
        <v>10</v>
      </c>
      <c r="G67" s="6">
        <v>231</v>
      </c>
      <c r="H67" s="6">
        <v>13</v>
      </c>
      <c r="I67" s="6">
        <v>7.3</v>
      </c>
      <c r="J67" s="6">
        <v>3.41</v>
      </c>
    </row>
    <row r="68" spans="2:10">
      <c r="B68" s="6">
        <v>102</v>
      </c>
      <c r="C68" s="6">
        <v>10</v>
      </c>
      <c r="D68" s="29" t="s">
        <v>74</v>
      </c>
      <c r="E68" s="29" t="s">
        <v>11</v>
      </c>
      <c r="F68" s="6">
        <v>11</v>
      </c>
      <c r="G68" s="6">
        <v>197</v>
      </c>
      <c r="H68" s="6">
        <v>0</v>
      </c>
      <c r="I68" s="6">
        <v>7.6</v>
      </c>
      <c r="J68" s="6">
        <v>4.43</v>
      </c>
    </row>
    <row r="69" spans="4:5">
      <c r="D69" s="29"/>
      <c r="E69" s="29"/>
    </row>
    <row r="71" s="3" customFormat="1" spans="1:11">
      <c r="A71" s="58" t="s">
        <v>75</v>
      </c>
      <c r="B71" s="30" t="s">
        <v>1</v>
      </c>
      <c r="C71" s="31" t="s">
        <v>2</v>
      </c>
      <c r="D71" s="32" t="s">
        <v>3</v>
      </c>
      <c r="E71" s="32" t="s">
        <v>4</v>
      </c>
      <c r="F71" s="33" t="s">
        <v>5</v>
      </c>
      <c r="G71" s="33" t="s">
        <v>6</v>
      </c>
      <c r="H71" s="33" t="s">
        <v>7</v>
      </c>
      <c r="I71" s="33">
        <v>50</v>
      </c>
      <c r="J71" s="33" t="s">
        <v>8</v>
      </c>
      <c r="K71" s="31" t="s">
        <v>9</v>
      </c>
    </row>
    <row r="72" spans="2:10">
      <c r="B72" s="6">
        <v>102</v>
      </c>
      <c r="C72" s="6">
        <v>11</v>
      </c>
      <c r="D72" s="39" t="s">
        <v>76</v>
      </c>
      <c r="E72" s="29" t="s">
        <v>11</v>
      </c>
      <c r="F72" s="6">
        <v>5.3</v>
      </c>
      <c r="G72" s="6">
        <v>190</v>
      </c>
      <c r="H72" s="6">
        <v>0</v>
      </c>
      <c r="I72" s="6">
        <v>7.7</v>
      </c>
      <c r="J72" s="6">
        <v>4.14</v>
      </c>
    </row>
    <row r="73" spans="2:10">
      <c r="B73" s="6">
        <v>102</v>
      </c>
      <c r="C73" s="6">
        <v>12</v>
      </c>
      <c r="D73" s="29" t="s">
        <v>77</v>
      </c>
      <c r="E73" s="29" t="s">
        <v>11</v>
      </c>
      <c r="F73" s="6">
        <v>11</v>
      </c>
      <c r="G73" s="6">
        <v>186</v>
      </c>
      <c r="H73" s="6">
        <v>11</v>
      </c>
      <c r="I73" s="6">
        <v>8.4</v>
      </c>
      <c r="J73" s="6">
        <v>3.42</v>
      </c>
    </row>
    <row r="74" spans="2:10">
      <c r="B74" s="6">
        <v>102</v>
      </c>
      <c r="C74" s="6">
        <v>13</v>
      </c>
      <c r="D74" s="29" t="s">
        <v>78</v>
      </c>
      <c r="E74" s="29" t="s">
        <v>11</v>
      </c>
      <c r="F74" s="6">
        <v>6.6</v>
      </c>
      <c r="G74" s="6">
        <v>206</v>
      </c>
      <c r="H74" s="6">
        <v>8</v>
      </c>
      <c r="I74" s="6">
        <v>7.2</v>
      </c>
      <c r="J74" s="6">
        <v>3.53</v>
      </c>
    </row>
    <row r="75" spans="2:10">
      <c r="B75" s="6">
        <v>102</v>
      </c>
      <c r="C75" s="6">
        <v>14</v>
      </c>
      <c r="D75" s="29" t="s">
        <v>79</v>
      </c>
      <c r="E75" s="29" t="s">
        <v>11</v>
      </c>
      <c r="F75" s="6">
        <v>9.6</v>
      </c>
      <c r="G75" s="6">
        <v>224</v>
      </c>
      <c r="H75" s="6">
        <v>20</v>
      </c>
      <c r="I75" s="6">
        <v>7.4</v>
      </c>
      <c r="J75" s="6">
        <v>3.31</v>
      </c>
    </row>
    <row r="76" spans="2:10">
      <c r="B76" s="6">
        <v>102</v>
      </c>
      <c r="C76" s="6">
        <v>15</v>
      </c>
      <c r="D76" s="29" t="s">
        <v>80</v>
      </c>
      <c r="E76" s="29" t="s">
        <v>11</v>
      </c>
      <c r="F76" s="6">
        <v>17.2</v>
      </c>
      <c r="G76" s="6">
        <v>223</v>
      </c>
      <c r="H76" s="6">
        <v>11</v>
      </c>
      <c r="I76" s="6">
        <v>7.4</v>
      </c>
      <c r="J76" s="6">
        <v>4.03</v>
      </c>
    </row>
    <row r="77" spans="2:10">
      <c r="B77" s="6">
        <v>102</v>
      </c>
      <c r="C77" s="6">
        <v>16</v>
      </c>
      <c r="D77" s="29" t="s">
        <v>81</v>
      </c>
      <c r="E77" s="29" t="s">
        <v>11</v>
      </c>
      <c r="F77" s="6">
        <v>-4.3</v>
      </c>
      <c r="G77" s="6">
        <v>188</v>
      </c>
      <c r="H77" s="6">
        <v>1</v>
      </c>
      <c r="I77" s="6">
        <v>7.6</v>
      </c>
      <c r="J77" s="6">
        <v>3.48</v>
      </c>
    </row>
    <row r="78" spans="2:10">
      <c r="B78" s="6">
        <v>102</v>
      </c>
      <c r="C78" s="6">
        <v>17</v>
      </c>
      <c r="D78" s="29" t="s">
        <v>82</v>
      </c>
      <c r="E78" s="29" t="s">
        <v>11</v>
      </c>
      <c r="F78" s="6">
        <v>9.8</v>
      </c>
      <c r="G78" s="6">
        <v>170</v>
      </c>
      <c r="H78" s="6">
        <v>1</v>
      </c>
      <c r="I78" s="6">
        <v>7.6</v>
      </c>
      <c r="J78" s="6">
        <v>3.35</v>
      </c>
    </row>
    <row r="79" spans="2:11">
      <c r="B79" s="6">
        <v>102</v>
      </c>
      <c r="C79" s="6">
        <v>18</v>
      </c>
      <c r="D79" s="29" t="s">
        <v>83</v>
      </c>
      <c r="E79" s="29" t="s">
        <v>11</v>
      </c>
      <c r="K79" s="6" t="s">
        <v>84</v>
      </c>
    </row>
    <row r="80" spans="2:10">
      <c r="B80" s="6">
        <v>102</v>
      </c>
      <c r="C80" s="6">
        <v>19</v>
      </c>
      <c r="D80" s="29" t="s">
        <v>85</v>
      </c>
      <c r="E80" s="29" t="s">
        <v>11</v>
      </c>
      <c r="F80" s="6">
        <v>17</v>
      </c>
      <c r="G80" s="6">
        <v>258</v>
      </c>
      <c r="H80" s="6">
        <v>7</v>
      </c>
      <c r="I80" s="6">
        <v>7</v>
      </c>
      <c r="J80" s="6">
        <v>3.35</v>
      </c>
    </row>
    <row r="81" spans="2:10">
      <c r="B81" s="6">
        <v>102</v>
      </c>
      <c r="C81" s="6">
        <v>20</v>
      </c>
      <c r="D81" s="29" t="s">
        <v>86</v>
      </c>
      <c r="E81" s="29" t="s">
        <v>11</v>
      </c>
      <c r="F81" s="6">
        <v>15.6</v>
      </c>
      <c r="G81" s="6">
        <v>232</v>
      </c>
      <c r="H81" s="6">
        <v>7</v>
      </c>
      <c r="I81" s="6">
        <v>7</v>
      </c>
      <c r="J81" s="6">
        <v>3.46</v>
      </c>
    </row>
    <row r="83" s="3" customFormat="1" spans="1:11">
      <c r="A83" s="58" t="s">
        <v>87</v>
      </c>
      <c r="B83" s="30" t="s">
        <v>1</v>
      </c>
      <c r="C83" s="31" t="s">
        <v>2</v>
      </c>
      <c r="D83" s="32" t="s">
        <v>3</v>
      </c>
      <c r="E83" s="32" t="s">
        <v>4</v>
      </c>
      <c r="F83" s="33" t="s">
        <v>5</v>
      </c>
      <c r="G83" s="33" t="s">
        <v>6</v>
      </c>
      <c r="H83" s="33" t="s">
        <v>7</v>
      </c>
      <c r="I83" s="33">
        <v>50</v>
      </c>
      <c r="J83" s="33" t="s">
        <v>8</v>
      </c>
      <c r="K83" s="31" t="s">
        <v>9</v>
      </c>
    </row>
    <row r="84" spans="2:10">
      <c r="B84" s="6">
        <v>102</v>
      </c>
      <c r="C84" s="6">
        <v>21</v>
      </c>
      <c r="D84" s="39" t="s">
        <v>88</v>
      </c>
      <c r="E84" s="29" t="s">
        <v>11</v>
      </c>
      <c r="F84" s="6">
        <v>24</v>
      </c>
      <c r="G84" s="6">
        <v>207</v>
      </c>
      <c r="H84" s="6">
        <v>4</v>
      </c>
      <c r="I84" s="6">
        <v>8.5</v>
      </c>
      <c r="J84" s="6">
        <v>4.18</v>
      </c>
    </row>
    <row r="85" spans="2:10">
      <c r="B85" s="6">
        <v>102</v>
      </c>
      <c r="C85" s="6">
        <v>22</v>
      </c>
      <c r="D85" s="29" t="s">
        <v>89</v>
      </c>
      <c r="E85" s="29" t="s">
        <v>11</v>
      </c>
      <c r="F85" s="6">
        <v>24</v>
      </c>
      <c r="G85" s="6">
        <v>211</v>
      </c>
      <c r="H85" s="6">
        <v>15</v>
      </c>
      <c r="I85" s="6">
        <v>7.3</v>
      </c>
      <c r="J85" s="6">
        <v>3.3</v>
      </c>
    </row>
    <row r="86" spans="2:10">
      <c r="B86" s="6">
        <v>102</v>
      </c>
      <c r="C86" s="6">
        <v>23</v>
      </c>
      <c r="D86" s="29" t="s">
        <v>90</v>
      </c>
      <c r="E86" s="29" t="s">
        <v>11</v>
      </c>
      <c r="F86" s="6">
        <v>14</v>
      </c>
      <c r="G86" s="6">
        <v>267</v>
      </c>
      <c r="H86" s="6">
        <v>26</v>
      </c>
      <c r="I86" s="6">
        <v>7</v>
      </c>
      <c r="J86" s="6">
        <v>3.28</v>
      </c>
    </row>
    <row r="87" spans="2:10">
      <c r="B87" s="6">
        <v>102</v>
      </c>
      <c r="C87" s="6">
        <v>24</v>
      </c>
      <c r="D87" s="29" t="s">
        <v>91</v>
      </c>
      <c r="E87" s="29" t="s">
        <v>11</v>
      </c>
      <c r="F87" s="6">
        <v>18</v>
      </c>
      <c r="G87" s="6">
        <v>221</v>
      </c>
      <c r="H87" s="6">
        <v>6</v>
      </c>
      <c r="I87" s="6">
        <v>7.5</v>
      </c>
      <c r="J87" s="6">
        <v>3.32</v>
      </c>
    </row>
    <row r="88" spans="2:10">
      <c r="B88" s="6">
        <v>102</v>
      </c>
      <c r="C88" s="6">
        <v>25</v>
      </c>
      <c r="D88" s="29" t="s">
        <v>92</v>
      </c>
      <c r="E88" s="29" t="s">
        <v>11</v>
      </c>
      <c r="F88" s="6">
        <v>16</v>
      </c>
      <c r="G88" s="6">
        <v>245</v>
      </c>
      <c r="H88" s="6">
        <v>17</v>
      </c>
      <c r="I88" s="6">
        <v>7.2</v>
      </c>
      <c r="J88" s="6">
        <v>3.28</v>
      </c>
    </row>
    <row r="89" spans="2:10">
      <c r="B89" s="6">
        <v>102</v>
      </c>
      <c r="C89" s="6">
        <v>26</v>
      </c>
      <c r="D89" s="29" t="s">
        <v>93</v>
      </c>
      <c r="E89" s="29" t="s">
        <v>11</v>
      </c>
      <c r="F89" s="6">
        <v>9.5</v>
      </c>
      <c r="G89" s="6">
        <v>217</v>
      </c>
      <c r="H89" s="6">
        <v>6</v>
      </c>
      <c r="I89" s="6">
        <v>7.4</v>
      </c>
      <c r="J89" s="6">
        <v>3.47</v>
      </c>
    </row>
    <row r="90" spans="2:10">
      <c r="B90" s="6">
        <v>102</v>
      </c>
      <c r="C90" s="6">
        <v>27</v>
      </c>
      <c r="D90" s="29" t="s">
        <v>94</v>
      </c>
      <c r="E90" s="29" t="s">
        <v>11</v>
      </c>
      <c r="F90" s="6">
        <v>15</v>
      </c>
      <c r="G90" s="6">
        <v>245</v>
      </c>
      <c r="H90" s="6">
        <v>16</v>
      </c>
      <c r="I90" s="6">
        <v>6.6</v>
      </c>
      <c r="J90" s="6">
        <v>3.41</v>
      </c>
    </row>
    <row r="91" spans="2:10">
      <c r="B91" s="6">
        <v>102</v>
      </c>
      <c r="C91" s="6">
        <v>28</v>
      </c>
      <c r="D91" s="29" t="s">
        <v>95</v>
      </c>
      <c r="E91" s="29" t="s">
        <v>11</v>
      </c>
      <c r="F91" s="6">
        <v>14</v>
      </c>
      <c r="G91" s="6">
        <v>188</v>
      </c>
      <c r="H91" s="6">
        <v>9</v>
      </c>
      <c r="I91" s="6">
        <v>7.6</v>
      </c>
      <c r="J91" s="6">
        <v>4.11</v>
      </c>
    </row>
    <row r="92" spans="2:10">
      <c r="B92" s="6">
        <v>102</v>
      </c>
      <c r="C92" s="6">
        <v>29</v>
      </c>
      <c r="D92" s="29" t="s">
        <v>96</v>
      </c>
      <c r="E92" s="29" t="s">
        <v>11</v>
      </c>
      <c r="F92" s="6">
        <v>20.5</v>
      </c>
      <c r="G92" s="6">
        <v>237</v>
      </c>
      <c r="H92" s="6">
        <v>4</v>
      </c>
      <c r="I92" s="6">
        <v>2.3</v>
      </c>
      <c r="J92" s="6">
        <v>3.42</v>
      </c>
    </row>
    <row r="93" spans="2:10">
      <c r="B93" s="6">
        <v>102</v>
      </c>
      <c r="C93" s="6">
        <v>30</v>
      </c>
      <c r="D93" s="29" t="s">
        <v>97</v>
      </c>
      <c r="E93" s="29" t="s">
        <v>11</v>
      </c>
      <c r="F93" s="6">
        <v>15</v>
      </c>
      <c r="G93" s="6">
        <v>233</v>
      </c>
      <c r="H93" s="6">
        <v>8</v>
      </c>
      <c r="J93" s="6">
        <v>3.14</v>
      </c>
    </row>
    <row r="94" spans="2:10">
      <c r="B94" s="6">
        <v>102</v>
      </c>
      <c r="C94" s="6">
        <v>31</v>
      </c>
      <c r="D94" s="29" t="s">
        <v>98</v>
      </c>
      <c r="E94" s="29" t="s">
        <v>11</v>
      </c>
      <c r="F94" s="6">
        <v>10</v>
      </c>
      <c r="G94" s="6">
        <v>209</v>
      </c>
      <c r="H94" s="6">
        <v>16</v>
      </c>
      <c r="I94" s="6">
        <v>7</v>
      </c>
      <c r="J94" s="6">
        <v>4.03</v>
      </c>
    </row>
    <row r="96" s="3" customFormat="1" spans="1:11">
      <c r="A96" s="58" t="s">
        <v>99</v>
      </c>
      <c r="B96" s="30" t="s">
        <v>1</v>
      </c>
      <c r="C96" s="31" t="s">
        <v>2</v>
      </c>
      <c r="D96" s="32" t="s">
        <v>3</v>
      </c>
      <c r="E96" s="32" t="s">
        <v>4</v>
      </c>
      <c r="F96" s="33" t="s">
        <v>5</v>
      </c>
      <c r="G96" s="33" t="s">
        <v>6</v>
      </c>
      <c r="H96" s="33" t="s">
        <v>7</v>
      </c>
      <c r="I96" s="33">
        <v>50</v>
      </c>
      <c r="J96" s="33" t="s">
        <v>8</v>
      </c>
      <c r="K96" s="31" t="s">
        <v>9</v>
      </c>
    </row>
    <row r="97" spans="2:11">
      <c r="B97" s="6">
        <v>102</v>
      </c>
      <c r="C97" s="6">
        <v>32</v>
      </c>
      <c r="D97" s="39" t="s">
        <v>100</v>
      </c>
      <c r="E97" s="29" t="s">
        <v>46</v>
      </c>
      <c r="K97" s="6" t="s">
        <v>84</v>
      </c>
    </row>
    <row r="98" spans="2:10">
      <c r="B98" s="6">
        <v>102</v>
      </c>
      <c r="C98" s="6">
        <v>33</v>
      </c>
      <c r="D98" s="29" t="s">
        <v>101</v>
      </c>
      <c r="E98" s="29" t="s">
        <v>46</v>
      </c>
      <c r="F98" s="6">
        <v>16</v>
      </c>
      <c r="G98" s="6">
        <v>185</v>
      </c>
      <c r="H98" s="6">
        <v>49</v>
      </c>
      <c r="I98" s="6">
        <v>8.4</v>
      </c>
      <c r="J98" s="6">
        <v>3.15</v>
      </c>
    </row>
    <row r="99" spans="2:10">
      <c r="B99" s="6">
        <v>102</v>
      </c>
      <c r="C99" s="6">
        <v>34</v>
      </c>
      <c r="D99" s="29" t="s">
        <v>102</v>
      </c>
      <c r="E99" s="29" t="s">
        <v>46</v>
      </c>
      <c r="F99" s="6">
        <v>27</v>
      </c>
      <c r="G99" s="6">
        <v>214</v>
      </c>
      <c r="H99" s="6">
        <v>51</v>
      </c>
      <c r="I99" s="6">
        <v>8.6</v>
      </c>
      <c r="J99" s="6">
        <v>3.23</v>
      </c>
    </row>
    <row r="100" spans="2:10">
      <c r="B100" s="6">
        <v>102</v>
      </c>
      <c r="C100" s="6">
        <v>35</v>
      </c>
      <c r="D100" s="29" t="s">
        <v>103</v>
      </c>
      <c r="E100" s="29" t="s">
        <v>46</v>
      </c>
      <c r="F100" s="6">
        <v>6.4</v>
      </c>
      <c r="G100" s="6">
        <v>178</v>
      </c>
      <c r="H100" s="6">
        <v>41</v>
      </c>
      <c r="I100" s="6">
        <v>9.4</v>
      </c>
      <c r="J100" s="6">
        <v>3.49</v>
      </c>
    </row>
    <row r="101" spans="2:10">
      <c r="B101" s="6">
        <v>102</v>
      </c>
      <c r="C101" s="6">
        <v>36</v>
      </c>
      <c r="D101" s="29" t="s">
        <v>104</v>
      </c>
      <c r="E101" s="29" t="s">
        <v>46</v>
      </c>
      <c r="F101" s="6">
        <v>17.5</v>
      </c>
      <c r="G101" s="6">
        <v>210</v>
      </c>
      <c r="H101" s="6">
        <v>50</v>
      </c>
      <c r="J101" s="6">
        <v>3.1</v>
      </c>
    </row>
    <row r="102" spans="2:10">
      <c r="B102" s="6">
        <v>102</v>
      </c>
      <c r="C102" s="6">
        <v>37</v>
      </c>
      <c r="D102" s="29" t="s">
        <v>105</v>
      </c>
      <c r="E102" s="29" t="s">
        <v>46</v>
      </c>
      <c r="F102" s="6">
        <v>15.2</v>
      </c>
      <c r="G102" s="6">
        <v>210</v>
      </c>
      <c r="H102" s="6">
        <v>50</v>
      </c>
      <c r="I102" s="6">
        <v>7.9</v>
      </c>
      <c r="J102" s="6">
        <v>3.3</v>
      </c>
    </row>
    <row r="103" spans="2:10">
      <c r="B103" s="6">
        <v>102</v>
      </c>
      <c r="C103" s="6">
        <v>38</v>
      </c>
      <c r="D103" s="29" t="s">
        <v>106</v>
      </c>
      <c r="E103" s="29" t="s">
        <v>46</v>
      </c>
      <c r="F103" s="6">
        <v>17.5</v>
      </c>
      <c r="G103" s="6">
        <v>176</v>
      </c>
      <c r="H103" s="6">
        <v>55</v>
      </c>
      <c r="I103" s="6">
        <v>8.7</v>
      </c>
      <c r="J103" s="6">
        <v>3.09</v>
      </c>
    </row>
    <row r="104" spans="2:10">
      <c r="B104" s="6">
        <v>102</v>
      </c>
      <c r="C104" s="6">
        <v>39</v>
      </c>
      <c r="D104" s="29" t="s">
        <v>107</v>
      </c>
      <c r="E104" s="29" t="s">
        <v>46</v>
      </c>
      <c r="F104" s="6">
        <v>27</v>
      </c>
      <c r="G104" s="6">
        <v>155</v>
      </c>
      <c r="H104" s="6">
        <v>34</v>
      </c>
      <c r="I104" s="6">
        <v>9.4</v>
      </c>
      <c r="J104" s="6">
        <v>3.48</v>
      </c>
    </row>
    <row r="106" s="3" customFormat="1" spans="1:11">
      <c r="A106" s="58" t="s">
        <v>108</v>
      </c>
      <c r="B106" s="30" t="s">
        <v>1</v>
      </c>
      <c r="C106" s="31" t="s">
        <v>2</v>
      </c>
      <c r="D106" s="32" t="s">
        <v>3</v>
      </c>
      <c r="E106" s="32" t="s">
        <v>4</v>
      </c>
      <c r="F106" s="33" t="s">
        <v>5</v>
      </c>
      <c r="G106" s="33" t="s">
        <v>6</v>
      </c>
      <c r="H106" s="33" t="s">
        <v>7</v>
      </c>
      <c r="I106" s="33">
        <v>50</v>
      </c>
      <c r="J106" s="33" t="s">
        <v>8</v>
      </c>
      <c r="K106" s="31" t="s">
        <v>9</v>
      </c>
    </row>
    <row r="107" spans="2:10">
      <c r="B107" s="6">
        <v>102</v>
      </c>
      <c r="C107" s="6">
        <v>40</v>
      </c>
      <c r="D107" s="39" t="s">
        <v>109</v>
      </c>
      <c r="E107" s="29" t="s">
        <v>46</v>
      </c>
      <c r="F107" s="6">
        <v>22</v>
      </c>
      <c r="G107" s="6">
        <v>200</v>
      </c>
      <c r="H107" s="6">
        <v>44</v>
      </c>
      <c r="I107" s="6">
        <v>7.9</v>
      </c>
      <c r="J107" s="6">
        <v>3.31</v>
      </c>
    </row>
    <row r="108" spans="2:10">
      <c r="B108" s="6">
        <v>102</v>
      </c>
      <c r="C108" s="6">
        <v>41</v>
      </c>
      <c r="D108" s="29" t="s">
        <v>110</v>
      </c>
      <c r="E108" s="29" t="s">
        <v>46</v>
      </c>
      <c r="F108" s="6">
        <v>4</v>
      </c>
      <c r="G108" s="6">
        <v>165</v>
      </c>
      <c r="H108" s="6">
        <v>49</v>
      </c>
      <c r="I108" s="6">
        <v>10.5</v>
      </c>
      <c r="J108" s="6">
        <v>4.07</v>
      </c>
    </row>
    <row r="109" spans="2:10">
      <c r="B109" s="6">
        <v>102</v>
      </c>
      <c r="C109" s="6">
        <v>42</v>
      </c>
      <c r="D109" s="29" t="s">
        <v>111</v>
      </c>
      <c r="E109" s="29" t="s">
        <v>46</v>
      </c>
      <c r="F109" s="6">
        <v>22.6</v>
      </c>
      <c r="G109" s="6">
        <v>170</v>
      </c>
      <c r="H109" s="6">
        <v>49</v>
      </c>
      <c r="I109" s="6">
        <v>8.8</v>
      </c>
      <c r="J109" s="6">
        <v>3.32</v>
      </c>
    </row>
    <row r="110" spans="2:10">
      <c r="B110" s="6">
        <v>102</v>
      </c>
      <c r="C110" s="6">
        <v>43</v>
      </c>
      <c r="D110" s="29" t="s">
        <v>112</v>
      </c>
      <c r="E110" s="29" t="s">
        <v>46</v>
      </c>
      <c r="F110" s="6">
        <v>9.5</v>
      </c>
      <c r="G110" s="6">
        <v>180</v>
      </c>
      <c r="H110" s="6">
        <v>46</v>
      </c>
      <c r="I110" s="6">
        <v>8.8</v>
      </c>
      <c r="J110" s="6">
        <v>3.43</v>
      </c>
    </row>
    <row r="111" spans="2:10">
      <c r="B111" s="6">
        <v>102</v>
      </c>
      <c r="C111" s="6">
        <v>44</v>
      </c>
      <c r="D111" s="29" t="s">
        <v>113</v>
      </c>
      <c r="E111" s="29" t="s">
        <v>46</v>
      </c>
      <c r="F111" s="6">
        <v>25.7</v>
      </c>
      <c r="G111" s="6">
        <v>185</v>
      </c>
      <c r="H111" s="6">
        <v>46</v>
      </c>
      <c r="I111" s="6">
        <v>8</v>
      </c>
      <c r="J111" s="6">
        <v>3.25</v>
      </c>
    </row>
    <row r="112" spans="2:10">
      <c r="B112" s="6">
        <v>102</v>
      </c>
      <c r="C112" s="6">
        <v>45</v>
      </c>
      <c r="D112" s="29" t="s">
        <v>114</v>
      </c>
      <c r="E112" s="29" t="s">
        <v>46</v>
      </c>
      <c r="F112" s="6">
        <v>23.6</v>
      </c>
      <c r="G112" s="6">
        <v>192</v>
      </c>
      <c r="H112" s="6">
        <v>52</v>
      </c>
      <c r="I112" s="6">
        <v>8.1</v>
      </c>
      <c r="J112" s="6">
        <v>3.29</v>
      </c>
    </row>
    <row r="113" spans="2:10">
      <c r="B113" s="6">
        <v>102</v>
      </c>
      <c r="C113" s="6">
        <v>46</v>
      </c>
      <c r="D113" s="29" t="s">
        <v>115</v>
      </c>
      <c r="E113" s="29" t="s">
        <v>46</v>
      </c>
      <c r="F113" s="6">
        <v>6</v>
      </c>
      <c r="G113" s="6">
        <v>175</v>
      </c>
      <c r="H113" s="6">
        <v>37</v>
      </c>
      <c r="I113" s="6">
        <v>8.7</v>
      </c>
      <c r="J113" s="6">
        <v>3.44</v>
      </c>
    </row>
    <row r="118" s="3" customFormat="1" spans="1:11">
      <c r="A118" s="58" t="s">
        <v>116</v>
      </c>
      <c r="B118" s="30" t="s">
        <v>1</v>
      </c>
      <c r="C118" s="31" t="s">
        <v>2</v>
      </c>
      <c r="D118" s="32" t="s">
        <v>3</v>
      </c>
      <c r="E118" s="32" t="s">
        <v>4</v>
      </c>
      <c r="F118" s="33" t="s">
        <v>5</v>
      </c>
      <c r="G118" s="33" t="s">
        <v>6</v>
      </c>
      <c r="H118" s="33" t="s">
        <v>7</v>
      </c>
      <c r="I118" s="33">
        <v>50</v>
      </c>
      <c r="J118" s="33" t="s">
        <v>8</v>
      </c>
      <c r="K118" s="31" t="s">
        <v>9</v>
      </c>
    </row>
    <row r="119" spans="2:10">
      <c r="B119" s="6">
        <v>103</v>
      </c>
      <c r="C119" s="6">
        <v>1</v>
      </c>
      <c r="D119" s="39" t="s">
        <v>117</v>
      </c>
      <c r="E119" s="29" t="s">
        <v>11</v>
      </c>
      <c r="F119" s="6">
        <v>16</v>
      </c>
      <c r="G119" s="6">
        <v>236</v>
      </c>
      <c r="H119" s="6">
        <v>17</v>
      </c>
      <c r="I119" s="6">
        <v>7</v>
      </c>
      <c r="J119" s="6">
        <v>3.32</v>
      </c>
    </row>
    <row r="120" spans="2:10">
      <c r="B120" s="6">
        <v>103</v>
      </c>
      <c r="C120" s="6">
        <v>2</v>
      </c>
      <c r="D120" s="29" t="s">
        <v>118</v>
      </c>
      <c r="E120" s="29" t="s">
        <v>11</v>
      </c>
      <c r="F120" s="6">
        <v>7</v>
      </c>
      <c r="G120" s="6">
        <v>203</v>
      </c>
      <c r="H120" s="6">
        <v>11</v>
      </c>
      <c r="I120" s="6">
        <v>7.6</v>
      </c>
      <c r="J120" s="6">
        <v>4.19</v>
      </c>
    </row>
    <row r="121" spans="2:10">
      <c r="B121" s="6">
        <v>103</v>
      </c>
      <c r="C121" s="6">
        <v>3</v>
      </c>
      <c r="D121" s="29" t="s">
        <v>119</v>
      </c>
      <c r="E121" s="29" t="s">
        <v>11</v>
      </c>
      <c r="F121" s="6">
        <v>9</v>
      </c>
      <c r="G121" s="6">
        <v>213</v>
      </c>
      <c r="H121" s="6">
        <v>4</v>
      </c>
      <c r="J121" s="6">
        <v>4.27</v>
      </c>
    </row>
    <row r="122" spans="2:11">
      <c r="B122" s="6">
        <v>103</v>
      </c>
      <c r="C122" s="6">
        <v>4</v>
      </c>
      <c r="D122" s="29" t="s">
        <v>120</v>
      </c>
      <c r="E122" s="29" t="s">
        <v>11</v>
      </c>
      <c r="K122" s="6" t="s">
        <v>84</v>
      </c>
    </row>
    <row r="123" spans="2:10">
      <c r="B123" s="6">
        <v>103</v>
      </c>
      <c r="C123" s="6">
        <v>5</v>
      </c>
      <c r="D123" s="29" t="s">
        <v>121</v>
      </c>
      <c r="E123" s="29" t="s">
        <v>11</v>
      </c>
      <c r="F123" s="6">
        <v>16</v>
      </c>
      <c r="G123" s="6">
        <v>250</v>
      </c>
      <c r="H123" s="6">
        <v>18</v>
      </c>
      <c r="I123" s="6">
        <v>6.4</v>
      </c>
      <c r="J123" s="6">
        <v>3.29</v>
      </c>
    </row>
    <row r="124" spans="2:10">
      <c r="B124" s="6">
        <v>103</v>
      </c>
      <c r="C124" s="6">
        <v>6</v>
      </c>
      <c r="D124" s="29" t="s">
        <v>122</v>
      </c>
      <c r="E124" s="29" t="s">
        <v>11</v>
      </c>
      <c r="F124" s="6">
        <v>8.5</v>
      </c>
      <c r="G124" s="6">
        <v>220</v>
      </c>
      <c r="H124" s="6">
        <v>3</v>
      </c>
      <c r="I124" s="6">
        <v>7.1</v>
      </c>
      <c r="J124" s="6">
        <v>4.01</v>
      </c>
    </row>
    <row r="125" spans="2:10">
      <c r="B125" s="6">
        <v>103</v>
      </c>
      <c r="C125" s="6">
        <v>7</v>
      </c>
      <c r="D125" s="29" t="s">
        <v>123</v>
      </c>
      <c r="E125" s="29" t="s">
        <v>11</v>
      </c>
      <c r="F125" s="6">
        <v>9.5</v>
      </c>
      <c r="G125" s="6">
        <v>240</v>
      </c>
      <c r="H125" s="6">
        <v>20</v>
      </c>
      <c r="I125" s="6">
        <v>6.8</v>
      </c>
      <c r="J125" s="6">
        <v>3.36</v>
      </c>
    </row>
    <row r="126" spans="2:10">
      <c r="B126" s="6">
        <v>103</v>
      </c>
      <c r="C126" s="6">
        <v>8</v>
      </c>
      <c r="D126" s="29" t="s">
        <v>124</v>
      </c>
      <c r="E126" s="29" t="s">
        <v>11</v>
      </c>
      <c r="F126" s="6">
        <v>14</v>
      </c>
      <c r="G126" s="6">
        <v>235</v>
      </c>
      <c r="H126" s="6">
        <v>16</v>
      </c>
      <c r="I126" s="6">
        <v>7.4</v>
      </c>
      <c r="J126" s="6">
        <v>4.24</v>
      </c>
    </row>
    <row r="127" spans="2:10">
      <c r="B127" s="6">
        <v>103</v>
      </c>
      <c r="C127" s="6">
        <v>9</v>
      </c>
      <c r="D127" s="29" t="s">
        <v>125</v>
      </c>
      <c r="E127" s="29" t="s">
        <v>11</v>
      </c>
      <c r="F127" s="6">
        <v>18.5</v>
      </c>
      <c r="G127" s="6">
        <v>245</v>
      </c>
      <c r="H127" s="6">
        <v>21</v>
      </c>
      <c r="I127" s="6">
        <v>6.7</v>
      </c>
      <c r="J127" s="6">
        <v>3.14</v>
      </c>
    </row>
    <row r="128" spans="2:11">
      <c r="B128" s="6">
        <v>103</v>
      </c>
      <c r="C128" s="6">
        <v>10</v>
      </c>
      <c r="D128" s="29" t="s">
        <v>126</v>
      </c>
      <c r="E128" s="29" t="s">
        <v>11</v>
      </c>
      <c r="K128" s="6" t="s">
        <v>84</v>
      </c>
    </row>
    <row r="130" s="3" customFormat="1" spans="1:11">
      <c r="A130" s="58" t="s">
        <v>127</v>
      </c>
      <c r="B130" s="30" t="s">
        <v>1</v>
      </c>
      <c r="C130" s="31" t="s">
        <v>2</v>
      </c>
      <c r="D130" s="32" t="s">
        <v>3</v>
      </c>
      <c r="E130" s="32" t="s">
        <v>4</v>
      </c>
      <c r="F130" s="33" t="s">
        <v>5</v>
      </c>
      <c r="G130" s="33" t="s">
        <v>6</v>
      </c>
      <c r="H130" s="33" t="s">
        <v>7</v>
      </c>
      <c r="I130" s="33">
        <v>50</v>
      </c>
      <c r="J130" s="33" t="s">
        <v>8</v>
      </c>
      <c r="K130" s="31" t="s">
        <v>9</v>
      </c>
    </row>
    <row r="131" spans="2:10">
      <c r="B131" s="6">
        <v>103</v>
      </c>
      <c r="C131" s="6">
        <v>11</v>
      </c>
      <c r="D131" s="39" t="s">
        <v>128</v>
      </c>
      <c r="E131" s="29" t="s">
        <v>11</v>
      </c>
      <c r="F131" s="6">
        <v>24</v>
      </c>
      <c r="G131" s="6">
        <v>263</v>
      </c>
      <c r="H131" s="6">
        <v>24</v>
      </c>
      <c r="I131" s="6">
        <v>7</v>
      </c>
      <c r="J131" s="6">
        <v>3.37</v>
      </c>
    </row>
    <row r="132" spans="2:10">
      <c r="B132" s="6">
        <v>103</v>
      </c>
      <c r="C132" s="6">
        <v>12</v>
      </c>
      <c r="D132" s="29" t="s">
        <v>129</v>
      </c>
      <c r="E132" s="29" t="s">
        <v>11</v>
      </c>
      <c r="F132" s="6">
        <v>21.2</v>
      </c>
      <c r="G132" s="6">
        <v>300</v>
      </c>
      <c r="H132" s="6">
        <v>20</v>
      </c>
      <c r="I132" s="6">
        <v>6.6</v>
      </c>
      <c r="J132" s="6">
        <v>3.17</v>
      </c>
    </row>
    <row r="133" spans="2:10">
      <c r="B133" s="6">
        <v>103</v>
      </c>
      <c r="C133" s="6">
        <v>13</v>
      </c>
      <c r="D133" s="29" t="s">
        <v>130</v>
      </c>
      <c r="E133" s="29" t="s">
        <v>11</v>
      </c>
      <c r="F133" s="6">
        <v>8</v>
      </c>
      <c r="G133" s="6">
        <v>205</v>
      </c>
      <c r="H133" s="6">
        <v>13</v>
      </c>
      <c r="I133" s="6">
        <v>8</v>
      </c>
      <c r="J133" s="6">
        <v>4.16</v>
      </c>
    </row>
    <row r="134" spans="2:10">
      <c r="B134" s="6">
        <v>103</v>
      </c>
      <c r="C134" s="6">
        <v>14</v>
      </c>
      <c r="D134" s="29" t="s">
        <v>131</v>
      </c>
      <c r="E134" s="29" t="s">
        <v>11</v>
      </c>
      <c r="F134" s="6">
        <v>15</v>
      </c>
      <c r="G134" s="6">
        <v>230</v>
      </c>
      <c r="H134" s="6">
        <v>12</v>
      </c>
      <c r="I134" s="6">
        <v>7.3</v>
      </c>
      <c r="J134" s="6">
        <v>3.22</v>
      </c>
    </row>
    <row r="135" spans="2:10">
      <c r="B135" s="6">
        <v>103</v>
      </c>
      <c r="C135" s="6">
        <v>15</v>
      </c>
      <c r="D135" s="29" t="s">
        <v>132</v>
      </c>
      <c r="E135" s="29" t="s">
        <v>11</v>
      </c>
      <c r="F135" s="6">
        <v>11.4</v>
      </c>
      <c r="G135" s="6">
        <v>223</v>
      </c>
      <c r="H135" s="6">
        <v>9</v>
      </c>
      <c r="I135" s="6">
        <v>7.2</v>
      </c>
      <c r="J135" s="6">
        <v>3.33</v>
      </c>
    </row>
    <row r="136" spans="2:10">
      <c r="B136" s="6">
        <v>103</v>
      </c>
      <c r="C136" s="6">
        <v>16</v>
      </c>
      <c r="D136" s="29" t="s">
        <v>133</v>
      </c>
      <c r="E136" s="29" t="s">
        <v>11</v>
      </c>
      <c r="F136" s="6">
        <v>15.5</v>
      </c>
      <c r="G136" s="6">
        <v>246</v>
      </c>
      <c r="H136" s="6">
        <v>16</v>
      </c>
      <c r="I136" s="6">
        <v>7.2</v>
      </c>
      <c r="J136" s="6">
        <v>3.57</v>
      </c>
    </row>
    <row r="137" spans="2:10">
      <c r="B137" s="6">
        <v>103</v>
      </c>
      <c r="C137" s="6">
        <v>17</v>
      </c>
      <c r="D137" s="29" t="s">
        <v>134</v>
      </c>
      <c r="E137" s="29" t="s">
        <v>11</v>
      </c>
      <c r="F137" s="6">
        <v>8</v>
      </c>
      <c r="G137" s="6">
        <v>217</v>
      </c>
      <c r="H137" s="6">
        <v>3</v>
      </c>
      <c r="I137" s="6">
        <v>7.5</v>
      </c>
      <c r="J137" s="6">
        <v>4.16</v>
      </c>
    </row>
    <row r="138" spans="2:10">
      <c r="B138" s="6">
        <v>103</v>
      </c>
      <c r="C138" s="6">
        <v>18</v>
      </c>
      <c r="D138" s="29" t="s">
        <v>135</v>
      </c>
      <c r="E138" s="29" t="s">
        <v>11</v>
      </c>
      <c r="F138" s="6">
        <v>-1</v>
      </c>
      <c r="G138" s="6">
        <v>210</v>
      </c>
      <c r="H138" s="6">
        <v>12</v>
      </c>
      <c r="I138" s="6">
        <v>8</v>
      </c>
      <c r="J138" s="6">
        <v>4.3</v>
      </c>
    </row>
    <row r="139" spans="2:10">
      <c r="B139" s="6">
        <v>103</v>
      </c>
      <c r="C139" s="6">
        <v>19</v>
      </c>
      <c r="D139" s="29" t="s">
        <v>136</v>
      </c>
      <c r="E139" s="29" t="s">
        <v>11</v>
      </c>
      <c r="F139" s="6">
        <v>2.5</v>
      </c>
      <c r="G139" s="6">
        <v>235</v>
      </c>
      <c r="H139" s="6">
        <v>14</v>
      </c>
      <c r="I139" s="6">
        <v>7.5</v>
      </c>
      <c r="J139" s="6">
        <v>3.46</v>
      </c>
    </row>
    <row r="141" s="3" customFormat="1" spans="1:11">
      <c r="A141" s="58" t="s">
        <v>137</v>
      </c>
      <c r="B141" s="30" t="s">
        <v>1</v>
      </c>
      <c r="C141" s="31" t="s">
        <v>2</v>
      </c>
      <c r="D141" s="32" t="s">
        <v>3</v>
      </c>
      <c r="E141" s="32" t="s">
        <v>4</v>
      </c>
      <c r="F141" s="33" t="s">
        <v>5</v>
      </c>
      <c r="G141" s="33" t="s">
        <v>6</v>
      </c>
      <c r="H141" s="33" t="s">
        <v>7</v>
      </c>
      <c r="I141" s="33">
        <v>50</v>
      </c>
      <c r="J141" s="33" t="s">
        <v>8</v>
      </c>
      <c r="K141" s="31" t="s">
        <v>9</v>
      </c>
    </row>
    <row r="142" spans="2:10">
      <c r="B142" s="6">
        <v>103</v>
      </c>
      <c r="C142" s="6">
        <v>20</v>
      </c>
      <c r="D142" s="39" t="s">
        <v>138</v>
      </c>
      <c r="E142" s="29" t="s">
        <v>11</v>
      </c>
      <c r="F142" s="6">
        <v>-1</v>
      </c>
      <c r="G142" s="6">
        <v>233</v>
      </c>
      <c r="H142" s="6">
        <v>10</v>
      </c>
      <c r="I142" s="6">
        <v>7.1</v>
      </c>
      <c r="J142" s="6">
        <v>3.33</v>
      </c>
    </row>
    <row r="143" spans="2:10">
      <c r="B143" s="6">
        <v>103</v>
      </c>
      <c r="C143" s="6">
        <v>21</v>
      </c>
      <c r="D143" s="29" t="s">
        <v>139</v>
      </c>
      <c r="E143" s="29" t="s">
        <v>11</v>
      </c>
      <c r="F143" s="6">
        <v>18</v>
      </c>
      <c r="G143" s="6">
        <v>232</v>
      </c>
      <c r="H143" s="6">
        <v>21</v>
      </c>
      <c r="I143" s="6">
        <v>7.3</v>
      </c>
      <c r="J143" s="6">
        <v>3.4</v>
      </c>
    </row>
    <row r="144" spans="2:10">
      <c r="B144" s="6">
        <v>103</v>
      </c>
      <c r="C144" s="6">
        <v>22</v>
      </c>
      <c r="D144" s="29" t="s">
        <v>140</v>
      </c>
      <c r="E144" s="29" t="s">
        <v>11</v>
      </c>
      <c r="F144" s="6">
        <v>-3</v>
      </c>
      <c r="G144" s="6">
        <v>204</v>
      </c>
      <c r="H144" s="6">
        <v>0</v>
      </c>
      <c r="I144" s="6">
        <v>7.7</v>
      </c>
      <c r="J144" s="6">
        <v>3.51</v>
      </c>
    </row>
    <row r="145" spans="2:10">
      <c r="B145" s="6">
        <v>103</v>
      </c>
      <c r="C145" s="6">
        <v>23</v>
      </c>
      <c r="D145" s="29" t="s">
        <v>141</v>
      </c>
      <c r="E145" s="29" t="s">
        <v>11</v>
      </c>
      <c r="F145" s="6">
        <v>19</v>
      </c>
      <c r="G145" s="6">
        <v>227</v>
      </c>
      <c r="H145" s="6">
        <v>13</v>
      </c>
      <c r="J145" s="6">
        <v>3.58</v>
      </c>
    </row>
    <row r="146" spans="2:11">
      <c r="B146" s="6">
        <v>103</v>
      </c>
      <c r="C146" s="6">
        <v>24</v>
      </c>
      <c r="D146" s="29" t="s">
        <v>142</v>
      </c>
      <c r="E146" s="29" t="s">
        <v>11</v>
      </c>
      <c r="K146" s="6" t="s">
        <v>84</v>
      </c>
    </row>
    <row r="147" spans="2:10">
      <c r="B147" s="6">
        <v>103</v>
      </c>
      <c r="C147" s="6">
        <v>25</v>
      </c>
      <c r="D147" s="29" t="s">
        <v>143</v>
      </c>
      <c r="E147" s="29" t="s">
        <v>11</v>
      </c>
      <c r="F147" s="6">
        <v>-1.5</v>
      </c>
      <c r="G147" s="6">
        <v>240</v>
      </c>
      <c r="H147" s="6">
        <v>11</v>
      </c>
      <c r="I147" s="6">
        <v>6.8</v>
      </c>
      <c r="J147" s="6">
        <v>3.25</v>
      </c>
    </row>
    <row r="148" spans="2:10">
      <c r="B148" s="6">
        <v>103</v>
      </c>
      <c r="C148" s="6">
        <v>26</v>
      </c>
      <c r="D148" s="29" t="s">
        <v>144</v>
      </c>
      <c r="E148" s="29" t="s">
        <v>11</v>
      </c>
      <c r="F148" s="6">
        <v>13</v>
      </c>
      <c r="G148" s="6">
        <v>210</v>
      </c>
      <c r="H148" s="6">
        <v>1</v>
      </c>
      <c r="I148" s="6">
        <v>7.7</v>
      </c>
      <c r="J148" s="6">
        <v>4.02</v>
      </c>
    </row>
    <row r="149" spans="2:10">
      <c r="B149" s="6">
        <v>103</v>
      </c>
      <c r="C149" s="6">
        <v>27</v>
      </c>
      <c r="D149" s="29" t="s">
        <v>145</v>
      </c>
      <c r="E149" s="29" t="s">
        <v>11</v>
      </c>
      <c r="F149" s="6">
        <v>2.5</v>
      </c>
      <c r="G149" s="6">
        <v>260</v>
      </c>
      <c r="H149" s="6">
        <v>11</v>
      </c>
      <c r="I149" s="6">
        <v>7.1</v>
      </c>
      <c r="J149" s="6">
        <v>3.48</v>
      </c>
    </row>
    <row r="150" spans="2:10">
      <c r="B150" s="6">
        <v>103</v>
      </c>
      <c r="C150" s="6">
        <v>28</v>
      </c>
      <c r="D150" s="29" t="s">
        <v>146</v>
      </c>
      <c r="E150" s="29" t="s">
        <v>11</v>
      </c>
      <c r="F150" s="6">
        <v>3</v>
      </c>
      <c r="G150" s="6">
        <v>235</v>
      </c>
      <c r="H150" s="6">
        <v>7</v>
      </c>
      <c r="I150" s="6">
        <v>7.3</v>
      </c>
      <c r="J150" s="6">
        <v>3.53</v>
      </c>
    </row>
    <row r="151" spans="4:5">
      <c r="D151" s="29"/>
      <c r="E151" s="29"/>
    </row>
    <row r="153" s="3" customFormat="1" spans="1:11">
      <c r="A153" s="58" t="s">
        <v>147</v>
      </c>
      <c r="B153" s="30" t="s">
        <v>1</v>
      </c>
      <c r="C153" s="31" t="s">
        <v>2</v>
      </c>
      <c r="D153" s="32" t="s">
        <v>3</v>
      </c>
      <c r="E153" s="32" t="s">
        <v>4</v>
      </c>
      <c r="F153" s="33" t="s">
        <v>5</v>
      </c>
      <c r="G153" s="33" t="s">
        <v>6</v>
      </c>
      <c r="H153" s="33" t="s">
        <v>7</v>
      </c>
      <c r="I153" s="33">
        <v>50</v>
      </c>
      <c r="J153" s="33" t="s">
        <v>8</v>
      </c>
      <c r="K153" s="31" t="s">
        <v>9</v>
      </c>
    </row>
    <row r="154" spans="2:11">
      <c r="B154" s="6">
        <v>103</v>
      </c>
      <c r="C154" s="6">
        <v>29</v>
      </c>
      <c r="D154" s="39" t="s">
        <v>148</v>
      </c>
      <c r="E154" s="29" t="s">
        <v>46</v>
      </c>
      <c r="K154" s="6" t="s">
        <v>84</v>
      </c>
    </row>
    <row r="155" spans="2:10">
      <c r="B155" s="6">
        <v>103</v>
      </c>
      <c r="C155" s="6">
        <v>30</v>
      </c>
      <c r="D155" s="29" t="s">
        <v>149</v>
      </c>
      <c r="E155" s="29" t="s">
        <v>46</v>
      </c>
      <c r="F155" s="6">
        <v>22.7</v>
      </c>
      <c r="G155" s="6">
        <v>175</v>
      </c>
      <c r="H155" s="6">
        <v>50</v>
      </c>
      <c r="I155" s="6">
        <v>8.3</v>
      </c>
      <c r="J155" s="6">
        <v>3.57</v>
      </c>
    </row>
    <row r="156" spans="2:10">
      <c r="B156" s="6">
        <v>103</v>
      </c>
      <c r="C156" s="6">
        <v>31</v>
      </c>
      <c r="D156" s="29" t="s">
        <v>150</v>
      </c>
      <c r="E156" s="29" t="s">
        <v>46</v>
      </c>
      <c r="F156" s="6">
        <v>28</v>
      </c>
      <c r="G156" s="6">
        <v>200</v>
      </c>
      <c r="H156" s="6">
        <v>50</v>
      </c>
      <c r="I156" s="6">
        <v>8.1</v>
      </c>
      <c r="J156" s="6">
        <v>3.3</v>
      </c>
    </row>
    <row r="157" spans="2:10">
      <c r="B157" s="6">
        <v>103</v>
      </c>
      <c r="C157" s="6">
        <v>32</v>
      </c>
      <c r="D157" s="29" t="s">
        <v>151</v>
      </c>
      <c r="E157" s="29" t="s">
        <v>46</v>
      </c>
      <c r="F157" s="6">
        <v>19.4</v>
      </c>
      <c r="G157" s="6">
        <v>185</v>
      </c>
      <c r="H157" s="6">
        <v>40</v>
      </c>
      <c r="J157" s="6">
        <v>3.56</v>
      </c>
    </row>
    <row r="158" spans="2:10">
      <c r="B158" s="6">
        <v>103</v>
      </c>
      <c r="C158" s="6">
        <v>33</v>
      </c>
      <c r="D158" s="29" t="s">
        <v>152</v>
      </c>
      <c r="E158" s="29" t="s">
        <v>46</v>
      </c>
      <c r="F158" s="6">
        <v>14</v>
      </c>
      <c r="G158" s="6">
        <v>168</v>
      </c>
      <c r="H158" s="6">
        <v>47</v>
      </c>
      <c r="I158" s="6">
        <v>8.5</v>
      </c>
      <c r="J158" s="6">
        <v>3.46</v>
      </c>
    </row>
    <row r="159" spans="2:10">
      <c r="B159" s="6">
        <v>103</v>
      </c>
      <c r="C159" s="6">
        <v>34</v>
      </c>
      <c r="D159" s="29" t="s">
        <v>153</v>
      </c>
      <c r="E159" s="29" t="s">
        <v>46</v>
      </c>
      <c r="F159" s="6">
        <v>11</v>
      </c>
      <c r="G159" s="6">
        <v>190</v>
      </c>
      <c r="H159" s="6">
        <v>46</v>
      </c>
      <c r="I159" s="6">
        <v>8.3</v>
      </c>
      <c r="J159" s="6">
        <v>3.27</v>
      </c>
    </row>
    <row r="160" spans="2:11">
      <c r="B160" s="6">
        <v>103</v>
      </c>
      <c r="C160" s="6">
        <v>35</v>
      </c>
      <c r="D160" s="29" t="s">
        <v>154</v>
      </c>
      <c r="E160" s="29" t="s">
        <v>46</v>
      </c>
      <c r="K160" s="6" t="s">
        <v>84</v>
      </c>
    </row>
    <row r="161" spans="2:10">
      <c r="B161" s="6">
        <v>103</v>
      </c>
      <c r="C161" s="6">
        <v>36</v>
      </c>
      <c r="D161" s="29" t="s">
        <v>155</v>
      </c>
      <c r="E161" s="29" t="s">
        <v>46</v>
      </c>
      <c r="F161" s="6">
        <v>19</v>
      </c>
      <c r="G161" s="6">
        <v>181</v>
      </c>
      <c r="H161" s="6">
        <v>43</v>
      </c>
      <c r="I161" s="6">
        <v>8.8</v>
      </c>
      <c r="J161" s="6">
        <v>4.15</v>
      </c>
    </row>
    <row r="162" spans="2:10">
      <c r="B162" s="6">
        <v>103</v>
      </c>
      <c r="C162" s="6">
        <v>37</v>
      </c>
      <c r="D162" s="29" t="s">
        <v>156</v>
      </c>
      <c r="E162" s="29" t="s">
        <v>46</v>
      </c>
      <c r="F162" s="6">
        <v>19</v>
      </c>
      <c r="G162" s="6">
        <v>185</v>
      </c>
      <c r="H162" s="6">
        <v>55</v>
      </c>
      <c r="I162" s="6">
        <v>8</v>
      </c>
      <c r="J162" s="6">
        <v>3.28</v>
      </c>
    </row>
    <row r="163" spans="4:5">
      <c r="D163" s="29"/>
      <c r="E163" s="29"/>
    </row>
    <row r="165" s="3" customFormat="1" spans="1:11">
      <c r="A165" s="58" t="s">
        <v>157</v>
      </c>
      <c r="B165" s="30" t="s">
        <v>1</v>
      </c>
      <c r="C165" s="31" t="s">
        <v>2</v>
      </c>
      <c r="D165" s="32" t="s">
        <v>3</v>
      </c>
      <c r="E165" s="32" t="s">
        <v>4</v>
      </c>
      <c r="F165" s="33" t="s">
        <v>5</v>
      </c>
      <c r="G165" s="33" t="s">
        <v>6</v>
      </c>
      <c r="H165" s="33" t="s">
        <v>7</v>
      </c>
      <c r="I165" s="33">
        <v>50</v>
      </c>
      <c r="J165" s="33" t="s">
        <v>8</v>
      </c>
      <c r="K165" s="31" t="s">
        <v>9</v>
      </c>
    </row>
    <row r="166" spans="2:10">
      <c r="B166" s="6">
        <v>103</v>
      </c>
      <c r="C166" s="6">
        <v>38</v>
      </c>
      <c r="D166" s="39" t="s">
        <v>158</v>
      </c>
      <c r="E166" s="29" t="s">
        <v>46</v>
      </c>
      <c r="F166" s="6">
        <v>12.5</v>
      </c>
      <c r="G166" s="6">
        <v>200</v>
      </c>
      <c r="H166" s="6">
        <v>55</v>
      </c>
      <c r="I166" s="6">
        <v>8.3</v>
      </c>
      <c r="J166" s="6">
        <v>3.27</v>
      </c>
    </row>
    <row r="167" spans="2:11">
      <c r="B167" s="6">
        <v>103</v>
      </c>
      <c r="C167" s="6">
        <v>39</v>
      </c>
      <c r="D167" s="29" t="s">
        <v>159</v>
      </c>
      <c r="E167" s="29" t="s">
        <v>46</v>
      </c>
      <c r="F167" s="6">
        <v>19.5</v>
      </c>
      <c r="G167" s="6">
        <v>165</v>
      </c>
      <c r="H167" s="6">
        <v>41</v>
      </c>
      <c r="I167" s="6">
        <v>9.6</v>
      </c>
      <c r="K167" s="6" t="s">
        <v>84</v>
      </c>
    </row>
    <row r="168" spans="2:10">
      <c r="B168" s="6">
        <v>103</v>
      </c>
      <c r="C168" s="6">
        <v>40</v>
      </c>
      <c r="D168" s="29" t="s">
        <v>160</v>
      </c>
      <c r="E168" s="29" t="s">
        <v>46</v>
      </c>
      <c r="F168" s="6">
        <v>12.5</v>
      </c>
      <c r="G168" s="6">
        <v>164</v>
      </c>
      <c r="H168" s="6">
        <v>48</v>
      </c>
      <c r="I168" s="6">
        <v>8.5</v>
      </c>
      <c r="J168" s="6">
        <v>4</v>
      </c>
    </row>
    <row r="169" spans="2:10">
      <c r="B169" s="6">
        <v>103</v>
      </c>
      <c r="C169" s="6">
        <v>41</v>
      </c>
      <c r="D169" s="29" t="s">
        <v>161</v>
      </c>
      <c r="E169" s="29" t="s">
        <v>46</v>
      </c>
      <c r="F169" s="6">
        <v>24.5</v>
      </c>
      <c r="G169" s="6">
        <v>190</v>
      </c>
      <c r="H169" s="6">
        <v>47</v>
      </c>
      <c r="I169" s="6">
        <v>8.8</v>
      </c>
      <c r="J169" s="6">
        <v>3.31</v>
      </c>
    </row>
    <row r="170" spans="2:10">
      <c r="B170" s="6">
        <v>103</v>
      </c>
      <c r="C170" s="6">
        <v>42</v>
      </c>
      <c r="D170" s="29" t="s">
        <v>162</v>
      </c>
      <c r="E170" s="29" t="s">
        <v>46</v>
      </c>
      <c r="F170" s="6">
        <v>17</v>
      </c>
      <c r="G170" s="6">
        <v>205</v>
      </c>
      <c r="H170" s="6">
        <v>57</v>
      </c>
      <c r="I170" s="6">
        <v>8.5</v>
      </c>
      <c r="J170" s="6">
        <v>3.55</v>
      </c>
    </row>
    <row r="171" spans="2:10">
      <c r="B171" s="6">
        <v>103</v>
      </c>
      <c r="C171" s="6">
        <v>43</v>
      </c>
      <c r="D171" s="29" t="s">
        <v>163</v>
      </c>
      <c r="E171" s="29" t="s">
        <v>46</v>
      </c>
      <c r="F171" s="6">
        <v>21</v>
      </c>
      <c r="G171" s="6">
        <v>155</v>
      </c>
      <c r="H171" s="6">
        <v>51</v>
      </c>
      <c r="I171" s="6">
        <v>9.3</v>
      </c>
      <c r="J171" s="6">
        <v>3.39</v>
      </c>
    </row>
    <row r="172" spans="2:10">
      <c r="B172" s="6">
        <v>103</v>
      </c>
      <c r="C172" s="6">
        <v>44</v>
      </c>
      <c r="D172" s="29" t="s">
        <v>164</v>
      </c>
      <c r="E172" s="29" t="s">
        <v>46</v>
      </c>
      <c r="F172" s="6">
        <v>8</v>
      </c>
      <c r="G172" s="6">
        <v>175</v>
      </c>
      <c r="H172" s="6">
        <v>47</v>
      </c>
      <c r="I172" s="6">
        <v>9.1</v>
      </c>
      <c r="J172" s="6">
        <v>4.05</v>
      </c>
    </row>
    <row r="173" spans="2:10">
      <c r="B173" s="6">
        <v>103</v>
      </c>
      <c r="C173" s="6">
        <v>45</v>
      </c>
      <c r="D173" s="29" t="s">
        <v>165</v>
      </c>
      <c r="E173" s="29" t="s">
        <v>46</v>
      </c>
      <c r="F173" s="6">
        <v>14</v>
      </c>
      <c r="G173" s="6">
        <v>187</v>
      </c>
      <c r="H173" s="6">
        <v>47</v>
      </c>
      <c r="I173" s="6">
        <v>9</v>
      </c>
      <c r="J173" s="6">
        <v>4.01</v>
      </c>
    </row>
    <row r="174" spans="2:10">
      <c r="B174" s="6">
        <v>103</v>
      </c>
      <c r="C174" s="6">
        <v>46</v>
      </c>
      <c r="D174" s="29" t="s">
        <v>166</v>
      </c>
      <c r="E174" s="29" t="s">
        <v>46</v>
      </c>
      <c r="F174" s="6">
        <v>10</v>
      </c>
      <c r="G174" s="6">
        <v>170</v>
      </c>
      <c r="H174" s="6">
        <v>44</v>
      </c>
      <c r="I174" s="6">
        <v>9.4</v>
      </c>
      <c r="J174" s="6">
        <v>3.41</v>
      </c>
    </row>
    <row r="176" s="3" customFormat="1" spans="1:11">
      <c r="A176" s="58" t="s">
        <v>167</v>
      </c>
      <c r="B176" s="30" t="s">
        <v>1</v>
      </c>
      <c r="C176" s="31" t="s">
        <v>2</v>
      </c>
      <c r="D176" s="32" t="s">
        <v>3</v>
      </c>
      <c r="E176" s="32" t="s">
        <v>4</v>
      </c>
      <c r="F176" s="33" t="s">
        <v>5</v>
      </c>
      <c r="G176" s="33" t="s">
        <v>6</v>
      </c>
      <c r="H176" s="33" t="s">
        <v>7</v>
      </c>
      <c r="I176" s="33">
        <v>50</v>
      </c>
      <c r="J176" s="33" t="s">
        <v>8</v>
      </c>
      <c r="K176" s="31" t="s">
        <v>9</v>
      </c>
    </row>
    <row r="177" spans="2:10">
      <c r="B177" s="6">
        <v>104</v>
      </c>
      <c r="C177" s="6">
        <v>1</v>
      </c>
      <c r="D177" s="39" t="s">
        <v>168</v>
      </c>
      <c r="E177" s="29" t="s">
        <v>11</v>
      </c>
      <c r="F177" s="6">
        <v>13</v>
      </c>
      <c r="G177" s="6">
        <v>206</v>
      </c>
      <c r="H177" s="6">
        <v>0</v>
      </c>
      <c r="I177" s="6">
        <v>7.3</v>
      </c>
      <c r="J177" s="6">
        <v>4.06</v>
      </c>
    </row>
    <row r="178" spans="2:10">
      <c r="B178" s="6">
        <v>104</v>
      </c>
      <c r="C178" s="6">
        <v>2</v>
      </c>
      <c r="D178" s="29" t="s">
        <v>169</v>
      </c>
      <c r="E178" s="29" t="s">
        <v>11</v>
      </c>
      <c r="F178" s="6">
        <v>18.5</v>
      </c>
      <c r="G178" s="6">
        <v>206</v>
      </c>
      <c r="H178" s="6">
        <v>0</v>
      </c>
      <c r="I178" s="6">
        <v>7.8</v>
      </c>
      <c r="J178" s="6">
        <v>4.42</v>
      </c>
    </row>
    <row r="179" spans="2:10">
      <c r="B179" s="6">
        <v>104</v>
      </c>
      <c r="C179" s="6">
        <v>3</v>
      </c>
      <c r="D179" s="29" t="s">
        <v>170</v>
      </c>
      <c r="E179" s="29" t="s">
        <v>11</v>
      </c>
      <c r="F179" s="6">
        <v>13</v>
      </c>
      <c r="G179" s="6">
        <v>202</v>
      </c>
      <c r="H179" s="6">
        <v>3</v>
      </c>
      <c r="I179" s="6">
        <v>7.6</v>
      </c>
      <c r="J179" s="6">
        <v>3.4</v>
      </c>
    </row>
    <row r="180" spans="2:10">
      <c r="B180" s="6">
        <v>104</v>
      </c>
      <c r="C180" s="6">
        <v>4</v>
      </c>
      <c r="D180" s="29" t="s">
        <v>171</v>
      </c>
      <c r="E180" s="29" t="s">
        <v>11</v>
      </c>
      <c r="F180" s="6">
        <v>13.2</v>
      </c>
      <c r="G180" s="6">
        <v>235</v>
      </c>
      <c r="H180" s="6">
        <v>5</v>
      </c>
      <c r="I180" s="6">
        <v>7.3</v>
      </c>
      <c r="J180" s="6">
        <v>4.02</v>
      </c>
    </row>
    <row r="181" spans="2:10">
      <c r="B181" s="6">
        <v>104</v>
      </c>
      <c r="C181" s="6">
        <v>5</v>
      </c>
      <c r="D181" s="29" t="s">
        <v>172</v>
      </c>
      <c r="E181" s="29" t="s">
        <v>11</v>
      </c>
      <c r="F181" s="6">
        <v>19.4</v>
      </c>
      <c r="G181" s="6">
        <v>234</v>
      </c>
      <c r="H181" s="6">
        <v>11</v>
      </c>
      <c r="I181" s="6">
        <v>7.3</v>
      </c>
      <c r="J181" s="6">
        <v>4.16</v>
      </c>
    </row>
    <row r="182" spans="2:10">
      <c r="B182" s="6">
        <v>104</v>
      </c>
      <c r="C182" s="6">
        <v>6</v>
      </c>
      <c r="D182" s="29" t="s">
        <v>173</v>
      </c>
      <c r="E182" s="29" t="s">
        <v>11</v>
      </c>
      <c r="F182" s="6">
        <v>10.7</v>
      </c>
      <c r="G182" s="6">
        <v>220</v>
      </c>
      <c r="H182" s="6">
        <v>20</v>
      </c>
      <c r="I182" s="6">
        <v>7.3</v>
      </c>
      <c r="J182" s="6">
        <v>4.09</v>
      </c>
    </row>
    <row r="183" spans="2:10">
      <c r="B183" s="6">
        <v>104</v>
      </c>
      <c r="C183" s="6">
        <v>7</v>
      </c>
      <c r="D183" s="29" t="s">
        <v>174</v>
      </c>
      <c r="E183" s="29" t="s">
        <v>11</v>
      </c>
      <c r="F183" s="6">
        <v>12</v>
      </c>
      <c r="G183" s="6">
        <v>224</v>
      </c>
      <c r="H183" s="6">
        <v>10</v>
      </c>
      <c r="I183" s="6">
        <v>7.4</v>
      </c>
      <c r="J183" s="6">
        <v>3.58</v>
      </c>
    </row>
    <row r="184" spans="2:10">
      <c r="B184" s="6">
        <v>104</v>
      </c>
      <c r="C184" s="6">
        <v>8</v>
      </c>
      <c r="D184" s="29" t="s">
        <v>175</v>
      </c>
      <c r="E184" s="29" t="s">
        <v>11</v>
      </c>
      <c r="F184" s="6">
        <v>13</v>
      </c>
      <c r="G184" s="6">
        <v>210</v>
      </c>
      <c r="H184" s="6">
        <v>19</v>
      </c>
      <c r="I184" s="6">
        <v>7.6</v>
      </c>
      <c r="J184" s="6">
        <v>3.49</v>
      </c>
    </row>
    <row r="185" spans="2:11">
      <c r="B185" s="6">
        <v>104</v>
      </c>
      <c r="C185" s="6">
        <v>9</v>
      </c>
      <c r="D185" s="29" t="s">
        <v>176</v>
      </c>
      <c r="E185" s="29" t="s">
        <v>11</v>
      </c>
      <c r="K185" s="6" t="s">
        <v>84</v>
      </c>
    </row>
    <row r="186" spans="2:10">
      <c r="B186" s="6">
        <v>104</v>
      </c>
      <c r="C186" s="6">
        <v>10</v>
      </c>
      <c r="D186" s="29" t="s">
        <v>177</v>
      </c>
      <c r="E186" s="29" t="s">
        <v>11</v>
      </c>
      <c r="F186" s="6">
        <v>14.2</v>
      </c>
      <c r="G186" s="6">
        <v>263</v>
      </c>
      <c r="H186" s="6">
        <v>2</v>
      </c>
      <c r="I186" s="6">
        <v>6.7</v>
      </c>
      <c r="J186" s="6">
        <v>3.25</v>
      </c>
    </row>
    <row r="188" s="3" customFormat="1" spans="1:11">
      <c r="A188" s="58" t="s">
        <v>178</v>
      </c>
      <c r="B188" s="30" t="s">
        <v>1</v>
      </c>
      <c r="C188" s="31" t="s">
        <v>2</v>
      </c>
      <c r="D188" s="32" t="s">
        <v>3</v>
      </c>
      <c r="E188" s="32" t="s">
        <v>4</v>
      </c>
      <c r="F188" s="33" t="s">
        <v>5</v>
      </c>
      <c r="G188" s="33" t="s">
        <v>6</v>
      </c>
      <c r="H188" s="33" t="s">
        <v>7</v>
      </c>
      <c r="I188" s="33">
        <v>50</v>
      </c>
      <c r="J188" s="33" t="s">
        <v>8</v>
      </c>
      <c r="K188" s="31" t="s">
        <v>9</v>
      </c>
    </row>
    <row r="189" spans="2:10">
      <c r="B189" s="6">
        <v>104</v>
      </c>
      <c r="C189" s="6">
        <v>11</v>
      </c>
      <c r="D189" s="39" t="s">
        <v>179</v>
      </c>
      <c r="E189" s="29" t="s">
        <v>11</v>
      </c>
      <c r="F189" s="6">
        <v>5.1</v>
      </c>
      <c r="G189" s="6">
        <v>248</v>
      </c>
      <c r="H189" s="6">
        <v>13</v>
      </c>
      <c r="I189" s="6">
        <v>6.7</v>
      </c>
      <c r="J189" s="6">
        <v>3.21</v>
      </c>
    </row>
    <row r="190" spans="2:10">
      <c r="B190" s="6">
        <v>104</v>
      </c>
      <c r="C190" s="6">
        <v>12</v>
      </c>
      <c r="D190" s="29" t="s">
        <v>180</v>
      </c>
      <c r="E190" s="29" t="s">
        <v>11</v>
      </c>
      <c r="F190" s="6">
        <v>10.2</v>
      </c>
      <c r="G190" s="6">
        <v>243</v>
      </c>
      <c r="H190" s="6">
        <v>18</v>
      </c>
      <c r="I190" s="6">
        <v>6.8</v>
      </c>
      <c r="J190" s="6">
        <v>3.24</v>
      </c>
    </row>
    <row r="191" spans="2:5">
      <c r="B191" s="6">
        <v>104</v>
      </c>
      <c r="C191" s="6">
        <v>13</v>
      </c>
      <c r="D191" s="29" t="s">
        <v>181</v>
      </c>
      <c r="E191" s="29" t="s">
        <v>11</v>
      </c>
    </row>
    <row r="192" spans="2:10">
      <c r="B192" s="6">
        <v>104</v>
      </c>
      <c r="C192" s="6">
        <v>14</v>
      </c>
      <c r="D192" s="29" t="s">
        <v>182</v>
      </c>
      <c r="E192" s="29" t="s">
        <v>11</v>
      </c>
      <c r="F192" s="6">
        <v>15</v>
      </c>
      <c r="G192" s="6">
        <v>197</v>
      </c>
      <c r="H192" s="6">
        <v>1</v>
      </c>
      <c r="I192" s="6">
        <v>7.8</v>
      </c>
      <c r="J192" s="6">
        <v>3.34</v>
      </c>
    </row>
    <row r="193" spans="2:10">
      <c r="B193" s="6">
        <v>104</v>
      </c>
      <c r="C193" s="6">
        <v>15</v>
      </c>
      <c r="D193" s="29" t="s">
        <v>183</v>
      </c>
      <c r="E193" s="29" t="s">
        <v>11</v>
      </c>
      <c r="F193" s="6">
        <v>10.6</v>
      </c>
      <c r="G193" s="6">
        <v>216</v>
      </c>
      <c r="H193" s="6">
        <v>0</v>
      </c>
      <c r="I193" s="6">
        <v>8.1</v>
      </c>
      <c r="J193" s="6">
        <v>4.1</v>
      </c>
    </row>
    <row r="194" spans="2:10">
      <c r="B194" s="6">
        <v>104</v>
      </c>
      <c r="C194" s="6">
        <v>16</v>
      </c>
      <c r="D194" s="29" t="s">
        <v>184</v>
      </c>
      <c r="E194" s="29" t="s">
        <v>11</v>
      </c>
      <c r="F194" s="6">
        <v>9</v>
      </c>
      <c r="G194" s="6">
        <v>240</v>
      </c>
      <c r="H194" s="6">
        <v>30</v>
      </c>
      <c r="J194" s="6">
        <v>3.28</v>
      </c>
    </row>
    <row r="195" spans="2:10">
      <c r="B195" s="6">
        <v>104</v>
      </c>
      <c r="C195" s="6">
        <v>17</v>
      </c>
      <c r="D195" s="29" t="s">
        <v>185</v>
      </c>
      <c r="E195" s="29" t="s">
        <v>11</v>
      </c>
      <c r="F195" s="6">
        <v>-4.1</v>
      </c>
      <c r="G195" s="6">
        <v>168</v>
      </c>
      <c r="H195" s="6">
        <v>0</v>
      </c>
      <c r="I195" s="6">
        <v>9.6</v>
      </c>
      <c r="J195" s="6">
        <v>5.23</v>
      </c>
    </row>
    <row r="196" spans="2:10">
      <c r="B196" s="6">
        <v>104</v>
      </c>
      <c r="C196" s="6">
        <v>18</v>
      </c>
      <c r="D196" s="29" t="s">
        <v>186</v>
      </c>
      <c r="E196" s="29" t="s">
        <v>11</v>
      </c>
      <c r="F196" s="6">
        <v>9.6</v>
      </c>
      <c r="G196" s="6">
        <v>198</v>
      </c>
      <c r="H196" s="6">
        <v>4</v>
      </c>
      <c r="I196" s="6">
        <v>7.4</v>
      </c>
      <c r="J196" s="6">
        <v>3.31</v>
      </c>
    </row>
    <row r="197" spans="2:11">
      <c r="B197" s="6">
        <v>104</v>
      </c>
      <c r="C197" s="6">
        <v>19</v>
      </c>
      <c r="D197" s="29" t="s">
        <v>187</v>
      </c>
      <c r="E197" s="29" t="s">
        <v>11</v>
      </c>
      <c r="I197" s="6">
        <v>8</v>
      </c>
      <c r="K197" s="6" t="s">
        <v>84</v>
      </c>
    </row>
    <row r="199" s="3" customFormat="1" spans="1:11">
      <c r="A199" s="58" t="s">
        <v>188</v>
      </c>
      <c r="B199" s="30" t="s">
        <v>1</v>
      </c>
      <c r="C199" s="31" t="s">
        <v>2</v>
      </c>
      <c r="D199" s="32" t="s">
        <v>3</v>
      </c>
      <c r="E199" s="32" t="s">
        <v>4</v>
      </c>
      <c r="F199" s="33" t="s">
        <v>5</v>
      </c>
      <c r="G199" s="33" t="s">
        <v>6</v>
      </c>
      <c r="H199" s="33" t="s">
        <v>7</v>
      </c>
      <c r="I199" s="33">
        <v>50</v>
      </c>
      <c r="J199" s="33" t="s">
        <v>8</v>
      </c>
      <c r="K199" s="31" t="s">
        <v>9</v>
      </c>
    </row>
    <row r="200" spans="2:10">
      <c r="B200" s="6">
        <v>104</v>
      </c>
      <c r="C200" s="6">
        <v>20</v>
      </c>
      <c r="D200" s="39" t="s">
        <v>189</v>
      </c>
      <c r="E200" s="29" t="s">
        <v>11</v>
      </c>
      <c r="F200" s="6">
        <v>5.5</v>
      </c>
      <c r="G200" s="6">
        <v>218</v>
      </c>
      <c r="H200" s="6">
        <v>21</v>
      </c>
      <c r="I200" s="6">
        <v>7.3</v>
      </c>
      <c r="J200" s="6">
        <v>3.42</v>
      </c>
    </row>
    <row r="201" spans="2:11">
      <c r="B201" s="6">
        <v>104</v>
      </c>
      <c r="C201" s="6">
        <v>21</v>
      </c>
      <c r="D201" s="29" t="s">
        <v>190</v>
      </c>
      <c r="E201" s="29" t="s">
        <v>11</v>
      </c>
      <c r="K201" s="6" t="s">
        <v>84</v>
      </c>
    </row>
    <row r="202" spans="2:10">
      <c r="B202" s="6">
        <v>104</v>
      </c>
      <c r="C202" s="6">
        <v>22</v>
      </c>
      <c r="D202" s="29" t="s">
        <v>191</v>
      </c>
      <c r="E202" s="29" t="s">
        <v>11</v>
      </c>
      <c r="F202" s="6">
        <v>6.5</v>
      </c>
      <c r="G202" s="6">
        <v>213</v>
      </c>
      <c r="H202" s="6">
        <v>2</v>
      </c>
      <c r="I202" s="6">
        <v>7</v>
      </c>
      <c r="J202" s="6">
        <v>3.42</v>
      </c>
    </row>
    <row r="203" spans="2:10">
      <c r="B203" s="6">
        <v>104</v>
      </c>
      <c r="C203" s="6">
        <v>23</v>
      </c>
      <c r="D203" s="29" t="s">
        <v>192</v>
      </c>
      <c r="E203" s="29" t="s">
        <v>11</v>
      </c>
      <c r="F203" s="6">
        <v>14.5</v>
      </c>
      <c r="G203" s="6">
        <v>238</v>
      </c>
      <c r="H203" s="6">
        <v>2</v>
      </c>
      <c r="I203" s="6">
        <v>6.8</v>
      </c>
      <c r="J203" s="6">
        <v>3.36</v>
      </c>
    </row>
    <row r="204" spans="2:10">
      <c r="B204" s="6">
        <v>104</v>
      </c>
      <c r="C204" s="6">
        <v>24</v>
      </c>
      <c r="D204" s="29" t="s">
        <v>193</v>
      </c>
      <c r="E204" s="29" t="s">
        <v>11</v>
      </c>
      <c r="F204" s="6">
        <v>13</v>
      </c>
      <c r="G204" s="6">
        <v>220</v>
      </c>
      <c r="H204" s="6">
        <v>15</v>
      </c>
      <c r="I204" s="6">
        <v>7.3</v>
      </c>
      <c r="J204" s="6">
        <v>3.36</v>
      </c>
    </row>
    <row r="205" spans="2:11">
      <c r="B205" s="6">
        <v>104</v>
      </c>
      <c r="C205" s="6">
        <v>25</v>
      </c>
      <c r="D205" s="29" t="s">
        <v>194</v>
      </c>
      <c r="E205" s="29" t="s">
        <v>11</v>
      </c>
      <c r="K205" s="6" t="s">
        <v>84</v>
      </c>
    </row>
    <row r="206" spans="2:10">
      <c r="B206" s="6">
        <v>104</v>
      </c>
      <c r="C206" s="6">
        <v>26</v>
      </c>
      <c r="D206" s="29" t="s">
        <v>195</v>
      </c>
      <c r="E206" s="29" t="s">
        <v>11</v>
      </c>
      <c r="F206" s="6">
        <v>11.5</v>
      </c>
      <c r="G206" s="6">
        <v>247</v>
      </c>
      <c r="H206" s="6">
        <v>19</v>
      </c>
      <c r="I206" s="6">
        <v>6.6</v>
      </c>
      <c r="J206" s="6">
        <v>3.35</v>
      </c>
    </row>
    <row r="207" spans="2:10">
      <c r="B207" s="6">
        <v>104</v>
      </c>
      <c r="C207" s="6">
        <v>27</v>
      </c>
      <c r="D207" s="29" t="s">
        <v>196</v>
      </c>
      <c r="E207" s="29" t="s">
        <v>11</v>
      </c>
      <c r="F207" s="6">
        <v>14.5</v>
      </c>
      <c r="G207" s="6">
        <v>234</v>
      </c>
      <c r="H207" s="6">
        <v>8</v>
      </c>
      <c r="I207" s="6">
        <v>7.5</v>
      </c>
      <c r="J207" s="6">
        <v>3.37</v>
      </c>
    </row>
    <row r="208" spans="2:10">
      <c r="B208" s="6">
        <v>104</v>
      </c>
      <c r="C208" s="6">
        <v>28</v>
      </c>
      <c r="D208" s="29" t="s">
        <v>197</v>
      </c>
      <c r="E208" s="29" t="s">
        <v>11</v>
      </c>
      <c r="F208" s="6">
        <v>14.5</v>
      </c>
      <c r="G208" s="6">
        <v>207</v>
      </c>
      <c r="H208" s="6">
        <v>26</v>
      </c>
      <c r="I208" s="6">
        <v>7.1</v>
      </c>
      <c r="J208" s="6">
        <v>3.29</v>
      </c>
    </row>
    <row r="209" spans="4:5">
      <c r="D209" s="29"/>
      <c r="E209" s="29"/>
    </row>
    <row r="211" s="3" customFormat="1" spans="1:11">
      <c r="A211" s="58" t="s">
        <v>198</v>
      </c>
      <c r="B211" s="30" t="s">
        <v>1</v>
      </c>
      <c r="C211" s="31" t="s">
        <v>2</v>
      </c>
      <c r="D211" s="32" t="s">
        <v>3</v>
      </c>
      <c r="E211" s="32" t="s">
        <v>4</v>
      </c>
      <c r="F211" s="33" t="s">
        <v>5</v>
      </c>
      <c r="G211" s="33" t="s">
        <v>6</v>
      </c>
      <c r="H211" s="33" t="s">
        <v>7</v>
      </c>
      <c r="I211" s="33">
        <v>50</v>
      </c>
      <c r="J211" s="33" t="s">
        <v>8</v>
      </c>
      <c r="K211" s="31" t="s">
        <v>9</v>
      </c>
    </row>
    <row r="212" spans="2:10">
      <c r="B212" s="6">
        <v>104</v>
      </c>
      <c r="C212" s="6">
        <v>29</v>
      </c>
      <c r="D212" s="39" t="s">
        <v>199</v>
      </c>
      <c r="E212" s="29" t="s">
        <v>46</v>
      </c>
      <c r="F212" s="6">
        <v>24.5</v>
      </c>
      <c r="G212" s="6">
        <v>205</v>
      </c>
      <c r="H212" s="6">
        <v>47</v>
      </c>
      <c r="I212" s="6">
        <v>7.8</v>
      </c>
      <c r="J212" s="6">
        <v>3.23</v>
      </c>
    </row>
    <row r="213" spans="2:10">
      <c r="B213" s="6">
        <v>104</v>
      </c>
      <c r="C213" s="6">
        <v>30</v>
      </c>
      <c r="D213" s="29" t="s">
        <v>200</v>
      </c>
      <c r="E213" s="29" t="s">
        <v>46</v>
      </c>
      <c r="F213" s="6">
        <v>22.2</v>
      </c>
      <c r="G213" s="6">
        <v>170</v>
      </c>
      <c r="H213" s="6">
        <v>54</v>
      </c>
      <c r="I213" s="6">
        <v>8.8</v>
      </c>
      <c r="J213" s="6">
        <v>3.39</v>
      </c>
    </row>
    <row r="214" spans="2:10">
      <c r="B214" s="6">
        <v>104</v>
      </c>
      <c r="C214" s="6">
        <v>31</v>
      </c>
      <c r="D214" s="29" t="s">
        <v>201</v>
      </c>
      <c r="E214" s="29" t="s">
        <v>46</v>
      </c>
      <c r="F214" s="6">
        <v>25</v>
      </c>
      <c r="G214" s="6">
        <v>165</v>
      </c>
      <c r="H214" s="6">
        <v>49</v>
      </c>
      <c r="I214" s="6">
        <v>9.7</v>
      </c>
      <c r="J214" s="6">
        <v>3.35</v>
      </c>
    </row>
    <row r="215" spans="2:10">
      <c r="B215" s="6">
        <v>104</v>
      </c>
      <c r="C215" s="6">
        <v>32</v>
      </c>
      <c r="D215" s="29" t="s">
        <v>202</v>
      </c>
      <c r="E215" s="29" t="s">
        <v>46</v>
      </c>
      <c r="F215" s="6">
        <v>22.1</v>
      </c>
      <c r="G215" s="6">
        <v>196</v>
      </c>
      <c r="H215" s="6">
        <v>51</v>
      </c>
      <c r="I215" s="6">
        <v>8.6</v>
      </c>
      <c r="J215" s="6">
        <v>3.56</v>
      </c>
    </row>
    <row r="216" spans="2:10">
      <c r="B216" s="6">
        <v>104</v>
      </c>
      <c r="C216" s="6">
        <v>33</v>
      </c>
      <c r="D216" s="29" t="s">
        <v>203</v>
      </c>
      <c r="E216" s="29" t="s">
        <v>46</v>
      </c>
      <c r="F216" s="6">
        <v>25.5</v>
      </c>
      <c r="G216" s="6">
        <v>190</v>
      </c>
      <c r="H216" s="6">
        <v>51</v>
      </c>
      <c r="I216" s="6">
        <v>8.1</v>
      </c>
      <c r="J216" s="6">
        <v>3.25</v>
      </c>
    </row>
    <row r="217" spans="2:10">
      <c r="B217" s="6">
        <v>104</v>
      </c>
      <c r="C217" s="6">
        <v>34</v>
      </c>
      <c r="D217" s="29" t="s">
        <v>204</v>
      </c>
      <c r="E217" s="29" t="s">
        <v>46</v>
      </c>
      <c r="F217" s="6">
        <v>17.7</v>
      </c>
      <c r="G217" s="6">
        <v>173</v>
      </c>
      <c r="H217" s="6">
        <v>51</v>
      </c>
      <c r="I217" s="6">
        <v>8.1</v>
      </c>
      <c r="J217" s="6">
        <v>3.33</v>
      </c>
    </row>
    <row r="218" spans="2:10">
      <c r="B218" s="6">
        <v>104</v>
      </c>
      <c r="C218" s="6">
        <v>35</v>
      </c>
      <c r="D218" s="29" t="s">
        <v>205</v>
      </c>
      <c r="E218" s="29" t="s">
        <v>46</v>
      </c>
      <c r="F218" s="6">
        <v>26.2</v>
      </c>
      <c r="G218" s="6">
        <v>180</v>
      </c>
      <c r="H218" s="6">
        <v>53</v>
      </c>
      <c r="I218" s="6">
        <v>8.7</v>
      </c>
      <c r="J218" s="6">
        <v>3.24</v>
      </c>
    </row>
    <row r="219" spans="2:10">
      <c r="B219" s="6">
        <v>104</v>
      </c>
      <c r="C219" s="6">
        <v>36</v>
      </c>
      <c r="D219" s="29" t="s">
        <v>206</v>
      </c>
      <c r="E219" s="29" t="s">
        <v>46</v>
      </c>
      <c r="F219" s="6">
        <v>25.4</v>
      </c>
      <c r="G219" s="6">
        <v>213</v>
      </c>
      <c r="H219" s="6">
        <v>45</v>
      </c>
      <c r="I219" s="6">
        <v>8.1</v>
      </c>
      <c r="J219" s="6">
        <v>3.45</v>
      </c>
    </row>
    <row r="220" spans="2:10">
      <c r="B220" s="6">
        <v>104</v>
      </c>
      <c r="C220" s="6">
        <v>37</v>
      </c>
      <c r="D220" s="29" t="s">
        <v>207</v>
      </c>
      <c r="E220" s="29" t="s">
        <v>46</v>
      </c>
      <c r="F220" s="6">
        <v>25</v>
      </c>
      <c r="G220" s="6">
        <v>202</v>
      </c>
      <c r="H220" s="6">
        <v>60</v>
      </c>
      <c r="I220" s="6">
        <v>8.5</v>
      </c>
      <c r="J220" s="6">
        <v>3.09</v>
      </c>
    </row>
    <row r="222" s="3" customFormat="1" spans="1:11">
      <c r="A222" s="58" t="s">
        <v>208</v>
      </c>
      <c r="B222" s="30" t="s">
        <v>1</v>
      </c>
      <c r="C222" s="31" t="s">
        <v>2</v>
      </c>
      <c r="D222" s="32" t="s">
        <v>3</v>
      </c>
      <c r="E222" s="32" t="s">
        <v>4</v>
      </c>
      <c r="F222" s="33" t="s">
        <v>5</v>
      </c>
      <c r="G222" s="33" t="s">
        <v>6</v>
      </c>
      <c r="H222" s="33" t="s">
        <v>7</v>
      </c>
      <c r="I222" s="33">
        <v>50</v>
      </c>
      <c r="J222" s="33" t="s">
        <v>8</v>
      </c>
      <c r="K222" s="31" t="s">
        <v>9</v>
      </c>
    </row>
    <row r="223" spans="2:10">
      <c r="B223" s="6">
        <v>104</v>
      </c>
      <c r="C223" s="6">
        <v>38</v>
      </c>
      <c r="D223" s="39" t="s">
        <v>209</v>
      </c>
      <c r="E223" s="29" t="s">
        <v>46</v>
      </c>
      <c r="F223" s="6">
        <v>6</v>
      </c>
      <c r="G223" s="6">
        <v>158</v>
      </c>
      <c r="H223" s="6">
        <v>43</v>
      </c>
      <c r="I223" s="6">
        <v>9.2</v>
      </c>
      <c r="J223" s="6">
        <v>3.35</v>
      </c>
    </row>
    <row r="224" spans="2:10">
      <c r="B224" s="6">
        <v>104</v>
      </c>
      <c r="C224" s="6">
        <v>39</v>
      </c>
      <c r="D224" s="29" t="s">
        <v>210</v>
      </c>
      <c r="E224" s="29" t="s">
        <v>46</v>
      </c>
      <c r="F224" s="6">
        <v>28.3</v>
      </c>
      <c r="G224" s="6">
        <v>192</v>
      </c>
      <c r="H224" s="6">
        <v>46</v>
      </c>
      <c r="I224" s="6">
        <v>8.1</v>
      </c>
      <c r="J224" s="6">
        <v>3.36</v>
      </c>
    </row>
    <row r="225" spans="2:11">
      <c r="B225" s="6">
        <v>104</v>
      </c>
      <c r="C225" s="6">
        <v>40</v>
      </c>
      <c r="D225" s="29" t="s">
        <v>211</v>
      </c>
      <c r="E225" s="29" t="s">
        <v>46</v>
      </c>
      <c r="I225" s="6">
        <v>8</v>
      </c>
      <c r="K225" s="6" t="s">
        <v>84</v>
      </c>
    </row>
    <row r="226" spans="2:10">
      <c r="B226" s="6">
        <v>104</v>
      </c>
      <c r="C226" s="6">
        <v>41</v>
      </c>
      <c r="D226" s="29" t="s">
        <v>212</v>
      </c>
      <c r="E226" s="29" t="s">
        <v>46</v>
      </c>
      <c r="F226" s="6">
        <v>21.1</v>
      </c>
      <c r="G226" s="6">
        <v>198</v>
      </c>
      <c r="H226" s="6">
        <v>49</v>
      </c>
      <c r="I226" s="6">
        <v>9.1</v>
      </c>
      <c r="J226" s="6">
        <v>3.41</v>
      </c>
    </row>
    <row r="227" spans="2:10">
      <c r="B227" s="6">
        <v>104</v>
      </c>
      <c r="C227" s="6">
        <v>42</v>
      </c>
      <c r="D227" s="29" t="s">
        <v>213</v>
      </c>
      <c r="E227" s="29" t="s">
        <v>46</v>
      </c>
      <c r="F227" s="6">
        <v>27</v>
      </c>
      <c r="G227" s="6">
        <v>185</v>
      </c>
      <c r="H227" s="6">
        <v>53</v>
      </c>
      <c r="I227" s="6">
        <v>8.9</v>
      </c>
      <c r="J227" s="6">
        <v>3.42</v>
      </c>
    </row>
    <row r="228" spans="2:10">
      <c r="B228" s="6">
        <v>104</v>
      </c>
      <c r="C228" s="6">
        <v>43</v>
      </c>
      <c r="D228" s="29" t="s">
        <v>214</v>
      </c>
      <c r="E228" s="29" t="s">
        <v>46</v>
      </c>
      <c r="F228" s="6">
        <v>19</v>
      </c>
      <c r="G228" s="6">
        <v>175</v>
      </c>
      <c r="H228" s="6">
        <v>40</v>
      </c>
      <c r="I228" s="6">
        <v>8.1</v>
      </c>
      <c r="J228" s="6">
        <v>3.29</v>
      </c>
    </row>
    <row r="229" spans="2:10">
      <c r="B229" s="6">
        <v>104</v>
      </c>
      <c r="C229" s="6">
        <v>44</v>
      </c>
      <c r="D229" s="29" t="s">
        <v>215</v>
      </c>
      <c r="E229" s="29" t="s">
        <v>46</v>
      </c>
      <c r="F229" s="6">
        <v>14.8</v>
      </c>
      <c r="G229" s="6">
        <v>187</v>
      </c>
      <c r="H229" s="6">
        <v>44</v>
      </c>
      <c r="I229" s="6">
        <v>9.1</v>
      </c>
      <c r="J229" s="6">
        <v>4.07</v>
      </c>
    </row>
    <row r="230" spans="2:10">
      <c r="B230" s="6">
        <v>104</v>
      </c>
      <c r="C230" s="6">
        <v>45</v>
      </c>
      <c r="D230" s="29" t="s">
        <v>216</v>
      </c>
      <c r="E230" s="29" t="s">
        <v>46</v>
      </c>
      <c r="F230" s="6">
        <v>8</v>
      </c>
      <c r="G230" s="6">
        <v>195</v>
      </c>
      <c r="H230" s="6">
        <v>61</v>
      </c>
      <c r="I230" s="6">
        <v>8.1</v>
      </c>
      <c r="J230" s="6">
        <v>3.12</v>
      </c>
    </row>
    <row r="231" spans="4:5">
      <c r="D231" s="29"/>
      <c r="E231" s="29"/>
    </row>
    <row r="233" s="3" customFormat="1" spans="1:11">
      <c r="A233" s="58" t="s">
        <v>217</v>
      </c>
      <c r="B233" s="30" t="s">
        <v>1</v>
      </c>
      <c r="C233" s="31" t="s">
        <v>2</v>
      </c>
      <c r="D233" s="32" t="s">
        <v>3</v>
      </c>
      <c r="E233" s="32" t="s">
        <v>4</v>
      </c>
      <c r="F233" s="33" t="s">
        <v>5</v>
      </c>
      <c r="G233" s="33" t="s">
        <v>6</v>
      </c>
      <c r="H233" s="33" t="s">
        <v>7</v>
      </c>
      <c r="I233" s="33">
        <v>50</v>
      </c>
      <c r="J233" s="33" t="s">
        <v>8</v>
      </c>
      <c r="K233" s="31" t="s">
        <v>9</v>
      </c>
    </row>
    <row r="234" spans="2:10">
      <c r="B234" s="6">
        <v>105</v>
      </c>
      <c r="C234" s="6">
        <v>1</v>
      </c>
      <c r="D234" s="39" t="s">
        <v>218</v>
      </c>
      <c r="E234" s="29" t="s">
        <v>11</v>
      </c>
      <c r="F234" s="6">
        <v>9.7</v>
      </c>
      <c r="G234" s="6">
        <v>233</v>
      </c>
      <c r="H234" s="6">
        <v>0</v>
      </c>
      <c r="I234" s="6">
        <v>7.7</v>
      </c>
      <c r="J234" s="6">
        <v>3.49</v>
      </c>
    </row>
    <row r="235" spans="2:10">
      <c r="B235" s="6">
        <v>105</v>
      </c>
      <c r="C235" s="6">
        <v>2</v>
      </c>
      <c r="D235" s="29" t="s">
        <v>219</v>
      </c>
      <c r="E235" s="29" t="s">
        <v>11</v>
      </c>
      <c r="F235" s="6">
        <v>10</v>
      </c>
      <c r="G235" s="6">
        <v>217</v>
      </c>
      <c r="H235" s="6">
        <v>29</v>
      </c>
      <c r="I235" s="6">
        <v>7.5</v>
      </c>
      <c r="J235" s="6">
        <v>4.03</v>
      </c>
    </row>
    <row r="236" spans="2:10">
      <c r="B236" s="6">
        <v>105</v>
      </c>
      <c r="C236" s="6">
        <v>3</v>
      </c>
      <c r="D236" s="29" t="s">
        <v>220</v>
      </c>
      <c r="E236" s="29" t="s">
        <v>11</v>
      </c>
      <c r="F236" s="6">
        <v>8.9</v>
      </c>
      <c r="G236" s="6">
        <v>232</v>
      </c>
      <c r="H236" s="6">
        <v>0</v>
      </c>
      <c r="I236" s="6">
        <v>7.2</v>
      </c>
      <c r="J236" s="6">
        <v>3.43</v>
      </c>
    </row>
    <row r="237" spans="2:11">
      <c r="B237" s="6">
        <v>105</v>
      </c>
      <c r="C237" s="6">
        <v>4</v>
      </c>
      <c r="D237" s="29" t="s">
        <v>221</v>
      </c>
      <c r="E237" s="29" t="s">
        <v>11</v>
      </c>
      <c r="I237" s="6">
        <v>7</v>
      </c>
      <c r="K237" s="6" t="s">
        <v>222</v>
      </c>
    </row>
    <row r="238" spans="2:10">
      <c r="B238" s="6">
        <v>105</v>
      </c>
      <c r="C238" s="6">
        <v>5</v>
      </c>
      <c r="D238" s="29" t="s">
        <v>223</v>
      </c>
      <c r="E238" s="29" t="s">
        <v>11</v>
      </c>
      <c r="F238" s="6">
        <v>9.6</v>
      </c>
      <c r="G238" s="6">
        <v>208</v>
      </c>
      <c r="H238" s="6">
        <v>2</v>
      </c>
      <c r="I238" s="6">
        <v>7.5</v>
      </c>
      <c r="J238" s="6">
        <v>4.12</v>
      </c>
    </row>
    <row r="239" spans="2:10">
      <c r="B239" s="6">
        <v>105</v>
      </c>
      <c r="C239" s="6">
        <v>6</v>
      </c>
      <c r="D239" s="29" t="s">
        <v>224</v>
      </c>
      <c r="E239" s="29" t="s">
        <v>11</v>
      </c>
      <c r="F239" s="6">
        <v>1.5</v>
      </c>
      <c r="G239" s="6">
        <v>216</v>
      </c>
      <c r="H239" s="6">
        <v>0</v>
      </c>
      <c r="I239" s="6">
        <v>7.5</v>
      </c>
      <c r="J239" s="6">
        <v>3.52</v>
      </c>
    </row>
    <row r="240" spans="2:10">
      <c r="B240" s="6">
        <v>105</v>
      </c>
      <c r="C240" s="6">
        <v>7</v>
      </c>
      <c r="D240" s="29" t="s">
        <v>225</v>
      </c>
      <c r="E240" s="29" t="s">
        <v>11</v>
      </c>
      <c r="F240" s="6">
        <v>8.8</v>
      </c>
      <c r="G240" s="6">
        <v>215</v>
      </c>
      <c r="H240" s="6">
        <v>0</v>
      </c>
      <c r="I240" s="6">
        <v>7.9</v>
      </c>
      <c r="J240" s="6">
        <v>4.18</v>
      </c>
    </row>
    <row r="241" spans="2:10">
      <c r="B241" s="6">
        <v>105</v>
      </c>
      <c r="C241" s="6">
        <v>8</v>
      </c>
      <c r="D241" s="29" t="s">
        <v>226</v>
      </c>
      <c r="E241" s="29" t="s">
        <v>11</v>
      </c>
      <c r="F241" s="6">
        <v>12.3</v>
      </c>
      <c r="G241" s="6">
        <v>234</v>
      </c>
      <c r="H241" s="6">
        <v>10</v>
      </c>
      <c r="I241" s="6">
        <v>6.9</v>
      </c>
      <c r="J241" s="6">
        <v>3.45</v>
      </c>
    </row>
    <row r="242" spans="2:10">
      <c r="B242" s="6">
        <v>105</v>
      </c>
      <c r="C242" s="6">
        <v>9</v>
      </c>
      <c r="D242" s="29" t="s">
        <v>227</v>
      </c>
      <c r="E242" s="29" t="s">
        <v>11</v>
      </c>
      <c r="F242" s="6">
        <v>9.5</v>
      </c>
      <c r="G242" s="6">
        <v>223</v>
      </c>
      <c r="H242" s="6">
        <v>1</v>
      </c>
      <c r="I242" s="6">
        <v>7.5</v>
      </c>
      <c r="J242" s="6">
        <v>3.44</v>
      </c>
    </row>
    <row r="243" spans="2:10">
      <c r="B243" s="6">
        <v>105</v>
      </c>
      <c r="C243" s="6">
        <v>10</v>
      </c>
      <c r="D243" s="29" t="s">
        <v>228</v>
      </c>
      <c r="E243" s="29" t="s">
        <v>11</v>
      </c>
      <c r="F243" s="6">
        <v>4.6</v>
      </c>
      <c r="G243" s="6">
        <v>155</v>
      </c>
      <c r="H243" s="6">
        <v>0</v>
      </c>
      <c r="I243" s="6">
        <v>9.4</v>
      </c>
      <c r="J243" s="6">
        <v>4.55</v>
      </c>
    </row>
    <row r="244" spans="2:11">
      <c r="B244" s="6">
        <v>105</v>
      </c>
      <c r="C244" s="6">
        <v>11</v>
      </c>
      <c r="D244" s="29" t="s">
        <v>229</v>
      </c>
      <c r="E244" s="29" t="s">
        <v>11</v>
      </c>
      <c r="I244" s="6">
        <v>8.3</v>
      </c>
      <c r="K244" s="6" t="s">
        <v>222</v>
      </c>
    </row>
    <row r="245" spans="2:11">
      <c r="B245" s="6">
        <v>105</v>
      </c>
      <c r="C245" s="6">
        <v>12</v>
      </c>
      <c r="D245" s="29" t="s">
        <v>230</v>
      </c>
      <c r="E245" s="29" t="s">
        <v>11</v>
      </c>
      <c r="I245" s="6">
        <v>8.3</v>
      </c>
      <c r="K245" s="6" t="s">
        <v>222</v>
      </c>
    </row>
    <row r="246" s="3" customFormat="1" spans="1:11">
      <c r="A246" s="58" t="s">
        <v>231</v>
      </c>
      <c r="B246" s="30" t="s">
        <v>1</v>
      </c>
      <c r="C246" s="31" t="s">
        <v>2</v>
      </c>
      <c r="D246" s="32" t="s">
        <v>3</v>
      </c>
      <c r="E246" s="32" t="s">
        <v>4</v>
      </c>
      <c r="F246" s="33" t="s">
        <v>5</v>
      </c>
      <c r="G246" s="33" t="s">
        <v>6</v>
      </c>
      <c r="H246" s="33" t="s">
        <v>7</v>
      </c>
      <c r="I246" s="33">
        <v>50</v>
      </c>
      <c r="J246" s="33" t="s">
        <v>8</v>
      </c>
      <c r="K246" s="31" t="s">
        <v>9</v>
      </c>
    </row>
    <row r="247" spans="2:11">
      <c r="B247" s="6">
        <v>105</v>
      </c>
      <c r="C247" s="6">
        <v>13</v>
      </c>
      <c r="D247" s="39" t="s">
        <v>232</v>
      </c>
      <c r="E247" s="29" t="s">
        <v>11</v>
      </c>
      <c r="I247" s="6">
        <v>7.1</v>
      </c>
      <c r="K247" s="6" t="s">
        <v>222</v>
      </c>
    </row>
    <row r="248" spans="2:10">
      <c r="B248" s="6">
        <v>105</v>
      </c>
      <c r="C248" s="6">
        <v>14</v>
      </c>
      <c r="D248" s="29" t="s">
        <v>233</v>
      </c>
      <c r="E248" s="29" t="s">
        <v>11</v>
      </c>
      <c r="F248" s="6">
        <v>-1.5</v>
      </c>
      <c r="G248" s="6">
        <v>235</v>
      </c>
      <c r="H248" s="6">
        <v>0</v>
      </c>
      <c r="I248" s="6">
        <v>8</v>
      </c>
      <c r="J248" s="6">
        <v>4.03</v>
      </c>
    </row>
    <row r="249" spans="2:10">
      <c r="B249" s="6">
        <v>105</v>
      </c>
      <c r="C249" s="6">
        <v>15</v>
      </c>
      <c r="D249" s="29" t="s">
        <v>234</v>
      </c>
      <c r="E249" s="29" t="s">
        <v>11</v>
      </c>
      <c r="F249" s="6">
        <v>5.5</v>
      </c>
      <c r="G249" s="6">
        <v>210</v>
      </c>
      <c r="H249" s="6">
        <v>1</v>
      </c>
      <c r="I249" s="6">
        <v>7.7</v>
      </c>
      <c r="J249" s="6">
        <v>4.35</v>
      </c>
    </row>
    <row r="250" spans="2:11">
      <c r="B250" s="6">
        <v>105</v>
      </c>
      <c r="C250" s="6">
        <v>16</v>
      </c>
      <c r="D250" s="6" t="s">
        <v>235</v>
      </c>
      <c r="E250" s="52" t="s">
        <v>11</v>
      </c>
      <c r="K250" s="6" t="s">
        <v>222</v>
      </c>
    </row>
    <row r="251" spans="2:10">
      <c r="B251" s="6">
        <v>105</v>
      </c>
      <c r="C251" s="6">
        <v>17</v>
      </c>
      <c r="D251" s="52" t="s">
        <v>236</v>
      </c>
      <c r="E251" s="52" t="s">
        <v>11</v>
      </c>
      <c r="F251" s="6">
        <v>16</v>
      </c>
      <c r="G251" s="6">
        <v>185</v>
      </c>
      <c r="H251" s="6">
        <v>5</v>
      </c>
      <c r="I251" s="6">
        <v>7.8</v>
      </c>
      <c r="J251" s="6">
        <v>3.4</v>
      </c>
    </row>
    <row r="252" spans="2:10">
      <c r="B252" s="6">
        <v>105</v>
      </c>
      <c r="C252" s="6">
        <v>18</v>
      </c>
      <c r="D252" s="52" t="s">
        <v>237</v>
      </c>
      <c r="E252" s="52" t="s">
        <v>11</v>
      </c>
      <c r="F252" s="6">
        <v>12</v>
      </c>
      <c r="G252" s="6">
        <v>190</v>
      </c>
      <c r="H252" s="6">
        <v>1</v>
      </c>
      <c r="I252" s="6">
        <v>7.8</v>
      </c>
      <c r="J252" s="6">
        <v>3.35</v>
      </c>
    </row>
    <row r="253" spans="2:10">
      <c r="B253" s="6">
        <v>105</v>
      </c>
      <c r="C253" s="6">
        <v>19</v>
      </c>
      <c r="D253" s="52" t="s">
        <v>238</v>
      </c>
      <c r="E253" s="52" t="s">
        <v>11</v>
      </c>
      <c r="F253" s="6">
        <v>-3</v>
      </c>
      <c r="G253" s="6">
        <v>203</v>
      </c>
      <c r="H253" s="6">
        <v>2</v>
      </c>
      <c r="I253" s="6">
        <v>8.2</v>
      </c>
      <c r="J253" s="6">
        <v>4.04</v>
      </c>
    </row>
    <row r="254" spans="2:10">
      <c r="B254" s="6">
        <v>105</v>
      </c>
      <c r="C254" s="6">
        <v>20</v>
      </c>
      <c r="D254" s="52" t="s">
        <v>239</v>
      </c>
      <c r="E254" s="52" t="s">
        <v>11</v>
      </c>
      <c r="F254" s="6">
        <v>6.9</v>
      </c>
      <c r="G254" s="6">
        <v>214</v>
      </c>
      <c r="H254" s="6">
        <v>0</v>
      </c>
      <c r="I254" s="6">
        <v>7.4</v>
      </c>
      <c r="J254" s="6">
        <v>3.42</v>
      </c>
    </row>
    <row r="255" spans="2:10">
      <c r="B255" s="6">
        <v>105</v>
      </c>
      <c r="C255" s="6">
        <v>21</v>
      </c>
      <c r="D255" s="52" t="s">
        <v>240</v>
      </c>
      <c r="E255" s="52" t="s">
        <v>11</v>
      </c>
      <c r="F255" s="6">
        <v>12</v>
      </c>
      <c r="G255" s="6">
        <v>210</v>
      </c>
      <c r="H255" s="6">
        <v>0</v>
      </c>
      <c r="I255" s="6">
        <v>7.4</v>
      </c>
      <c r="J255" s="6">
        <v>4.02</v>
      </c>
    </row>
    <row r="256" spans="2:10">
      <c r="B256" s="6">
        <v>105</v>
      </c>
      <c r="C256" s="6">
        <v>22</v>
      </c>
      <c r="D256" s="52" t="s">
        <v>241</v>
      </c>
      <c r="E256" s="52" t="s">
        <v>11</v>
      </c>
      <c r="F256" s="6">
        <v>17.6</v>
      </c>
      <c r="G256" s="6">
        <v>235</v>
      </c>
      <c r="H256" s="6">
        <v>20</v>
      </c>
      <c r="I256" s="6">
        <v>6.8</v>
      </c>
      <c r="J256" s="6">
        <v>3.45</v>
      </c>
    </row>
    <row r="257" spans="2:11">
      <c r="B257" s="6">
        <v>105</v>
      </c>
      <c r="C257" s="6">
        <v>23</v>
      </c>
      <c r="D257" s="52" t="s">
        <v>242</v>
      </c>
      <c r="E257" s="52" t="s">
        <v>11</v>
      </c>
      <c r="I257" s="6">
        <v>7.3</v>
      </c>
      <c r="K257" s="6" t="s">
        <v>222</v>
      </c>
    </row>
    <row r="259" s="3" customFormat="1" spans="1:11">
      <c r="A259" s="58" t="s">
        <v>243</v>
      </c>
      <c r="B259" s="30" t="s">
        <v>1</v>
      </c>
      <c r="C259" s="31" t="s">
        <v>2</v>
      </c>
      <c r="D259" s="32" t="s">
        <v>3</v>
      </c>
      <c r="E259" s="32" t="s">
        <v>4</v>
      </c>
      <c r="F259" s="33" t="s">
        <v>5</v>
      </c>
      <c r="G259" s="33" t="s">
        <v>6</v>
      </c>
      <c r="H259" s="33" t="s">
        <v>7</v>
      </c>
      <c r="I259" s="33">
        <v>50</v>
      </c>
      <c r="J259" s="33" t="s">
        <v>8</v>
      </c>
      <c r="K259" s="31" t="s">
        <v>9</v>
      </c>
    </row>
    <row r="260" spans="2:10">
      <c r="B260" s="6">
        <v>106</v>
      </c>
      <c r="C260" s="6">
        <v>1</v>
      </c>
      <c r="D260" s="39" t="s">
        <v>244</v>
      </c>
      <c r="E260" s="29" t="s">
        <v>11</v>
      </c>
      <c r="F260" s="6">
        <v>5.5</v>
      </c>
      <c r="G260" s="6">
        <v>220</v>
      </c>
      <c r="H260" s="6">
        <v>3</v>
      </c>
      <c r="I260" s="6">
        <v>7</v>
      </c>
      <c r="J260" s="6">
        <v>3.34</v>
      </c>
    </row>
    <row r="261" spans="2:10">
      <c r="B261" s="6">
        <v>106</v>
      </c>
      <c r="C261" s="6">
        <v>2</v>
      </c>
      <c r="D261" s="29" t="s">
        <v>245</v>
      </c>
      <c r="E261" s="29" t="s">
        <v>11</v>
      </c>
      <c r="F261" s="6">
        <v>9.2</v>
      </c>
      <c r="G261" s="6">
        <v>220</v>
      </c>
      <c r="H261" s="6">
        <v>17</v>
      </c>
      <c r="I261" s="6">
        <v>7</v>
      </c>
      <c r="J261" s="6">
        <v>3.37</v>
      </c>
    </row>
    <row r="262" spans="2:10">
      <c r="B262" s="6">
        <v>106</v>
      </c>
      <c r="C262" s="6">
        <v>3</v>
      </c>
      <c r="D262" s="29" t="s">
        <v>246</v>
      </c>
      <c r="E262" s="29" t="s">
        <v>11</v>
      </c>
      <c r="F262" s="6">
        <v>5.2</v>
      </c>
      <c r="G262" s="6">
        <v>215</v>
      </c>
      <c r="H262" s="6">
        <v>2</v>
      </c>
      <c r="I262" s="6">
        <v>7.8</v>
      </c>
      <c r="J262" s="6">
        <v>3.57</v>
      </c>
    </row>
    <row r="263" spans="2:10">
      <c r="B263" s="6">
        <v>106</v>
      </c>
      <c r="C263" s="6">
        <v>4</v>
      </c>
      <c r="D263" s="29" t="s">
        <v>247</v>
      </c>
      <c r="E263" s="29" t="s">
        <v>11</v>
      </c>
      <c r="F263" s="6">
        <v>6.9</v>
      </c>
      <c r="G263" s="6">
        <v>200</v>
      </c>
      <c r="H263" s="6">
        <v>4</v>
      </c>
      <c r="I263" s="6">
        <v>7</v>
      </c>
      <c r="J263" s="6">
        <v>3.4</v>
      </c>
    </row>
    <row r="264" spans="2:10">
      <c r="B264" s="6">
        <v>106</v>
      </c>
      <c r="C264" s="6">
        <v>5</v>
      </c>
      <c r="D264" s="29" t="s">
        <v>248</v>
      </c>
      <c r="E264" s="29" t="s">
        <v>11</v>
      </c>
      <c r="F264" s="6">
        <v>8.5</v>
      </c>
      <c r="G264" s="6">
        <v>213</v>
      </c>
      <c r="H264" s="6">
        <v>0</v>
      </c>
      <c r="I264" s="6">
        <v>8</v>
      </c>
      <c r="J264" s="6">
        <v>4.17</v>
      </c>
    </row>
    <row r="265" spans="2:10">
      <c r="B265" s="6">
        <v>106</v>
      </c>
      <c r="C265" s="6">
        <v>6</v>
      </c>
      <c r="D265" s="29" t="s">
        <v>249</v>
      </c>
      <c r="E265" s="29" t="s">
        <v>11</v>
      </c>
      <c r="F265" s="6">
        <v>16.1</v>
      </c>
      <c r="G265" s="6">
        <v>250</v>
      </c>
      <c r="H265" s="6">
        <v>6</v>
      </c>
      <c r="I265" s="6">
        <v>7.2</v>
      </c>
      <c r="J265" s="6">
        <v>4.03</v>
      </c>
    </row>
    <row r="266" spans="2:11">
      <c r="B266" s="6">
        <v>106</v>
      </c>
      <c r="C266" s="6">
        <v>7</v>
      </c>
      <c r="D266" s="29" t="s">
        <v>250</v>
      </c>
      <c r="E266" s="29" t="s">
        <v>11</v>
      </c>
      <c r="K266" s="6" t="s">
        <v>251</v>
      </c>
    </row>
    <row r="267" spans="2:10">
      <c r="B267" s="6">
        <v>106</v>
      </c>
      <c r="C267" s="6">
        <v>8</v>
      </c>
      <c r="D267" s="29" t="s">
        <v>252</v>
      </c>
      <c r="E267" s="29" t="s">
        <v>11</v>
      </c>
      <c r="F267" s="6">
        <v>0.2</v>
      </c>
      <c r="G267" s="6">
        <v>250</v>
      </c>
      <c r="H267" s="6">
        <v>26</v>
      </c>
      <c r="I267" s="6">
        <v>6.6</v>
      </c>
      <c r="J267" s="6">
        <v>3.04</v>
      </c>
    </row>
    <row r="268" spans="2:10">
      <c r="B268" s="6">
        <v>106</v>
      </c>
      <c r="C268" s="6">
        <v>9</v>
      </c>
      <c r="D268" s="29" t="s">
        <v>253</v>
      </c>
      <c r="E268" s="29" t="s">
        <v>11</v>
      </c>
      <c r="F268" s="6">
        <v>9</v>
      </c>
      <c r="G268" s="6">
        <v>205</v>
      </c>
      <c r="H268" s="6">
        <v>0</v>
      </c>
      <c r="I268" s="6">
        <v>7.9</v>
      </c>
      <c r="J268" s="6">
        <v>3.52</v>
      </c>
    </row>
    <row r="269" spans="2:10">
      <c r="B269" s="6">
        <v>106</v>
      </c>
      <c r="C269" s="6">
        <v>10</v>
      </c>
      <c r="D269" s="29" t="s">
        <v>254</v>
      </c>
      <c r="E269" s="29" t="s">
        <v>11</v>
      </c>
      <c r="F269" s="6">
        <v>6.2</v>
      </c>
      <c r="G269" s="6">
        <v>255</v>
      </c>
      <c r="H269" s="6">
        <v>20</v>
      </c>
      <c r="I269" s="6">
        <v>7.1</v>
      </c>
      <c r="J269" s="6">
        <v>4.01</v>
      </c>
    </row>
    <row r="270" s="3" customFormat="1" spans="1:11">
      <c r="A270" s="58" t="s">
        <v>255</v>
      </c>
      <c r="B270" s="30" t="s">
        <v>1</v>
      </c>
      <c r="C270" s="31" t="s">
        <v>2</v>
      </c>
      <c r="D270" s="32" t="s">
        <v>3</v>
      </c>
      <c r="E270" s="32" t="s">
        <v>4</v>
      </c>
      <c r="F270" s="33" t="s">
        <v>5</v>
      </c>
      <c r="G270" s="33" t="s">
        <v>6</v>
      </c>
      <c r="H270" s="33" t="s">
        <v>7</v>
      </c>
      <c r="I270" s="33">
        <v>50</v>
      </c>
      <c r="J270" s="33" t="s">
        <v>8</v>
      </c>
      <c r="K270" s="31" t="s">
        <v>9</v>
      </c>
    </row>
    <row r="271" spans="2:11">
      <c r="B271" s="6">
        <v>106</v>
      </c>
      <c r="C271" s="6">
        <v>11</v>
      </c>
      <c r="D271" s="39" t="s">
        <v>256</v>
      </c>
      <c r="E271" s="29" t="s">
        <v>11</v>
      </c>
      <c r="F271" s="6">
        <v>-2.8</v>
      </c>
      <c r="G271" s="6">
        <v>220</v>
      </c>
      <c r="H271" s="6">
        <v>23</v>
      </c>
      <c r="I271" s="6">
        <v>7.3</v>
      </c>
      <c r="K271" s="6" t="s">
        <v>26</v>
      </c>
    </row>
    <row r="272" spans="2:11">
      <c r="B272" s="6">
        <v>106</v>
      </c>
      <c r="C272" s="6">
        <v>12</v>
      </c>
      <c r="D272" s="29" t="s">
        <v>257</v>
      </c>
      <c r="E272" s="29" t="s">
        <v>11</v>
      </c>
      <c r="I272" s="6">
        <v>8</v>
      </c>
      <c r="K272" s="6" t="s">
        <v>84</v>
      </c>
    </row>
    <row r="273" spans="2:11">
      <c r="B273" s="6">
        <v>106</v>
      </c>
      <c r="C273" s="6">
        <v>13</v>
      </c>
      <c r="D273" s="29" t="s">
        <v>258</v>
      </c>
      <c r="E273" s="29" t="s">
        <v>11</v>
      </c>
      <c r="I273" s="6">
        <v>7.2</v>
      </c>
      <c r="K273" s="6" t="s">
        <v>84</v>
      </c>
    </row>
    <row r="274" spans="2:10">
      <c r="B274" s="6">
        <v>106</v>
      </c>
      <c r="C274" s="6">
        <v>14</v>
      </c>
      <c r="D274" s="29" t="s">
        <v>259</v>
      </c>
      <c r="E274" s="29" t="s">
        <v>11</v>
      </c>
      <c r="F274" s="6">
        <v>-8.8</v>
      </c>
      <c r="G274" s="6">
        <v>195</v>
      </c>
      <c r="H274" s="6">
        <v>1</v>
      </c>
      <c r="I274" s="6">
        <v>7.4</v>
      </c>
      <c r="J274" s="6">
        <v>4.05</v>
      </c>
    </row>
    <row r="275" spans="2:10">
      <c r="B275" s="6">
        <v>106</v>
      </c>
      <c r="C275" s="6">
        <v>15</v>
      </c>
      <c r="D275" s="29" t="s">
        <v>260</v>
      </c>
      <c r="E275" s="29" t="s">
        <v>11</v>
      </c>
      <c r="F275" s="6">
        <v>12</v>
      </c>
      <c r="G275" s="6">
        <v>230</v>
      </c>
      <c r="H275" s="6">
        <v>20</v>
      </c>
      <c r="I275" s="6">
        <v>7</v>
      </c>
      <c r="J275" s="6">
        <v>3.33</v>
      </c>
    </row>
    <row r="276" spans="2:10">
      <c r="B276" s="6">
        <v>106</v>
      </c>
      <c r="C276" s="6">
        <v>16</v>
      </c>
      <c r="D276" s="29" t="s">
        <v>261</v>
      </c>
      <c r="E276" s="29" t="s">
        <v>11</v>
      </c>
      <c r="F276" s="6">
        <v>13.7</v>
      </c>
      <c r="G276" s="6">
        <v>192</v>
      </c>
      <c r="H276" s="6">
        <v>9</v>
      </c>
      <c r="I276" s="6">
        <v>7.8</v>
      </c>
      <c r="J276" s="6">
        <v>4.21</v>
      </c>
    </row>
    <row r="277" spans="2:10">
      <c r="B277" s="6">
        <v>106</v>
      </c>
      <c r="C277" s="6">
        <v>17</v>
      </c>
      <c r="D277" s="29" t="s">
        <v>262</v>
      </c>
      <c r="E277" s="29" t="s">
        <v>11</v>
      </c>
      <c r="F277" s="6">
        <v>17.7</v>
      </c>
      <c r="G277" s="6">
        <v>274</v>
      </c>
      <c r="H277" s="6">
        <v>5</v>
      </c>
      <c r="I277" s="6">
        <v>7</v>
      </c>
      <c r="J277" s="6">
        <v>3.32</v>
      </c>
    </row>
    <row r="278" spans="2:10">
      <c r="B278" s="6">
        <v>106</v>
      </c>
      <c r="C278" s="6">
        <v>18</v>
      </c>
      <c r="D278" s="29" t="s">
        <v>263</v>
      </c>
      <c r="E278" s="29" t="s">
        <v>11</v>
      </c>
      <c r="F278" s="6">
        <v>11</v>
      </c>
      <c r="G278" s="6">
        <v>255</v>
      </c>
      <c r="H278" s="6">
        <v>14</v>
      </c>
      <c r="I278" s="6">
        <v>6.9</v>
      </c>
      <c r="J278" s="6">
        <v>3.31</v>
      </c>
    </row>
    <row r="279" spans="2:10">
      <c r="B279" s="6">
        <v>106</v>
      </c>
      <c r="C279" s="6">
        <v>19</v>
      </c>
      <c r="D279" s="29" t="s">
        <v>264</v>
      </c>
      <c r="E279" s="29" t="s">
        <v>11</v>
      </c>
      <c r="F279" s="6">
        <v>17.2</v>
      </c>
      <c r="G279" s="6">
        <v>220</v>
      </c>
      <c r="H279" s="6">
        <v>1</v>
      </c>
      <c r="I279" s="6">
        <v>8.1</v>
      </c>
      <c r="J279" s="6">
        <v>5.19</v>
      </c>
    </row>
    <row r="280" spans="2:10">
      <c r="B280" s="6">
        <v>106</v>
      </c>
      <c r="C280" s="6">
        <v>20</v>
      </c>
      <c r="D280" s="29" t="s">
        <v>265</v>
      </c>
      <c r="E280" s="29" t="s">
        <v>11</v>
      </c>
      <c r="F280" s="6">
        <v>8.4</v>
      </c>
      <c r="G280" s="6">
        <v>210</v>
      </c>
      <c r="H280" s="6">
        <v>2</v>
      </c>
      <c r="I280" s="6">
        <v>7.6</v>
      </c>
      <c r="J280" s="6">
        <v>4.32</v>
      </c>
    </row>
    <row r="281" s="3" customFormat="1" spans="1:11">
      <c r="A281" s="58" t="s">
        <v>266</v>
      </c>
      <c r="B281" s="30" t="s">
        <v>1</v>
      </c>
      <c r="C281" s="31" t="s">
        <v>2</v>
      </c>
      <c r="D281" s="32" t="s">
        <v>3</v>
      </c>
      <c r="E281" s="32" t="s">
        <v>4</v>
      </c>
      <c r="F281" s="33" t="s">
        <v>5</v>
      </c>
      <c r="G281" s="33" t="s">
        <v>6</v>
      </c>
      <c r="H281" s="33" t="s">
        <v>7</v>
      </c>
      <c r="I281" s="33">
        <v>50</v>
      </c>
      <c r="J281" s="33" t="s">
        <v>8</v>
      </c>
      <c r="K281" s="31" t="s">
        <v>9</v>
      </c>
    </row>
    <row r="282" spans="2:10">
      <c r="B282" s="6">
        <v>106</v>
      </c>
      <c r="C282" s="6">
        <v>21</v>
      </c>
      <c r="D282" s="39" t="s">
        <v>267</v>
      </c>
      <c r="E282" s="29" t="s">
        <v>11</v>
      </c>
      <c r="F282" s="6">
        <v>15</v>
      </c>
      <c r="G282" s="6">
        <v>236</v>
      </c>
      <c r="H282" s="6">
        <v>1</v>
      </c>
      <c r="I282" s="6">
        <v>7</v>
      </c>
      <c r="J282" s="6">
        <v>3.37</v>
      </c>
    </row>
    <row r="283" spans="2:10">
      <c r="B283" s="6">
        <v>106</v>
      </c>
      <c r="C283" s="6">
        <v>22</v>
      </c>
      <c r="D283" s="29" t="s">
        <v>268</v>
      </c>
      <c r="E283" s="29" t="s">
        <v>11</v>
      </c>
      <c r="F283" s="6">
        <v>11.7</v>
      </c>
      <c r="G283" s="6">
        <v>235</v>
      </c>
      <c r="H283" s="6">
        <v>2</v>
      </c>
      <c r="I283" s="6">
        <v>6.8</v>
      </c>
      <c r="J283" s="6">
        <v>3.33</v>
      </c>
    </row>
    <row r="284" spans="2:11">
      <c r="B284" s="6">
        <v>106</v>
      </c>
      <c r="C284" s="6">
        <v>23</v>
      </c>
      <c r="D284" s="29" t="s">
        <v>269</v>
      </c>
      <c r="E284" s="29" t="s">
        <v>11</v>
      </c>
      <c r="K284" s="6" t="s">
        <v>84</v>
      </c>
    </row>
    <row r="285" spans="2:11">
      <c r="B285" s="6">
        <v>106</v>
      </c>
      <c r="C285" s="6">
        <v>24</v>
      </c>
      <c r="D285" s="29" t="s">
        <v>270</v>
      </c>
      <c r="E285" s="29" t="s">
        <v>11</v>
      </c>
      <c r="I285" s="6">
        <v>7.7</v>
      </c>
      <c r="K285" s="6" t="s">
        <v>84</v>
      </c>
    </row>
    <row r="286" spans="2:10">
      <c r="B286" s="6">
        <v>106</v>
      </c>
      <c r="C286" s="6">
        <v>25</v>
      </c>
      <c r="D286" s="29" t="s">
        <v>271</v>
      </c>
      <c r="E286" s="29" t="s">
        <v>11</v>
      </c>
      <c r="F286" s="6">
        <v>8</v>
      </c>
      <c r="G286" s="6">
        <v>220</v>
      </c>
      <c r="H286" s="6">
        <v>0</v>
      </c>
      <c r="I286" s="6">
        <v>7.1</v>
      </c>
      <c r="J286" s="6">
        <v>3.49</v>
      </c>
    </row>
    <row r="287" spans="2:10">
      <c r="B287" s="6">
        <v>106</v>
      </c>
      <c r="C287" s="6">
        <v>26</v>
      </c>
      <c r="D287" s="29" t="s">
        <v>272</v>
      </c>
      <c r="E287" s="29" t="s">
        <v>11</v>
      </c>
      <c r="F287" s="6">
        <v>16.5</v>
      </c>
      <c r="G287" s="6">
        <v>212</v>
      </c>
      <c r="H287" s="6">
        <v>0</v>
      </c>
      <c r="I287" s="6">
        <v>7.9</v>
      </c>
      <c r="J287" s="6">
        <v>4.13</v>
      </c>
    </row>
    <row r="288" spans="2:10">
      <c r="B288" s="6">
        <v>106</v>
      </c>
      <c r="C288" s="6">
        <v>27</v>
      </c>
      <c r="D288" s="29" t="s">
        <v>273</v>
      </c>
      <c r="E288" s="29" t="s">
        <v>11</v>
      </c>
      <c r="F288" s="6">
        <v>18.5</v>
      </c>
      <c r="G288" s="6">
        <v>212</v>
      </c>
      <c r="H288" s="6">
        <v>17</v>
      </c>
      <c r="I288" s="6">
        <v>7.8</v>
      </c>
      <c r="J288" s="6">
        <v>4.08</v>
      </c>
    </row>
    <row r="289" spans="2:10">
      <c r="B289" s="6">
        <v>106</v>
      </c>
      <c r="C289" s="6">
        <v>28</v>
      </c>
      <c r="D289" s="29" t="s">
        <v>274</v>
      </c>
      <c r="E289" s="29" t="s">
        <v>11</v>
      </c>
      <c r="F289" s="6">
        <v>16.6</v>
      </c>
      <c r="G289" s="6">
        <v>180</v>
      </c>
      <c r="H289" s="6">
        <v>0</v>
      </c>
      <c r="I289" s="6">
        <v>7.9</v>
      </c>
      <c r="J289" s="6">
        <v>4.16</v>
      </c>
    </row>
    <row r="290" spans="2:10">
      <c r="B290" s="6">
        <v>106</v>
      </c>
      <c r="C290" s="6">
        <v>29</v>
      </c>
      <c r="D290" s="29" t="s">
        <v>275</v>
      </c>
      <c r="E290" s="29" t="s">
        <v>11</v>
      </c>
      <c r="F290" s="6">
        <v>12</v>
      </c>
      <c r="G290" s="6">
        <v>175</v>
      </c>
      <c r="H290" s="6">
        <v>0</v>
      </c>
      <c r="I290" s="6">
        <v>8.7</v>
      </c>
      <c r="J290" s="6">
        <v>4.52</v>
      </c>
    </row>
    <row r="291" spans="4:5">
      <c r="D291" s="29"/>
      <c r="E291" s="29"/>
    </row>
    <row r="293" s="3" customFormat="1" spans="1:11">
      <c r="A293" s="58" t="s">
        <v>276</v>
      </c>
      <c r="B293" s="30" t="s">
        <v>1</v>
      </c>
      <c r="C293" s="31" t="s">
        <v>2</v>
      </c>
      <c r="D293" s="32" t="s">
        <v>3</v>
      </c>
      <c r="E293" s="32" t="s">
        <v>4</v>
      </c>
      <c r="F293" s="33" t="s">
        <v>5</v>
      </c>
      <c r="G293" s="33" t="s">
        <v>6</v>
      </c>
      <c r="H293" s="33" t="s">
        <v>7</v>
      </c>
      <c r="I293" s="33">
        <v>50</v>
      </c>
      <c r="J293" s="33" t="s">
        <v>8</v>
      </c>
      <c r="K293" s="31" t="s">
        <v>9</v>
      </c>
    </row>
    <row r="294" spans="2:10">
      <c r="B294" s="6">
        <v>106</v>
      </c>
      <c r="C294" s="6">
        <v>30</v>
      </c>
      <c r="D294" s="39" t="s">
        <v>277</v>
      </c>
      <c r="E294" s="29" t="s">
        <v>46</v>
      </c>
      <c r="F294" s="6">
        <v>20.6</v>
      </c>
      <c r="G294" s="6">
        <v>180</v>
      </c>
      <c r="H294" s="6">
        <v>49</v>
      </c>
      <c r="I294" s="6">
        <v>9</v>
      </c>
      <c r="J294" s="6">
        <v>3.57</v>
      </c>
    </row>
    <row r="295" spans="2:10">
      <c r="B295" s="6">
        <v>106</v>
      </c>
      <c r="C295" s="6">
        <v>31</v>
      </c>
      <c r="D295" s="29" t="s">
        <v>278</v>
      </c>
      <c r="E295" s="29" t="s">
        <v>46</v>
      </c>
      <c r="F295" s="6">
        <v>17.2</v>
      </c>
      <c r="G295" s="6">
        <v>155</v>
      </c>
      <c r="H295" s="6">
        <v>53</v>
      </c>
      <c r="I295" s="6">
        <v>9.2</v>
      </c>
      <c r="J295" s="6">
        <v>4.3</v>
      </c>
    </row>
    <row r="296" spans="2:10">
      <c r="B296" s="6">
        <v>106</v>
      </c>
      <c r="C296" s="6">
        <v>32</v>
      </c>
      <c r="D296" s="29" t="s">
        <v>279</v>
      </c>
      <c r="E296" s="29" t="s">
        <v>46</v>
      </c>
      <c r="F296" s="6">
        <v>21.1</v>
      </c>
      <c r="G296" s="6">
        <v>200</v>
      </c>
      <c r="H296" s="6">
        <v>47</v>
      </c>
      <c r="I296" s="6">
        <v>8.4</v>
      </c>
      <c r="J296" s="6">
        <v>3.43</v>
      </c>
    </row>
    <row r="297" spans="2:10">
      <c r="B297" s="6">
        <v>106</v>
      </c>
      <c r="C297" s="6">
        <v>33</v>
      </c>
      <c r="D297" s="29" t="s">
        <v>280</v>
      </c>
      <c r="E297" s="29" t="s">
        <v>46</v>
      </c>
      <c r="F297" s="6">
        <v>22</v>
      </c>
      <c r="G297" s="6">
        <v>202</v>
      </c>
      <c r="H297" s="6">
        <v>50</v>
      </c>
      <c r="I297" s="6">
        <v>8.4</v>
      </c>
      <c r="J297" s="6">
        <v>3.33</v>
      </c>
    </row>
    <row r="298" spans="2:10">
      <c r="B298" s="6">
        <v>106</v>
      </c>
      <c r="C298" s="6">
        <v>34</v>
      </c>
      <c r="D298" s="29" t="s">
        <v>281</v>
      </c>
      <c r="E298" s="29" t="s">
        <v>46</v>
      </c>
      <c r="F298" s="6">
        <v>21</v>
      </c>
      <c r="G298" s="6">
        <v>183</v>
      </c>
      <c r="H298" s="6">
        <v>58</v>
      </c>
      <c r="I298" s="6">
        <v>8.3</v>
      </c>
      <c r="J298" s="6">
        <v>3.17</v>
      </c>
    </row>
    <row r="299" spans="2:10">
      <c r="B299" s="6">
        <v>106</v>
      </c>
      <c r="C299" s="6">
        <v>35</v>
      </c>
      <c r="D299" s="29" t="s">
        <v>282</v>
      </c>
      <c r="E299" s="29" t="s">
        <v>46</v>
      </c>
      <c r="F299" s="6">
        <v>19</v>
      </c>
      <c r="G299" s="6">
        <v>179</v>
      </c>
      <c r="H299" s="6">
        <v>53</v>
      </c>
      <c r="I299" s="6">
        <v>9.1</v>
      </c>
      <c r="J299" s="6">
        <v>4.21</v>
      </c>
    </row>
    <row r="300" spans="2:10">
      <c r="B300" s="6">
        <v>106</v>
      </c>
      <c r="C300" s="6">
        <v>36</v>
      </c>
      <c r="D300" s="29" t="s">
        <v>283</v>
      </c>
      <c r="E300" s="29" t="s">
        <v>46</v>
      </c>
      <c r="F300" s="6">
        <v>20</v>
      </c>
      <c r="G300" s="6">
        <v>170</v>
      </c>
      <c r="H300" s="6">
        <v>46</v>
      </c>
      <c r="I300" s="6">
        <v>9</v>
      </c>
      <c r="J300" s="6">
        <v>3.48</v>
      </c>
    </row>
    <row r="301" spans="2:10">
      <c r="B301" s="6">
        <v>106</v>
      </c>
      <c r="C301" s="6">
        <v>37</v>
      </c>
      <c r="D301" s="29" t="s">
        <v>284</v>
      </c>
      <c r="E301" s="29" t="s">
        <v>46</v>
      </c>
      <c r="F301" s="6">
        <v>12.2</v>
      </c>
      <c r="G301" s="6">
        <v>165</v>
      </c>
      <c r="H301" s="6">
        <v>48</v>
      </c>
      <c r="I301" s="6">
        <v>8.8</v>
      </c>
      <c r="J301" s="6">
        <v>3.49</v>
      </c>
    </row>
    <row r="302" spans="2:10">
      <c r="B302" s="6">
        <v>106</v>
      </c>
      <c r="C302" s="6">
        <v>38</v>
      </c>
      <c r="D302" s="29" t="s">
        <v>285</v>
      </c>
      <c r="E302" s="29" t="s">
        <v>46</v>
      </c>
      <c r="F302" s="6">
        <v>8.5</v>
      </c>
      <c r="G302" s="6">
        <v>165</v>
      </c>
      <c r="H302" s="6">
        <v>46</v>
      </c>
      <c r="I302" s="6">
        <v>8.9</v>
      </c>
      <c r="J302" s="6">
        <v>4.15</v>
      </c>
    </row>
    <row r="303" spans="2:11">
      <c r="B303" s="6">
        <v>106</v>
      </c>
      <c r="C303" s="6">
        <v>39</v>
      </c>
      <c r="D303" s="29" t="s">
        <v>286</v>
      </c>
      <c r="E303" s="29" t="s">
        <v>46</v>
      </c>
      <c r="I303" s="6">
        <v>8.5</v>
      </c>
      <c r="K303" s="6" t="s">
        <v>84</v>
      </c>
    </row>
    <row r="304" spans="4:5">
      <c r="D304" s="29"/>
      <c r="E304" s="29"/>
    </row>
    <row r="306" s="3" customFormat="1" spans="1:11">
      <c r="A306" s="58" t="s">
        <v>287</v>
      </c>
      <c r="B306" s="30" t="s">
        <v>1</v>
      </c>
      <c r="C306" s="31" t="s">
        <v>2</v>
      </c>
      <c r="D306" s="32" t="s">
        <v>3</v>
      </c>
      <c r="E306" s="32" t="s">
        <v>4</v>
      </c>
      <c r="F306" s="33" t="s">
        <v>5</v>
      </c>
      <c r="G306" s="33" t="s">
        <v>6</v>
      </c>
      <c r="H306" s="33" t="s">
        <v>7</v>
      </c>
      <c r="I306" s="33">
        <v>50</v>
      </c>
      <c r="J306" s="33" t="s">
        <v>8</v>
      </c>
      <c r="K306" s="31" t="s">
        <v>9</v>
      </c>
    </row>
    <row r="307" spans="2:10">
      <c r="B307" s="6">
        <v>106</v>
      </c>
      <c r="C307" s="6">
        <v>40</v>
      </c>
      <c r="D307" s="39" t="s">
        <v>288</v>
      </c>
      <c r="E307" s="29" t="s">
        <v>46</v>
      </c>
      <c r="F307" s="6">
        <v>6</v>
      </c>
      <c r="G307" s="6">
        <v>159</v>
      </c>
      <c r="H307" s="6">
        <v>35</v>
      </c>
      <c r="I307" s="6">
        <v>9.9</v>
      </c>
      <c r="J307" s="6">
        <v>4.51</v>
      </c>
    </row>
    <row r="308" spans="2:10">
      <c r="B308" s="6">
        <v>106</v>
      </c>
      <c r="C308" s="6">
        <v>41</v>
      </c>
      <c r="D308" s="29" t="s">
        <v>289</v>
      </c>
      <c r="E308" s="29" t="s">
        <v>46</v>
      </c>
      <c r="F308" s="6">
        <v>21</v>
      </c>
      <c r="G308" s="6">
        <v>149</v>
      </c>
      <c r="H308" s="6">
        <v>50</v>
      </c>
      <c r="I308" s="6">
        <v>8.5</v>
      </c>
      <c r="J308" s="6">
        <v>3.52</v>
      </c>
    </row>
    <row r="309" spans="2:10">
      <c r="B309" s="6">
        <v>106</v>
      </c>
      <c r="C309" s="6">
        <v>42</v>
      </c>
      <c r="D309" s="29" t="s">
        <v>290</v>
      </c>
      <c r="E309" s="29" t="s">
        <v>46</v>
      </c>
      <c r="F309" s="6">
        <v>15</v>
      </c>
      <c r="G309" s="6">
        <v>158</v>
      </c>
      <c r="H309" s="6">
        <v>49</v>
      </c>
      <c r="I309" s="6">
        <v>8.7</v>
      </c>
      <c r="J309" s="6">
        <v>3.59</v>
      </c>
    </row>
    <row r="310" spans="2:10">
      <c r="B310" s="6">
        <v>106</v>
      </c>
      <c r="C310" s="6">
        <v>43</v>
      </c>
      <c r="D310" s="29" t="s">
        <v>291</v>
      </c>
      <c r="E310" s="29" t="s">
        <v>46</v>
      </c>
      <c r="F310" s="6">
        <v>17</v>
      </c>
      <c r="G310" s="6">
        <v>200</v>
      </c>
      <c r="H310" s="6">
        <v>50</v>
      </c>
      <c r="I310" s="6">
        <v>8.9</v>
      </c>
      <c r="J310" s="6">
        <v>3.42</v>
      </c>
    </row>
    <row r="311" spans="2:10">
      <c r="B311" s="6">
        <v>106</v>
      </c>
      <c r="C311" s="6">
        <v>44</v>
      </c>
      <c r="D311" s="29" t="s">
        <v>292</v>
      </c>
      <c r="E311" s="29" t="s">
        <v>46</v>
      </c>
      <c r="F311" s="6">
        <v>14</v>
      </c>
      <c r="G311" s="6">
        <v>159</v>
      </c>
      <c r="H311" s="6">
        <v>52</v>
      </c>
      <c r="I311" s="6">
        <v>8.7</v>
      </c>
      <c r="J311" s="6">
        <v>3.45</v>
      </c>
    </row>
    <row r="312" spans="2:9">
      <c r="B312" s="6">
        <v>106</v>
      </c>
      <c r="C312" s="6">
        <v>45</v>
      </c>
      <c r="D312" s="29" t="s">
        <v>293</v>
      </c>
      <c r="E312" s="29" t="s">
        <v>46</v>
      </c>
      <c r="F312" s="6">
        <v>18</v>
      </c>
      <c r="G312" s="6">
        <v>155</v>
      </c>
      <c r="H312" s="6">
        <v>46</v>
      </c>
      <c r="I312" s="6">
        <v>8.7</v>
      </c>
    </row>
    <row r="313" spans="2:10">
      <c r="B313" s="6">
        <v>106</v>
      </c>
      <c r="C313" s="6">
        <v>46</v>
      </c>
      <c r="D313" s="29" t="s">
        <v>294</v>
      </c>
      <c r="E313" s="29" t="s">
        <v>46</v>
      </c>
      <c r="F313" s="6">
        <v>25</v>
      </c>
      <c r="G313" s="6">
        <v>149</v>
      </c>
      <c r="H313" s="6">
        <v>38</v>
      </c>
      <c r="I313" s="6">
        <v>9.1</v>
      </c>
      <c r="J313" s="6">
        <v>4.39</v>
      </c>
    </row>
    <row r="314" spans="2:10">
      <c r="B314" s="6">
        <v>106</v>
      </c>
      <c r="C314" s="6">
        <v>47</v>
      </c>
      <c r="D314" s="29" t="s">
        <v>295</v>
      </c>
      <c r="E314" s="29" t="s">
        <v>46</v>
      </c>
      <c r="F314" s="6">
        <v>11</v>
      </c>
      <c r="G314" s="6">
        <v>145</v>
      </c>
      <c r="H314" s="6">
        <v>43</v>
      </c>
      <c r="I314" s="6">
        <v>9.1</v>
      </c>
      <c r="J314" s="6">
        <v>3.36</v>
      </c>
    </row>
    <row r="315" spans="2:10">
      <c r="B315" s="6">
        <v>106</v>
      </c>
      <c r="C315" s="6">
        <v>48</v>
      </c>
      <c r="D315" s="30" t="s">
        <v>296</v>
      </c>
      <c r="E315" s="30" t="s">
        <v>46</v>
      </c>
      <c r="F315" s="6">
        <v>28</v>
      </c>
      <c r="G315" s="6">
        <v>202</v>
      </c>
      <c r="H315" s="6">
        <v>43</v>
      </c>
      <c r="I315" s="6">
        <v>8.7</v>
      </c>
      <c r="J315" s="6">
        <v>3.32</v>
      </c>
    </row>
    <row r="316" s="3" customFormat="1" spans="1:11">
      <c r="A316" s="58" t="s">
        <v>297</v>
      </c>
      <c r="B316" s="30" t="s">
        <v>1</v>
      </c>
      <c r="C316" s="31" t="s">
        <v>2</v>
      </c>
      <c r="D316" s="32" t="s">
        <v>3</v>
      </c>
      <c r="E316" s="32" t="s">
        <v>4</v>
      </c>
      <c r="F316" s="33" t="s">
        <v>5</v>
      </c>
      <c r="G316" s="33" t="s">
        <v>6</v>
      </c>
      <c r="H316" s="33" t="s">
        <v>7</v>
      </c>
      <c r="I316" s="33">
        <v>50</v>
      </c>
      <c r="J316" s="33" t="s">
        <v>8</v>
      </c>
      <c r="K316" s="31" t="s">
        <v>9</v>
      </c>
    </row>
    <row r="317" spans="2:10">
      <c r="B317" s="6">
        <v>107</v>
      </c>
      <c r="C317" s="6">
        <v>1</v>
      </c>
      <c r="D317" s="39" t="s">
        <v>298</v>
      </c>
      <c r="E317" s="29" t="s">
        <v>11</v>
      </c>
      <c r="F317" s="6">
        <v>18.4</v>
      </c>
      <c r="G317" s="6">
        <v>243</v>
      </c>
      <c r="H317" s="6">
        <v>3</v>
      </c>
      <c r="I317" s="6">
        <v>7.2</v>
      </c>
      <c r="J317" s="6">
        <v>3.58</v>
      </c>
    </row>
    <row r="318" spans="2:10">
      <c r="B318" s="6">
        <v>107</v>
      </c>
      <c r="C318" s="6">
        <v>2</v>
      </c>
      <c r="D318" s="29" t="s">
        <v>299</v>
      </c>
      <c r="E318" s="29" t="s">
        <v>11</v>
      </c>
      <c r="F318" s="6">
        <v>10.3</v>
      </c>
      <c r="G318" s="6">
        <v>215</v>
      </c>
      <c r="H318" s="6">
        <v>7</v>
      </c>
      <c r="I318" s="6">
        <v>7.4</v>
      </c>
      <c r="J318" s="6">
        <v>3.38</v>
      </c>
    </row>
    <row r="319" spans="2:10">
      <c r="B319" s="6">
        <v>107</v>
      </c>
      <c r="C319" s="6">
        <v>3</v>
      </c>
      <c r="D319" s="29" t="s">
        <v>300</v>
      </c>
      <c r="E319" s="29" t="s">
        <v>11</v>
      </c>
      <c r="F319" s="6">
        <v>15.4</v>
      </c>
      <c r="G319" s="6">
        <v>225</v>
      </c>
      <c r="H319" s="6">
        <v>15</v>
      </c>
      <c r="I319" s="6">
        <v>7.4</v>
      </c>
      <c r="J319" s="6">
        <v>3.42</v>
      </c>
    </row>
    <row r="320" spans="2:10">
      <c r="B320" s="6">
        <v>107</v>
      </c>
      <c r="C320" s="6">
        <v>4</v>
      </c>
      <c r="D320" s="29" t="s">
        <v>301</v>
      </c>
      <c r="E320" s="29" t="s">
        <v>11</v>
      </c>
      <c r="F320" s="6">
        <v>18.1</v>
      </c>
      <c r="G320" s="6">
        <v>255</v>
      </c>
      <c r="H320" s="6">
        <v>28</v>
      </c>
      <c r="I320" s="6">
        <v>6.7</v>
      </c>
      <c r="J320" s="6">
        <v>3.1</v>
      </c>
    </row>
    <row r="321" spans="2:10">
      <c r="B321" s="6">
        <v>107</v>
      </c>
      <c r="C321" s="6">
        <v>5</v>
      </c>
      <c r="D321" s="29" t="s">
        <v>302</v>
      </c>
      <c r="E321" s="29" t="s">
        <v>11</v>
      </c>
      <c r="F321" s="6">
        <v>23</v>
      </c>
      <c r="G321" s="6">
        <v>173</v>
      </c>
      <c r="H321" s="6">
        <v>1</v>
      </c>
      <c r="I321" s="6">
        <v>10.8</v>
      </c>
      <c r="J321" s="6">
        <v>5.18</v>
      </c>
    </row>
    <row r="322" spans="2:10">
      <c r="B322" s="6">
        <v>107</v>
      </c>
      <c r="C322" s="6">
        <v>6</v>
      </c>
      <c r="D322" s="29" t="s">
        <v>303</v>
      </c>
      <c r="E322" s="29" t="s">
        <v>11</v>
      </c>
      <c r="F322" s="6">
        <v>1.5</v>
      </c>
      <c r="G322" s="6">
        <v>190</v>
      </c>
      <c r="H322" s="6">
        <v>20</v>
      </c>
      <c r="I322" s="6">
        <v>7.3</v>
      </c>
      <c r="J322" s="6">
        <v>4.22</v>
      </c>
    </row>
    <row r="323" spans="2:10">
      <c r="B323" s="6">
        <v>107</v>
      </c>
      <c r="C323" s="6">
        <v>7</v>
      </c>
      <c r="D323" s="29" t="s">
        <v>304</v>
      </c>
      <c r="E323" s="29" t="s">
        <v>11</v>
      </c>
      <c r="F323" s="6">
        <v>-1.6</v>
      </c>
      <c r="G323" s="6">
        <v>213</v>
      </c>
      <c r="H323" s="6">
        <v>15</v>
      </c>
      <c r="I323" s="6">
        <v>7.8</v>
      </c>
      <c r="J323" s="6">
        <v>4.09</v>
      </c>
    </row>
    <row r="324" spans="2:10">
      <c r="B324" s="6">
        <v>107</v>
      </c>
      <c r="C324" s="6">
        <v>8</v>
      </c>
      <c r="D324" s="29" t="s">
        <v>305</v>
      </c>
      <c r="E324" s="29" t="s">
        <v>11</v>
      </c>
      <c r="F324" s="6">
        <v>17.3</v>
      </c>
      <c r="G324" s="6">
        <v>242</v>
      </c>
      <c r="H324" s="6">
        <v>13</v>
      </c>
      <c r="I324" s="6">
        <v>7</v>
      </c>
      <c r="J324" s="6">
        <v>3.2</v>
      </c>
    </row>
    <row r="325" spans="2:10">
      <c r="B325" s="6">
        <v>107</v>
      </c>
      <c r="C325" s="6">
        <v>9</v>
      </c>
      <c r="D325" s="29" t="s">
        <v>306</v>
      </c>
      <c r="E325" s="29" t="s">
        <v>11</v>
      </c>
      <c r="F325" s="6">
        <v>16</v>
      </c>
      <c r="G325" s="6">
        <v>235</v>
      </c>
      <c r="H325" s="6">
        <v>13</v>
      </c>
      <c r="I325" s="6">
        <v>7.7</v>
      </c>
      <c r="J325" s="6">
        <v>3.57</v>
      </c>
    </row>
    <row r="326" spans="2:10">
      <c r="B326" s="6">
        <v>107</v>
      </c>
      <c r="C326" s="6">
        <v>10</v>
      </c>
      <c r="D326" s="29" t="s">
        <v>307</v>
      </c>
      <c r="E326" s="29" t="s">
        <v>11</v>
      </c>
      <c r="F326" s="6">
        <v>10.5</v>
      </c>
      <c r="G326" s="6">
        <v>238</v>
      </c>
      <c r="H326" s="6">
        <v>16</v>
      </c>
      <c r="I326" s="6">
        <v>7.1</v>
      </c>
      <c r="J326" s="6">
        <v>3.39</v>
      </c>
    </row>
    <row r="328" s="3" customFormat="1" spans="1:11">
      <c r="A328" s="58" t="s">
        <v>308</v>
      </c>
      <c r="B328" s="30" t="s">
        <v>1</v>
      </c>
      <c r="C328" s="31" t="s">
        <v>2</v>
      </c>
      <c r="D328" s="32" t="s">
        <v>3</v>
      </c>
      <c r="E328" s="32" t="s">
        <v>4</v>
      </c>
      <c r="F328" s="33" t="s">
        <v>5</v>
      </c>
      <c r="G328" s="33" t="s">
        <v>6</v>
      </c>
      <c r="H328" s="33" t="s">
        <v>7</v>
      </c>
      <c r="I328" s="33">
        <v>50</v>
      </c>
      <c r="J328" s="33" t="s">
        <v>8</v>
      </c>
      <c r="K328" s="31" t="s">
        <v>9</v>
      </c>
    </row>
    <row r="329" spans="2:10">
      <c r="B329" s="6">
        <v>107</v>
      </c>
      <c r="C329" s="6">
        <v>11</v>
      </c>
      <c r="D329" s="39" t="s">
        <v>309</v>
      </c>
      <c r="E329" s="29" t="s">
        <v>11</v>
      </c>
      <c r="F329" s="6">
        <v>14.7</v>
      </c>
      <c r="G329" s="6">
        <v>260</v>
      </c>
      <c r="H329" s="6">
        <v>11</v>
      </c>
      <c r="I329" s="6">
        <v>7.2</v>
      </c>
      <c r="J329" s="6">
        <v>3.27</v>
      </c>
    </row>
    <row r="330" spans="2:10">
      <c r="B330" s="6">
        <v>107</v>
      </c>
      <c r="C330" s="6">
        <v>12</v>
      </c>
      <c r="D330" s="29" t="s">
        <v>310</v>
      </c>
      <c r="E330" s="29" t="s">
        <v>11</v>
      </c>
      <c r="F330" s="6">
        <v>4</v>
      </c>
      <c r="G330" s="6">
        <v>212</v>
      </c>
      <c r="H330" s="6">
        <v>2</v>
      </c>
      <c r="I330" s="6">
        <v>7</v>
      </c>
      <c r="J330" s="6">
        <v>3.19</v>
      </c>
    </row>
    <row r="331" spans="2:10">
      <c r="B331" s="6">
        <v>107</v>
      </c>
      <c r="C331" s="6">
        <v>13</v>
      </c>
      <c r="D331" s="29" t="s">
        <v>311</v>
      </c>
      <c r="E331" s="29" t="s">
        <v>11</v>
      </c>
      <c r="F331" s="6">
        <v>15.2</v>
      </c>
      <c r="G331" s="6">
        <v>227</v>
      </c>
      <c r="H331" s="6">
        <v>9</v>
      </c>
      <c r="I331" s="6">
        <v>7.2</v>
      </c>
      <c r="J331" s="6">
        <v>4</v>
      </c>
    </row>
    <row r="332" spans="2:10">
      <c r="B332" s="6">
        <v>107</v>
      </c>
      <c r="C332" s="6">
        <v>14</v>
      </c>
      <c r="D332" s="29" t="s">
        <v>312</v>
      </c>
      <c r="E332" s="29" t="s">
        <v>11</v>
      </c>
      <c r="F332" s="6">
        <v>12.1</v>
      </c>
      <c r="G332" s="6">
        <v>223</v>
      </c>
      <c r="H332" s="6">
        <v>13</v>
      </c>
      <c r="I332" s="6">
        <v>7.6</v>
      </c>
      <c r="J332" s="6">
        <v>4.05</v>
      </c>
    </row>
    <row r="333" spans="2:10">
      <c r="B333" s="6">
        <v>107</v>
      </c>
      <c r="C333" s="6">
        <v>15</v>
      </c>
      <c r="D333" s="29" t="s">
        <v>313</v>
      </c>
      <c r="E333" s="29" t="s">
        <v>11</v>
      </c>
      <c r="F333" s="6">
        <v>7.2</v>
      </c>
      <c r="G333" s="6">
        <v>247</v>
      </c>
      <c r="H333" s="6">
        <v>2</v>
      </c>
      <c r="I333" s="6">
        <v>6.7</v>
      </c>
      <c r="J333" s="6">
        <v>4.12</v>
      </c>
    </row>
    <row r="334" spans="2:10">
      <c r="B334" s="6">
        <v>107</v>
      </c>
      <c r="C334" s="6">
        <v>16</v>
      </c>
      <c r="D334" s="29" t="s">
        <v>314</v>
      </c>
      <c r="E334" s="29" t="s">
        <v>11</v>
      </c>
      <c r="F334" s="6">
        <v>15.5</v>
      </c>
      <c r="G334" s="6">
        <v>235</v>
      </c>
      <c r="H334" s="6">
        <v>16</v>
      </c>
      <c r="I334" s="6">
        <v>7.5</v>
      </c>
      <c r="J334" s="6">
        <v>3.21</v>
      </c>
    </row>
    <row r="335" spans="2:10">
      <c r="B335" s="6">
        <v>107</v>
      </c>
      <c r="C335" s="6">
        <v>17</v>
      </c>
      <c r="D335" s="29" t="s">
        <v>315</v>
      </c>
      <c r="E335" s="29" t="s">
        <v>11</v>
      </c>
      <c r="F335" s="6">
        <v>4.1</v>
      </c>
      <c r="G335" s="6">
        <v>195</v>
      </c>
      <c r="H335" s="6">
        <v>10</v>
      </c>
      <c r="I335" s="6">
        <v>7.3</v>
      </c>
      <c r="J335" s="6">
        <v>3.54</v>
      </c>
    </row>
    <row r="336" spans="2:10">
      <c r="B336" s="6">
        <v>107</v>
      </c>
      <c r="C336" s="6">
        <v>18</v>
      </c>
      <c r="D336" s="29" t="s">
        <v>316</v>
      </c>
      <c r="E336" s="29" t="s">
        <v>11</v>
      </c>
      <c r="F336" s="6">
        <v>22</v>
      </c>
      <c r="G336" s="6">
        <v>217</v>
      </c>
      <c r="H336" s="6">
        <v>7</v>
      </c>
      <c r="I336" s="6">
        <v>7</v>
      </c>
      <c r="J336" s="6">
        <v>3.26</v>
      </c>
    </row>
    <row r="337" spans="2:10">
      <c r="B337" s="6">
        <v>107</v>
      </c>
      <c r="C337" s="6">
        <v>19</v>
      </c>
      <c r="D337" s="29" t="s">
        <v>317</v>
      </c>
      <c r="E337" s="29" t="s">
        <v>11</v>
      </c>
      <c r="F337" s="6">
        <v>8</v>
      </c>
      <c r="G337" s="6">
        <v>213</v>
      </c>
      <c r="H337" s="6">
        <v>0</v>
      </c>
      <c r="I337" s="6">
        <v>7.4</v>
      </c>
      <c r="J337" s="6">
        <v>4.1</v>
      </c>
    </row>
    <row r="338" spans="2:10">
      <c r="B338" s="6">
        <v>107</v>
      </c>
      <c r="C338" s="6">
        <v>20</v>
      </c>
      <c r="D338" s="29" t="s">
        <v>318</v>
      </c>
      <c r="E338" s="29" t="s">
        <v>11</v>
      </c>
      <c r="F338" s="6">
        <v>15</v>
      </c>
      <c r="G338" s="6">
        <v>225</v>
      </c>
      <c r="H338" s="6">
        <v>20</v>
      </c>
      <c r="I338" s="6">
        <v>7.3</v>
      </c>
      <c r="J338" s="6">
        <v>3.29</v>
      </c>
    </row>
    <row r="339" spans="4:5">
      <c r="D339" s="29"/>
      <c r="E339" s="29"/>
    </row>
    <row r="341" s="3" customFormat="1" spans="1:11">
      <c r="A341" s="58" t="s">
        <v>319</v>
      </c>
      <c r="B341" s="30" t="s">
        <v>1</v>
      </c>
      <c r="C341" s="31" t="s">
        <v>2</v>
      </c>
      <c r="D341" s="32" t="s">
        <v>3</v>
      </c>
      <c r="E341" s="32" t="s">
        <v>4</v>
      </c>
      <c r="F341" s="33" t="s">
        <v>5</v>
      </c>
      <c r="G341" s="33" t="s">
        <v>6</v>
      </c>
      <c r="H341" s="33" t="s">
        <v>7</v>
      </c>
      <c r="I341" s="33">
        <v>50</v>
      </c>
      <c r="J341" s="33" t="s">
        <v>8</v>
      </c>
      <c r="K341" s="31" t="s">
        <v>9</v>
      </c>
    </row>
    <row r="342" spans="2:10">
      <c r="B342" s="6">
        <v>107</v>
      </c>
      <c r="C342" s="6">
        <v>21</v>
      </c>
      <c r="D342" s="39" t="s">
        <v>320</v>
      </c>
      <c r="E342" s="29" t="s">
        <v>11</v>
      </c>
      <c r="F342" s="6">
        <v>11.6</v>
      </c>
      <c r="G342" s="6">
        <v>262</v>
      </c>
      <c r="H342" s="6">
        <v>10</v>
      </c>
      <c r="I342" s="6">
        <v>6.8</v>
      </c>
      <c r="J342" s="6">
        <v>4</v>
      </c>
    </row>
    <row r="343" spans="2:10">
      <c r="B343" s="6">
        <v>107</v>
      </c>
      <c r="C343" s="6">
        <v>22</v>
      </c>
      <c r="D343" s="29" t="s">
        <v>321</v>
      </c>
      <c r="E343" s="29" t="s">
        <v>11</v>
      </c>
      <c r="F343" s="6">
        <v>6.2</v>
      </c>
      <c r="G343" s="6">
        <v>226</v>
      </c>
      <c r="H343" s="6">
        <v>7</v>
      </c>
      <c r="I343" s="6">
        <v>6.8</v>
      </c>
      <c r="J343" s="6">
        <v>3.28</v>
      </c>
    </row>
    <row r="344" spans="2:10">
      <c r="B344" s="6">
        <v>107</v>
      </c>
      <c r="C344" s="6">
        <v>23</v>
      </c>
      <c r="D344" s="29" t="s">
        <v>322</v>
      </c>
      <c r="E344" s="29" t="s">
        <v>11</v>
      </c>
      <c r="F344" s="6">
        <v>16.8</v>
      </c>
      <c r="G344" s="6">
        <v>240</v>
      </c>
      <c r="H344" s="6">
        <v>7</v>
      </c>
      <c r="I344" s="6">
        <v>7.4</v>
      </c>
      <c r="J344" s="6">
        <v>3.37</v>
      </c>
    </row>
    <row r="345" spans="2:10">
      <c r="B345" s="6">
        <v>107</v>
      </c>
      <c r="C345" s="6">
        <v>24</v>
      </c>
      <c r="D345" s="29" t="s">
        <v>323</v>
      </c>
      <c r="E345" s="29" t="s">
        <v>11</v>
      </c>
      <c r="F345" s="6">
        <v>9.5</v>
      </c>
      <c r="G345" s="6">
        <v>241</v>
      </c>
      <c r="H345" s="6">
        <v>1</v>
      </c>
      <c r="I345" s="6">
        <v>7.6</v>
      </c>
      <c r="J345" s="6">
        <v>3.56</v>
      </c>
    </row>
    <row r="346" spans="2:11">
      <c r="B346" s="6">
        <v>107</v>
      </c>
      <c r="C346" s="6">
        <v>25</v>
      </c>
      <c r="D346" s="29" t="s">
        <v>324</v>
      </c>
      <c r="E346" s="29" t="s">
        <v>11</v>
      </c>
      <c r="I346" s="6">
        <v>7.1</v>
      </c>
      <c r="K346" s="6" t="s">
        <v>84</v>
      </c>
    </row>
    <row r="347" spans="2:10">
      <c r="B347" s="6">
        <v>107</v>
      </c>
      <c r="C347" s="6">
        <v>26</v>
      </c>
      <c r="D347" s="29" t="s">
        <v>325</v>
      </c>
      <c r="E347" s="29" t="s">
        <v>11</v>
      </c>
      <c r="F347" s="6">
        <v>-4</v>
      </c>
      <c r="G347" s="6">
        <v>215</v>
      </c>
      <c r="H347" s="6">
        <v>9</v>
      </c>
      <c r="I347" s="6">
        <v>7.7</v>
      </c>
      <c r="J347" s="6">
        <v>4.11</v>
      </c>
    </row>
    <row r="348" spans="2:10">
      <c r="B348" s="6">
        <v>107</v>
      </c>
      <c r="C348" s="6">
        <v>27</v>
      </c>
      <c r="D348" s="29" t="s">
        <v>326</v>
      </c>
      <c r="E348" s="29" t="s">
        <v>11</v>
      </c>
      <c r="F348" s="6">
        <v>24</v>
      </c>
      <c r="G348" s="6">
        <v>222</v>
      </c>
      <c r="H348" s="6">
        <v>29</v>
      </c>
      <c r="I348" s="6">
        <v>7.1</v>
      </c>
      <c r="J348" s="6">
        <v>3.36</v>
      </c>
    </row>
    <row r="349" spans="2:10">
      <c r="B349" s="6">
        <v>107</v>
      </c>
      <c r="C349" s="6">
        <v>28</v>
      </c>
      <c r="D349" s="29" t="s">
        <v>327</v>
      </c>
      <c r="E349" s="29" t="s">
        <v>11</v>
      </c>
      <c r="F349" s="6">
        <v>-7.5</v>
      </c>
      <c r="G349" s="6">
        <v>246</v>
      </c>
      <c r="H349" s="6">
        <v>20</v>
      </c>
      <c r="I349" s="6">
        <v>7</v>
      </c>
      <c r="J349" s="6">
        <v>3.53</v>
      </c>
    </row>
    <row r="350" spans="2:10">
      <c r="B350" s="6">
        <v>107</v>
      </c>
      <c r="C350" s="6">
        <v>29</v>
      </c>
      <c r="D350" s="29" t="s">
        <v>328</v>
      </c>
      <c r="E350" s="29" t="s">
        <v>11</v>
      </c>
      <c r="F350" s="6">
        <v>6.5</v>
      </c>
      <c r="G350" s="6">
        <v>172</v>
      </c>
      <c r="H350" s="6">
        <v>1</v>
      </c>
      <c r="I350" s="6">
        <v>9.9</v>
      </c>
      <c r="J350" s="6">
        <v>4.46</v>
      </c>
    </row>
    <row r="351" s="3" customFormat="1" spans="1:11">
      <c r="A351" s="58" t="s">
        <v>329</v>
      </c>
      <c r="B351" s="30" t="s">
        <v>1</v>
      </c>
      <c r="C351" s="31" t="s">
        <v>2</v>
      </c>
      <c r="D351" s="32" t="s">
        <v>3</v>
      </c>
      <c r="E351" s="32" t="s">
        <v>4</v>
      </c>
      <c r="F351" s="33" t="s">
        <v>5</v>
      </c>
      <c r="G351" s="33" t="s">
        <v>6</v>
      </c>
      <c r="H351" s="33" t="s">
        <v>7</v>
      </c>
      <c r="I351" s="33">
        <v>50</v>
      </c>
      <c r="J351" s="33" t="s">
        <v>8</v>
      </c>
      <c r="K351" s="31" t="s">
        <v>9</v>
      </c>
    </row>
    <row r="352" spans="2:10">
      <c r="B352" s="6">
        <v>107</v>
      </c>
      <c r="C352" s="6">
        <v>30</v>
      </c>
      <c r="D352" s="39" t="s">
        <v>330</v>
      </c>
      <c r="E352" s="29" t="s">
        <v>46</v>
      </c>
      <c r="F352" s="6">
        <v>14</v>
      </c>
      <c r="G352" s="6">
        <v>1.67</v>
      </c>
      <c r="H352" s="6">
        <v>53</v>
      </c>
      <c r="I352" s="6">
        <v>9.1</v>
      </c>
      <c r="J352" s="6">
        <v>4.47</v>
      </c>
    </row>
    <row r="353" spans="2:11">
      <c r="B353" s="6">
        <v>107</v>
      </c>
      <c r="C353" s="6">
        <v>31</v>
      </c>
      <c r="D353" s="29" t="s">
        <v>331</v>
      </c>
      <c r="E353" s="29" t="s">
        <v>46</v>
      </c>
      <c r="K353" s="6" t="s">
        <v>84</v>
      </c>
    </row>
    <row r="354" spans="2:11">
      <c r="B354" s="6">
        <v>107</v>
      </c>
      <c r="C354" s="6">
        <v>32</v>
      </c>
      <c r="D354" s="29" t="s">
        <v>332</v>
      </c>
      <c r="E354" s="29" t="s">
        <v>46</v>
      </c>
      <c r="I354" s="6">
        <v>8.4</v>
      </c>
      <c r="K354" s="6" t="s">
        <v>84</v>
      </c>
    </row>
    <row r="355" spans="2:10">
      <c r="B355" s="6">
        <v>107</v>
      </c>
      <c r="C355" s="6">
        <v>33</v>
      </c>
      <c r="D355" s="29" t="s">
        <v>333</v>
      </c>
      <c r="E355" s="29" t="s">
        <v>46</v>
      </c>
      <c r="F355" s="6">
        <v>24</v>
      </c>
      <c r="G355" s="6">
        <v>1.69</v>
      </c>
      <c r="H355" s="6">
        <v>43</v>
      </c>
      <c r="I355" s="6">
        <v>9.4</v>
      </c>
      <c r="J355" s="6">
        <v>4.21</v>
      </c>
    </row>
    <row r="356" spans="2:11">
      <c r="B356" s="6">
        <v>107</v>
      </c>
      <c r="C356" s="6">
        <v>34</v>
      </c>
      <c r="D356" s="29" t="s">
        <v>334</v>
      </c>
      <c r="E356" s="29" t="s">
        <v>46</v>
      </c>
      <c r="K356" s="6" t="s">
        <v>84</v>
      </c>
    </row>
    <row r="357" s="34" customFormat="1" spans="1:11">
      <c r="A357" s="59"/>
      <c r="B357" s="52">
        <v>107</v>
      </c>
      <c r="C357" s="52">
        <v>35</v>
      </c>
      <c r="D357" s="29" t="s">
        <v>335</v>
      </c>
      <c r="E357" s="29" t="s">
        <v>46</v>
      </c>
      <c r="F357" s="52">
        <v>19.5</v>
      </c>
      <c r="G357" s="52">
        <v>2.08</v>
      </c>
      <c r="H357" s="52">
        <v>50</v>
      </c>
      <c r="I357" s="52">
        <v>8.1</v>
      </c>
      <c r="J357" s="52">
        <v>3.47</v>
      </c>
      <c r="K357" s="52"/>
    </row>
    <row r="358" spans="2:10">
      <c r="B358" s="6">
        <v>107</v>
      </c>
      <c r="C358" s="6">
        <v>36</v>
      </c>
      <c r="D358" s="29" t="s">
        <v>336</v>
      </c>
      <c r="E358" s="29" t="s">
        <v>46</v>
      </c>
      <c r="F358" s="6">
        <v>23.5</v>
      </c>
      <c r="G358" s="6">
        <v>1.92</v>
      </c>
      <c r="H358" s="6">
        <v>34</v>
      </c>
      <c r="I358" s="6">
        <v>8.8</v>
      </c>
      <c r="J358" s="6">
        <v>3.48</v>
      </c>
    </row>
    <row r="359" spans="2:10">
      <c r="B359" s="6">
        <v>107</v>
      </c>
      <c r="C359" s="6">
        <v>37</v>
      </c>
      <c r="D359" s="29" t="s">
        <v>337</v>
      </c>
      <c r="E359" s="29" t="s">
        <v>46</v>
      </c>
      <c r="F359" s="6">
        <v>17.5</v>
      </c>
      <c r="G359" s="6">
        <v>1.87</v>
      </c>
      <c r="H359" s="6">
        <v>47</v>
      </c>
      <c r="I359" s="6">
        <v>8.8</v>
      </c>
      <c r="J359" s="6">
        <v>3.43</v>
      </c>
    </row>
    <row r="360" spans="2:10">
      <c r="B360" s="6">
        <v>107</v>
      </c>
      <c r="C360" s="6">
        <v>38</v>
      </c>
      <c r="D360" s="29" t="s">
        <v>338</v>
      </c>
      <c r="E360" s="29" t="s">
        <v>46</v>
      </c>
      <c r="F360" s="6">
        <v>14</v>
      </c>
      <c r="G360" s="6">
        <v>1.8</v>
      </c>
      <c r="H360" s="6">
        <v>48</v>
      </c>
      <c r="J360" s="6">
        <v>3.51</v>
      </c>
    </row>
    <row r="361" spans="2:10">
      <c r="B361" s="6">
        <v>107</v>
      </c>
      <c r="C361" s="6">
        <v>39</v>
      </c>
      <c r="D361" s="29" t="s">
        <v>339</v>
      </c>
      <c r="E361" s="29" t="s">
        <v>46</v>
      </c>
      <c r="F361" s="6">
        <v>15</v>
      </c>
      <c r="G361" s="6">
        <v>1.54</v>
      </c>
      <c r="H361" s="6">
        <v>44</v>
      </c>
      <c r="I361" s="6">
        <v>9.4</v>
      </c>
      <c r="J361" s="6">
        <v>4.14</v>
      </c>
    </row>
    <row r="363" s="3" customFormat="1" spans="1:11">
      <c r="A363" s="58" t="s">
        <v>340</v>
      </c>
      <c r="B363" s="30" t="s">
        <v>1</v>
      </c>
      <c r="C363" s="31" t="s">
        <v>2</v>
      </c>
      <c r="D363" s="32" t="s">
        <v>3</v>
      </c>
      <c r="E363" s="32" t="s">
        <v>4</v>
      </c>
      <c r="F363" s="33" t="s">
        <v>5</v>
      </c>
      <c r="G363" s="33" t="s">
        <v>6</v>
      </c>
      <c r="H363" s="33" t="s">
        <v>7</v>
      </c>
      <c r="I363" s="33">
        <v>50</v>
      </c>
      <c r="J363" s="33" t="s">
        <v>8</v>
      </c>
      <c r="K363" s="31" t="s">
        <v>9</v>
      </c>
    </row>
    <row r="364" spans="2:10">
      <c r="B364" s="6">
        <v>107</v>
      </c>
      <c r="C364" s="6">
        <v>40</v>
      </c>
      <c r="D364" s="39" t="s">
        <v>341</v>
      </c>
      <c r="E364" s="29" t="s">
        <v>46</v>
      </c>
      <c r="F364" s="6">
        <v>19</v>
      </c>
      <c r="G364" s="6">
        <v>177</v>
      </c>
      <c r="H364" s="6">
        <v>52</v>
      </c>
      <c r="I364" s="6">
        <v>7.9</v>
      </c>
      <c r="J364" s="6">
        <v>3.46</v>
      </c>
    </row>
    <row r="365" spans="2:10">
      <c r="B365" s="6">
        <v>107</v>
      </c>
      <c r="C365" s="6">
        <v>41</v>
      </c>
      <c r="D365" s="29" t="s">
        <v>342</v>
      </c>
      <c r="E365" s="29" t="s">
        <v>46</v>
      </c>
      <c r="F365" s="6">
        <v>19.2</v>
      </c>
      <c r="G365" s="6">
        <v>193</v>
      </c>
      <c r="H365" s="6">
        <v>36</v>
      </c>
      <c r="I365" s="6">
        <v>8.4</v>
      </c>
      <c r="J365" s="6">
        <v>3.31</v>
      </c>
    </row>
    <row r="366" spans="2:10">
      <c r="B366" s="6">
        <v>107</v>
      </c>
      <c r="C366" s="6">
        <v>42</v>
      </c>
      <c r="D366" s="29" t="s">
        <v>343</v>
      </c>
      <c r="E366" s="29" t="s">
        <v>46</v>
      </c>
      <c r="F366" s="6">
        <v>21.7</v>
      </c>
      <c r="G366" s="6">
        <v>215</v>
      </c>
      <c r="H366" s="6">
        <v>56</v>
      </c>
      <c r="I366" s="6">
        <v>7.5</v>
      </c>
      <c r="J366" s="6">
        <v>3.16</v>
      </c>
    </row>
    <row r="367" spans="2:10">
      <c r="B367" s="6">
        <v>107</v>
      </c>
      <c r="C367" s="6">
        <v>43</v>
      </c>
      <c r="D367" s="29" t="s">
        <v>344</v>
      </c>
      <c r="E367" s="29" t="s">
        <v>46</v>
      </c>
      <c r="F367" s="6">
        <v>18.3</v>
      </c>
      <c r="G367" s="6">
        <v>186</v>
      </c>
      <c r="H367" s="6">
        <v>47</v>
      </c>
      <c r="I367" s="6">
        <v>8.4</v>
      </c>
      <c r="J367" s="6">
        <v>3.28</v>
      </c>
    </row>
    <row r="368" spans="2:11">
      <c r="B368" s="6">
        <v>107</v>
      </c>
      <c r="C368" s="6">
        <v>44</v>
      </c>
      <c r="D368" s="29" t="s">
        <v>345</v>
      </c>
      <c r="E368" s="29" t="s">
        <v>46</v>
      </c>
      <c r="I368" s="6">
        <v>9.5</v>
      </c>
      <c r="K368" s="6" t="s">
        <v>84</v>
      </c>
    </row>
    <row r="369" spans="2:10">
      <c r="B369" s="6">
        <v>107</v>
      </c>
      <c r="C369" s="6">
        <v>45</v>
      </c>
      <c r="D369" s="29" t="s">
        <v>346</v>
      </c>
      <c r="E369" s="29" t="s">
        <v>46</v>
      </c>
      <c r="F369" s="6">
        <v>0.8</v>
      </c>
      <c r="G369" s="6">
        <v>162</v>
      </c>
      <c r="H369" s="6">
        <v>46</v>
      </c>
      <c r="I369" s="6">
        <v>9.4</v>
      </c>
      <c r="J369" s="6">
        <v>4.46</v>
      </c>
    </row>
    <row r="370" spans="2:10">
      <c r="B370" s="6">
        <v>107</v>
      </c>
      <c r="C370" s="6">
        <v>46</v>
      </c>
      <c r="D370" s="29" t="s">
        <v>347</v>
      </c>
      <c r="E370" s="29" t="s">
        <v>46</v>
      </c>
      <c r="F370" s="6">
        <v>16</v>
      </c>
      <c r="G370" s="6">
        <v>184</v>
      </c>
      <c r="H370" s="6">
        <v>45</v>
      </c>
      <c r="I370" s="6">
        <v>9</v>
      </c>
      <c r="J370" s="6">
        <v>3.51</v>
      </c>
    </row>
    <row r="371" spans="2:11">
      <c r="B371" s="6">
        <v>107</v>
      </c>
      <c r="C371" s="6">
        <v>47</v>
      </c>
      <c r="D371" s="29" t="s">
        <v>348</v>
      </c>
      <c r="E371" s="29" t="s">
        <v>46</v>
      </c>
      <c r="K371" s="6" t="s">
        <v>84</v>
      </c>
    </row>
    <row r="372" spans="2:10">
      <c r="B372" s="6">
        <v>107</v>
      </c>
      <c r="C372" s="6">
        <v>48</v>
      </c>
      <c r="D372" s="30" t="s">
        <v>349</v>
      </c>
      <c r="E372" s="30" t="s">
        <v>46</v>
      </c>
      <c r="F372" s="6">
        <v>25.1</v>
      </c>
      <c r="G372" s="6">
        <v>181</v>
      </c>
      <c r="H372" s="6">
        <v>41</v>
      </c>
      <c r="I372" s="6">
        <v>9.2</v>
      </c>
      <c r="J372" s="6">
        <v>4.46</v>
      </c>
    </row>
    <row r="375" s="3" customFormat="1" spans="1:11">
      <c r="A375" s="58" t="s">
        <v>350</v>
      </c>
      <c r="B375" s="30" t="s">
        <v>1</v>
      </c>
      <c r="C375" s="31" t="s">
        <v>2</v>
      </c>
      <c r="D375" s="32" t="s">
        <v>3</v>
      </c>
      <c r="E375" s="32" t="s">
        <v>4</v>
      </c>
      <c r="F375" s="33" t="s">
        <v>5</v>
      </c>
      <c r="G375" s="33" t="s">
        <v>6</v>
      </c>
      <c r="H375" s="33" t="s">
        <v>7</v>
      </c>
      <c r="I375" s="33">
        <v>50</v>
      </c>
      <c r="J375" s="33" t="s">
        <v>8</v>
      </c>
      <c r="K375" s="31" t="s">
        <v>9</v>
      </c>
    </row>
    <row r="376" spans="2:10">
      <c r="B376" s="6">
        <v>108</v>
      </c>
      <c r="C376" s="6">
        <v>1</v>
      </c>
      <c r="D376" s="39" t="s">
        <v>351</v>
      </c>
      <c r="E376" s="29" t="s">
        <v>11</v>
      </c>
      <c r="F376" s="6">
        <v>20</v>
      </c>
      <c r="G376" s="6">
        <v>230</v>
      </c>
      <c r="H376" s="6">
        <v>15</v>
      </c>
      <c r="I376" s="6">
        <v>6.9</v>
      </c>
      <c r="J376" s="6">
        <v>3.38</v>
      </c>
    </row>
    <row r="377" spans="2:11">
      <c r="B377" s="6">
        <v>108</v>
      </c>
      <c r="C377" s="6">
        <v>2</v>
      </c>
      <c r="D377" s="29" t="s">
        <v>352</v>
      </c>
      <c r="E377" s="29" t="s">
        <v>11</v>
      </c>
      <c r="K377" s="6" t="s">
        <v>84</v>
      </c>
    </row>
    <row r="378" spans="2:10">
      <c r="B378" s="6">
        <v>108</v>
      </c>
      <c r="C378" s="6">
        <v>3</v>
      </c>
      <c r="D378" s="29" t="s">
        <v>353</v>
      </c>
      <c r="E378" s="29" t="s">
        <v>11</v>
      </c>
      <c r="F378" s="6">
        <v>6.5</v>
      </c>
      <c r="G378" s="6">
        <v>240</v>
      </c>
      <c r="H378" s="6">
        <v>17</v>
      </c>
      <c r="I378" s="6">
        <v>7.2</v>
      </c>
      <c r="J378" s="6">
        <v>3.59</v>
      </c>
    </row>
    <row r="379" spans="2:10">
      <c r="B379" s="6">
        <v>108</v>
      </c>
      <c r="C379" s="6">
        <v>4</v>
      </c>
      <c r="D379" s="29" t="s">
        <v>354</v>
      </c>
      <c r="E379" s="29" t="s">
        <v>11</v>
      </c>
      <c r="F379" s="6">
        <v>9</v>
      </c>
      <c r="G379" s="6">
        <v>235</v>
      </c>
      <c r="H379" s="6">
        <v>10</v>
      </c>
      <c r="I379" s="6">
        <v>7.5</v>
      </c>
      <c r="J379" s="6">
        <v>3.57</v>
      </c>
    </row>
    <row r="380" spans="2:10">
      <c r="B380" s="6">
        <v>108</v>
      </c>
      <c r="C380" s="6">
        <v>5</v>
      </c>
      <c r="D380" s="29" t="s">
        <v>355</v>
      </c>
      <c r="E380" s="29" t="s">
        <v>11</v>
      </c>
      <c r="F380" s="6">
        <v>17</v>
      </c>
      <c r="G380" s="6">
        <v>245</v>
      </c>
      <c r="H380" s="6">
        <v>3</v>
      </c>
      <c r="I380" s="6">
        <v>7.4</v>
      </c>
      <c r="J380" s="6">
        <v>3.57</v>
      </c>
    </row>
    <row r="381" spans="2:10">
      <c r="B381" s="6">
        <v>108</v>
      </c>
      <c r="C381" s="6">
        <v>6</v>
      </c>
      <c r="D381" s="29" t="s">
        <v>356</v>
      </c>
      <c r="E381" s="29" t="s">
        <v>11</v>
      </c>
      <c r="F381" s="6">
        <v>4</v>
      </c>
      <c r="G381" s="6">
        <v>176</v>
      </c>
      <c r="H381" s="6">
        <v>0</v>
      </c>
      <c r="I381" s="6">
        <v>2.2</v>
      </c>
      <c r="J381" s="6">
        <v>4.01</v>
      </c>
    </row>
    <row r="382" spans="2:10">
      <c r="B382" s="6">
        <v>108</v>
      </c>
      <c r="C382" s="6">
        <v>7</v>
      </c>
      <c r="D382" s="29" t="s">
        <v>357</v>
      </c>
      <c r="E382" s="29" t="s">
        <v>11</v>
      </c>
      <c r="F382" s="6">
        <v>3</v>
      </c>
      <c r="G382" s="6">
        <v>190</v>
      </c>
      <c r="H382" s="6">
        <v>0</v>
      </c>
      <c r="I382" s="6">
        <v>7.7</v>
      </c>
      <c r="J382" s="6">
        <v>3.58</v>
      </c>
    </row>
    <row r="383" spans="2:10">
      <c r="B383" s="6">
        <v>108</v>
      </c>
      <c r="C383" s="6">
        <v>8</v>
      </c>
      <c r="D383" s="29" t="s">
        <v>358</v>
      </c>
      <c r="E383" s="29" t="s">
        <v>11</v>
      </c>
      <c r="F383" s="6">
        <v>10.6</v>
      </c>
      <c r="G383" s="6">
        <v>200</v>
      </c>
      <c r="H383" s="6">
        <v>13</v>
      </c>
      <c r="I383" s="6">
        <v>7.4</v>
      </c>
      <c r="J383" s="6">
        <v>3.48</v>
      </c>
    </row>
    <row r="384" spans="2:10">
      <c r="B384" s="6">
        <v>108</v>
      </c>
      <c r="C384" s="6">
        <v>9</v>
      </c>
      <c r="D384" s="29" t="s">
        <v>359</v>
      </c>
      <c r="E384" s="29" t="s">
        <v>11</v>
      </c>
      <c r="F384" s="6">
        <v>16.8</v>
      </c>
      <c r="G384" s="6">
        <v>231</v>
      </c>
      <c r="H384" s="6">
        <v>23</v>
      </c>
      <c r="I384" s="6">
        <v>7.2</v>
      </c>
      <c r="J384" s="6">
        <v>3.34</v>
      </c>
    </row>
    <row r="385" spans="2:10">
      <c r="B385" s="6">
        <v>108</v>
      </c>
      <c r="C385" s="6">
        <v>10</v>
      </c>
      <c r="D385" s="29" t="s">
        <v>360</v>
      </c>
      <c r="E385" s="29" t="s">
        <v>11</v>
      </c>
      <c r="F385" s="6">
        <v>11</v>
      </c>
      <c r="G385" s="6">
        <v>232</v>
      </c>
      <c r="H385" s="6">
        <v>10</v>
      </c>
      <c r="I385" s="6">
        <v>7.4</v>
      </c>
      <c r="J385" s="6">
        <v>4.35</v>
      </c>
    </row>
    <row r="386" s="3" customFormat="1" spans="1:11">
      <c r="A386" s="58" t="s">
        <v>361</v>
      </c>
      <c r="B386" s="30" t="s">
        <v>1</v>
      </c>
      <c r="C386" s="31" t="s">
        <v>2</v>
      </c>
      <c r="D386" s="32" t="s">
        <v>3</v>
      </c>
      <c r="E386" s="32" t="s">
        <v>4</v>
      </c>
      <c r="F386" s="33" t="s">
        <v>5</v>
      </c>
      <c r="G386" s="33" t="s">
        <v>6</v>
      </c>
      <c r="H386" s="33" t="s">
        <v>7</v>
      </c>
      <c r="I386" s="33">
        <v>50</v>
      </c>
      <c r="J386" s="33" t="s">
        <v>8</v>
      </c>
      <c r="K386" s="31" t="s">
        <v>9</v>
      </c>
    </row>
    <row r="387" spans="2:10">
      <c r="B387" s="6">
        <v>108</v>
      </c>
      <c r="C387" s="6">
        <v>11</v>
      </c>
      <c r="D387" s="39" t="s">
        <v>362</v>
      </c>
      <c r="E387" s="29" t="s">
        <v>11</v>
      </c>
      <c r="F387" s="6">
        <v>10.6</v>
      </c>
      <c r="G387" s="6">
        <v>198</v>
      </c>
      <c r="H387" s="6">
        <v>11</v>
      </c>
      <c r="I387" s="6">
        <v>8</v>
      </c>
      <c r="J387" s="6">
        <v>4.21</v>
      </c>
    </row>
    <row r="388" spans="2:10">
      <c r="B388" s="6">
        <v>108</v>
      </c>
      <c r="C388" s="6">
        <v>12</v>
      </c>
      <c r="D388" s="29" t="s">
        <v>363</v>
      </c>
      <c r="E388" s="29" t="s">
        <v>11</v>
      </c>
      <c r="F388" s="6">
        <v>5.3</v>
      </c>
      <c r="G388" s="6">
        <v>223</v>
      </c>
      <c r="H388" s="6">
        <v>24</v>
      </c>
      <c r="I388" s="6">
        <v>7.4</v>
      </c>
      <c r="J388" s="6">
        <v>3.52</v>
      </c>
    </row>
    <row r="389" spans="2:10">
      <c r="B389" s="6">
        <v>108</v>
      </c>
      <c r="C389" s="6">
        <v>13</v>
      </c>
      <c r="D389" s="29" t="s">
        <v>364</v>
      </c>
      <c r="E389" s="29" t="s">
        <v>11</v>
      </c>
      <c r="F389" s="6">
        <v>0.2</v>
      </c>
      <c r="G389" s="6">
        <v>206</v>
      </c>
      <c r="H389" s="6">
        <v>4</v>
      </c>
      <c r="I389" s="6">
        <v>7.1</v>
      </c>
      <c r="J389" s="6">
        <v>3.27</v>
      </c>
    </row>
    <row r="390" spans="2:10">
      <c r="B390" s="6">
        <v>108</v>
      </c>
      <c r="C390" s="6">
        <v>14</v>
      </c>
      <c r="D390" s="29" t="s">
        <v>365</v>
      </c>
      <c r="E390" s="29" t="s">
        <v>11</v>
      </c>
      <c r="F390" s="6">
        <v>16.5</v>
      </c>
      <c r="G390" s="6">
        <v>203</v>
      </c>
      <c r="H390" s="6">
        <v>10</v>
      </c>
      <c r="I390" s="6">
        <v>7.7</v>
      </c>
      <c r="J390" s="6">
        <v>3.54</v>
      </c>
    </row>
    <row r="391" spans="2:10">
      <c r="B391" s="6">
        <v>108</v>
      </c>
      <c r="C391" s="6">
        <v>15</v>
      </c>
      <c r="D391" s="29" t="s">
        <v>366</v>
      </c>
      <c r="E391" s="29" t="s">
        <v>11</v>
      </c>
      <c r="F391" s="6">
        <v>13.4</v>
      </c>
      <c r="G391" s="6">
        <v>223</v>
      </c>
      <c r="H391" s="6">
        <v>6</v>
      </c>
      <c r="I391" s="6">
        <v>7.3</v>
      </c>
      <c r="J391" s="6">
        <v>3.5</v>
      </c>
    </row>
    <row r="392" spans="2:10">
      <c r="B392" s="6">
        <v>108</v>
      </c>
      <c r="C392" s="6">
        <v>16</v>
      </c>
      <c r="D392" s="29" t="s">
        <v>367</v>
      </c>
      <c r="E392" s="29" t="s">
        <v>11</v>
      </c>
      <c r="F392" s="6">
        <v>16.1</v>
      </c>
      <c r="G392" s="6">
        <v>217</v>
      </c>
      <c r="H392" s="6" t="s">
        <v>368</v>
      </c>
      <c r="I392" s="6">
        <v>7.6</v>
      </c>
      <c r="J392" s="6">
        <v>3.49</v>
      </c>
    </row>
    <row r="393" spans="2:10">
      <c r="B393" s="6">
        <v>108</v>
      </c>
      <c r="C393" s="6">
        <v>17</v>
      </c>
      <c r="D393" s="29" t="s">
        <v>369</v>
      </c>
      <c r="E393" s="29" t="s">
        <v>11</v>
      </c>
      <c r="F393" s="6">
        <v>-4.7</v>
      </c>
      <c r="G393" s="6">
        <v>218</v>
      </c>
      <c r="H393" s="6">
        <v>0</v>
      </c>
      <c r="I393" s="6">
        <v>7.2</v>
      </c>
      <c r="J393" s="6">
        <v>4.03</v>
      </c>
    </row>
    <row r="394" spans="2:10">
      <c r="B394" s="6">
        <v>108</v>
      </c>
      <c r="C394" s="6">
        <v>18</v>
      </c>
      <c r="D394" s="29" t="s">
        <v>370</v>
      </c>
      <c r="E394" s="29" t="s">
        <v>11</v>
      </c>
      <c r="F394" s="6">
        <v>3.5</v>
      </c>
      <c r="G394" s="6">
        <v>240</v>
      </c>
      <c r="H394" s="6">
        <v>11</v>
      </c>
      <c r="I394" s="6">
        <v>6.9</v>
      </c>
      <c r="J394" s="6">
        <v>3.48</v>
      </c>
    </row>
    <row r="395" spans="2:10">
      <c r="B395" s="6">
        <v>108</v>
      </c>
      <c r="C395" s="6">
        <v>19</v>
      </c>
      <c r="D395" s="29" t="s">
        <v>371</v>
      </c>
      <c r="E395" s="29" t="s">
        <v>11</v>
      </c>
      <c r="F395" s="6">
        <v>0</v>
      </c>
      <c r="G395" s="6">
        <v>241</v>
      </c>
      <c r="H395" s="6">
        <v>1</v>
      </c>
      <c r="I395" s="6">
        <v>7.1</v>
      </c>
      <c r="J395" s="6">
        <v>3.45</v>
      </c>
    </row>
    <row r="396" spans="2:10">
      <c r="B396" s="6">
        <v>108</v>
      </c>
      <c r="C396" s="6">
        <v>20</v>
      </c>
      <c r="D396" s="29" t="s">
        <v>372</v>
      </c>
      <c r="E396" s="29" t="s">
        <v>11</v>
      </c>
      <c r="F396" s="6">
        <v>16.4</v>
      </c>
      <c r="G396" s="6">
        <v>197</v>
      </c>
      <c r="H396" s="6">
        <v>0</v>
      </c>
      <c r="I396" s="6">
        <v>7.5</v>
      </c>
      <c r="J396" s="6">
        <v>3.57</v>
      </c>
    </row>
    <row r="397" spans="4:5">
      <c r="D397" s="29"/>
      <c r="E397" s="29"/>
    </row>
    <row r="399" s="3" customFormat="1" spans="1:11">
      <c r="A399" s="58" t="s">
        <v>373</v>
      </c>
      <c r="B399" s="30" t="s">
        <v>1</v>
      </c>
      <c r="C399" s="31" t="s">
        <v>2</v>
      </c>
      <c r="D399" s="32" t="s">
        <v>3</v>
      </c>
      <c r="E399" s="32" t="s">
        <v>4</v>
      </c>
      <c r="F399" s="33" t="s">
        <v>5</v>
      </c>
      <c r="G399" s="33" t="s">
        <v>6</v>
      </c>
      <c r="H399" s="33" t="s">
        <v>7</v>
      </c>
      <c r="I399" s="33">
        <v>50</v>
      </c>
      <c r="J399" s="33" t="s">
        <v>8</v>
      </c>
      <c r="K399" s="31" t="s">
        <v>9</v>
      </c>
    </row>
    <row r="400" spans="2:10">
      <c r="B400" s="6">
        <v>108</v>
      </c>
      <c r="C400" s="6">
        <v>21</v>
      </c>
      <c r="D400" s="39" t="s">
        <v>374</v>
      </c>
      <c r="E400" s="29" t="s">
        <v>11</v>
      </c>
      <c r="F400" s="6">
        <v>-1</v>
      </c>
      <c r="G400" s="6">
        <v>193</v>
      </c>
      <c r="H400" s="6">
        <v>4</v>
      </c>
      <c r="I400" s="6">
        <v>7.6</v>
      </c>
      <c r="J400" s="6">
        <v>4.12</v>
      </c>
    </row>
    <row r="401" spans="2:10">
      <c r="B401" s="6">
        <v>108</v>
      </c>
      <c r="C401" s="6">
        <v>22</v>
      </c>
      <c r="D401" s="29" t="s">
        <v>375</v>
      </c>
      <c r="E401" s="29" t="s">
        <v>11</v>
      </c>
      <c r="F401" s="6">
        <v>16</v>
      </c>
      <c r="G401" s="6">
        <v>188</v>
      </c>
      <c r="H401" s="6">
        <v>1</v>
      </c>
      <c r="J401" s="6">
        <v>5.07</v>
      </c>
    </row>
    <row r="402" spans="2:10">
      <c r="B402" s="6">
        <v>108</v>
      </c>
      <c r="C402" s="6">
        <v>23</v>
      </c>
      <c r="D402" s="29" t="s">
        <v>376</v>
      </c>
      <c r="E402" s="29" t="s">
        <v>11</v>
      </c>
      <c r="F402" s="6">
        <v>12</v>
      </c>
      <c r="G402" s="6">
        <v>226</v>
      </c>
      <c r="H402" s="6">
        <v>0</v>
      </c>
      <c r="I402" s="6">
        <v>7.8</v>
      </c>
      <c r="J402" s="6">
        <v>4.14</v>
      </c>
    </row>
    <row r="403" spans="2:10">
      <c r="B403" s="6">
        <v>108</v>
      </c>
      <c r="C403" s="6">
        <v>24</v>
      </c>
      <c r="D403" s="29" t="s">
        <v>377</v>
      </c>
      <c r="E403" s="29" t="s">
        <v>11</v>
      </c>
      <c r="F403" s="6">
        <v>4.5</v>
      </c>
      <c r="G403" s="6">
        <v>216</v>
      </c>
      <c r="H403" s="6">
        <v>5</v>
      </c>
      <c r="I403" s="6">
        <v>8.6</v>
      </c>
      <c r="J403" s="6">
        <v>4.08</v>
      </c>
    </row>
    <row r="404" spans="2:10">
      <c r="B404" s="6">
        <v>108</v>
      </c>
      <c r="C404" s="6">
        <v>25</v>
      </c>
      <c r="D404" s="29" t="s">
        <v>378</v>
      </c>
      <c r="E404" s="29" t="s">
        <v>11</v>
      </c>
      <c r="F404" s="6">
        <v>5</v>
      </c>
      <c r="G404" s="6">
        <v>212</v>
      </c>
      <c r="H404" s="6">
        <v>3</v>
      </c>
      <c r="I404" s="6">
        <v>7.4</v>
      </c>
      <c r="J404" s="6">
        <v>4.04</v>
      </c>
    </row>
    <row r="405" spans="2:10">
      <c r="B405" s="6">
        <v>108</v>
      </c>
      <c r="C405" s="6">
        <v>26</v>
      </c>
      <c r="D405" s="29" t="s">
        <v>379</v>
      </c>
      <c r="E405" s="29" t="s">
        <v>11</v>
      </c>
      <c r="F405" s="6">
        <v>10.6</v>
      </c>
      <c r="G405" s="6">
        <v>233</v>
      </c>
      <c r="H405" s="6">
        <v>0</v>
      </c>
      <c r="I405" s="6">
        <v>7.5</v>
      </c>
      <c r="J405" s="6">
        <v>4.11</v>
      </c>
    </row>
    <row r="406" spans="2:10">
      <c r="B406" s="6">
        <v>108</v>
      </c>
      <c r="C406" s="6">
        <v>27</v>
      </c>
      <c r="D406" s="29" t="s">
        <v>380</v>
      </c>
      <c r="E406" s="29" t="s">
        <v>11</v>
      </c>
      <c r="F406" s="6">
        <v>17.8</v>
      </c>
      <c r="G406" s="6">
        <v>208</v>
      </c>
      <c r="H406" s="6">
        <v>5</v>
      </c>
      <c r="I406" s="6">
        <v>7.3</v>
      </c>
      <c r="J406" s="6">
        <v>3.3</v>
      </c>
    </row>
    <row r="407" spans="2:10">
      <c r="B407" s="6">
        <v>108</v>
      </c>
      <c r="C407" s="6">
        <v>28</v>
      </c>
      <c r="D407" s="29" t="s">
        <v>381</v>
      </c>
      <c r="E407" s="29" t="s">
        <v>11</v>
      </c>
      <c r="F407" s="6">
        <v>21</v>
      </c>
      <c r="G407" s="6">
        <v>206</v>
      </c>
      <c r="H407" s="6">
        <v>25</v>
      </c>
      <c r="I407" s="6">
        <v>6.5</v>
      </c>
      <c r="J407" s="6">
        <v>3.27</v>
      </c>
    </row>
    <row r="408" spans="2:10">
      <c r="B408" s="6">
        <v>108</v>
      </c>
      <c r="C408" s="6">
        <v>29</v>
      </c>
      <c r="D408" s="29" t="s">
        <v>382</v>
      </c>
      <c r="E408" s="29" t="s">
        <v>11</v>
      </c>
      <c r="F408" s="6">
        <v>10.2</v>
      </c>
      <c r="G408" s="6">
        <v>198</v>
      </c>
      <c r="H408" s="6">
        <v>1</v>
      </c>
      <c r="I408" s="6">
        <v>7.5</v>
      </c>
      <c r="J408" s="6">
        <v>4.1</v>
      </c>
    </row>
    <row r="410" s="3" customFormat="1" spans="1:11">
      <c r="A410" s="58" t="s">
        <v>383</v>
      </c>
      <c r="B410" s="30" t="s">
        <v>1</v>
      </c>
      <c r="C410" s="31" t="s">
        <v>2</v>
      </c>
      <c r="D410" s="32" t="s">
        <v>3</v>
      </c>
      <c r="E410" s="32" t="s">
        <v>4</v>
      </c>
      <c r="F410" s="33" t="s">
        <v>5</v>
      </c>
      <c r="G410" s="33" t="s">
        <v>6</v>
      </c>
      <c r="H410" s="33" t="s">
        <v>7</v>
      </c>
      <c r="I410" s="33">
        <v>50</v>
      </c>
      <c r="J410" s="33" t="s">
        <v>8</v>
      </c>
      <c r="K410" s="31" t="s">
        <v>9</v>
      </c>
    </row>
    <row r="411" spans="2:10">
      <c r="B411" s="6">
        <v>108</v>
      </c>
      <c r="C411" s="6">
        <v>30</v>
      </c>
      <c r="D411" s="39" t="s">
        <v>384</v>
      </c>
      <c r="E411" s="29" t="s">
        <v>46</v>
      </c>
      <c r="F411" s="6">
        <v>5.5</v>
      </c>
      <c r="G411" s="6">
        <v>190</v>
      </c>
      <c r="H411" s="6">
        <v>35</v>
      </c>
      <c r="I411" s="6">
        <v>8</v>
      </c>
      <c r="J411" s="6">
        <v>3.42</v>
      </c>
    </row>
    <row r="412" spans="2:10">
      <c r="B412" s="6">
        <v>108</v>
      </c>
      <c r="C412" s="6">
        <v>31</v>
      </c>
      <c r="D412" s="29" t="s">
        <v>385</v>
      </c>
      <c r="E412" s="29" t="s">
        <v>46</v>
      </c>
      <c r="F412" s="6">
        <v>20.5</v>
      </c>
      <c r="G412" s="6">
        <v>180</v>
      </c>
      <c r="H412" s="6">
        <v>42</v>
      </c>
      <c r="I412" s="6">
        <v>8.3</v>
      </c>
      <c r="J412" s="6">
        <v>3.37</v>
      </c>
    </row>
    <row r="413" spans="2:10">
      <c r="B413" s="6">
        <v>108</v>
      </c>
      <c r="C413" s="6">
        <v>32</v>
      </c>
      <c r="D413" s="29" t="s">
        <v>386</v>
      </c>
      <c r="E413" s="29" t="s">
        <v>46</v>
      </c>
      <c r="F413" s="6">
        <v>7</v>
      </c>
      <c r="G413" s="6">
        <v>190</v>
      </c>
      <c r="H413" s="6">
        <v>46</v>
      </c>
      <c r="I413" s="6">
        <v>8.8</v>
      </c>
      <c r="J413" s="6">
        <v>4.02</v>
      </c>
    </row>
    <row r="414" spans="2:10">
      <c r="B414" s="6">
        <v>108</v>
      </c>
      <c r="C414" s="6">
        <v>33</v>
      </c>
      <c r="D414" s="29" t="s">
        <v>387</v>
      </c>
      <c r="E414" s="29" t="s">
        <v>46</v>
      </c>
      <c r="F414" s="6">
        <v>9</v>
      </c>
      <c r="G414" s="6">
        <v>180</v>
      </c>
      <c r="H414" s="6">
        <v>51</v>
      </c>
      <c r="I414" s="6">
        <v>8.8</v>
      </c>
      <c r="J414" s="6">
        <v>3.42</v>
      </c>
    </row>
    <row r="415" spans="2:10">
      <c r="B415" s="6">
        <v>108</v>
      </c>
      <c r="C415" s="6">
        <v>34</v>
      </c>
      <c r="D415" s="29" t="s">
        <v>388</v>
      </c>
      <c r="E415" s="29" t="s">
        <v>46</v>
      </c>
      <c r="F415" s="6">
        <v>2</v>
      </c>
      <c r="G415" s="6">
        <v>162</v>
      </c>
      <c r="H415" s="6">
        <v>40</v>
      </c>
      <c r="I415" s="6">
        <v>8.8</v>
      </c>
      <c r="J415" s="6">
        <v>3.44</v>
      </c>
    </row>
    <row r="416" spans="2:10">
      <c r="B416" s="6">
        <v>108</v>
      </c>
      <c r="C416" s="6">
        <v>35</v>
      </c>
      <c r="D416" s="29" t="s">
        <v>389</v>
      </c>
      <c r="E416" s="29" t="s">
        <v>46</v>
      </c>
      <c r="F416" s="6">
        <v>23</v>
      </c>
      <c r="G416" s="6">
        <v>173</v>
      </c>
      <c r="H416" s="6">
        <v>40</v>
      </c>
      <c r="I416" s="6">
        <v>5.6</v>
      </c>
      <c r="J416" s="6">
        <v>4.28</v>
      </c>
    </row>
    <row r="417" spans="2:10">
      <c r="B417" s="6">
        <v>108</v>
      </c>
      <c r="C417" s="6">
        <v>36</v>
      </c>
      <c r="D417" s="29" t="s">
        <v>390</v>
      </c>
      <c r="E417" s="29" t="s">
        <v>46</v>
      </c>
      <c r="F417" s="6">
        <v>8.5</v>
      </c>
      <c r="G417" s="6">
        <v>200</v>
      </c>
      <c r="H417" s="6">
        <v>52</v>
      </c>
      <c r="I417" s="6">
        <v>8.3</v>
      </c>
      <c r="J417" s="6">
        <v>3.22</v>
      </c>
    </row>
    <row r="418" spans="2:10">
      <c r="B418" s="6">
        <v>108</v>
      </c>
      <c r="C418" s="6">
        <v>37</v>
      </c>
      <c r="D418" s="29" t="s">
        <v>391</v>
      </c>
      <c r="E418" s="29" t="s">
        <v>46</v>
      </c>
      <c r="F418" s="6">
        <v>12</v>
      </c>
      <c r="G418" s="6">
        <v>155</v>
      </c>
      <c r="H418" s="6">
        <v>45</v>
      </c>
      <c r="I418" s="6">
        <v>9.1</v>
      </c>
      <c r="J418" s="6">
        <v>3.34</v>
      </c>
    </row>
    <row r="419" spans="2:10">
      <c r="B419" s="6">
        <v>108</v>
      </c>
      <c r="C419" s="6">
        <v>38</v>
      </c>
      <c r="D419" s="29" t="s">
        <v>392</v>
      </c>
      <c r="E419" s="29" t="s">
        <v>46</v>
      </c>
      <c r="F419" s="6">
        <v>10</v>
      </c>
      <c r="G419" s="6">
        <v>170</v>
      </c>
      <c r="H419" s="6">
        <v>51</v>
      </c>
      <c r="I419" s="6">
        <v>8.7</v>
      </c>
      <c r="J419" s="6">
        <v>3.47</v>
      </c>
    </row>
    <row r="420" spans="2:10">
      <c r="B420" s="6">
        <v>108</v>
      </c>
      <c r="C420" s="6">
        <v>39</v>
      </c>
      <c r="D420" s="29" t="s">
        <v>393</v>
      </c>
      <c r="E420" s="29" t="s">
        <v>46</v>
      </c>
      <c r="F420" s="6">
        <v>14</v>
      </c>
      <c r="G420" s="6">
        <v>130</v>
      </c>
      <c r="H420" s="6">
        <v>38</v>
      </c>
      <c r="I420" s="6">
        <v>10.3</v>
      </c>
      <c r="J420" s="6">
        <v>4.35</v>
      </c>
    </row>
    <row r="421" s="3" customFormat="1" spans="1:11">
      <c r="A421" s="58" t="s">
        <v>394</v>
      </c>
      <c r="B421" s="30" t="s">
        <v>1</v>
      </c>
      <c r="C421" s="31" t="s">
        <v>2</v>
      </c>
      <c r="D421" s="32" t="s">
        <v>3</v>
      </c>
      <c r="E421" s="32" t="s">
        <v>4</v>
      </c>
      <c r="F421" s="33" t="s">
        <v>5</v>
      </c>
      <c r="G421" s="33" t="s">
        <v>6</v>
      </c>
      <c r="H421" s="33" t="s">
        <v>7</v>
      </c>
      <c r="I421" s="33">
        <v>50</v>
      </c>
      <c r="J421" s="33" t="s">
        <v>8</v>
      </c>
      <c r="K421" s="31" t="s">
        <v>9</v>
      </c>
    </row>
    <row r="422" spans="2:10">
      <c r="B422" s="6">
        <v>108</v>
      </c>
      <c r="C422" s="6">
        <v>40</v>
      </c>
      <c r="D422" s="39" t="s">
        <v>395</v>
      </c>
      <c r="E422" s="29" t="s">
        <v>46</v>
      </c>
      <c r="F422" s="6">
        <v>13</v>
      </c>
      <c r="G422" s="6">
        <v>180</v>
      </c>
      <c r="H422" s="6">
        <v>44</v>
      </c>
      <c r="I422" s="6">
        <v>9</v>
      </c>
      <c r="J422" s="6">
        <v>3.29</v>
      </c>
    </row>
    <row r="423" spans="2:10">
      <c r="B423" s="6">
        <v>108</v>
      </c>
      <c r="C423" s="6">
        <v>41</v>
      </c>
      <c r="D423" s="29" t="s">
        <v>396</v>
      </c>
      <c r="E423" s="29" t="s">
        <v>46</v>
      </c>
      <c r="F423" s="6">
        <v>17.5</v>
      </c>
      <c r="G423" s="6">
        <v>178</v>
      </c>
      <c r="H423" s="6">
        <v>41</v>
      </c>
      <c r="I423" s="6">
        <v>8.4</v>
      </c>
      <c r="J423" s="6">
        <v>3.34</v>
      </c>
    </row>
    <row r="424" spans="2:10">
      <c r="B424" s="6">
        <v>108</v>
      </c>
      <c r="C424" s="6">
        <v>42</v>
      </c>
      <c r="D424" s="29" t="s">
        <v>397</v>
      </c>
      <c r="E424" s="29" t="s">
        <v>46</v>
      </c>
      <c r="F424" s="6">
        <v>24</v>
      </c>
      <c r="G424" s="6">
        <v>165</v>
      </c>
      <c r="H424" s="6">
        <v>48</v>
      </c>
      <c r="I424" s="6">
        <v>8.8</v>
      </c>
      <c r="J424" s="6">
        <v>3.48</v>
      </c>
    </row>
    <row r="425" spans="2:10">
      <c r="B425" s="6">
        <v>108</v>
      </c>
      <c r="C425" s="6">
        <v>43</v>
      </c>
      <c r="D425" s="29" t="s">
        <v>398</v>
      </c>
      <c r="E425" s="29" t="s">
        <v>46</v>
      </c>
      <c r="F425" s="6">
        <v>4</v>
      </c>
      <c r="G425" s="6">
        <v>178</v>
      </c>
      <c r="H425" s="6">
        <v>46</v>
      </c>
      <c r="I425" s="6">
        <v>8.3</v>
      </c>
      <c r="J425" s="6">
        <v>3.31</v>
      </c>
    </row>
    <row r="426" spans="2:10">
      <c r="B426" s="6">
        <v>108</v>
      </c>
      <c r="C426" s="6">
        <v>44</v>
      </c>
      <c r="D426" s="29" t="s">
        <v>399</v>
      </c>
      <c r="E426" s="29" t="s">
        <v>46</v>
      </c>
      <c r="F426" s="6">
        <v>20.5</v>
      </c>
      <c r="G426" s="6">
        <v>170</v>
      </c>
      <c r="H426" s="6">
        <v>44</v>
      </c>
      <c r="I426" s="6">
        <v>8.9</v>
      </c>
      <c r="J426" s="6">
        <v>4.1</v>
      </c>
    </row>
    <row r="427" spans="2:10">
      <c r="B427" s="6">
        <v>108</v>
      </c>
      <c r="C427" s="6">
        <v>45</v>
      </c>
      <c r="D427" s="29" t="s">
        <v>400</v>
      </c>
      <c r="E427" s="29" t="s">
        <v>46</v>
      </c>
      <c r="F427" s="6">
        <v>18</v>
      </c>
      <c r="G427" s="6">
        <v>200</v>
      </c>
      <c r="H427" s="6">
        <v>43</v>
      </c>
      <c r="I427" s="6">
        <v>9</v>
      </c>
      <c r="J427" s="6">
        <v>5.17</v>
      </c>
    </row>
    <row r="428" spans="2:10">
      <c r="B428" s="6">
        <v>108</v>
      </c>
      <c r="C428" s="6">
        <v>46</v>
      </c>
      <c r="D428" s="29" t="s">
        <v>401</v>
      </c>
      <c r="E428" s="29" t="s">
        <v>46</v>
      </c>
      <c r="F428" s="6">
        <v>15</v>
      </c>
      <c r="G428" s="6">
        <v>184</v>
      </c>
      <c r="H428" s="6">
        <v>45</v>
      </c>
      <c r="I428" s="6">
        <v>8.9</v>
      </c>
      <c r="J428" s="6">
        <v>3.32</v>
      </c>
    </row>
    <row r="429" spans="2:10">
      <c r="B429" s="6">
        <v>108</v>
      </c>
      <c r="C429" s="6">
        <v>47</v>
      </c>
      <c r="D429" s="29" t="s">
        <v>402</v>
      </c>
      <c r="E429" s="29" t="s">
        <v>46</v>
      </c>
      <c r="F429" s="6">
        <v>25.5</v>
      </c>
      <c r="G429" s="6">
        <v>166</v>
      </c>
      <c r="H429" s="6">
        <v>48</v>
      </c>
      <c r="I429" s="6">
        <v>8.3</v>
      </c>
      <c r="J429" s="6">
        <v>4.03</v>
      </c>
    </row>
    <row r="430" spans="2:10">
      <c r="B430" s="6">
        <v>108</v>
      </c>
      <c r="C430" s="6">
        <v>48</v>
      </c>
      <c r="D430" s="29" t="s">
        <v>403</v>
      </c>
      <c r="E430" s="29" t="s">
        <v>46</v>
      </c>
      <c r="F430" s="6">
        <v>3.5</v>
      </c>
      <c r="G430" s="6">
        <v>165</v>
      </c>
      <c r="H430" s="6">
        <v>45</v>
      </c>
      <c r="I430" s="6">
        <v>8.6</v>
      </c>
      <c r="J430" s="6">
        <v>3.27</v>
      </c>
    </row>
    <row r="433" s="3" customFormat="1" spans="1:11">
      <c r="A433" s="58" t="s">
        <v>404</v>
      </c>
      <c r="B433" s="30" t="s">
        <v>1</v>
      </c>
      <c r="C433" s="31" t="s">
        <v>2</v>
      </c>
      <c r="D433" s="32" t="s">
        <v>3</v>
      </c>
      <c r="E433" s="32" t="s">
        <v>4</v>
      </c>
      <c r="F433" s="33" t="s">
        <v>5</v>
      </c>
      <c r="G433" s="33" t="s">
        <v>6</v>
      </c>
      <c r="H433" s="33" t="s">
        <v>7</v>
      </c>
      <c r="I433" s="33">
        <v>50</v>
      </c>
      <c r="J433" s="33" t="s">
        <v>8</v>
      </c>
      <c r="K433" s="31" t="s">
        <v>9</v>
      </c>
    </row>
    <row r="434" spans="2:10">
      <c r="B434" s="6">
        <v>109</v>
      </c>
      <c r="C434" s="6">
        <v>1</v>
      </c>
      <c r="D434" s="39" t="s">
        <v>405</v>
      </c>
      <c r="E434" s="29" t="s">
        <v>11</v>
      </c>
      <c r="F434" s="6">
        <v>11</v>
      </c>
      <c r="G434" s="6">
        <v>205</v>
      </c>
      <c r="H434" s="6">
        <v>0</v>
      </c>
      <c r="I434" s="6">
        <v>7.8</v>
      </c>
      <c r="J434" s="6">
        <v>5.35</v>
      </c>
    </row>
    <row r="435" spans="2:10">
      <c r="B435" s="6">
        <v>109</v>
      </c>
      <c r="C435" s="6">
        <v>2</v>
      </c>
      <c r="D435" s="29" t="s">
        <v>406</v>
      </c>
      <c r="E435" s="29" t="s">
        <v>11</v>
      </c>
      <c r="F435" s="6">
        <v>13.7</v>
      </c>
      <c r="G435" s="6">
        <v>235</v>
      </c>
      <c r="H435" s="6">
        <v>21</v>
      </c>
      <c r="I435" s="6">
        <v>7.3</v>
      </c>
      <c r="J435" s="6">
        <v>3.5</v>
      </c>
    </row>
    <row r="436" spans="2:10">
      <c r="B436" s="6">
        <v>109</v>
      </c>
      <c r="C436" s="6">
        <v>3</v>
      </c>
      <c r="D436" s="29" t="s">
        <v>407</v>
      </c>
      <c r="E436" s="29" t="s">
        <v>11</v>
      </c>
      <c r="F436" s="6">
        <v>13</v>
      </c>
      <c r="G436" s="6">
        <v>210</v>
      </c>
      <c r="H436" s="6">
        <v>0</v>
      </c>
      <c r="I436" s="6">
        <v>7.4</v>
      </c>
      <c r="J436" s="6">
        <v>5.36</v>
      </c>
    </row>
    <row r="437" spans="2:11">
      <c r="B437" s="6">
        <v>109</v>
      </c>
      <c r="C437" s="6">
        <v>4</v>
      </c>
      <c r="D437" s="29" t="s">
        <v>408</v>
      </c>
      <c r="E437" s="29" t="s">
        <v>11</v>
      </c>
      <c r="K437" s="6" t="s">
        <v>84</v>
      </c>
    </row>
    <row r="438" spans="2:10">
      <c r="B438" s="6">
        <v>109</v>
      </c>
      <c r="C438" s="6">
        <v>5</v>
      </c>
      <c r="D438" s="29" t="s">
        <v>409</v>
      </c>
      <c r="E438" s="29" t="s">
        <v>11</v>
      </c>
      <c r="F438" s="6">
        <v>1.2</v>
      </c>
      <c r="G438" s="6">
        <v>230</v>
      </c>
      <c r="H438" s="6">
        <v>26</v>
      </c>
      <c r="I438" s="6">
        <v>6.4</v>
      </c>
      <c r="J438" s="6">
        <v>3.04</v>
      </c>
    </row>
    <row r="439" spans="2:10">
      <c r="B439" s="6">
        <v>109</v>
      </c>
      <c r="C439" s="6">
        <v>6</v>
      </c>
      <c r="D439" s="29" t="s">
        <v>410</v>
      </c>
      <c r="E439" s="29" t="s">
        <v>11</v>
      </c>
      <c r="F439" s="6">
        <v>17.5</v>
      </c>
      <c r="G439" s="6">
        <v>243</v>
      </c>
      <c r="H439" s="6">
        <v>6</v>
      </c>
      <c r="I439" s="6">
        <v>7.2</v>
      </c>
      <c r="J439" s="6">
        <v>3.52</v>
      </c>
    </row>
    <row r="440" spans="2:10">
      <c r="B440" s="6">
        <v>109</v>
      </c>
      <c r="C440" s="6">
        <v>7</v>
      </c>
      <c r="D440" s="29" t="s">
        <v>411</v>
      </c>
      <c r="E440" s="29" t="s">
        <v>11</v>
      </c>
      <c r="F440" s="6">
        <v>19.5</v>
      </c>
      <c r="G440" s="6">
        <v>253</v>
      </c>
      <c r="H440" s="6">
        <v>12</v>
      </c>
      <c r="I440" s="6">
        <v>7.2</v>
      </c>
      <c r="J440" s="6">
        <v>3.46</v>
      </c>
    </row>
    <row r="441" spans="2:10">
      <c r="B441" s="6">
        <v>109</v>
      </c>
      <c r="C441" s="6">
        <v>8</v>
      </c>
      <c r="D441" s="29" t="s">
        <v>412</v>
      </c>
      <c r="E441" s="29" t="s">
        <v>11</v>
      </c>
      <c r="F441" s="6">
        <v>12.7</v>
      </c>
      <c r="G441" s="6">
        <v>260</v>
      </c>
      <c r="H441" s="6">
        <v>17</v>
      </c>
      <c r="I441" s="6">
        <v>6.5</v>
      </c>
      <c r="J441" s="6">
        <v>3.1</v>
      </c>
    </row>
    <row r="442" spans="2:10">
      <c r="B442" s="6">
        <v>109</v>
      </c>
      <c r="C442" s="6">
        <v>9</v>
      </c>
      <c r="D442" s="29" t="s">
        <v>413</v>
      </c>
      <c r="E442" s="29" t="s">
        <v>11</v>
      </c>
      <c r="F442" s="6">
        <v>13.5</v>
      </c>
      <c r="G442" s="6">
        <v>245</v>
      </c>
      <c r="H442" s="6">
        <v>18</v>
      </c>
      <c r="I442" s="6">
        <v>7.2</v>
      </c>
      <c r="J442" s="6">
        <v>3.42</v>
      </c>
    </row>
    <row r="443" spans="2:10">
      <c r="B443" s="6">
        <v>109</v>
      </c>
      <c r="C443" s="6">
        <v>10</v>
      </c>
      <c r="D443" s="29" t="s">
        <v>414</v>
      </c>
      <c r="E443" s="29" t="s">
        <v>11</v>
      </c>
      <c r="F443" s="6">
        <v>1.1</v>
      </c>
      <c r="G443" s="6">
        <v>235</v>
      </c>
      <c r="H443" s="6">
        <v>17</v>
      </c>
      <c r="I443" s="6">
        <v>7.3</v>
      </c>
      <c r="J443" s="6">
        <v>4.36</v>
      </c>
    </row>
    <row r="444" spans="4:5">
      <c r="D444" s="29"/>
      <c r="E444" s="29"/>
    </row>
    <row r="446" s="3" customFormat="1" spans="1:11">
      <c r="A446" s="58" t="s">
        <v>415</v>
      </c>
      <c r="B446" s="30" t="s">
        <v>1</v>
      </c>
      <c r="C446" s="31" t="s">
        <v>2</v>
      </c>
      <c r="D446" s="32" t="s">
        <v>3</v>
      </c>
      <c r="E446" s="32" t="s">
        <v>4</v>
      </c>
      <c r="F446" s="33" t="s">
        <v>5</v>
      </c>
      <c r="G446" s="33" t="s">
        <v>6</v>
      </c>
      <c r="H446" s="33" t="s">
        <v>7</v>
      </c>
      <c r="I446" s="33">
        <v>50</v>
      </c>
      <c r="J446" s="33" t="s">
        <v>8</v>
      </c>
      <c r="K446" s="31" t="s">
        <v>9</v>
      </c>
    </row>
    <row r="447" spans="2:10">
      <c r="B447" s="6">
        <v>109</v>
      </c>
      <c r="C447" s="6">
        <v>11</v>
      </c>
      <c r="D447" s="39" t="s">
        <v>416</v>
      </c>
      <c r="E447" s="29" t="s">
        <v>11</v>
      </c>
      <c r="F447" s="6">
        <v>-0.5</v>
      </c>
      <c r="G447" s="6">
        <v>217</v>
      </c>
      <c r="H447" s="6">
        <v>12</v>
      </c>
      <c r="I447" s="6">
        <v>7.5</v>
      </c>
      <c r="J447" s="6">
        <v>5.55</v>
      </c>
    </row>
    <row r="448" spans="2:11">
      <c r="B448" s="6">
        <v>109</v>
      </c>
      <c r="C448" s="6">
        <v>12</v>
      </c>
      <c r="D448" s="29" t="s">
        <v>417</v>
      </c>
      <c r="E448" s="29" t="s">
        <v>11</v>
      </c>
      <c r="K448" s="6" t="s">
        <v>84</v>
      </c>
    </row>
    <row r="449" spans="2:10">
      <c r="B449" s="6">
        <v>109</v>
      </c>
      <c r="C449" s="6">
        <v>13</v>
      </c>
      <c r="D449" s="29" t="s">
        <v>418</v>
      </c>
      <c r="E449" s="29" t="s">
        <v>11</v>
      </c>
      <c r="F449" s="6">
        <v>15</v>
      </c>
      <c r="G449" s="6">
        <v>220</v>
      </c>
      <c r="H449" s="6">
        <v>23</v>
      </c>
      <c r="I449" s="6">
        <v>7.7</v>
      </c>
      <c r="J449" s="6">
        <v>3.37</v>
      </c>
    </row>
    <row r="450" spans="2:10">
      <c r="B450" s="6">
        <v>109</v>
      </c>
      <c r="C450" s="6">
        <v>14</v>
      </c>
      <c r="D450" s="29" t="s">
        <v>419</v>
      </c>
      <c r="E450" s="29" t="s">
        <v>11</v>
      </c>
      <c r="F450" s="6">
        <v>3.8</v>
      </c>
      <c r="G450" s="6">
        <v>205</v>
      </c>
      <c r="H450" s="6">
        <v>3</v>
      </c>
      <c r="I450" s="6">
        <v>7.5</v>
      </c>
      <c r="J450" s="6">
        <v>3.48</v>
      </c>
    </row>
    <row r="451" spans="2:10">
      <c r="B451" s="6">
        <v>109</v>
      </c>
      <c r="C451" s="6">
        <v>15</v>
      </c>
      <c r="D451" s="29" t="s">
        <v>420</v>
      </c>
      <c r="E451" s="29" t="s">
        <v>11</v>
      </c>
      <c r="F451" s="6">
        <v>0.4</v>
      </c>
      <c r="G451" s="6">
        <v>215</v>
      </c>
      <c r="H451" s="6">
        <v>0</v>
      </c>
      <c r="I451" s="6">
        <v>7.3</v>
      </c>
      <c r="J451" s="6">
        <v>4.38</v>
      </c>
    </row>
    <row r="452" spans="2:10">
      <c r="B452" s="6">
        <v>109</v>
      </c>
      <c r="C452" s="6">
        <v>16</v>
      </c>
      <c r="D452" s="29" t="s">
        <v>421</v>
      </c>
      <c r="E452" s="29" t="s">
        <v>11</v>
      </c>
      <c r="F452" s="6">
        <v>4.2</v>
      </c>
      <c r="G452" s="6">
        <v>255</v>
      </c>
      <c r="H452" s="6">
        <v>12</v>
      </c>
      <c r="I452" s="6">
        <v>6.7</v>
      </c>
      <c r="J452" s="6">
        <v>3.28</v>
      </c>
    </row>
    <row r="453" spans="2:10">
      <c r="B453" s="6">
        <v>109</v>
      </c>
      <c r="C453" s="6">
        <v>17</v>
      </c>
      <c r="D453" s="29" t="s">
        <v>422</v>
      </c>
      <c r="E453" s="29" t="s">
        <v>11</v>
      </c>
      <c r="F453" s="6">
        <v>25</v>
      </c>
      <c r="G453" s="6">
        <v>250</v>
      </c>
      <c r="H453" s="6">
        <v>35</v>
      </c>
      <c r="I453" s="6">
        <v>7</v>
      </c>
      <c r="J453" s="6">
        <v>3.23</v>
      </c>
    </row>
    <row r="454" spans="2:10">
      <c r="B454" s="6">
        <v>109</v>
      </c>
      <c r="C454" s="6">
        <v>18</v>
      </c>
      <c r="D454" s="29" t="s">
        <v>423</v>
      </c>
      <c r="E454" s="29" t="s">
        <v>11</v>
      </c>
      <c r="F454" s="6">
        <v>21.8</v>
      </c>
      <c r="G454" s="6">
        <v>260</v>
      </c>
      <c r="H454" s="6">
        <v>26</v>
      </c>
      <c r="I454" s="6">
        <v>7</v>
      </c>
      <c r="J454" s="6">
        <v>3.24</v>
      </c>
    </row>
    <row r="455" spans="2:10">
      <c r="B455" s="6">
        <v>109</v>
      </c>
      <c r="C455" s="6">
        <v>19</v>
      </c>
      <c r="D455" s="29" t="s">
        <v>424</v>
      </c>
      <c r="E455" s="29" t="s">
        <v>11</v>
      </c>
      <c r="F455" s="6">
        <v>17</v>
      </c>
      <c r="G455" s="6">
        <v>243</v>
      </c>
      <c r="H455" s="6">
        <v>14</v>
      </c>
      <c r="I455" s="6">
        <v>7.1</v>
      </c>
      <c r="J455" s="6">
        <v>4</v>
      </c>
    </row>
    <row r="456" s="3" customFormat="1" spans="1:11">
      <c r="A456" s="58" t="s">
        <v>425</v>
      </c>
      <c r="B456" s="30" t="s">
        <v>1</v>
      </c>
      <c r="C456" s="31" t="s">
        <v>2</v>
      </c>
      <c r="D456" s="32" t="s">
        <v>3</v>
      </c>
      <c r="E456" s="32" t="s">
        <v>4</v>
      </c>
      <c r="F456" s="33" t="s">
        <v>5</v>
      </c>
      <c r="G456" s="33" t="s">
        <v>6</v>
      </c>
      <c r="H456" s="33" t="s">
        <v>7</v>
      </c>
      <c r="I456" s="33">
        <v>50</v>
      </c>
      <c r="J456" s="33" t="s">
        <v>8</v>
      </c>
      <c r="K456" s="31" t="s">
        <v>9</v>
      </c>
    </row>
    <row r="457" spans="2:10">
      <c r="B457" s="6">
        <v>109</v>
      </c>
      <c r="C457" s="6">
        <v>20</v>
      </c>
      <c r="D457" s="39" t="s">
        <v>426</v>
      </c>
      <c r="E457" s="29" t="s">
        <v>11</v>
      </c>
      <c r="F457" s="6">
        <v>16</v>
      </c>
      <c r="G457" s="6">
        <v>242</v>
      </c>
      <c r="H457" s="6">
        <v>11</v>
      </c>
      <c r="I457" s="6">
        <v>6.9</v>
      </c>
      <c r="J457" s="6">
        <v>3.32</v>
      </c>
    </row>
    <row r="458" spans="2:5">
      <c r="B458" s="6">
        <v>109</v>
      </c>
      <c r="C458" s="6">
        <v>21</v>
      </c>
      <c r="D458" s="29" t="s">
        <v>427</v>
      </c>
      <c r="E458" s="29" t="s">
        <v>11</v>
      </c>
    </row>
    <row r="459" spans="2:10">
      <c r="B459" s="6">
        <v>109</v>
      </c>
      <c r="C459" s="6">
        <v>22</v>
      </c>
      <c r="D459" s="29" t="s">
        <v>428</v>
      </c>
      <c r="E459" s="29" t="s">
        <v>11</v>
      </c>
      <c r="F459" s="6">
        <v>5.5</v>
      </c>
      <c r="G459" s="6">
        <v>185</v>
      </c>
      <c r="H459" s="6">
        <v>0</v>
      </c>
      <c r="I459" s="6">
        <v>8.6</v>
      </c>
      <c r="J459" s="6">
        <v>5.57</v>
      </c>
    </row>
    <row r="460" spans="2:10">
      <c r="B460" s="6">
        <v>109</v>
      </c>
      <c r="C460" s="6">
        <v>23</v>
      </c>
      <c r="D460" s="29" t="s">
        <v>429</v>
      </c>
      <c r="E460" s="29" t="s">
        <v>11</v>
      </c>
      <c r="F460" s="6">
        <v>15.5</v>
      </c>
      <c r="G460" s="6">
        <v>166</v>
      </c>
      <c r="H460" s="6">
        <v>0</v>
      </c>
      <c r="I460" s="6">
        <v>7.6</v>
      </c>
      <c r="J460" s="6">
        <v>4.07</v>
      </c>
    </row>
    <row r="461" spans="2:10">
      <c r="B461" s="6">
        <v>109</v>
      </c>
      <c r="C461" s="6">
        <v>24</v>
      </c>
      <c r="D461" s="29" t="s">
        <v>430</v>
      </c>
      <c r="E461" s="29" t="s">
        <v>11</v>
      </c>
      <c r="F461" s="6">
        <v>-7</v>
      </c>
      <c r="G461" s="6">
        <v>254</v>
      </c>
      <c r="H461" s="6">
        <v>6</v>
      </c>
      <c r="I461" s="6">
        <v>6.9</v>
      </c>
      <c r="J461" s="6">
        <v>3.36</v>
      </c>
    </row>
    <row r="462" spans="2:10">
      <c r="B462" s="6">
        <v>109</v>
      </c>
      <c r="C462" s="6">
        <v>25</v>
      </c>
      <c r="D462" s="29" t="s">
        <v>431</v>
      </c>
      <c r="E462" s="29" t="s">
        <v>11</v>
      </c>
      <c r="F462" s="6">
        <v>16.5</v>
      </c>
      <c r="G462" s="6">
        <v>267</v>
      </c>
      <c r="H462" s="6">
        <v>4</v>
      </c>
      <c r="I462" s="6">
        <v>7.2</v>
      </c>
      <c r="J462" s="6">
        <v>3.47</v>
      </c>
    </row>
    <row r="463" spans="2:10">
      <c r="B463" s="6">
        <v>109</v>
      </c>
      <c r="C463" s="6">
        <v>26</v>
      </c>
      <c r="D463" s="29" t="s">
        <v>432</v>
      </c>
      <c r="E463" s="29" t="s">
        <v>11</v>
      </c>
      <c r="F463" s="6">
        <v>11.2</v>
      </c>
      <c r="G463" s="6">
        <v>226</v>
      </c>
      <c r="H463" s="6">
        <v>0</v>
      </c>
      <c r="I463" s="6">
        <v>7.5</v>
      </c>
      <c r="J463" s="6">
        <v>5.36</v>
      </c>
    </row>
    <row r="464" spans="2:10">
      <c r="B464" s="6">
        <v>109</v>
      </c>
      <c r="C464" s="6">
        <v>27</v>
      </c>
      <c r="D464" s="29" t="s">
        <v>433</v>
      </c>
      <c r="E464" s="29" t="s">
        <v>11</v>
      </c>
      <c r="F464" s="6">
        <v>18.3</v>
      </c>
      <c r="G464" s="6">
        <v>212</v>
      </c>
      <c r="H464" s="6">
        <v>0</v>
      </c>
      <c r="I464" s="6">
        <v>7.9</v>
      </c>
      <c r="J464" s="6">
        <v>4.18</v>
      </c>
    </row>
    <row r="465" spans="2:10">
      <c r="B465" s="6">
        <v>109</v>
      </c>
      <c r="C465" s="6">
        <v>28</v>
      </c>
      <c r="D465" s="29" t="s">
        <v>434</v>
      </c>
      <c r="E465" s="29" t="s">
        <v>11</v>
      </c>
      <c r="F465" s="6">
        <v>-13.5</v>
      </c>
      <c r="G465" s="6">
        <v>172</v>
      </c>
      <c r="H465" s="6">
        <v>3</v>
      </c>
      <c r="I465" s="6">
        <v>7.9</v>
      </c>
      <c r="J465" s="6">
        <v>4.24</v>
      </c>
    </row>
    <row r="467" s="35" customFormat="1" spans="1:11">
      <c r="A467" s="58"/>
      <c r="B467" s="30"/>
      <c r="C467" s="31"/>
      <c r="D467" s="32"/>
      <c r="E467" s="32"/>
      <c r="F467" s="33"/>
      <c r="G467" s="33"/>
      <c r="H467" s="33"/>
      <c r="I467" s="33"/>
      <c r="J467" s="33"/>
      <c r="K467" s="31"/>
    </row>
    <row r="468" s="3" customFormat="1" spans="1:11">
      <c r="A468" s="58" t="s">
        <v>435</v>
      </c>
      <c r="B468" s="30" t="s">
        <v>1</v>
      </c>
      <c r="C468" s="31" t="s">
        <v>2</v>
      </c>
      <c r="D468" s="32" t="s">
        <v>3</v>
      </c>
      <c r="E468" s="32" t="s">
        <v>4</v>
      </c>
      <c r="F468" s="33" t="s">
        <v>5</v>
      </c>
      <c r="G468" s="33" t="s">
        <v>6</v>
      </c>
      <c r="H468" s="33" t="s">
        <v>7</v>
      </c>
      <c r="I468" s="33">
        <v>50</v>
      </c>
      <c r="J468" s="33" t="s">
        <v>8</v>
      </c>
      <c r="K468" s="31" t="s">
        <v>9</v>
      </c>
    </row>
    <row r="469" spans="2:10">
      <c r="B469" s="6">
        <v>109</v>
      </c>
      <c r="C469" s="6">
        <v>29</v>
      </c>
      <c r="D469" s="39" t="s">
        <v>436</v>
      </c>
      <c r="E469" s="29" t="s">
        <v>46</v>
      </c>
      <c r="F469" s="6">
        <v>15</v>
      </c>
      <c r="G469" s="6">
        <v>183</v>
      </c>
      <c r="H469" s="6">
        <v>53</v>
      </c>
      <c r="I469" s="6">
        <v>8.8</v>
      </c>
      <c r="J469" s="6">
        <v>3.22</v>
      </c>
    </row>
    <row r="470" spans="2:10">
      <c r="B470" s="6">
        <v>109</v>
      </c>
      <c r="C470" s="6">
        <v>30</v>
      </c>
      <c r="D470" s="29" t="s">
        <v>437</v>
      </c>
      <c r="E470" s="29" t="s">
        <v>46</v>
      </c>
      <c r="F470" s="6">
        <v>14.9</v>
      </c>
      <c r="G470" s="6">
        <v>181</v>
      </c>
      <c r="H470" s="6">
        <v>45</v>
      </c>
      <c r="I470" s="6">
        <v>8.4</v>
      </c>
      <c r="J470" s="6">
        <v>3.48</v>
      </c>
    </row>
    <row r="471" spans="2:10">
      <c r="B471" s="6">
        <v>109</v>
      </c>
      <c r="C471" s="6">
        <v>31</v>
      </c>
      <c r="D471" s="29" t="s">
        <v>438</v>
      </c>
      <c r="E471" s="29" t="s">
        <v>46</v>
      </c>
      <c r="F471" s="6">
        <v>12.8</v>
      </c>
      <c r="G471" s="6">
        <v>162</v>
      </c>
      <c r="H471" s="6">
        <v>36</v>
      </c>
      <c r="I471" s="6">
        <v>9.4</v>
      </c>
      <c r="J471" s="6">
        <v>4.13</v>
      </c>
    </row>
    <row r="472" spans="2:11">
      <c r="B472" s="6">
        <v>109</v>
      </c>
      <c r="C472" s="6">
        <v>32</v>
      </c>
      <c r="D472" s="29" t="s">
        <v>439</v>
      </c>
      <c r="E472" s="29" t="s">
        <v>46</v>
      </c>
      <c r="K472" s="6" t="s">
        <v>440</v>
      </c>
    </row>
    <row r="473" spans="2:10">
      <c r="B473" s="6">
        <v>109</v>
      </c>
      <c r="C473" s="6">
        <v>33</v>
      </c>
      <c r="D473" s="29" t="s">
        <v>441</v>
      </c>
      <c r="E473" s="29" t="s">
        <v>46</v>
      </c>
      <c r="F473" s="6">
        <v>12.6</v>
      </c>
      <c r="G473" s="6">
        <v>178</v>
      </c>
      <c r="H473" s="6">
        <v>38</v>
      </c>
      <c r="I473" s="6">
        <v>9.4</v>
      </c>
      <c r="J473" s="6">
        <v>4.13</v>
      </c>
    </row>
    <row r="474" spans="2:10">
      <c r="B474" s="6">
        <v>109</v>
      </c>
      <c r="C474" s="6">
        <v>34</v>
      </c>
      <c r="D474" s="29" t="s">
        <v>442</v>
      </c>
      <c r="E474" s="29" t="s">
        <v>46</v>
      </c>
      <c r="F474" s="6">
        <v>17.4</v>
      </c>
      <c r="G474" s="6">
        <v>192</v>
      </c>
      <c r="H474" s="6">
        <v>44</v>
      </c>
      <c r="I474" s="6">
        <v>8.3</v>
      </c>
      <c r="J474" s="6">
        <v>3.44</v>
      </c>
    </row>
    <row r="475" spans="2:10">
      <c r="B475" s="6">
        <v>109</v>
      </c>
      <c r="C475" s="6">
        <v>35</v>
      </c>
      <c r="D475" s="29" t="s">
        <v>443</v>
      </c>
      <c r="E475" s="29" t="s">
        <v>46</v>
      </c>
      <c r="F475" s="6">
        <v>17</v>
      </c>
      <c r="G475" s="6">
        <v>161</v>
      </c>
      <c r="H475" s="6">
        <v>33</v>
      </c>
      <c r="I475" s="6">
        <v>9.5</v>
      </c>
      <c r="J475" s="6">
        <v>3.55</v>
      </c>
    </row>
    <row r="476" spans="2:10">
      <c r="B476" s="6">
        <v>109</v>
      </c>
      <c r="C476" s="6">
        <v>36</v>
      </c>
      <c r="D476" s="29" t="s">
        <v>444</v>
      </c>
      <c r="E476" s="29" t="s">
        <v>46</v>
      </c>
      <c r="F476" s="6">
        <v>17.1</v>
      </c>
      <c r="G476" s="6">
        <v>186</v>
      </c>
      <c r="H476" s="6">
        <v>52</v>
      </c>
      <c r="I476" s="6">
        <v>9.5</v>
      </c>
      <c r="J476" s="6">
        <v>3.37</v>
      </c>
    </row>
    <row r="477" spans="2:10">
      <c r="B477" s="6">
        <v>109</v>
      </c>
      <c r="C477" s="6">
        <v>37</v>
      </c>
      <c r="D477" s="29" t="s">
        <v>445</v>
      </c>
      <c r="E477" s="29" t="s">
        <v>46</v>
      </c>
      <c r="F477" s="6">
        <v>20.1</v>
      </c>
      <c r="G477" s="6">
        <v>173</v>
      </c>
      <c r="H477" s="6">
        <v>53</v>
      </c>
      <c r="I477" s="6">
        <v>9.5</v>
      </c>
      <c r="J477" s="6">
        <v>3.38</v>
      </c>
    </row>
    <row r="478" spans="2:10">
      <c r="B478" s="6">
        <v>109</v>
      </c>
      <c r="C478" s="6">
        <v>38</v>
      </c>
      <c r="D478" s="29" t="s">
        <v>446</v>
      </c>
      <c r="E478" s="29" t="s">
        <v>46</v>
      </c>
      <c r="F478" s="6">
        <v>7</v>
      </c>
      <c r="G478" s="6">
        <v>192</v>
      </c>
      <c r="H478" s="6">
        <v>50</v>
      </c>
      <c r="I478" s="6">
        <v>8.4</v>
      </c>
      <c r="J478" s="6">
        <v>3.12</v>
      </c>
    </row>
    <row r="480" s="3" customFormat="1" spans="1:11">
      <c r="A480" s="58" t="s">
        <v>447</v>
      </c>
      <c r="B480" s="30" t="s">
        <v>1</v>
      </c>
      <c r="C480" s="31" t="s">
        <v>2</v>
      </c>
      <c r="D480" s="32" t="s">
        <v>3</v>
      </c>
      <c r="E480" s="32" t="s">
        <v>4</v>
      </c>
      <c r="F480" s="33" t="s">
        <v>5</v>
      </c>
      <c r="G480" s="33" t="s">
        <v>6</v>
      </c>
      <c r="H480" s="33" t="s">
        <v>7</v>
      </c>
      <c r="I480" s="33">
        <v>50</v>
      </c>
      <c r="J480" s="33" t="s">
        <v>8</v>
      </c>
      <c r="K480" s="31" t="s">
        <v>9</v>
      </c>
    </row>
    <row r="481" spans="2:10">
      <c r="B481" s="6">
        <v>109</v>
      </c>
      <c r="C481" s="6">
        <v>39</v>
      </c>
      <c r="D481" s="39" t="s">
        <v>448</v>
      </c>
      <c r="E481" s="29" t="s">
        <v>46</v>
      </c>
      <c r="F481" s="6">
        <v>14</v>
      </c>
      <c r="G481" s="6">
        <v>166</v>
      </c>
      <c r="H481" s="6">
        <v>58</v>
      </c>
      <c r="I481" s="6">
        <v>8.6</v>
      </c>
      <c r="J481" s="6">
        <v>3.59</v>
      </c>
    </row>
    <row r="482" spans="2:10">
      <c r="B482" s="6">
        <v>109</v>
      </c>
      <c r="C482" s="6">
        <v>40</v>
      </c>
      <c r="D482" s="29" t="s">
        <v>449</v>
      </c>
      <c r="E482" s="29" t="s">
        <v>46</v>
      </c>
      <c r="F482" s="6">
        <v>24.4</v>
      </c>
      <c r="G482" s="6">
        <v>195</v>
      </c>
      <c r="H482" s="6">
        <v>39</v>
      </c>
      <c r="I482" s="6">
        <v>8.5</v>
      </c>
      <c r="J482" s="6">
        <v>3.56</v>
      </c>
    </row>
    <row r="483" spans="2:10">
      <c r="B483" s="6">
        <v>109</v>
      </c>
      <c r="C483" s="6">
        <v>41</v>
      </c>
      <c r="D483" s="29" t="s">
        <v>450</v>
      </c>
      <c r="E483" s="29" t="s">
        <v>46</v>
      </c>
      <c r="F483" s="6">
        <v>23</v>
      </c>
      <c r="G483" s="6">
        <v>190</v>
      </c>
      <c r="H483" s="6">
        <v>49</v>
      </c>
      <c r="I483" s="6">
        <v>8.9</v>
      </c>
      <c r="J483" s="6">
        <v>3.34</v>
      </c>
    </row>
    <row r="484" spans="2:10">
      <c r="B484" s="6">
        <v>109</v>
      </c>
      <c r="C484" s="6">
        <v>42</v>
      </c>
      <c r="D484" s="29" t="s">
        <v>451</v>
      </c>
      <c r="E484" s="29" t="s">
        <v>46</v>
      </c>
      <c r="F484" s="6">
        <v>9.4</v>
      </c>
      <c r="G484" s="6">
        <v>181</v>
      </c>
      <c r="H484" s="6">
        <v>48</v>
      </c>
      <c r="I484" s="6">
        <v>8.6</v>
      </c>
      <c r="J484" s="6">
        <v>3.52</v>
      </c>
    </row>
    <row r="485" spans="2:10">
      <c r="B485" s="6">
        <v>109</v>
      </c>
      <c r="C485" s="6">
        <v>43</v>
      </c>
      <c r="D485" s="29" t="s">
        <v>452</v>
      </c>
      <c r="E485" s="29" t="s">
        <v>46</v>
      </c>
      <c r="F485" s="6">
        <v>20</v>
      </c>
      <c r="G485" s="6">
        <v>157</v>
      </c>
      <c r="H485" s="6">
        <v>44</v>
      </c>
      <c r="I485" s="6">
        <v>9.1</v>
      </c>
      <c r="J485" s="6">
        <v>3.5</v>
      </c>
    </row>
    <row r="486" spans="2:10">
      <c r="B486" s="6">
        <v>109</v>
      </c>
      <c r="C486" s="6">
        <v>44</v>
      </c>
      <c r="D486" s="29" t="s">
        <v>453</v>
      </c>
      <c r="E486" s="29" t="s">
        <v>46</v>
      </c>
      <c r="F486" s="6">
        <v>15.8</v>
      </c>
      <c r="G486" s="6">
        <v>180</v>
      </c>
      <c r="H486" s="6">
        <v>46</v>
      </c>
      <c r="I486" s="6">
        <v>8.5</v>
      </c>
      <c r="J486" s="6">
        <v>3.46</v>
      </c>
    </row>
    <row r="487" spans="2:10">
      <c r="B487" s="6">
        <v>109</v>
      </c>
      <c r="C487" s="6">
        <v>45</v>
      </c>
      <c r="D487" s="29" t="s">
        <v>454</v>
      </c>
      <c r="E487" s="29" t="s">
        <v>46</v>
      </c>
      <c r="F487" s="6">
        <v>25.3</v>
      </c>
      <c r="G487" s="6">
        <v>145</v>
      </c>
      <c r="H487" s="6">
        <v>49</v>
      </c>
      <c r="I487" s="6">
        <v>9.4</v>
      </c>
      <c r="J487" s="6">
        <v>4.02</v>
      </c>
    </row>
    <row r="488" spans="2:10">
      <c r="B488" s="6">
        <v>109</v>
      </c>
      <c r="C488" s="6">
        <v>46</v>
      </c>
      <c r="D488" s="29" t="s">
        <v>455</v>
      </c>
      <c r="E488" s="29" t="s">
        <v>46</v>
      </c>
      <c r="F488" s="6">
        <v>12</v>
      </c>
      <c r="G488" s="6">
        <v>160</v>
      </c>
      <c r="H488" s="6">
        <v>48</v>
      </c>
      <c r="I488" s="6">
        <v>9.6</v>
      </c>
      <c r="J488" s="6">
        <v>4.3</v>
      </c>
    </row>
    <row r="489" spans="2:10">
      <c r="B489" s="6">
        <v>109</v>
      </c>
      <c r="C489" s="6">
        <v>47</v>
      </c>
      <c r="D489" s="29" t="s">
        <v>456</v>
      </c>
      <c r="E489" s="29" t="s">
        <v>46</v>
      </c>
      <c r="F489" s="6">
        <v>13.9</v>
      </c>
      <c r="G489" s="6">
        <v>175</v>
      </c>
      <c r="H489" s="6">
        <v>53</v>
      </c>
      <c r="I489" s="6">
        <v>7.9</v>
      </c>
      <c r="J489" s="6">
        <v>3.11</v>
      </c>
    </row>
    <row r="490" spans="2:10">
      <c r="B490" s="6">
        <v>109</v>
      </c>
      <c r="C490" s="6">
        <v>48</v>
      </c>
      <c r="D490" s="30" t="s">
        <v>457</v>
      </c>
      <c r="E490" s="30" t="s">
        <v>46</v>
      </c>
      <c r="F490" s="6">
        <v>24.5</v>
      </c>
      <c r="G490" s="6">
        <v>160</v>
      </c>
      <c r="H490" s="6">
        <v>37</v>
      </c>
      <c r="I490" s="6">
        <v>9.3</v>
      </c>
      <c r="J490" s="6">
        <v>4.23</v>
      </c>
    </row>
    <row r="491" s="3" customFormat="1" spans="1:11">
      <c r="A491" s="58" t="s">
        <v>458</v>
      </c>
      <c r="B491" s="30" t="s">
        <v>1</v>
      </c>
      <c r="C491" s="31" t="s">
        <v>2</v>
      </c>
      <c r="D491" s="32" t="s">
        <v>3</v>
      </c>
      <c r="E491" s="32" t="s">
        <v>4</v>
      </c>
      <c r="F491" s="33" t="s">
        <v>5</v>
      </c>
      <c r="G491" s="33" t="s">
        <v>6</v>
      </c>
      <c r="H491" s="33" t="s">
        <v>7</v>
      </c>
      <c r="I491" s="33">
        <v>50</v>
      </c>
      <c r="J491" s="33" t="s">
        <v>8</v>
      </c>
      <c r="K491" s="31" t="s">
        <v>9</v>
      </c>
    </row>
    <row r="492" spans="2:10">
      <c r="B492" s="6">
        <v>110</v>
      </c>
      <c r="C492" s="6">
        <v>1</v>
      </c>
      <c r="D492" s="39" t="s">
        <v>459</v>
      </c>
      <c r="E492" s="29" t="s">
        <v>11</v>
      </c>
      <c r="F492" s="6">
        <v>5.8</v>
      </c>
      <c r="G492" s="6">
        <v>256</v>
      </c>
      <c r="H492" s="6">
        <v>6</v>
      </c>
      <c r="I492" s="6">
        <v>6.9</v>
      </c>
      <c r="J492" s="6">
        <v>3.23</v>
      </c>
    </row>
    <row r="493" spans="2:10">
      <c r="B493" s="6">
        <v>110</v>
      </c>
      <c r="C493" s="6">
        <v>2</v>
      </c>
      <c r="D493" s="29" t="s">
        <v>460</v>
      </c>
      <c r="E493" s="29" t="s">
        <v>11</v>
      </c>
      <c r="F493" s="6">
        <v>17</v>
      </c>
      <c r="G493" s="6">
        <v>212</v>
      </c>
      <c r="H493" s="6">
        <v>1</v>
      </c>
      <c r="I493" s="6">
        <v>7.8</v>
      </c>
      <c r="J493" s="6">
        <v>4.07</v>
      </c>
    </row>
    <row r="494" spans="2:10">
      <c r="B494" s="6">
        <v>110</v>
      </c>
      <c r="C494" s="6">
        <v>3</v>
      </c>
      <c r="D494" s="29" t="s">
        <v>461</v>
      </c>
      <c r="E494" s="29" t="s">
        <v>11</v>
      </c>
      <c r="F494" s="6">
        <v>7</v>
      </c>
      <c r="G494" s="6">
        <v>257</v>
      </c>
      <c r="H494" s="6">
        <v>17</v>
      </c>
      <c r="I494" s="6">
        <v>6.9</v>
      </c>
      <c r="J494" s="6">
        <v>3.47</v>
      </c>
    </row>
    <row r="495" spans="2:10">
      <c r="B495" s="6">
        <v>110</v>
      </c>
      <c r="C495" s="6">
        <v>4</v>
      </c>
      <c r="D495" s="29" t="s">
        <v>462</v>
      </c>
      <c r="E495" s="29" t="s">
        <v>11</v>
      </c>
      <c r="F495" s="6">
        <v>21</v>
      </c>
      <c r="G495" s="6">
        <v>253</v>
      </c>
      <c r="H495" s="6">
        <v>20</v>
      </c>
      <c r="I495" s="6">
        <v>7.2</v>
      </c>
      <c r="J495" s="6">
        <v>3.4</v>
      </c>
    </row>
    <row r="496" spans="2:10">
      <c r="B496" s="6">
        <v>110</v>
      </c>
      <c r="C496" s="6">
        <v>5</v>
      </c>
      <c r="D496" s="29" t="s">
        <v>463</v>
      </c>
      <c r="E496" s="29" t="s">
        <v>11</v>
      </c>
      <c r="F496" s="6">
        <v>11.5</v>
      </c>
      <c r="G496" s="6">
        <v>243</v>
      </c>
      <c r="H496" s="6">
        <v>26</v>
      </c>
      <c r="I496" s="6">
        <v>7</v>
      </c>
      <c r="J496" s="6">
        <v>3.53</v>
      </c>
    </row>
    <row r="497" spans="2:10">
      <c r="B497" s="6">
        <v>110</v>
      </c>
      <c r="C497" s="6">
        <v>6</v>
      </c>
      <c r="D497" s="29" t="s">
        <v>464</v>
      </c>
      <c r="E497" s="29" t="s">
        <v>11</v>
      </c>
      <c r="F497" s="6">
        <v>16.3</v>
      </c>
      <c r="G497" s="6">
        <v>228</v>
      </c>
      <c r="H497" s="6">
        <v>1</v>
      </c>
      <c r="I497" s="6">
        <v>7.1</v>
      </c>
      <c r="J497" s="6">
        <v>3.5</v>
      </c>
    </row>
    <row r="498" spans="2:10">
      <c r="B498" s="6">
        <v>110</v>
      </c>
      <c r="C498" s="6">
        <v>7</v>
      </c>
      <c r="D498" s="29" t="s">
        <v>465</v>
      </c>
      <c r="E498" s="29" t="s">
        <v>11</v>
      </c>
      <c r="F498" s="6">
        <v>18.5</v>
      </c>
      <c r="G498" s="6">
        <v>246</v>
      </c>
      <c r="H498" s="6">
        <v>11</v>
      </c>
      <c r="I498" s="6">
        <v>7</v>
      </c>
      <c r="J498" s="6">
        <v>3.37</v>
      </c>
    </row>
    <row r="499" spans="2:10">
      <c r="B499" s="6">
        <v>110</v>
      </c>
      <c r="C499" s="6">
        <v>8</v>
      </c>
      <c r="D499" s="29" t="s">
        <v>466</v>
      </c>
      <c r="E499" s="29" t="s">
        <v>11</v>
      </c>
      <c r="F499" s="6">
        <v>10.1</v>
      </c>
      <c r="G499" s="6">
        <v>220</v>
      </c>
      <c r="H499" s="6">
        <v>6</v>
      </c>
      <c r="I499" s="6">
        <v>7.6</v>
      </c>
      <c r="J499" s="6">
        <v>4.02</v>
      </c>
    </row>
    <row r="500" spans="2:10">
      <c r="B500" s="6">
        <v>110</v>
      </c>
      <c r="C500" s="6">
        <v>9</v>
      </c>
      <c r="D500" s="29" t="s">
        <v>467</v>
      </c>
      <c r="E500" s="29" t="s">
        <v>11</v>
      </c>
      <c r="F500" s="6">
        <v>20.2</v>
      </c>
      <c r="G500" s="6">
        <v>252</v>
      </c>
      <c r="H500" s="6">
        <v>25</v>
      </c>
      <c r="I500" s="6">
        <v>7</v>
      </c>
      <c r="J500" s="6">
        <v>4.03</v>
      </c>
    </row>
    <row r="501" spans="2:10">
      <c r="B501" s="6">
        <v>110</v>
      </c>
      <c r="C501" s="6">
        <v>10</v>
      </c>
      <c r="D501" s="29" t="s">
        <v>468</v>
      </c>
      <c r="E501" s="29" t="s">
        <v>11</v>
      </c>
      <c r="F501" s="6">
        <v>6.5</v>
      </c>
      <c r="G501" s="6">
        <v>248</v>
      </c>
      <c r="H501" s="6">
        <v>26</v>
      </c>
      <c r="I501" s="6">
        <v>7.2</v>
      </c>
      <c r="J501" s="6">
        <v>4.07</v>
      </c>
    </row>
    <row r="502" spans="4:5">
      <c r="D502" s="29"/>
      <c r="E502" s="29"/>
    </row>
    <row r="504" s="3" customFormat="1" spans="1:11">
      <c r="A504" s="58" t="s">
        <v>469</v>
      </c>
      <c r="B504" s="30" t="s">
        <v>1</v>
      </c>
      <c r="C504" s="31" t="s">
        <v>2</v>
      </c>
      <c r="D504" s="32" t="s">
        <v>3</v>
      </c>
      <c r="E504" s="32" t="s">
        <v>4</v>
      </c>
      <c r="F504" s="33" t="s">
        <v>5</v>
      </c>
      <c r="G504" s="33" t="s">
        <v>6</v>
      </c>
      <c r="H504" s="33" t="s">
        <v>7</v>
      </c>
      <c r="I504" s="33">
        <v>50</v>
      </c>
      <c r="J504" s="33" t="s">
        <v>8</v>
      </c>
      <c r="K504" s="31" t="s">
        <v>9</v>
      </c>
    </row>
    <row r="505" spans="2:10">
      <c r="B505" s="6">
        <v>110</v>
      </c>
      <c r="C505" s="6">
        <v>11</v>
      </c>
      <c r="D505" s="29" t="s">
        <v>470</v>
      </c>
      <c r="E505" s="29" t="s">
        <v>11</v>
      </c>
      <c r="F505" s="6">
        <v>10.4</v>
      </c>
      <c r="G505" s="6">
        <v>260</v>
      </c>
      <c r="H505" s="6">
        <v>18</v>
      </c>
      <c r="I505" s="6">
        <v>6.7</v>
      </c>
      <c r="J505" s="6">
        <v>3.29</v>
      </c>
    </row>
    <row r="506" spans="2:10">
      <c r="B506" s="6">
        <v>110</v>
      </c>
      <c r="C506" s="6">
        <v>12</v>
      </c>
      <c r="D506" s="29" t="s">
        <v>471</v>
      </c>
      <c r="E506" s="29" t="s">
        <v>11</v>
      </c>
      <c r="F506" s="6">
        <v>23</v>
      </c>
      <c r="G506" s="6">
        <v>235</v>
      </c>
      <c r="H506" s="6">
        <v>1</v>
      </c>
      <c r="I506" s="6">
        <v>7.2</v>
      </c>
      <c r="J506" s="6">
        <v>4.11</v>
      </c>
    </row>
    <row r="507" spans="2:10">
      <c r="B507" s="6">
        <v>110</v>
      </c>
      <c r="C507" s="6">
        <v>13</v>
      </c>
      <c r="D507" s="29" t="s">
        <v>472</v>
      </c>
      <c r="E507" s="29" t="s">
        <v>11</v>
      </c>
      <c r="F507" s="6">
        <v>8.5</v>
      </c>
      <c r="G507" s="6">
        <v>210</v>
      </c>
      <c r="H507" s="6">
        <v>0</v>
      </c>
      <c r="I507" s="6">
        <v>8</v>
      </c>
      <c r="J507" s="6">
        <v>4.17</v>
      </c>
    </row>
    <row r="508" spans="2:10">
      <c r="B508" s="6">
        <v>110</v>
      </c>
      <c r="C508" s="6">
        <v>14</v>
      </c>
      <c r="D508" s="29" t="s">
        <v>473</v>
      </c>
      <c r="E508" s="29" t="s">
        <v>11</v>
      </c>
      <c r="F508" s="6">
        <v>6</v>
      </c>
      <c r="G508" s="6">
        <v>198</v>
      </c>
      <c r="H508" s="6">
        <v>0</v>
      </c>
      <c r="I508" s="6">
        <v>7.7</v>
      </c>
      <c r="J508" s="6">
        <v>4.56</v>
      </c>
    </row>
    <row r="509" spans="2:10">
      <c r="B509" s="6">
        <v>110</v>
      </c>
      <c r="C509" s="6">
        <v>15</v>
      </c>
      <c r="D509" s="29" t="s">
        <v>474</v>
      </c>
      <c r="E509" s="29" t="s">
        <v>11</v>
      </c>
      <c r="F509" s="6">
        <v>14.7</v>
      </c>
      <c r="G509" s="6">
        <v>220</v>
      </c>
      <c r="H509" s="6">
        <v>0</v>
      </c>
      <c r="I509" s="6">
        <v>7.6</v>
      </c>
      <c r="J509" s="6">
        <v>4.21</v>
      </c>
    </row>
    <row r="510" spans="2:10">
      <c r="B510" s="6">
        <v>110</v>
      </c>
      <c r="C510" s="6">
        <v>16</v>
      </c>
      <c r="D510" s="29" t="s">
        <v>475</v>
      </c>
      <c r="E510" s="29" t="s">
        <v>11</v>
      </c>
      <c r="F510" s="6">
        <v>12.5</v>
      </c>
      <c r="G510" s="6">
        <v>238</v>
      </c>
      <c r="H510" s="6">
        <v>3</v>
      </c>
      <c r="J510" s="6">
        <v>3.43</v>
      </c>
    </row>
    <row r="511" spans="2:10">
      <c r="B511" s="6">
        <v>110</v>
      </c>
      <c r="C511" s="6">
        <v>17</v>
      </c>
      <c r="D511" s="29" t="s">
        <v>476</v>
      </c>
      <c r="E511" s="29" t="s">
        <v>11</v>
      </c>
      <c r="F511" s="6">
        <v>14</v>
      </c>
      <c r="G511" s="6">
        <v>260</v>
      </c>
      <c r="H511" s="6">
        <v>16</v>
      </c>
      <c r="I511" s="6">
        <v>6.4</v>
      </c>
      <c r="J511" s="6">
        <v>3.33</v>
      </c>
    </row>
    <row r="512" spans="2:10">
      <c r="B512" s="6">
        <v>110</v>
      </c>
      <c r="C512" s="6">
        <v>18</v>
      </c>
      <c r="D512" s="29" t="s">
        <v>477</v>
      </c>
      <c r="E512" s="29" t="s">
        <v>11</v>
      </c>
      <c r="F512" s="6">
        <v>4.5</v>
      </c>
      <c r="G512" s="6">
        <v>248</v>
      </c>
      <c r="H512" s="6">
        <v>26</v>
      </c>
      <c r="I512" s="6">
        <v>7.7</v>
      </c>
      <c r="J512" s="6">
        <v>3.35</v>
      </c>
    </row>
    <row r="513" spans="2:10">
      <c r="B513" s="6">
        <v>110</v>
      </c>
      <c r="C513" s="6">
        <v>19</v>
      </c>
      <c r="D513" s="29" t="s">
        <v>478</v>
      </c>
      <c r="E513" s="29" t="s">
        <v>11</v>
      </c>
      <c r="F513" s="6">
        <v>24</v>
      </c>
      <c r="G513" s="6">
        <v>268</v>
      </c>
      <c r="H513" s="6">
        <v>16</v>
      </c>
      <c r="I513" s="6">
        <v>7.2</v>
      </c>
      <c r="J513" s="6">
        <v>3.51</v>
      </c>
    </row>
    <row r="514" spans="4:5">
      <c r="D514" s="29"/>
      <c r="E514" s="29"/>
    </row>
    <row r="516" s="3" customFormat="1" spans="1:11">
      <c r="A516" s="58" t="s">
        <v>479</v>
      </c>
      <c r="B516" s="30" t="s">
        <v>1</v>
      </c>
      <c r="C516" s="31" t="s">
        <v>2</v>
      </c>
      <c r="D516" s="32" t="s">
        <v>3</v>
      </c>
      <c r="E516" s="32" t="s">
        <v>4</v>
      </c>
      <c r="F516" s="33" t="s">
        <v>5</v>
      </c>
      <c r="G516" s="33" t="s">
        <v>6</v>
      </c>
      <c r="H516" s="33" t="s">
        <v>7</v>
      </c>
      <c r="I516" s="33">
        <v>50</v>
      </c>
      <c r="J516" s="33" t="s">
        <v>8</v>
      </c>
      <c r="K516" s="31" t="s">
        <v>9</v>
      </c>
    </row>
    <row r="517" spans="2:10">
      <c r="B517" s="6">
        <v>110</v>
      </c>
      <c r="C517" s="6">
        <v>20</v>
      </c>
      <c r="D517" s="39" t="s">
        <v>480</v>
      </c>
      <c r="E517" s="29" t="s">
        <v>11</v>
      </c>
      <c r="F517" s="6">
        <v>20</v>
      </c>
      <c r="G517" s="6">
        <v>251</v>
      </c>
      <c r="H517" s="6">
        <v>22</v>
      </c>
      <c r="I517" s="6">
        <v>6.7</v>
      </c>
      <c r="J517" s="6">
        <v>3.3</v>
      </c>
    </row>
    <row r="518" spans="2:11">
      <c r="B518" s="6">
        <v>110</v>
      </c>
      <c r="C518" s="6">
        <v>21</v>
      </c>
      <c r="D518" s="29" t="s">
        <v>481</v>
      </c>
      <c r="E518" s="29" t="s">
        <v>11</v>
      </c>
      <c r="K518" s="6" t="s">
        <v>482</v>
      </c>
    </row>
    <row r="519" spans="2:10">
      <c r="B519" s="6">
        <v>110</v>
      </c>
      <c r="C519" s="6">
        <v>22</v>
      </c>
      <c r="D519" s="29" t="s">
        <v>483</v>
      </c>
      <c r="E519" s="29" t="s">
        <v>11</v>
      </c>
      <c r="F519" s="6">
        <v>13.5</v>
      </c>
      <c r="G519" s="6">
        <v>223</v>
      </c>
      <c r="H519" s="6">
        <v>1</v>
      </c>
      <c r="I519" s="6">
        <v>7.8</v>
      </c>
      <c r="J519" s="6">
        <v>3.53</v>
      </c>
    </row>
    <row r="520" spans="2:10">
      <c r="B520" s="6">
        <v>110</v>
      </c>
      <c r="C520" s="6">
        <v>23</v>
      </c>
      <c r="D520" s="29" t="s">
        <v>484</v>
      </c>
      <c r="E520" s="29" t="s">
        <v>11</v>
      </c>
      <c r="F520" s="6">
        <v>2.5</v>
      </c>
      <c r="G520" s="6">
        <v>201</v>
      </c>
      <c r="H520" s="6">
        <v>1</v>
      </c>
      <c r="I520" s="6">
        <v>7.9</v>
      </c>
      <c r="J520" s="6">
        <v>4.25</v>
      </c>
    </row>
    <row r="521" spans="2:10">
      <c r="B521" s="6">
        <v>110</v>
      </c>
      <c r="C521" s="6">
        <v>24</v>
      </c>
      <c r="D521" s="29" t="s">
        <v>485</v>
      </c>
      <c r="E521" s="29" t="s">
        <v>11</v>
      </c>
      <c r="F521" s="6">
        <v>4</v>
      </c>
      <c r="G521" s="6">
        <v>221</v>
      </c>
      <c r="H521" s="6">
        <v>7</v>
      </c>
      <c r="I521" s="6">
        <v>7.9</v>
      </c>
      <c r="J521" s="6">
        <v>4.43</v>
      </c>
    </row>
    <row r="522" spans="2:10">
      <c r="B522" s="6">
        <v>110</v>
      </c>
      <c r="C522" s="6">
        <v>25</v>
      </c>
      <c r="D522" s="29" t="s">
        <v>486</v>
      </c>
      <c r="E522" s="29" t="s">
        <v>11</v>
      </c>
      <c r="F522" s="6">
        <v>13</v>
      </c>
      <c r="G522" s="6">
        <v>225</v>
      </c>
      <c r="H522" s="6">
        <v>0</v>
      </c>
      <c r="I522" s="6">
        <v>8</v>
      </c>
      <c r="J522" s="6">
        <v>3.52</v>
      </c>
    </row>
    <row r="523" spans="2:10">
      <c r="B523" s="6">
        <v>110</v>
      </c>
      <c r="C523" s="6">
        <v>26</v>
      </c>
      <c r="D523" s="29" t="s">
        <v>487</v>
      </c>
      <c r="E523" s="29" t="s">
        <v>11</v>
      </c>
      <c r="F523" s="6">
        <v>18</v>
      </c>
      <c r="G523" s="6">
        <v>263</v>
      </c>
      <c r="H523" s="6">
        <v>10</v>
      </c>
      <c r="I523" s="6">
        <v>7.2</v>
      </c>
      <c r="J523" s="6">
        <v>3.56</v>
      </c>
    </row>
    <row r="524" spans="2:10">
      <c r="B524" s="6">
        <v>110</v>
      </c>
      <c r="C524" s="6">
        <v>27</v>
      </c>
      <c r="D524" s="29" t="s">
        <v>488</v>
      </c>
      <c r="E524" s="29" t="s">
        <v>11</v>
      </c>
      <c r="F524" s="6">
        <v>14.5</v>
      </c>
      <c r="G524" s="6">
        <v>245</v>
      </c>
      <c r="H524" s="6">
        <v>27</v>
      </c>
      <c r="I524" s="6">
        <v>6.8</v>
      </c>
      <c r="J524" s="6">
        <v>3.28</v>
      </c>
    </row>
    <row r="525" spans="2:10">
      <c r="B525" s="6">
        <v>110</v>
      </c>
      <c r="C525" s="6">
        <v>28</v>
      </c>
      <c r="D525" s="29" t="s">
        <v>489</v>
      </c>
      <c r="E525" s="29" t="s">
        <v>11</v>
      </c>
      <c r="F525" s="6">
        <v>23.5</v>
      </c>
      <c r="G525" s="6">
        <v>235</v>
      </c>
      <c r="H525" s="6">
        <v>12</v>
      </c>
      <c r="I525" s="6">
        <v>7.9</v>
      </c>
      <c r="J525" s="6">
        <v>3.47</v>
      </c>
    </row>
    <row r="526" s="3" customFormat="1" spans="1:11">
      <c r="A526" s="58" t="s">
        <v>490</v>
      </c>
      <c r="B526" s="30" t="s">
        <v>1</v>
      </c>
      <c r="C526" s="31" t="s">
        <v>2</v>
      </c>
      <c r="D526" s="32" t="s">
        <v>3</v>
      </c>
      <c r="E526" s="32" t="s">
        <v>4</v>
      </c>
      <c r="F526" s="33" t="s">
        <v>5</v>
      </c>
      <c r="G526" s="33" t="s">
        <v>6</v>
      </c>
      <c r="H526" s="33" t="s">
        <v>7</v>
      </c>
      <c r="I526" s="33">
        <v>50</v>
      </c>
      <c r="J526" s="33" t="s">
        <v>8</v>
      </c>
      <c r="K526" s="31" t="s">
        <v>9</v>
      </c>
    </row>
    <row r="527" spans="2:10">
      <c r="B527" s="6">
        <v>110</v>
      </c>
      <c r="C527" s="6">
        <v>29</v>
      </c>
      <c r="D527" s="39" t="s">
        <v>491</v>
      </c>
      <c r="E527" s="29" t="s">
        <v>46</v>
      </c>
      <c r="F527" s="6">
        <v>18</v>
      </c>
      <c r="G527" s="6">
        <v>170</v>
      </c>
      <c r="H527" s="6">
        <v>45</v>
      </c>
      <c r="I527" s="6">
        <v>8.7</v>
      </c>
      <c r="J527" s="6">
        <v>3.56</v>
      </c>
    </row>
    <row r="528" spans="2:10">
      <c r="B528" s="6">
        <v>110</v>
      </c>
      <c r="C528" s="6">
        <v>30</v>
      </c>
      <c r="D528" s="29" t="s">
        <v>492</v>
      </c>
      <c r="E528" s="29" t="s">
        <v>46</v>
      </c>
      <c r="F528" s="6">
        <v>17</v>
      </c>
      <c r="G528" s="6">
        <v>177</v>
      </c>
      <c r="H528" s="6">
        <v>47</v>
      </c>
      <c r="I528" s="6">
        <v>8.7</v>
      </c>
      <c r="J528" s="6">
        <v>3.52</v>
      </c>
    </row>
    <row r="529" spans="2:10">
      <c r="B529" s="6">
        <v>110</v>
      </c>
      <c r="C529" s="6">
        <v>31</v>
      </c>
      <c r="D529" s="29" t="s">
        <v>493</v>
      </c>
      <c r="E529" s="29" t="s">
        <v>46</v>
      </c>
      <c r="F529" s="6">
        <v>15</v>
      </c>
      <c r="G529" s="6">
        <v>160</v>
      </c>
      <c r="H529" s="6">
        <v>44</v>
      </c>
      <c r="I529" s="6">
        <v>10.4</v>
      </c>
      <c r="J529" s="6">
        <v>4.32</v>
      </c>
    </row>
    <row r="530" spans="2:10">
      <c r="B530" s="6">
        <v>110</v>
      </c>
      <c r="C530" s="6">
        <v>32</v>
      </c>
      <c r="D530" s="29" t="s">
        <v>494</v>
      </c>
      <c r="E530" s="29" t="s">
        <v>46</v>
      </c>
      <c r="F530" s="6">
        <v>15</v>
      </c>
      <c r="G530" s="6">
        <v>169</v>
      </c>
      <c r="H530" s="6">
        <v>44</v>
      </c>
      <c r="I530" s="6">
        <v>9</v>
      </c>
      <c r="J530" s="6">
        <v>4.07</v>
      </c>
    </row>
    <row r="531" spans="2:10">
      <c r="B531" s="6">
        <v>110</v>
      </c>
      <c r="C531" s="6">
        <v>33</v>
      </c>
      <c r="D531" s="29" t="s">
        <v>495</v>
      </c>
      <c r="E531" s="29" t="s">
        <v>46</v>
      </c>
      <c r="F531" s="6">
        <v>14</v>
      </c>
      <c r="G531" s="6">
        <v>150</v>
      </c>
      <c r="H531" s="6">
        <v>32</v>
      </c>
      <c r="I531" s="6">
        <v>9.7</v>
      </c>
      <c r="J531" s="6">
        <v>5.09</v>
      </c>
    </row>
    <row r="532" spans="2:11">
      <c r="B532" s="6">
        <v>110</v>
      </c>
      <c r="C532" s="6">
        <v>34</v>
      </c>
      <c r="D532" s="29" t="s">
        <v>496</v>
      </c>
      <c r="E532" s="29" t="s">
        <v>46</v>
      </c>
      <c r="F532" s="6">
        <v>21</v>
      </c>
      <c r="G532" s="6">
        <v>196</v>
      </c>
      <c r="H532" s="6">
        <v>50</v>
      </c>
      <c r="I532" s="6">
        <v>8.5</v>
      </c>
      <c r="K532" s="6" t="s">
        <v>497</v>
      </c>
    </row>
    <row r="533" spans="2:10">
      <c r="B533" s="6">
        <v>110</v>
      </c>
      <c r="C533" s="6">
        <v>35</v>
      </c>
      <c r="D533" s="29" t="s">
        <v>498</v>
      </c>
      <c r="E533" s="29" t="s">
        <v>46</v>
      </c>
      <c r="F533" s="6">
        <v>19</v>
      </c>
      <c r="G533" s="6">
        <v>153</v>
      </c>
      <c r="H533" s="6">
        <v>43</v>
      </c>
      <c r="I533" s="6">
        <v>9</v>
      </c>
      <c r="J533" s="6">
        <v>3.42</v>
      </c>
    </row>
    <row r="534" spans="2:10">
      <c r="B534" s="6">
        <v>110</v>
      </c>
      <c r="C534" s="6">
        <v>36</v>
      </c>
      <c r="D534" s="29" t="s">
        <v>499</v>
      </c>
      <c r="E534" s="29" t="s">
        <v>46</v>
      </c>
      <c r="F534" s="6">
        <v>15</v>
      </c>
      <c r="G534" s="6">
        <v>163</v>
      </c>
      <c r="H534" s="6">
        <v>53</v>
      </c>
      <c r="I534" s="6">
        <v>8.3</v>
      </c>
      <c r="J534" s="6">
        <v>3.26</v>
      </c>
    </row>
    <row r="535" spans="2:10">
      <c r="B535" s="6">
        <v>110</v>
      </c>
      <c r="C535" s="6">
        <v>37</v>
      </c>
      <c r="D535" s="29" t="s">
        <v>500</v>
      </c>
      <c r="E535" s="29" t="s">
        <v>46</v>
      </c>
      <c r="F535" s="6">
        <v>15</v>
      </c>
      <c r="G535" s="6">
        <v>180</v>
      </c>
      <c r="H535" s="6">
        <v>43</v>
      </c>
      <c r="I535" s="6">
        <v>8.8</v>
      </c>
      <c r="J535" s="6">
        <v>3.55</v>
      </c>
    </row>
    <row r="536" spans="2:10">
      <c r="B536" s="6">
        <v>110</v>
      </c>
      <c r="C536" s="6">
        <v>38</v>
      </c>
      <c r="D536" s="29" t="s">
        <v>501</v>
      </c>
      <c r="E536" s="29" t="s">
        <v>46</v>
      </c>
      <c r="F536" s="6">
        <v>17</v>
      </c>
      <c r="G536" s="6">
        <v>176</v>
      </c>
      <c r="H536" s="6">
        <v>46</v>
      </c>
      <c r="I536" s="6">
        <v>8.6</v>
      </c>
      <c r="J536" s="6">
        <v>3.43</v>
      </c>
    </row>
    <row r="537" spans="2:10">
      <c r="B537" s="6">
        <v>110</v>
      </c>
      <c r="C537" s="6">
        <v>39</v>
      </c>
      <c r="D537" s="29" t="s">
        <v>502</v>
      </c>
      <c r="E537" s="29" t="s">
        <v>46</v>
      </c>
      <c r="F537" s="6">
        <v>11</v>
      </c>
      <c r="G537" s="6">
        <v>145</v>
      </c>
      <c r="H537" s="6">
        <v>47</v>
      </c>
      <c r="I537" s="6">
        <v>9.7</v>
      </c>
      <c r="J537" s="6">
        <v>4.19</v>
      </c>
    </row>
    <row r="538" spans="4:5">
      <c r="D538" s="29"/>
      <c r="E538" s="29"/>
    </row>
    <row r="539" spans="4:5">
      <c r="D539" s="29"/>
      <c r="E539" s="29"/>
    </row>
    <row r="540" spans="4:5">
      <c r="D540" s="29"/>
      <c r="E540" s="29"/>
    </row>
    <row r="541" spans="4:5">
      <c r="D541" s="29"/>
      <c r="E541" s="29"/>
    </row>
    <row r="542" spans="4:5">
      <c r="D542" s="29"/>
      <c r="E542" s="29"/>
    </row>
    <row r="543" spans="4:5">
      <c r="D543" s="29"/>
      <c r="E543" s="29"/>
    </row>
    <row r="544" spans="4:5">
      <c r="D544" s="29"/>
      <c r="E544" s="29"/>
    </row>
    <row r="545" spans="4:5">
      <c r="D545" s="29"/>
      <c r="E545" s="29"/>
    </row>
    <row r="546" spans="4:5">
      <c r="D546" s="29"/>
      <c r="E546" s="29"/>
    </row>
    <row r="547" spans="4:5">
      <c r="D547" s="29"/>
      <c r="E547" s="29"/>
    </row>
    <row r="549" s="3" customFormat="1" spans="1:11">
      <c r="A549" s="58" t="s">
        <v>503</v>
      </c>
      <c r="B549" s="30" t="s">
        <v>1</v>
      </c>
      <c r="C549" s="31" t="s">
        <v>2</v>
      </c>
      <c r="D549" s="32" t="s">
        <v>3</v>
      </c>
      <c r="E549" s="32" t="s">
        <v>4</v>
      </c>
      <c r="F549" s="33" t="s">
        <v>5</v>
      </c>
      <c r="G549" s="33" t="s">
        <v>6</v>
      </c>
      <c r="H549" s="33" t="s">
        <v>7</v>
      </c>
      <c r="I549" s="33">
        <v>50</v>
      </c>
      <c r="J549" s="33" t="s">
        <v>8</v>
      </c>
      <c r="K549" s="31" t="s">
        <v>9</v>
      </c>
    </row>
    <row r="550" spans="2:10">
      <c r="B550" s="6">
        <v>110</v>
      </c>
      <c r="C550" s="6">
        <v>40</v>
      </c>
      <c r="D550" s="39" t="s">
        <v>504</v>
      </c>
      <c r="E550" s="29" t="s">
        <v>46</v>
      </c>
      <c r="F550" s="6">
        <v>30</v>
      </c>
      <c r="G550" s="6">
        <v>208</v>
      </c>
      <c r="H550" s="6">
        <v>38</v>
      </c>
      <c r="I550" s="6">
        <v>9</v>
      </c>
      <c r="J550" s="6">
        <v>3.19</v>
      </c>
    </row>
    <row r="551" spans="2:10">
      <c r="B551" s="6">
        <v>110</v>
      </c>
      <c r="C551" s="6">
        <v>41</v>
      </c>
      <c r="D551" s="29" t="s">
        <v>505</v>
      </c>
      <c r="E551" s="29" t="s">
        <v>46</v>
      </c>
      <c r="F551" s="6">
        <v>24</v>
      </c>
      <c r="G551" s="6">
        <v>196</v>
      </c>
      <c r="H551" s="6">
        <v>33</v>
      </c>
      <c r="I551" s="6">
        <v>8.8</v>
      </c>
      <c r="J551" s="6">
        <v>3.23</v>
      </c>
    </row>
    <row r="552" spans="2:10">
      <c r="B552" s="6">
        <v>110</v>
      </c>
      <c r="C552" s="6">
        <v>42</v>
      </c>
      <c r="D552" s="29" t="s">
        <v>506</v>
      </c>
      <c r="E552" s="29" t="s">
        <v>46</v>
      </c>
      <c r="F552" s="6">
        <v>8</v>
      </c>
      <c r="G552" s="6">
        <v>172</v>
      </c>
      <c r="H552" s="6">
        <v>46</v>
      </c>
      <c r="I552" s="6">
        <v>9</v>
      </c>
      <c r="J552" s="6">
        <v>3.52</v>
      </c>
    </row>
    <row r="553" spans="2:10">
      <c r="B553" s="6">
        <v>110</v>
      </c>
      <c r="C553" s="6">
        <v>43</v>
      </c>
      <c r="D553" s="29" t="s">
        <v>507</v>
      </c>
      <c r="E553" s="29" t="s">
        <v>46</v>
      </c>
      <c r="F553" s="6">
        <v>15</v>
      </c>
      <c r="G553" s="6">
        <v>180</v>
      </c>
      <c r="H553" s="6">
        <v>54</v>
      </c>
      <c r="I553" s="6">
        <v>8.6</v>
      </c>
      <c r="J553" s="6">
        <v>3.37</v>
      </c>
    </row>
    <row r="554" spans="2:10">
      <c r="B554" s="6">
        <v>110</v>
      </c>
      <c r="C554" s="6">
        <v>44</v>
      </c>
      <c r="D554" s="29" t="s">
        <v>508</v>
      </c>
      <c r="E554" s="29" t="s">
        <v>46</v>
      </c>
      <c r="F554" s="6">
        <v>12</v>
      </c>
      <c r="G554" s="6">
        <v>173</v>
      </c>
      <c r="H554" s="6">
        <v>47</v>
      </c>
      <c r="I554" s="6">
        <v>8.8</v>
      </c>
      <c r="J554" s="6">
        <v>3.39</v>
      </c>
    </row>
    <row r="555" spans="2:10">
      <c r="B555" s="6">
        <v>110</v>
      </c>
      <c r="C555" s="6">
        <v>45</v>
      </c>
      <c r="D555" s="29" t="s">
        <v>509</v>
      </c>
      <c r="E555" s="29" t="s">
        <v>46</v>
      </c>
      <c r="F555" s="6">
        <v>17</v>
      </c>
      <c r="G555" s="6">
        <v>196</v>
      </c>
      <c r="H555" s="6">
        <v>54</v>
      </c>
      <c r="I555" s="6">
        <v>9.2</v>
      </c>
      <c r="J555" s="6">
        <v>4.22</v>
      </c>
    </row>
    <row r="556" spans="2:10">
      <c r="B556" s="6">
        <v>110</v>
      </c>
      <c r="C556" s="6">
        <v>46</v>
      </c>
      <c r="D556" s="29" t="s">
        <v>510</v>
      </c>
      <c r="E556" s="29" t="s">
        <v>46</v>
      </c>
      <c r="F556" s="6">
        <v>10</v>
      </c>
      <c r="G556" s="6">
        <v>178</v>
      </c>
      <c r="H556" s="6">
        <v>45</v>
      </c>
      <c r="I556" s="6">
        <v>8.8</v>
      </c>
      <c r="J556" s="6">
        <v>4.04</v>
      </c>
    </row>
    <row r="557" spans="2:10">
      <c r="B557" s="6">
        <v>110</v>
      </c>
      <c r="C557" s="6">
        <v>47</v>
      </c>
      <c r="D557" s="29" t="s">
        <v>511</v>
      </c>
      <c r="E557" s="29" t="s">
        <v>46</v>
      </c>
      <c r="F557" s="6">
        <v>-4</v>
      </c>
      <c r="G557" s="6">
        <v>145</v>
      </c>
      <c r="H557" s="6">
        <v>31</v>
      </c>
      <c r="I557" s="6">
        <v>9.5</v>
      </c>
      <c r="J557" s="6">
        <v>4.38</v>
      </c>
    </row>
    <row r="558" spans="2:11">
      <c r="B558" s="6">
        <v>110</v>
      </c>
      <c r="C558" s="6">
        <v>48</v>
      </c>
      <c r="D558" s="30" t="s">
        <v>512</v>
      </c>
      <c r="E558" s="30" t="s">
        <v>46</v>
      </c>
      <c r="I558" s="6">
        <v>10.1</v>
      </c>
      <c r="K558" s="6" t="s">
        <v>513</v>
      </c>
    </row>
    <row r="561" s="3" customFormat="1" spans="1:11">
      <c r="A561" s="58" t="s">
        <v>514</v>
      </c>
      <c r="B561" s="30" t="s">
        <v>1</v>
      </c>
      <c r="C561" s="31" t="s">
        <v>2</v>
      </c>
      <c r="D561" s="32" t="s">
        <v>3</v>
      </c>
      <c r="E561" s="32" t="s">
        <v>4</v>
      </c>
      <c r="F561" s="33" t="s">
        <v>5</v>
      </c>
      <c r="G561" s="33" t="s">
        <v>6</v>
      </c>
      <c r="H561" s="33" t="s">
        <v>7</v>
      </c>
      <c r="I561" s="33">
        <v>50</v>
      </c>
      <c r="J561" s="33" t="s">
        <v>8</v>
      </c>
      <c r="K561" s="31" t="s">
        <v>9</v>
      </c>
    </row>
    <row r="562" spans="2:11">
      <c r="B562" s="6">
        <v>111</v>
      </c>
      <c r="C562" s="6">
        <v>1</v>
      </c>
      <c r="D562" s="39" t="s">
        <v>515</v>
      </c>
      <c r="E562" s="29" t="s">
        <v>11</v>
      </c>
      <c r="K562" s="6" t="s">
        <v>84</v>
      </c>
    </row>
    <row r="563" spans="2:10">
      <c r="B563" s="6">
        <v>111</v>
      </c>
      <c r="C563" s="6">
        <v>2</v>
      </c>
      <c r="D563" s="29" t="s">
        <v>516</v>
      </c>
      <c r="E563" s="29" t="s">
        <v>11</v>
      </c>
      <c r="F563" s="6">
        <v>1.5</v>
      </c>
      <c r="G563" s="6">
        <v>205</v>
      </c>
      <c r="H563" s="6">
        <v>0</v>
      </c>
      <c r="I563" s="6">
        <v>7.7</v>
      </c>
      <c r="J563" s="6">
        <v>4.34</v>
      </c>
    </row>
    <row r="564" spans="2:10">
      <c r="B564" s="6">
        <v>111</v>
      </c>
      <c r="C564" s="6">
        <v>3</v>
      </c>
      <c r="D564" s="29" t="s">
        <v>517</v>
      </c>
      <c r="E564" s="29" t="s">
        <v>11</v>
      </c>
      <c r="F564" s="6">
        <v>8.5</v>
      </c>
      <c r="G564" s="6">
        <v>230</v>
      </c>
      <c r="H564" s="6">
        <v>7</v>
      </c>
      <c r="I564" s="6">
        <v>7.5</v>
      </c>
      <c r="J564" s="6">
        <v>3.55</v>
      </c>
    </row>
    <row r="565" spans="2:10">
      <c r="B565" s="6">
        <v>111</v>
      </c>
      <c r="C565" s="6">
        <v>4</v>
      </c>
      <c r="D565" s="29" t="s">
        <v>518</v>
      </c>
      <c r="E565" s="29" t="s">
        <v>11</v>
      </c>
      <c r="F565" s="6">
        <v>4.6</v>
      </c>
      <c r="G565" s="6">
        <v>228</v>
      </c>
      <c r="H565" s="6">
        <v>5</v>
      </c>
      <c r="I565" s="6">
        <v>7.4</v>
      </c>
      <c r="J565" s="6">
        <v>4</v>
      </c>
    </row>
    <row r="566" spans="2:10">
      <c r="B566" s="6">
        <v>111</v>
      </c>
      <c r="C566" s="6">
        <v>5</v>
      </c>
      <c r="D566" s="29" t="s">
        <v>519</v>
      </c>
      <c r="E566" s="29" t="s">
        <v>11</v>
      </c>
      <c r="F566" s="6">
        <v>8.7</v>
      </c>
      <c r="G566" s="6">
        <v>250</v>
      </c>
      <c r="H566" s="6">
        <v>11</v>
      </c>
      <c r="I566" s="6">
        <v>7.2</v>
      </c>
      <c r="J566" s="6">
        <v>3.45</v>
      </c>
    </row>
    <row r="567" spans="2:10">
      <c r="B567" s="6">
        <v>111</v>
      </c>
      <c r="C567" s="6">
        <v>6</v>
      </c>
      <c r="D567" s="29" t="s">
        <v>520</v>
      </c>
      <c r="E567" s="29" t="s">
        <v>11</v>
      </c>
      <c r="F567" s="6">
        <v>6.7</v>
      </c>
      <c r="G567" s="6">
        <v>245</v>
      </c>
      <c r="H567" s="6">
        <v>14</v>
      </c>
      <c r="I567" s="6">
        <v>7.1</v>
      </c>
      <c r="J567" s="6">
        <v>3.4</v>
      </c>
    </row>
    <row r="568" spans="2:11">
      <c r="B568" s="6">
        <v>111</v>
      </c>
      <c r="C568" s="6">
        <v>7</v>
      </c>
      <c r="D568" s="29" t="s">
        <v>521</v>
      </c>
      <c r="E568" s="29" t="s">
        <v>11</v>
      </c>
      <c r="K568" s="6" t="s">
        <v>84</v>
      </c>
    </row>
    <row r="569" spans="2:11">
      <c r="B569" s="6">
        <v>111</v>
      </c>
      <c r="C569" s="6">
        <v>8</v>
      </c>
      <c r="D569" s="29" t="s">
        <v>522</v>
      </c>
      <c r="E569" s="29" t="s">
        <v>11</v>
      </c>
      <c r="F569" s="6">
        <v>16.5</v>
      </c>
      <c r="H569" s="6">
        <v>20</v>
      </c>
      <c r="K569" s="6" t="s">
        <v>84</v>
      </c>
    </row>
    <row r="570" spans="2:10">
      <c r="B570" s="6">
        <v>111</v>
      </c>
      <c r="C570" s="6">
        <v>9</v>
      </c>
      <c r="D570" s="29" t="s">
        <v>523</v>
      </c>
      <c r="E570" s="29" t="s">
        <v>11</v>
      </c>
      <c r="F570" s="6">
        <v>3.8</v>
      </c>
      <c r="G570" s="6">
        <v>223</v>
      </c>
      <c r="H570" s="6">
        <v>7</v>
      </c>
      <c r="I570" s="6">
        <v>7.7</v>
      </c>
      <c r="J570" s="6">
        <v>4.23</v>
      </c>
    </row>
    <row r="571" spans="2:10">
      <c r="B571" s="6">
        <v>111</v>
      </c>
      <c r="C571" s="6">
        <v>10</v>
      </c>
      <c r="D571" s="29" t="s">
        <v>524</v>
      </c>
      <c r="E571" s="29" t="s">
        <v>11</v>
      </c>
      <c r="F571" s="6">
        <v>3</v>
      </c>
      <c r="G571" s="6">
        <v>220</v>
      </c>
      <c r="H571" s="6">
        <v>21</v>
      </c>
      <c r="I571" s="6">
        <v>7.6</v>
      </c>
      <c r="J571" s="6">
        <v>3.27</v>
      </c>
    </row>
    <row r="572" spans="2:10">
      <c r="B572" s="6">
        <v>111</v>
      </c>
      <c r="C572" s="6">
        <v>11</v>
      </c>
      <c r="D572" s="29" t="s">
        <v>525</v>
      </c>
      <c r="E572" s="29" t="s">
        <v>11</v>
      </c>
      <c r="F572" s="6">
        <v>12</v>
      </c>
      <c r="G572" s="6">
        <v>245</v>
      </c>
      <c r="H572" s="6">
        <v>26</v>
      </c>
      <c r="I572" s="6">
        <v>7.2</v>
      </c>
      <c r="J572" s="6">
        <v>3.54</v>
      </c>
    </row>
    <row r="573" spans="2:10">
      <c r="B573" s="6">
        <v>111</v>
      </c>
      <c r="C573" s="6">
        <v>12</v>
      </c>
      <c r="D573" s="29" t="s">
        <v>526</v>
      </c>
      <c r="E573" s="29" t="s">
        <v>11</v>
      </c>
      <c r="F573" s="6">
        <v>21.5</v>
      </c>
      <c r="G573" s="6">
        <v>228</v>
      </c>
      <c r="H573" s="6">
        <v>3</v>
      </c>
      <c r="I573" s="6">
        <v>7.1</v>
      </c>
      <c r="J573" s="6">
        <v>4.11</v>
      </c>
    </row>
    <row r="574" spans="2:10">
      <c r="B574" s="6">
        <v>111</v>
      </c>
      <c r="C574" s="6">
        <v>13</v>
      </c>
      <c r="D574" s="29" t="s">
        <v>527</v>
      </c>
      <c r="E574" s="29" t="s">
        <v>11</v>
      </c>
      <c r="F574" s="6">
        <v>9.2</v>
      </c>
      <c r="G574" s="6">
        <v>218</v>
      </c>
      <c r="H574" s="6">
        <v>13</v>
      </c>
      <c r="I574" s="6">
        <v>7.8</v>
      </c>
      <c r="J574" s="6">
        <v>3.52</v>
      </c>
    </row>
    <row r="575" spans="4:5">
      <c r="D575" s="29"/>
      <c r="E575" s="29"/>
    </row>
    <row r="576" spans="4:5">
      <c r="D576" s="29"/>
      <c r="E576" s="29"/>
    </row>
    <row r="577" spans="4:5">
      <c r="D577" s="29"/>
      <c r="E577" s="29"/>
    </row>
    <row r="578" spans="4:5">
      <c r="D578" s="29"/>
      <c r="E578" s="29"/>
    </row>
    <row r="579" spans="4:5">
      <c r="D579" s="29"/>
      <c r="E579" s="29"/>
    </row>
    <row r="581" s="3" customFormat="1" spans="1:11">
      <c r="A581" s="58" t="s">
        <v>528</v>
      </c>
      <c r="B581" s="30" t="s">
        <v>1</v>
      </c>
      <c r="C581" s="31" t="s">
        <v>2</v>
      </c>
      <c r="D581" s="32" t="s">
        <v>3</v>
      </c>
      <c r="E581" s="32" t="s">
        <v>4</v>
      </c>
      <c r="F581" s="33" t="s">
        <v>5</v>
      </c>
      <c r="G581" s="33" t="s">
        <v>6</v>
      </c>
      <c r="H581" s="33" t="s">
        <v>7</v>
      </c>
      <c r="I581" s="33">
        <v>50</v>
      </c>
      <c r="J581" s="33" t="s">
        <v>8</v>
      </c>
      <c r="K581" s="31" t="s">
        <v>9</v>
      </c>
    </row>
    <row r="582" spans="2:10">
      <c r="B582" s="6">
        <v>111</v>
      </c>
      <c r="C582" s="6">
        <v>14</v>
      </c>
      <c r="D582" s="39" t="s">
        <v>529</v>
      </c>
      <c r="E582" s="29" t="s">
        <v>11</v>
      </c>
      <c r="F582" s="6">
        <v>11.3</v>
      </c>
      <c r="G582" s="6">
        <v>262</v>
      </c>
      <c r="H582" s="6">
        <v>20</v>
      </c>
      <c r="I582" s="6">
        <v>6.5</v>
      </c>
      <c r="J582" s="6">
        <v>3.17</v>
      </c>
    </row>
    <row r="583" spans="2:10">
      <c r="B583" s="6">
        <v>111</v>
      </c>
      <c r="C583" s="6">
        <v>15</v>
      </c>
      <c r="D583" s="29" t="s">
        <v>530</v>
      </c>
      <c r="E583" s="29" t="s">
        <v>11</v>
      </c>
      <c r="F583" s="6">
        <v>1</v>
      </c>
      <c r="G583" s="6">
        <v>210</v>
      </c>
      <c r="H583" s="6">
        <v>0</v>
      </c>
      <c r="I583" s="6">
        <v>7.3</v>
      </c>
      <c r="J583" s="6">
        <v>3.55</v>
      </c>
    </row>
    <row r="584" spans="2:10">
      <c r="B584" s="6">
        <v>111</v>
      </c>
      <c r="C584" s="6">
        <v>16</v>
      </c>
      <c r="D584" s="29" t="s">
        <v>531</v>
      </c>
      <c r="E584" s="29" t="s">
        <v>11</v>
      </c>
      <c r="F584" s="6">
        <v>0.2</v>
      </c>
      <c r="G584" s="6">
        <v>255</v>
      </c>
      <c r="H584" s="6">
        <v>1</v>
      </c>
      <c r="I584" s="6">
        <v>6.9</v>
      </c>
      <c r="J584" s="6">
        <v>3.4</v>
      </c>
    </row>
    <row r="585" spans="2:10">
      <c r="B585" s="6">
        <v>111</v>
      </c>
      <c r="C585" s="6">
        <v>17</v>
      </c>
      <c r="D585" s="29" t="s">
        <v>532</v>
      </c>
      <c r="E585" s="29" t="s">
        <v>11</v>
      </c>
      <c r="F585" s="6">
        <v>2.2</v>
      </c>
      <c r="G585" s="6">
        <v>210</v>
      </c>
      <c r="H585" s="6">
        <v>6</v>
      </c>
      <c r="I585" s="6">
        <v>7.3</v>
      </c>
      <c r="J585" s="6">
        <v>3.29</v>
      </c>
    </row>
    <row r="586" spans="2:10">
      <c r="B586" s="6">
        <v>111</v>
      </c>
      <c r="C586" s="6">
        <v>18</v>
      </c>
      <c r="D586" s="29" t="s">
        <v>533</v>
      </c>
      <c r="E586" s="29" t="s">
        <v>11</v>
      </c>
      <c r="F586" s="6">
        <v>13.7</v>
      </c>
      <c r="G586" s="6">
        <v>150</v>
      </c>
      <c r="H586" s="6">
        <v>0</v>
      </c>
      <c r="I586" s="6">
        <v>7.7</v>
      </c>
      <c r="J586" s="6">
        <v>3.5</v>
      </c>
    </row>
    <row r="587" spans="2:10">
      <c r="B587" s="6">
        <v>111</v>
      </c>
      <c r="C587" s="6">
        <v>19</v>
      </c>
      <c r="D587" s="29" t="s">
        <v>534</v>
      </c>
      <c r="E587" s="29" t="s">
        <v>11</v>
      </c>
      <c r="F587" s="6">
        <v>26</v>
      </c>
      <c r="G587" s="6">
        <v>216</v>
      </c>
      <c r="H587" s="6">
        <v>14</v>
      </c>
      <c r="I587" s="6">
        <v>6.5</v>
      </c>
      <c r="J587" s="6">
        <v>3.27</v>
      </c>
    </row>
    <row r="588" spans="2:10">
      <c r="B588" s="6">
        <v>111</v>
      </c>
      <c r="C588" s="6">
        <v>20</v>
      </c>
      <c r="D588" s="29" t="s">
        <v>535</v>
      </c>
      <c r="E588" s="29" t="s">
        <v>11</v>
      </c>
      <c r="F588" s="6">
        <v>10.2</v>
      </c>
      <c r="G588" s="6">
        <v>236</v>
      </c>
      <c r="H588" s="6">
        <v>2</v>
      </c>
      <c r="I588" s="6">
        <v>7.6</v>
      </c>
      <c r="J588" s="6">
        <v>4.3</v>
      </c>
    </row>
    <row r="589" spans="2:10">
      <c r="B589" s="6">
        <v>111</v>
      </c>
      <c r="C589" s="6">
        <v>21</v>
      </c>
      <c r="D589" s="29" t="s">
        <v>536</v>
      </c>
      <c r="E589" s="29" t="s">
        <v>11</v>
      </c>
      <c r="F589" s="6">
        <v>2.1</v>
      </c>
      <c r="G589" s="6">
        <v>253</v>
      </c>
      <c r="H589" s="6">
        <v>15</v>
      </c>
      <c r="I589" s="6">
        <v>7</v>
      </c>
      <c r="J589" s="6">
        <v>4.06</v>
      </c>
    </row>
    <row r="590" spans="2:10">
      <c r="B590" s="6">
        <v>111</v>
      </c>
      <c r="C590" s="6">
        <v>22</v>
      </c>
      <c r="D590" s="29" t="s">
        <v>537</v>
      </c>
      <c r="E590" s="29" t="s">
        <v>11</v>
      </c>
      <c r="F590" s="6">
        <v>6.3</v>
      </c>
      <c r="G590" s="6">
        <v>255</v>
      </c>
      <c r="H590" s="6">
        <v>16</v>
      </c>
      <c r="I590" s="6">
        <v>7.3</v>
      </c>
      <c r="J590" s="6">
        <v>3.52</v>
      </c>
    </row>
    <row r="591" spans="2:10">
      <c r="B591" s="6">
        <v>111</v>
      </c>
      <c r="C591" s="6">
        <v>23</v>
      </c>
      <c r="D591" s="29" t="s">
        <v>538</v>
      </c>
      <c r="E591" s="29" t="s">
        <v>11</v>
      </c>
      <c r="F591" s="6">
        <v>21</v>
      </c>
      <c r="G591" s="6">
        <v>282</v>
      </c>
      <c r="H591" s="6">
        <v>26</v>
      </c>
      <c r="I591" s="6">
        <v>6.6</v>
      </c>
      <c r="J591" s="6">
        <v>3.23</v>
      </c>
    </row>
    <row r="592" spans="2:10">
      <c r="B592" s="6">
        <v>111</v>
      </c>
      <c r="C592" s="6">
        <v>24</v>
      </c>
      <c r="D592" s="29" t="s">
        <v>539</v>
      </c>
      <c r="E592" s="29" t="s">
        <v>11</v>
      </c>
      <c r="F592" s="6">
        <v>-2.5</v>
      </c>
      <c r="G592" s="6">
        <v>206</v>
      </c>
      <c r="H592" s="6">
        <v>1</v>
      </c>
      <c r="I592" s="6">
        <v>8</v>
      </c>
      <c r="J592" s="6">
        <v>4.02</v>
      </c>
    </row>
    <row r="593" spans="2:10">
      <c r="B593" s="6">
        <v>111</v>
      </c>
      <c r="C593" s="6">
        <v>25</v>
      </c>
      <c r="D593" s="6" t="s">
        <v>540</v>
      </c>
      <c r="E593" s="30" t="s">
        <v>11</v>
      </c>
      <c r="F593" s="6">
        <v>10</v>
      </c>
      <c r="G593" s="6">
        <v>241</v>
      </c>
      <c r="H593" s="6">
        <v>16</v>
      </c>
      <c r="I593" s="6">
        <v>7</v>
      </c>
      <c r="J593" s="6">
        <v>4.1</v>
      </c>
    </row>
    <row r="594" spans="2:11">
      <c r="B594" s="6">
        <v>111</v>
      </c>
      <c r="C594" s="6">
        <v>26</v>
      </c>
      <c r="D594" s="30" t="s">
        <v>541</v>
      </c>
      <c r="E594" s="30" t="s">
        <v>11</v>
      </c>
      <c r="K594" s="6" t="s">
        <v>542</v>
      </c>
    </row>
    <row r="596" s="3" customFormat="1" spans="1:11">
      <c r="A596" s="58" t="s">
        <v>543</v>
      </c>
      <c r="B596" s="30" t="s">
        <v>1</v>
      </c>
      <c r="C596" s="31" t="s">
        <v>2</v>
      </c>
      <c r="D596" s="32" t="s">
        <v>3</v>
      </c>
      <c r="E596" s="32" t="s">
        <v>4</v>
      </c>
      <c r="F596" s="33" t="s">
        <v>5</v>
      </c>
      <c r="G596" s="33" t="s">
        <v>6</v>
      </c>
      <c r="H596" s="33" t="s">
        <v>7</v>
      </c>
      <c r="I596" s="33">
        <v>50</v>
      </c>
      <c r="J596" s="33" t="s">
        <v>8</v>
      </c>
      <c r="K596" s="31" t="s">
        <v>9</v>
      </c>
    </row>
    <row r="597" s="34" customFormat="1" spans="1:11">
      <c r="A597" s="59"/>
      <c r="B597" s="52">
        <v>111</v>
      </c>
      <c r="C597" s="52">
        <v>27</v>
      </c>
      <c r="D597" s="39" t="s">
        <v>544</v>
      </c>
      <c r="E597" s="29" t="s">
        <v>46</v>
      </c>
      <c r="F597" s="52">
        <v>16</v>
      </c>
      <c r="G597" s="52">
        <v>180</v>
      </c>
      <c r="H597" s="52">
        <v>41</v>
      </c>
      <c r="I597" s="52">
        <v>8.7</v>
      </c>
      <c r="J597" s="52">
        <v>3.34</v>
      </c>
      <c r="K597" s="52"/>
    </row>
    <row r="598" spans="2:10">
      <c r="B598" s="6">
        <v>111</v>
      </c>
      <c r="C598" s="6">
        <v>28</v>
      </c>
      <c r="D598" s="29" t="s">
        <v>545</v>
      </c>
      <c r="E598" s="29" t="s">
        <v>46</v>
      </c>
      <c r="F598" s="6">
        <v>17</v>
      </c>
      <c r="G598" s="6">
        <v>230</v>
      </c>
      <c r="H598" s="6">
        <v>57</v>
      </c>
      <c r="J598" s="6">
        <v>3.17</v>
      </c>
    </row>
    <row r="599" spans="2:10">
      <c r="B599" s="6">
        <v>111</v>
      </c>
      <c r="C599" s="6">
        <v>29</v>
      </c>
      <c r="D599" s="29" t="s">
        <v>546</v>
      </c>
      <c r="E599" s="29" t="s">
        <v>46</v>
      </c>
      <c r="F599" s="6">
        <v>25</v>
      </c>
      <c r="G599" s="6">
        <v>200</v>
      </c>
      <c r="H599" s="6">
        <v>52</v>
      </c>
      <c r="I599" s="6">
        <v>8</v>
      </c>
      <c r="J599" s="6">
        <v>3.26</v>
      </c>
    </row>
    <row r="600" spans="2:10">
      <c r="B600" s="6">
        <v>111</v>
      </c>
      <c r="C600" s="6">
        <v>30</v>
      </c>
      <c r="D600" s="29" t="s">
        <v>547</v>
      </c>
      <c r="E600" s="29" t="s">
        <v>46</v>
      </c>
      <c r="F600" s="6">
        <v>7</v>
      </c>
      <c r="G600" s="6">
        <v>185</v>
      </c>
      <c r="H600" s="6">
        <v>48</v>
      </c>
      <c r="I600" s="6">
        <v>8.6</v>
      </c>
      <c r="J600" s="6">
        <v>3.41</v>
      </c>
    </row>
    <row r="601" spans="2:10">
      <c r="B601" s="6">
        <v>111</v>
      </c>
      <c r="C601" s="6">
        <v>31</v>
      </c>
      <c r="D601" s="29" t="s">
        <v>548</v>
      </c>
      <c r="E601" s="29" t="s">
        <v>46</v>
      </c>
      <c r="F601" s="6">
        <v>22</v>
      </c>
      <c r="G601" s="6">
        <v>135</v>
      </c>
      <c r="H601" s="6">
        <v>46</v>
      </c>
      <c r="I601" s="6">
        <v>10</v>
      </c>
      <c r="J601" s="6">
        <v>3.43</v>
      </c>
    </row>
    <row r="602" spans="2:10">
      <c r="B602" s="6">
        <v>111</v>
      </c>
      <c r="C602" s="6">
        <v>32</v>
      </c>
      <c r="D602" s="29" t="s">
        <v>549</v>
      </c>
      <c r="E602" s="29" t="s">
        <v>46</v>
      </c>
      <c r="F602" s="6">
        <v>10</v>
      </c>
      <c r="G602" s="6">
        <v>170</v>
      </c>
      <c r="H602" s="6">
        <v>56</v>
      </c>
      <c r="I602" s="6">
        <v>8.2</v>
      </c>
      <c r="J602" s="6">
        <v>3.5</v>
      </c>
    </row>
    <row r="603" spans="2:10">
      <c r="B603" s="6">
        <v>111</v>
      </c>
      <c r="C603" s="6">
        <v>33</v>
      </c>
      <c r="D603" s="29" t="s">
        <v>550</v>
      </c>
      <c r="E603" s="29" t="s">
        <v>46</v>
      </c>
      <c r="F603" s="6">
        <v>22</v>
      </c>
      <c r="G603" s="6">
        <v>176</v>
      </c>
      <c r="H603" s="6">
        <v>45</v>
      </c>
      <c r="I603" s="6">
        <v>8.9</v>
      </c>
      <c r="J603" s="6">
        <v>3.42</v>
      </c>
    </row>
    <row r="604" spans="2:10">
      <c r="B604" s="6">
        <v>111</v>
      </c>
      <c r="C604" s="6">
        <v>34</v>
      </c>
      <c r="D604" s="29" t="s">
        <v>551</v>
      </c>
      <c r="E604" s="29" t="s">
        <v>46</v>
      </c>
      <c r="F604" s="6">
        <v>14</v>
      </c>
      <c r="G604" s="6">
        <v>155</v>
      </c>
      <c r="H604" s="6">
        <v>30</v>
      </c>
      <c r="I604" s="6">
        <v>10.2</v>
      </c>
      <c r="J604" s="6">
        <v>4.35</v>
      </c>
    </row>
    <row r="605" spans="2:10">
      <c r="B605" s="6">
        <v>111</v>
      </c>
      <c r="C605" s="6">
        <v>35</v>
      </c>
      <c r="D605" s="29" t="s">
        <v>552</v>
      </c>
      <c r="E605" s="29" t="s">
        <v>46</v>
      </c>
      <c r="F605" s="6">
        <v>12.5</v>
      </c>
      <c r="G605" s="6">
        <v>180</v>
      </c>
      <c r="H605" s="6">
        <v>47</v>
      </c>
      <c r="I605" s="6">
        <v>8.6</v>
      </c>
      <c r="J605" s="6">
        <v>3.32</v>
      </c>
    </row>
    <row r="606" spans="2:10">
      <c r="B606" s="6">
        <v>111</v>
      </c>
      <c r="C606" s="6">
        <v>36</v>
      </c>
      <c r="D606" s="29" t="s">
        <v>553</v>
      </c>
      <c r="E606" s="29" t="s">
        <v>46</v>
      </c>
      <c r="F606" s="6">
        <v>22</v>
      </c>
      <c r="G606" s="6">
        <v>216</v>
      </c>
      <c r="H606" s="6">
        <v>50</v>
      </c>
      <c r="I606" s="6">
        <v>8.2</v>
      </c>
      <c r="J606" s="6">
        <v>3.13</v>
      </c>
    </row>
    <row r="607" spans="2:10">
      <c r="B607" s="6">
        <v>111</v>
      </c>
      <c r="C607" s="6">
        <v>37</v>
      </c>
      <c r="D607" s="29" t="s">
        <v>554</v>
      </c>
      <c r="E607" s="29" t="s">
        <v>46</v>
      </c>
      <c r="F607" s="6">
        <v>23.5</v>
      </c>
      <c r="G607" s="6">
        <v>203</v>
      </c>
      <c r="H607" s="6">
        <v>46</v>
      </c>
      <c r="I607" s="6">
        <v>8.7</v>
      </c>
      <c r="J607" s="6">
        <v>3.42</v>
      </c>
    </row>
    <row r="608" spans="4:5">
      <c r="D608" s="29"/>
      <c r="E608" s="29"/>
    </row>
    <row r="609" spans="4:5">
      <c r="D609" s="29"/>
      <c r="E609" s="29"/>
    </row>
    <row r="610" spans="4:5">
      <c r="D610" s="29"/>
      <c r="E610" s="29"/>
    </row>
    <row r="611" spans="4:5">
      <c r="D611" s="29"/>
      <c r="E611" s="29"/>
    </row>
    <row r="612" spans="4:5">
      <c r="D612" s="29"/>
      <c r="E612" s="29"/>
    </row>
    <row r="613" spans="4:5">
      <c r="D613" s="29"/>
      <c r="E613" s="29"/>
    </row>
    <row r="614" spans="4:5">
      <c r="D614" s="29"/>
      <c r="E614" s="29"/>
    </row>
    <row r="615" spans="4:5">
      <c r="D615" s="29"/>
      <c r="E615" s="29"/>
    </row>
    <row r="617" s="3" customFormat="1" spans="1:11">
      <c r="A617" s="58" t="s">
        <v>555</v>
      </c>
      <c r="B617" s="30" t="s">
        <v>1</v>
      </c>
      <c r="C617" s="31" t="s">
        <v>2</v>
      </c>
      <c r="D617" s="32" t="s">
        <v>3</v>
      </c>
      <c r="E617" s="32" t="s">
        <v>4</v>
      </c>
      <c r="F617" s="33" t="s">
        <v>5</v>
      </c>
      <c r="G617" s="33" t="s">
        <v>6</v>
      </c>
      <c r="H617" s="33" t="s">
        <v>7</v>
      </c>
      <c r="I617" s="33">
        <v>50</v>
      </c>
      <c r="J617" s="33" t="s">
        <v>8</v>
      </c>
      <c r="K617" s="31" t="s">
        <v>9</v>
      </c>
    </row>
    <row r="618" spans="2:10">
      <c r="B618" s="6">
        <v>111</v>
      </c>
      <c r="C618" s="6">
        <v>38</v>
      </c>
      <c r="D618" s="39" t="s">
        <v>556</v>
      </c>
      <c r="E618" s="29" t="s">
        <v>46</v>
      </c>
      <c r="F618" s="6">
        <v>16.5</v>
      </c>
      <c r="G618" s="6">
        <v>185</v>
      </c>
      <c r="H618" s="6">
        <v>47</v>
      </c>
      <c r="I618" s="6">
        <v>8.2</v>
      </c>
      <c r="J618" s="6">
        <v>3.35</v>
      </c>
    </row>
    <row r="619" spans="2:10">
      <c r="B619" s="6">
        <v>111</v>
      </c>
      <c r="C619" s="6">
        <v>39</v>
      </c>
      <c r="D619" s="29" t="s">
        <v>557</v>
      </c>
      <c r="E619" s="29" t="s">
        <v>46</v>
      </c>
      <c r="F619" s="6">
        <v>21</v>
      </c>
      <c r="G619" s="6">
        <v>195</v>
      </c>
      <c r="H619" s="6">
        <v>46</v>
      </c>
      <c r="I619" s="6">
        <v>8.3</v>
      </c>
      <c r="J619" s="6">
        <v>3.43</v>
      </c>
    </row>
    <row r="620" spans="2:10">
      <c r="B620" s="6">
        <v>111</v>
      </c>
      <c r="C620" s="6">
        <v>40</v>
      </c>
      <c r="D620" s="29" t="s">
        <v>558</v>
      </c>
      <c r="E620" s="29" t="s">
        <v>46</v>
      </c>
      <c r="F620" s="6">
        <v>26.5</v>
      </c>
      <c r="G620" s="6">
        <v>185</v>
      </c>
      <c r="H620" s="6">
        <v>45</v>
      </c>
      <c r="I620" s="6">
        <v>8.6</v>
      </c>
      <c r="J620" s="6">
        <v>3.31</v>
      </c>
    </row>
    <row r="621" spans="2:10">
      <c r="B621" s="6">
        <v>111</v>
      </c>
      <c r="C621" s="6">
        <v>41</v>
      </c>
      <c r="D621" s="29" t="s">
        <v>559</v>
      </c>
      <c r="E621" s="29" t="s">
        <v>46</v>
      </c>
      <c r="F621" s="6">
        <v>11.5</v>
      </c>
      <c r="G621" s="6">
        <v>195</v>
      </c>
      <c r="H621" s="6">
        <v>51</v>
      </c>
      <c r="I621" s="6">
        <v>9</v>
      </c>
      <c r="J621" s="6">
        <v>3.31</v>
      </c>
    </row>
    <row r="622" spans="2:10">
      <c r="B622" s="6">
        <v>111</v>
      </c>
      <c r="C622" s="6">
        <v>42</v>
      </c>
      <c r="D622" s="29" t="s">
        <v>560</v>
      </c>
      <c r="E622" s="29" t="s">
        <v>46</v>
      </c>
      <c r="F622" s="6">
        <v>22</v>
      </c>
      <c r="G622" s="6">
        <v>185</v>
      </c>
      <c r="H622" s="6">
        <v>52</v>
      </c>
      <c r="I622" s="6">
        <v>8</v>
      </c>
      <c r="J622" s="6">
        <v>3.43</v>
      </c>
    </row>
    <row r="623" spans="2:10">
      <c r="B623" s="6">
        <v>111</v>
      </c>
      <c r="C623" s="6">
        <v>43</v>
      </c>
      <c r="D623" s="29" t="s">
        <v>561</v>
      </c>
      <c r="E623" s="29" t="s">
        <v>46</v>
      </c>
      <c r="F623" s="6">
        <v>22</v>
      </c>
      <c r="G623" s="6">
        <v>155</v>
      </c>
      <c r="H623" s="6">
        <v>45</v>
      </c>
      <c r="I623" s="6">
        <v>8.6</v>
      </c>
      <c r="J623" s="6">
        <v>3.32</v>
      </c>
    </row>
    <row r="624" spans="2:10">
      <c r="B624" s="6">
        <v>111</v>
      </c>
      <c r="C624" s="6">
        <v>44</v>
      </c>
      <c r="D624" s="29" t="s">
        <v>562</v>
      </c>
      <c r="E624" s="29" t="s">
        <v>46</v>
      </c>
      <c r="F624" s="6">
        <v>37.5</v>
      </c>
      <c r="G624" s="6">
        <v>200</v>
      </c>
      <c r="H624" s="6">
        <v>49</v>
      </c>
      <c r="I624" s="6">
        <v>8.2</v>
      </c>
      <c r="J624" s="6">
        <v>3.35</v>
      </c>
    </row>
    <row r="625" spans="2:10">
      <c r="B625" s="6">
        <v>111</v>
      </c>
      <c r="C625" s="6">
        <v>45</v>
      </c>
      <c r="D625" s="29" t="s">
        <v>563</v>
      </c>
      <c r="E625" s="29" t="s">
        <v>46</v>
      </c>
      <c r="F625" s="6">
        <v>15.5</v>
      </c>
      <c r="G625" s="6">
        <v>175</v>
      </c>
      <c r="H625" s="6">
        <v>53</v>
      </c>
      <c r="I625" s="6">
        <v>8.8</v>
      </c>
      <c r="J625" s="6">
        <v>3.4</v>
      </c>
    </row>
    <row r="626" spans="2:10">
      <c r="B626" s="6">
        <v>111</v>
      </c>
      <c r="C626" s="6">
        <v>46</v>
      </c>
      <c r="D626" s="29" t="s">
        <v>564</v>
      </c>
      <c r="E626" s="29" t="s">
        <v>46</v>
      </c>
      <c r="F626" s="6">
        <v>20</v>
      </c>
      <c r="G626" s="6">
        <v>156</v>
      </c>
      <c r="H626" s="6">
        <v>53</v>
      </c>
      <c r="I626" s="6">
        <v>8.9</v>
      </c>
      <c r="J626" s="6">
        <v>3.4</v>
      </c>
    </row>
    <row r="627" spans="2:10">
      <c r="B627" s="6">
        <v>111</v>
      </c>
      <c r="C627" s="6">
        <v>47</v>
      </c>
      <c r="D627" s="29" t="s">
        <v>565</v>
      </c>
      <c r="E627" s="29" t="s">
        <v>46</v>
      </c>
      <c r="F627" s="6">
        <v>9.1</v>
      </c>
      <c r="G627" s="6">
        <v>165</v>
      </c>
      <c r="H627" s="6">
        <v>49</v>
      </c>
      <c r="I627" s="6">
        <v>8.5</v>
      </c>
      <c r="J627" s="6">
        <v>3.42</v>
      </c>
    </row>
    <row r="628" spans="2:10">
      <c r="B628" s="6">
        <v>111</v>
      </c>
      <c r="C628" s="6">
        <v>48</v>
      </c>
      <c r="D628" s="29" t="s">
        <v>566</v>
      </c>
      <c r="E628" s="29" t="s">
        <v>46</v>
      </c>
      <c r="F628" s="6">
        <v>20.5</v>
      </c>
      <c r="G628" s="6">
        <v>193</v>
      </c>
      <c r="H628" s="6">
        <v>54</v>
      </c>
      <c r="I628" s="6">
        <v>8.2</v>
      </c>
      <c r="J628" s="6">
        <v>3.27</v>
      </c>
    </row>
    <row r="629" spans="2:11">
      <c r="B629" s="6">
        <v>111</v>
      </c>
      <c r="C629" s="6">
        <v>49</v>
      </c>
      <c r="D629" s="29" t="s">
        <v>567</v>
      </c>
      <c r="E629" s="29" t="s">
        <v>46</v>
      </c>
      <c r="F629" s="6">
        <v>17.5</v>
      </c>
      <c r="G629" s="6">
        <v>181</v>
      </c>
      <c r="H629" s="6">
        <v>52</v>
      </c>
      <c r="I629" s="6">
        <v>8.7</v>
      </c>
      <c r="K629" s="6" t="s">
        <v>513</v>
      </c>
    </row>
    <row r="631" s="3" customFormat="1" spans="1:11">
      <c r="A631" s="58" t="s">
        <v>568</v>
      </c>
      <c r="B631" s="30" t="s">
        <v>1</v>
      </c>
      <c r="C631" s="31" t="s">
        <v>2</v>
      </c>
      <c r="D631" s="32" t="s">
        <v>3</v>
      </c>
      <c r="E631" s="32" t="s">
        <v>4</v>
      </c>
      <c r="F631" s="33" t="s">
        <v>5</v>
      </c>
      <c r="G631" s="33" t="s">
        <v>6</v>
      </c>
      <c r="H631" s="33" t="s">
        <v>7</v>
      </c>
      <c r="I631" s="33">
        <v>50</v>
      </c>
      <c r="J631" s="33" t="s">
        <v>8</v>
      </c>
      <c r="K631" s="31" t="s">
        <v>9</v>
      </c>
    </row>
    <row r="632" spans="2:10">
      <c r="B632" s="6">
        <v>112</v>
      </c>
      <c r="C632" s="6">
        <v>1</v>
      </c>
      <c r="D632" s="39" t="s">
        <v>569</v>
      </c>
      <c r="E632" s="29" t="s">
        <v>11</v>
      </c>
      <c r="F632" s="6">
        <v>13</v>
      </c>
      <c r="G632" s="6">
        <v>223</v>
      </c>
      <c r="H632" s="6">
        <v>2</v>
      </c>
      <c r="I632" s="6">
        <v>7.6</v>
      </c>
      <c r="J632" s="6">
        <v>3.41</v>
      </c>
    </row>
    <row r="633" spans="2:10">
      <c r="B633" s="6">
        <v>112</v>
      </c>
      <c r="C633" s="6">
        <v>2</v>
      </c>
      <c r="D633" s="29" t="s">
        <v>570</v>
      </c>
      <c r="E633" s="29" t="s">
        <v>11</v>
      </c>
      <c r="F633" s="6">
        <v>12.5</v>
      </c>
      <c r="G633" s="6">
        <v>222</v>
      </c>
      <c r="H633" s="6">
        <v>0</v>
      </c>
      <c r="I633" s="6">
        <v>8.6</v>
      </c>
      <c r="J633" s="6">
        <v>4.48</v>
      </c>
    </row>
    <row r="634" spans="2:10">
      <c r="B634" s="6">
        <v>112</v>
      </c>
      <c r="C634" s="6">
        <v>3</v>
      </c>
      <c r="D634" s="29" t="s">
        <v>571</v>
      </c>
      <c r="E634" s="29" t="s">
        <v>11</v>
      </c>
      <c r="F634" s="6">
        <v>13</v>
      </c>
      <c r="G634" s="6">
        <v>232</v>
      </c>
      <c r="H634" s="6">
        <v>7</v>
      </c>
      <c r="I634" s="6">
        <v>8</v>
      </c>
      <c r="J634" s="6">
        <v>3.33</v>
      </c>
    </row>
    <row r="635" spans="2:11">
      <c r="B635" s="6">
        <v>112</v>
      </c>
      <c r="C635" s="6">
        <v>4</v>
      </c>
      <c r="D635" s="29" t="s">
        <v>572</v>
      </c>
      <c r="E635" s="29" t="s">
        <v>11</v>
      </c>
      <c r="K635" s="6" t="s">
        <v>513</v>
      </c>
    </row>
    <row r="636" spans="2:10">
      <c r="B636" s="6">
        <v>112</v>
      </c>
      <c r="C636" s="6">
        <v>5</v>
      </c>
      <c r="D636" s="29" t="s">
        <v>573</v>
      </c>
      <c r="E636" s="29" t="s">
        <v>11</v>
      </c>
      <c r="F636" s="6">
        <v>10</v>
      </c>
      <c r="G636" s="6">
        <v>240</v>
      </c>
      <c r="H636" s="6">
        <v>20</v>
      </c>
      <c r="I636" s="6">
        <v>7.4</v>
      </c>
      <c r="J636" s="6">
        <v>3.49</v>
      </c>
    </row>
    <row r="637" spans="2:10">
      <c r="B637" s="6">
        <v>112</v>
      </c>
      <c r="C637" s="6">
        <v>6</v>
      </c>
      <c r="D637" s="29" t="s">
        <v>574</v>
      </c>
      <c r="E637" s="29" t="s">
        <v>11</v>
      </c>
      <c r="F637" s="6">
        <v>3.5</v>
      </c>
      <c r="G637" s="6">
        <v>232</v>
      </c>
      <c r="H637" s="6">
        <v>5</v>
      </c>
      <c r="I637" s="6">
        <v>7.1</v>
      </c>
      <c r="J637" s="6">
        <v>3.46</v>
      </c>
    </row>
    <row r="638" spans="2:10">
      <c r="B638" s="6">
        <v>112</v>
      </c>
      <c r="C638" s="6">
        <v>7</v>
      </c>
      <c r="D638" s="29" t="s">
        <v>575</v>
      </c>
      <c r="E638" s="29" t="s">
        <v>11</v>
      </c>
      <c r="F638" s="6">
        <v>8.5</v>
      </c>
      <c r="G638" s="6">
        <v>232</v>
      </c>
      <c r="H638" s="6">
        <v>20</v>
      </c>
      <c r="I638" s="6">
        <v>7.6</v>
      </c>
      <c r="J638" s="6">
        <v>3.37</v>
      </c>
    </row>
    <row r="639" spans="2:10">
      <c r="B639" s="6">
        <v>112</v>
      </c>
      <c r="C639" s="6">
        <v>8</v>
      </c>
      <c r="D639" s="29" t="s">
        <v>576</v>
      </c>
      <c r="E639" s="29" t="s">
        <v>11</v>
      </c>
      <c r="F639" s="6">
        <v>20.5</v>
      </c>
      <c r="G639" s="6">
        <v>230</v>
      </c>
      <c r="H639" s="6">
        <v>6</v>
      </c>
      <c r="I639" s="6">
        <v>7.4</v>
      </c>
      <c r="J639" s="6">
        <v>3.35</v>
      </c>
    </row>
    <row r="640" spans="2:10">
      <c r="B640" s="6">
        <v>112</v>
      </c>
      <c r="C640" s="6">
        <v>9</v>
      </c>
      <c r="D640" s="29" t="s">
        <v>577</v>
      </c>
      <c r="E640" s="29" t="s">
        <v>11</v>
      </c>
      <c r="F640" s="6">
        <v>9</v>
      </c>
      <c r="G640" s="6">
        <v>266</v>
      </c>
      <c r="H640" s="6">
        <v>2</v>
      </c>
      <c r="I640" s="6">
        <v>7</v>
      </c>
      <c r="J640" s="6">
        <v>3.27</v>
      </c>
    </row>
    <row r="641" spans="4:5">
      <c r="D641" s="29"/>
      <c r="E641" s="29"/>
    </row>
    <row r="643" s="3" customFormat="1" spans="1:11">
      <c r="A643" s="58" t="s">
        <v>578</v>
      </c>
      <c r="B643" s="30" t="s">
        <v>1</v>
      </c>
      <c r="C643" s="31" t="s">
        <v>2</v>
      </c>
      <c r="D643" s="32" t="s">
        <v>3</v>
      </c>
      <c r="E643" s="32" t="s">
        <v>4</v>
      </c>
      <c r="F643" s="33" t="s">
        <v>5</v>
      </c>
      <c r="G643" s="33" t="s">
        <v>6</v>
      </c>
      <c r="H643" s="33" t="s">
        <v>7</v>
      </c>
      <c r="I643" s="33">
        <v>50</v>
      </c>
      <c r="J643" s="33" t="s">
        <v>8</v>
      </c>
      <c r="K643" s="31" t="s">
        <v>9</v>
      </c>
    </row>
    <row r="644" spans="2:10">
      <c r="B644" s="6">
        <v>112</v>
      </c>
      <c r="C644" s="6">
        <v>10</v>
      </c>
      <c r="D644" s="39" t="s">
        <v>579</v>
      </c>
      <c r="E644" s="29" t="s">
        <v>11</v>
      </c>
      <c r="F644" s="6">
        <v>3</v>
      </c>
      <c r="G644" s="6">
        <v>220</v>
      </c>
      <c r="H644" s="6">
        <v>6</v>
      </c>
      <c r="I644" s="6">
        <v>7.4</v>
      </c>
      <c r="J644" s="6">
        <v>3.4</v>
      </c>
    </row>
    <row r="645" spans="2:10">
      <c r="B645" s="6">
        <v>112</v>
      </c>
      <c r="C645" s="6">
        <v>11</v>
      </c>
      <c r="D645" s="29" t="s">
        <v>580</v>
      </c>
      <c r="E645" s="29" t="s">
        <v>11</v>
      </c>
      <c r="F645" s="6">
        <v>4</v>
      </c>
      <c r="G645" s="6">
        <v>245</v>
      </c>
      <c r="H645" s="6">
        <v>28</v>
      </c>
      <c r="I645" s="6">
        <v>7</v>
      </c>
      <c r="J645" s="6">
        <v>3.28</v>
      </c>
    </row>
    <row r="646" spans="2:11">
      <c r="B646" s="6">
        <v>112</v>
      </c>
      <c r="C646" s="6">
        <v>12</v>
      </c>
      <c r="D646" s="29" t="s">
        <v>581</v>
      </c>
      <c r="E646" s="29" t="s">
        <v>11</v>
      </c>
      <c r="K646" s="6" t="s">
        <v>513</v>
      </c>
    </row>
    <row r="647" spans="2:10">
      <c r="B647" s="6">
        <v>112</v>
      </c>
      <c r="C647" s="6">
        <v>13</v>
      </c>
      <c r="D647" s="29" t="s">
        <v>582</v>
      </c>
      <c r="E647" s="29" t="s">
        <v>11</v>
      </c>
      <c r="F647" s="6">
        <v>16</v>
      </c>
      <c r="G647" s="6">
        <v>235</v>
      </c>
      <c r="H647" s="6">
        <v>10</v>
      </c>
      <c r="I647" s="6">
        <v>7.3</v>
      </c>
      <c r="J647" s="6">
        <v>4.16</v>
      </c>
    </row>
    <row r="648" spans="2:10">
      <c r="B648" s="6">
        <v>112</v>
      </c>
      <c r="C648" s="6">
        <v>14</v>
      </c>
      <c r="D648" s="29" t="s">
        <v>583</v>
      </c>
      <c r="E648" s="29" t="s">
        <v>11</v>
      </c>
      <c r="F648" s="6">
        <v>13</v>
      </c>
      <c r="G648" s="6">
        <v>252</v>
      </c>
      <c r="H648" s="6">
        <v>11</v>
      </c>
      <c r="I648" s="6">
        <v>7</v>
      </c>
      <c r="J648" s="6">
        <v>3.26</v>
      </c>
    </row>
    <row r="649" spans="2:10">
      <c r="B649" s="6">
        <v>112</v>
      </c>
      <c r="C649" s="6">
        <v>15</v>
      </c>
      <c r="D649" s="29" t="s">
        <v>584</v>
      </c>
      <c r="E649" s="29" t="s">
        <v>11</v>
      </c>
      <c r="F649" s="6">
        <v>16</v>
      </c>
      <c r="G649" s="6">
        <v>265</v>
      </c>
      <c r="H649" s="6">
        <v>26</v>
      </c>
      <c r="I649" s="6">
        <v>6.8</v>
      </c>
      <c r="J649" s="6">
        <v>3.21</v>
      </c>
    </row>
    <row r="650" spans="2:10">
      <c r="B650" s="6">
        <v>112</v>
      </c>
      <c r="C650" s="6">
        <v>16</v>
      </c>
      <c r="D650" s="29" t="s">
        <v>585</v>
      </c>
      <c r="E650" s="29" t="s">
        <v>11</v>
      </c>
      <c r="F650" s="6">
        <v>15</v>
      </c>
      <c r="G650" s="6">
        <v>210</v>
      </c>
      <c r="H650" s="6">
        <v>20</v>
      </c>
      <c r="I650" s="6">
        <v>7.4</v>
      </c>
      <c r="J650" s="6">
        <v>3.49</v>
      </c>
    </row>
    <row r="651" spans="2:10">
      <c r="B651" s="6">
        <v>112</v>
      </c>
      <c r="C651" s="6">
        <v>17</v>
      </c>
      <c r="D651" s="29" t="s">
        <v>586</v>
      </c>
      <c r="E651" s="29" t="s">
        <v>11</v>
      </c>
      <c r="F651" s="6">
        <v>5.3</v>
      </c>
      <c r="G651" s="6">
        <v>230</v>
      </c>
      <c r="H651" s="6">
        <v>11</v>
      </c>
      <c r="I651" s="6">
        <v>7.3</v>
      </c>
      <c r="J651" s="6">
        <v>3.25</v>
      </c>
    </row>
    <row r="652" spans="2:10">
      <c r="B652" s="6">
        <v>112</v>
      </c>
      <c r="C652" s="6">
        <v>18</v>
      </c>
      <c r="D652" s="29" t="s">
        <v>587</v>
      </c>
      <c r="E652" s="29" t="s">
        <v>11</v>
      </c>
      <c r="F652" s="6">
        <v>21.2</v>
      </c>
      <c r="G652" s="6">
        <v>249</v>
      </c>
      <c r="H652" s="6">
        <v>8</v>
      </c>
      <c r="I652" s="6">
        <v>6.9</v>
      </c>
      <c r="J652" s="6">
        <v>3.35</v>
      </c>
    </row>
    <row r="653" spans="4:5">
      <c r="D653" s="29"/>
      <c r="E653" s="29"/>
    </row>
    <row r="654" spans="4:5">
      <c r="D654" s="29"/>
      <c r="E654" s="29"/>
    </row>
    <row r="656" s="3" customFormat="1" spans="1:11">
      <c r="A656" s="58" t="s">
        <v>588</v>
      </c>
      <c r="B656" s="30" t="s">
        <v>1</v>
      </c>
      <c r="C656" s="31" t="s">
        <v>2</v>
      </c>
      <c r="D656" s="32" t="s">
        <v>3</v>
      </c>
      <c r="E656" s="32" t="s">
        <v>4</v>
      </c>
      <c r="F656" s="33" t="s">
        <v>5</v>
      </c>
      <c r="G656" s="33" t="s">
        <v>6</v>
      </c>
      <c r="H656" s="33" t="s">
        <v>7</v>
      </c>
      <c r="I656" s="33">
        <v>50</v>
      </c>
      <c r="J656" s="33" t="s">
        <v>8</v>
      </c>
      <c r="K656" s="31" t="s">
        <v>9</v>
      </c>
    </row>
    <row r="657" spans="2:10">
      <c r="B657" s="6">
        <v>112</v>
      </c>
      <c r="C657" s="6">
        <v>19</v>
      </c>
      <c r="D657" s="39" t="s">
        <v>589</v>
      </c>
      <c r="E657" s="29" t="s">
        <v>11</v>
      </c>
      <c r="F657" s="6">
        <v>12.5</v>
      </c>
      <c r="G657" s="6">
        <v>234</v>
      </c>
      <c r="H657" s="6">
        <v>16</v>
      </c>
      <c r="I657" s="6">
        <v>7.6</v>
      </c>
      <c r="J657" s="6">
        <v>3.43</v>
      </c>
    </row>
    <row r="658" spans="2:10">
      <c r="B658" s="6">
        <v>112</v>
      </c>
      <c r="C658" s="6">
        <v>20</v>
      </c>
      <c r="D658" s="29" t="s">
        <v>590</v>
      </c>
      <c r="E658" s="29" t="s">
        <v>11</v>
      </c>
      <c r="F658" s="6">
        <v>17.4</v>
      </c>
      <c r="G658" s="6">
        <v>220</v>
      </c>
      <c r="H658" s="6">
        <v>26</v>
      </c>
      <c r="J658" s="6">
        <v>3.26</v>
      </c>
    </row>
    <row r="659" spans="2:10">
      <c r="B659" s="6">
        <v>112</v>
      </c>
      <c r="C659" s="6">
        <v>21</v>
      </c>
      <c r="D659" s="29" t="s">
        <v>591</v>
      </c>
      <c r="E659" s="29" t="s">
        <v>11</v>
      </c>
      <c r="F659" s="6">
        <v>20</v>
      </c>
      <c r="G659" s="6">
        <v>247</v>
      </c>
      <c r="H659" s="6">
        <v>26</v>
      </c>
      <c r="I659" s="6">
        <v>7.2</v>
      </c>
      <c r="J659" s="6">
        <v>3.31</v>
      </c>
    </row>
    <row r="660" spans="2:10">
      <c r="B660" s="6">
        <v>112</v>
      </c>
      <c r="C660" s="6">
        <v>22</v>
      </c>
      <c r="D660" s="29" t="s">
        <v>592</v>
      </c>
      <c r="E660" s="29" t="s">
        <v>11</v>
      </c>
      <c r="F660" s="6">
        <v>7.9</v>
      </c>
      <c r="G660" s="6">
        <v>210</v>
      </c>
      <c r="H660" s="6">
        <v>18</v>
      </c>
      <c r="I660" s="6">
        <v>7.5</v>
      </c>
      <c r="J660" s="6">
        <v>3.46</v>
      </c>
    </row>
    <row r="661" spans="2:10">
      <c r="B661" s="6">
        <v>112</v>
      </c>
      <c r="C661" s="6">
        <v>23</v>
      </c>
      <c r="D661" s="29" t="s">
        <v>593</v>
      </c>
      <c r="E661" s="29" t="s">
        <v>11</v>
      </c>
      <c r="F661" s="6">
        <v>4</v>
      </c>
      <c r="G661" s="6">
        <v>228</v>
      </c>
      <c r="H661" s="6">
        <v>3</v>
      </c>
      <c r="I661" s="6">
        <v>7.7</v>
      </c>
      <c r="J661" s="6">
        <v>3.52</v>
      </c>
    </row>
    <row r="662" spans="2:10">
      <c r="B662" s="6">
        <v>112</v>
      </c>
      <c r="C662" s="6">
        <v>24</v>
      </c>
      <c r="D662" s="29" t="s">
        <v>594</v>
      </c>
      <c r="E662" s="29" t="s">
        <v>11</v>
      </c>
      <c r="F662" s="6">
        <v>18.3</v>
      </c>
      <c r="G662" s="6">
        <v>240</v>
      </c>
      <c r="H662" s="6">
        <v>11</v>
      </c>
      <c r="I662" s="6">
        <v>7</v>
      </c>
      <c r="J662" s="6">
        <v>3.27</v>
      </c>
    </row>
    <row r="663" spans="2:10">
      <c r="B663" s="6">
        <v>112</v>
      </c>
      <c r="C663" s="6">
        <v>25</v>
      </c>
      <c r="D663" s="30" t="s">
        <v>595</v>
      </c>
      <c r="E663" s="30" t="s">
        <v>11</v>
      </c>
      <c r="F663" s="6">
        <v>14.2</v>
      </c>
      <c r="G663" s="6">
        <v>235</v>
      </c>
      <c r="H663" s="6">
        <v>15</v>
      </c>
      <c r="I663" s="6">
        <v>7.5</v>
      </c>
      <c r="J663" s="6">
        <v>3.41</v>
      </c>
    </row>
    <row r="664" spans="2:10">
      <c r="B664" s="6">
        <v>112</v>
      </c>
      <c r="C664" s="6">
        <v>26</v>
      </c>
      <c r="D664" s="6" t="s">
        <v>596</v>
      </c>
      <c r="E664" s="30" t="s">
        <v>11</v>
      </c>
      <c r="F664" s="6">
        <v>11.2</v>
      </c>
      <c r="G664" s="6">
        <v>210</v>
      </c>
      <c r="H664" s="6">
        <v>6</v>
      </c>
      <c r="I664" s="6">
        <v>7.9</v>
      </c>
      <c r="J664" s="6">
        <v>3.5</v>
      </c>
    </row>
    <row r="665" spans="2:11">
      <c r="B665" s="6">
        <v>112</v>
      </c>
      <c r="C665" s="6">
        <v>27</v>
      </c>
      <c r="D665" s="30" t="s">
        <v>597</v>
      </c>
      <c r="E665" s="30" t="s">
        <v>11</v>
      </c>
      <c r="I665" s="6">
        <v>7.5</v>
      </c>
      <c r="K665" s="6" t="s">
        <v>513</v>
      </c>
    </row>
    <row r="666" s="3" customFormat="1" spans="1:11">
      <c r="A666" s="58" t="s">
        <v>598</v>
      </c>
      <c r="B666" s="30" t="s">
        <v>1</v>
      </c>
      <c r="C666" s="31" t="s">
        <v>2</v>
      </c>
      <c r="D666" s="32" t="s">
        <v>3</v>
      </c>
      <c r="E666" s="32" t="s">
        <v>4</v>
      </c>
      <c r="F666" s="33" t="s">
        <v>5</v>
      </c>
      <c r="G666" s="33" t="s">
        <v>6</v>
      </c>
      <c r="H666" s="33" t="s">
        <v>7</v>
      </c>
      <c r="I666" s="33">
        <v>50</v>
      </c>
      <c r="J666" s="33" t="s">
        <v>8</v>
      </c>
      <c r="K666" s="31" t="s">
        <v>9</v>
      </c>
    </row>
    <row r="667" spans="2:10">
      <c r="B667" s="6">
        <v>112</v>
      </c>
      <c r="C667" s="6">
        <v>28</v>
      </c>
      <c r="D667" s="39" t="s">
        <v>599</v>
      </c>
      <c r="E667" s="29" t="s">
        <v>46</v>
      </c>
      <c r="F667" s="6">
        <v>17</v>
      </c>
      <c r="G667" s="6">
        <v>203</v>
      </c>
      <c r="H667" s="6">
        <v>53</v>
      </c>
      <c r="J667" s="6">
        <v>3.38</v>
      </c>
    </row>
    <row r="668" spans="2:10">
      <c r="B668" s="6">
        <v>112</v>
      </c>
      <c r="C668" s="6">
        <v>29</v>
      </c>
      <c r="D668" s="29" t="s">
        <v>600</v>
      </c>
      <c r="E668" s="29" t="s">
        <v>46</v>
      </c>
      <c r="F668" s="6">
        <v>19.5</v>
      </c>
      <c r="G668" s="6">
        <v>195</v>
      </c>
      <c r="H668" s="6">
        <v>50</v>
      </c>
      <c r="I668" s="6">
        <v>9.2</v>
      </c>
      <c r="J668" s="6">
        <v>3.55</v>
      </c>
    </row>
    <row r="669" spans="2:10">
      <c r="B669" s="6">
        <v>112</v>
      </c>
      <c r="C669" s="6">
        <v>30</v>
      </c>
      <c r="D669" s="29" t="s">
        <v>601</v>
      </c>
      <c r="E669" s="29" t="s">
        <v>46</v>
      </c>
      <c r="F669" s="6">
        <v>10.5</v>
      </c>
      <c r="G669" s="6">
        <v>175</v>
      </c>
      <c r="H669" s="6">
        <v>52</v>
      </c>
      <c r="I669" s="6">
        <v>8.6</v>
      </c>
      <c r="J669" s="6">
        <v>3.56</v>
      </c>
    </row>
    <row r="670" spans="2:10">
      <c r="B670" s="6">
        <v>112</v>
      </c>
      <c r="C670" s="6">
        <v>31</v>
      </c>
      <c r="D670" s="29" t="s">
        <v>602</v>
      </c>
      <c r="E670" s="29" t="s">
        <v>46</v>
      </c>
      <c r="F670" s="6">
        <v>19.5</v>
      </c>
      <c r="G670" s="6">
        <v>165</v>
      </c>
      <c r="H670" s="6">
        <v>52</v>
      </c>
      <c r="I670" s="6">
        <v>9.3</v>
      </c>
      <c r="J670" s="6">
        <v>3.49</v>
      </c>
    </row>
    <row r="671" spans="2:10">
      <c r="B671" s="6">
        <v>112</v>
      </c>
      <c r="C671" s="6">
        <v>32</v>
      </c>
      <c r="D671" s="29" t="s">
        <v>603</v>
      </c>
      <c r="E671" s="29" t="s">
        <v>46</v>
      </c>
      <c r="F671" s="6">
        <v>12.5</v>
      </c>
      <c r="G671" s="6">
        <v>162</v>
      </c>
      <c r="H671" s="6">
        <v>53</v>
      </c>
      <c r="I671" s="6">
        <v>8.7</v>
      </c>
      <c r="J671" s="6">
        <v>3.34</v>
      </c>
    </row>
    <row r="672" spans="2:10">
      <c r="B672" s="6">
        <v>112</v>
      </c>
      <c r="C672" s="6">
        <v>33</v>
      </c>
      <c r="D672" s="29" t="s">
        <v>604</v>
      </c>
      <c r="E672" s="29" t="s">
        <v>46</v>
      </c>
      <c r="F672" s="6">
        <v>20</v>
      </c>
      <c r="G672" s="6">
        <v>202</v>
      </c>
      <c r="H672" s="6">
        <v>60</v>
      </c>
      <c r="I672" s="6">
        <v>7.6</v>
      </c>
      <c r="J672" s="6">
        <v>3.1</v>
      </c>
    </row>
    <row r="673" spans="2:10">
      <c r="B673" s="6">
        <v>112</v>
      </c>
      <c r="C673" s="6">
        <v>34</v>
      </c>
      <c r="D673" s="29" t="s">
        <v>605</v>
      </c>
      <c r="E673" s="29" t="s">
        <v>46</v>
      </c>
      <c r="F673" s="6">
        <v>13</v>
      </c>
      <c r="G673" s="6">
        <v>175</v>
      </c>
      <c r="H673" s="6">
        <v>53</v>
      </c>
      <c r="I673" s="6">
        <v>8.2</v>
      </c>
      <c r="J673" s="6">
        <v>3.11</v>
      </c>
    </row>
    <row r="674" spans="2:10">
      <c r="B674" s="6">
        <v>112</v>
      </c>
      <c r="C674" s="6">
        <v>35</v>
      </c>
      <c r="D674" s="29" t="s">
        <v>606</v>
      </c>
      <c r="E674" s="29" t="s">
        <v>46</v>
      </c>
      <c r="F674" s="6">
        <v>27.5</v>
      </c>
      <c r="G674" s="6">
        <v>165</v>
      </c>
      <c r="H674" s="6">
        <v>48</v>
      </c>
      <c r="I674" s="6">
        <v>8.9</v>
      </c>
      <c r="J674" s="6">
        <v>4.06</v>
      </c>
    </row>
    <row r="675" spans="2:10">
      <c r="B675" s="6">
        <v>112</v>
      </c>
      <c r="C675" s="6">
        <v>36</v>
      </c>
      <c r="D675" s="29" t="s">
        <v>607</v>
      </c>
      <c r="E675" s="29" t="s">
        <v>46</v>
      </c>
      <c r="F675" s="6">
        <v>8.5</v>
      </c>
      <c r="G675" s="6">
        <v>210</v>
      </c>
      <c r="H675" s="6">
        <v>44</v>
      </c>
      <c r="I675" s="6">
        <v>8.6</v>
      </c>
      <c r="J675" s="6">
        <v>3.22</v>
      </c>
    </row>
    <row r="676" spans="2:10">
      <c r="B676" s="6">
        <v>112</v>
      </c>
      <c r="C676" s="6">
        <v>37</v>
      </c>
      <c r="D676" s="29" t="s">
        <v>608</v>
      </c>
      <c r="E676" s="29" t="s">
        <v>46</v>
      </c>
      <c r="F676" s="6">
        <v>23</v>
      </c>
      <c r="G676" s="6">
        <v>170</v>
      </c>
      <c r="H676" s="6">
        <v>36</v>
      </c>
      <c r="I676" s="6">
        <v>8.7</v>
      </c>
      <c r="J676" s="6">
        <v>3.57</v>
      </c>
    </row>
    <row r="677" spans="2:10">
      <c r="B677" s="6">
        <v>112</v>
      </c>
      <c r="C677" s="6">
        <v>38</v>
      </c>
      <c r="D677" s="29" t="s">
        <v>609</v>
      </c>
      <c r="E677" s="29" t="s">
        <v>46</v>
      </c>
      <c r="F677" s="6">
        <v>22.5</v>
      </c>
      <c r="G677" s="6">
        <v>185</v>
      </c>
      <c r="H677" s="6">
        <v>43</v>
      </c>
      <c r="I677" s="6">
        <v>8.7</v>
      </c>
      <c r="J677" s="6">
        <v>3.53</v>
      </c>
    </row>
    <row r="678" spans="4:5">
      <c r="D678" s="29"/>
      <c r="E678" s="29"/>
    </row>
    <row r="679" spans="4:5">
      <c r="D679" s="29"/>
      <c r="E679" s="29"/>
    </row>
    <row r="680" spans="4:5">
      <c r="D680" s="29"/>
      <c r="E680" s="29"/>
    </row>
    <row r="681" spans="4:5">
      <c r="D681" s="29"/>
      <c r="E681" s="29"/>
    </row>
    <row r="682" spans="4:5">
      <c r="D682" s="29"/>
      <c r="E682" s="29"/>
    </row>
    <row r="683" spans="4:5">
      <c r="D683" s="29"/>
      <c r="E683" s="29"/>
    </row>
    <row r="684" spans="4:5">
      <c r="D684" s="29"/>
      <c r="E684" s="29"/>
    </row>
    <row r="685" spans="4:5">
      <c r="D685" s="29"/>
      <c r="E685" s="29"/>
    </row>
    <row r="686" spans="4:5">
      <c r="D686" s="29"/>
      <c r="E686" s="29"/>
    </row>
    <row r="688" s="3" customFormat="1" spans="1:11">
      <c r="A688" s="58" t="s">
        <v>610</v>
      </c>
      <c r="B688" s="30" t="s">
        <v>1</v>
      </c>
      <c r="C688" s="31" t="s">
        <v>2</v>
      </c>
      <c r="D688" s="32" t="s">
        <v>3</v>
      </c>
      <c r="E688" s="32" t="s">
        <v>4</v>
      </c>
      <c r="F688" s="33" t="s">
        <v>5</v>
      </c>
      <c r="G688" s="33" t="s">
        <v>6</v>
      </c>
      <c r="H688" s="33" t="s">
        <v>7</v>
      </c>
      <c r="I688" s="33">
        <v>50</v>
      </c>
      <c r="J688" s="33" t="s">
        <v>8</v>
      </c>
      <c r="K688" s="31" t="s">
        <v>9</v>
      </c>
    </row>
    <row r="689" spans="2:10">
      <c r="B689" s="6">
        <v>112</v>
      </c>
      <c r="C689" s="6">
        <v>39</v>
      </c>
      <c r="D689" s="39" t="s">
        <v>611</v>
      </c>
      <c r="E689" s="29" t="s">
        <v>46</v>
      </c>
      <c r="F689" s="6">
        <v>28.3</v>
      </c>
      <c r="G689" s="6">
        <v>180</v>
      </c>
      <c r="H689" s="6">
        <v>44</v>
      </c>
      <c r="I689" s="6">
        <v>8.7</v>
      </c>
      <c r="J689" s="6">
        <v>3.47</v>
      </c>
    </row>
    <row r="690" spans="2:10">
      <c r="B690" s="6">
        <v>112</v>
      </c>
      <c r="C690" s="6">
        <v>40</v>
      </c>
      <c r="D690" s="29" t="s">
        <v>612</v>
      </c>
      <c r="E690" s="29" t="s">
        <v>46</v>
      </c>
      <c r="F690" s="6">
        <v>17.5</v>
      </c>
      <c r="G690" s="6">
        <v>220</v>
      </c>
      <c r="H690" s="6">
        <v>51</v>
      </c>
      <c r="I690" s="6">
        <v>7.2</v>
      </c>
      <c r="J690" s="6">
        <v>3</v>
      </c>
    </row>
    <row r="691" spans="2:10">
      <c r="B691" s="6">
        <v>112</v>
      </c>
      <c r="C691" s="6">
        <v>41</v>
      </c>
      <c r="D691" s="29" t="s">
        <v>613</v>
      </c>
      <c r="E691" s="29" t="s">
        <v>46</v>
      </c>
      <c r="F691" s="6">
        <v>23</v>
      </c>
      <c r="G691" s="6">
        <v>189</v>
      </c>
      <c r="H691" s="6">
        <v>57</v>
      </c>
      <c r="I691" s="6">
        <v>8.4</v>
      </c>
      <c r="J691" s="6">
        <v>3.54</v>
      </c>
    </row>
    <row r="692" spans="2:10">
      <c r="B692" s="6">
        <v>112</v>
      </c>
      <c r="C692" s="6">
        <v>42</v>
      </c>
      <c r="D692" s="29" t="s">
        <v>333</v>
      </c>
      <c r="E692" s="29" t="s">
        <v>46</v>
      </c>
      <c r="F692" s="6">
        <v>3</v>
      </c>
      <c r="G692" s="6">
        <v>161</v>
      </c>
      <c r="H692" s="6">
        <v>37</v>
      </c>
      <c r="I692" s="6">
        <v>9</v>
      </c>
      <c r="J692" s="6">
        <v>3.42</v>
      </c>
    </row>
    <row r="693" spans="2:10">
      <c r="B693" s="6">
        <v>112</v>
      </c>
      <c r="C693" s="6">
        <v>43</v>
      </c>
      <c r="D693" s="29" t="s">
        <v>614</v>
      </c>
      <c r="E693" s="29" t="s">
        <v>46</v>
      </c>
      <c r="F693" s="6">
        <v>16.5</v>
      </c>
      <c r="G693" s="6">
        <v>159</v>
      </c>
      <c r="H693" s="6">
        <v>50</v>
      </c>
      <c r="I693" s="6">
        <v>9.2</v>
      </c>
      <c r="J693" s="6">
        <v>3.59</v>
      </c>
    </row>
    <row r="694" spans="2:10">
      <c r="B694" s="6">
        <v>112</v>
      </c>
      <c r="C694" s="6">
        <v>44</v>
      </c>
      <c r="D694" s="29" t="s">
        <v>615</v>
      </c>
      <c r="E694" s="29" t="s">
        <v>46</v>
      </c>
      <c r="F694" s="6">
        <v>14</v>
      </c>
      <c r="G694" s="6">
        <v>200</v>
      </c>
      <c r="H694" s="6">
        <v>46</v>
      </c>
      <c r="I694" s="6">
        <v>7.8</v>
      </c>
      <c r="J694" s="6">
        <v>3.39</v>
      </c>
    </row>
    <row r="695" spans="2:10">
      <c r="B695" s="6">
        <v>112</v>
      </c>
      <c r="C695" s="6">
        <v>45</v>
      </c>
      <c r="D695" s="29" t="s">
        <v>616</v>
      </c>
      <c r="E695" s="29" t="s">
        <v>46</v>
      </c>
      <c r="F695" s="6">
        <v>15.7</v>
      </c>
      <c r="G695" s="6">
        <v>174</v>
      </c>
      <c r="H695" s="6">
        <v>52</v>
      </c>
      <c r="I695" s="6">
        <v>8.4</v>
      </c>
      <c r="J695" s="6">
        <v>4.19</v>
      </c>
    </row>
    <row r="696" spans="2:10">
      <c r="B696" s="6">
        <v>112</v>
      </c>
      <c r="C696" s="6">
        <v>46</v>
      </c>
      <c r="D696" s="29" t="s">
        <v>617</v>
      </c>
      <c r="E696" s="29" t="s">
        <v>46</v>
      </c>
      <c r="F696" s="6">
        <v>21</v>
      </c>
      <c r="G696" s="6">
        <v>195</v>
      </c>
      <c r="H696" s="6">
        <v>51</v>
      </c>
      <c r="I696" s="6">
        <v>9.2</v>
      </c>
      <c r="J696" s="6">
        <v>4.04</v>
      </c>
    </row>
    <row r="697" spans="2:10">
      <c r="B697" s="6">
        <v>112</v>
      </c>
      <c r="C697" s="6">
        <v>47</v>
      </c>
      <c r="D697" s="29" t="s">
        <v>618</v>
      </c>
      <c r="E697" s="29" t="s">
        <v>46</v>
      </c>
      <c r="F697" s="6">
        <v>17</v>
      </c>
      <c r="G697" s="6">
        <v>155</v>
      </c>
      <c r="H697" s="6">
        <v>50</v>
      </c>
      <c r="I697" s="6">
        <v>10</v>
      </c>
      <c r="J697" s="6">
        <v>4.5</v>
      </c>
    </row>
    <row r="698" spans="2:10">
      <c r="B698" s="6">
        <v>112</v>
      </c>
      <c r="C698" s="6">
        <v>48</v>
      </c>
      <c r="D698" s="29" t="s">
        <v>619</v>
      </c>
      <c r="E698" s="29" t="s">
        <v>46</v>
      </c>
      <c r="F698" s="6">
        <v>6.2</v>
      </c>
      <c r="G698" s="6">
        <v>167</v>
      </c>
      <c r="H698" s="6">
        <v>46</v>
      </c>
      <c r="I698" s="6">
        <v>8.1</v>
      </c>
      <c r="J698" s="6">
        <v>3.22</v>
      </c>
    </row>
    <row r="699" spans="2:10">
      <c r="B699" s="6">
        <v>112</v>
      </c>
      <c r="C699" s="6">
        <v>49</v>
      </c>
      <c r="D699" s="29" t="s">
        <v>620</v>
      </c>
      <c r="E699" s="29" t="s">
        <v>46</v>
      </c>
      <c r="F699" s="6">
        <v>14.5</v>
      </c>
      <c r="G699" s="6">
        <v>157</v>
      </c>
      <c r="H699" s="6">
        <v>39</v>
      </c>
      <c r="I699" s="6">
        <v>8.9</v>
      </c>
      <c r="J699" s="6">
        <v>4</v>
      </c>
    </row>
    <row r="700" spans="2:10">
      <c r="B700" s="6">
        <v>112</v>
      </c>
      <c r="C700" s="6">
        <v>50</v>
      </c>
      <c r="D700" s="29" t="s">
        <v>621</v>
      </c>
      <c r="E700" s="29" t="s">
        <v>46</v>
      </c>
      <c r="F700" s="6">
        <v>11.7</v>
      </c>
      <c r="G700" s="6">
        <v>181</v>
      </c>
      <c r="H700" s="6">
        <v>49</v>
      </c>
      <c r="I700" s="6">
        <v>8.2</v>
      </c>
      <c r="J700" s="6">
        <v>3.39</v>
      </c>
    </row>
    <row r="701" s="3" customFormat="1" spans="1:11">
      <c r="A701" s="58" t="s">
        <v>622</v>
      </c>
      <c r="B701" s="30" t="s">
        <v>1</v>
      </c>
      <c r="C701" s="31" t="s">
        <v>2</v>
      </c>
      <c r="D701" s="32" t="s">
        <v>3</v>
      </c>
      <c r="E701" s="32" t="s">
        <v>4</v>
      </c>
      <c r="F701" s="33" t="s">
        <v>5</v>
      </c>
      <c r="G701" s="33" t="s">
        <v>6</v>
      </c>
      <c r="H701" s="33" t="s">
        <v>7</v>
      </c>
      <c r="I701" s="33">
        <v>50</v>
      </c>
      <c r="J701" s="33" t="s">
        <v>8</v>
      </c>
      <c r="K701" s="31" t="s">
        <v>9</v>
      </c>
    </row>
    <row r="702" spans="2:10">
      <c r="B702" s="6">
        <v>113</v>
      </c>
      <c r="C702" s="6">
        <v>1</v>
      </c>
      <c r="D702" s="39" t="s">
        <v>623</v>
      </c>
      <c r="E702" s="29" t="s">
        <v>11</v>
      </c>
      <c r="F702" s="6">
        <v>3.5</v>
      </c>
      <c r="G702" s="6">
        <v>178</v>
      </c>
      <c r="H702" s="6">
        <v>0</v>
      </c>
      <c r="I702" s="6">
        <v>8.4</v>
      </c>
      <c r="J702" s="6">
        <v>4.08</v>
      </c>
    </row>
    <row r="703" spans="2:10">
      <c r="B703" s="6">
        <v>113</v>
      </c>
      <c r="C703" s="6">
        <v>2</v>
      </c>
      <c r="D703" s="29" t="s">
        <v>624</v>
      </c>
      <c r="E703" s="29" t="s">
        <v>11</v>
      </c>
      <c r="F703" s="6">
        <v>9.5</v>
      </c>
      <c r="G703" s="6">
        <v>235</v>
      </c>
      <c r="H703" s="6">
        <v>0</v>
      </c>
      <c r="I703" s="6">
        <v>7.1</v>
      </c>
      <c r="J703" s="6">
        <v>3.44</v>
      </c>
    </row>
    <row r="704" spans="2:10">
      <c r="B704" s="6">
        <v>113</v>
      </c>
      <c r="C704" s="6">
        <v>3</v>
      </c>
      <c r="D704" s="29" t="s">
        <v>625</v>
      </c>
      <c r="E704" s="29" t="s">
        <v>11</v>
      </c>
      <c r="F704" s="6">
        <v>10</v>
      </c>
      <c r="G704" s="6">
        <v>263</v>
      </c>
      <c r="H704" s="6">
        <v>20</v>
      </c>
      <c r="I704" s="6">
        <v>6.8</v>
      </c>
      <c r="J704" s="6">
        <v>3.35</v>
      </c>
    </row>
    <row r="705" spans="2:10">
      <c r="B705" s="6">
        <v>113</v>
      </c>
      <c r="C705" s="6">
        <v>4</v>
      </c>
      <c r="D705" s="29" t="s">
        <v>626</v>
      </c>
      <c r="E705" s="29" t="s">
        <v>11</v>
      </c>
      <c r="F705" s="6">
        <v>14.5</v>
      </c>
      <c r="G705" s="6">
        <v>213</v>
      </c>
      <c r="H705" s="6">
        <v>1</v>
      </c>
      <c r="I705" s="6">
        <v>7.9</v>
      </c>
      <c r="J705" s="6">
        <v>3.54</v>
      </c>
    </row>
    <row r="706" spans="2:10">
      <c r="B706" s="6">
        <v>113</v>
      </c>
      <c r="C706" s="6">
        <v>5</v>
      </c>
      <c r="D706" s="29" t="s">
        <v>627</v>
      </c>
      <c r="E706" s="29" t="s">
        <v>11</v>
      </c>
      <c r="F706" s="6">
        <v>10.1</v>
      </c>
      <c r="G706" s="6">
        <v>245</v>
      </c>
      <c r="H706" s="6">
        <v>18</v>
      </c>
      <c r="I706" s="6">
        <v>7</v>
      </c>
      <c r="J706" s="6">
        <v>3.02</v>
      </c>
    </row>
    <row r="707" s="34" customFormat="1" spans="1:11">
      <c r="A707" s="59"/>
      <c r="B707" s="52">
        <v>113</v>
      </c>
      <c r="C707" s="52">
        <v>6</v>
      </c>
      <c r="D707" s="29" t="s">
        <v>628</v>
      </c>
      <c r="E707" s="29" t="s">
        <v>11</v>
      </c>
      <c r="F707" s="52">
        <v>9.5</v>
      </c>
      <c r="G707" s="52">
        <v>221</v>
      </c>
      <c r="H707" s="52">
        <v>9</v>
      </c>
      <c r="I707" s="52">
        <v>7.1</v>
      </c>
      <c r="J707" s="52">
        <v>3.24</v>
      </c>
      <c r="K707" s="52"/>
    </row>
    <row r="708" spans="2:10">
      <c r="B708" s="6">
        <v>113</v>
      </c>
      <c r="C708" s="6">
        <v>7</v>
      </c>
      <c r="D708" s="29" t="s">
        <v>629</v>
      </c>
      <c r="E708" s="29" t="s">
        <v>11</v>
      </c>
      <c r="F708" s="6">
        <v>4.5</v>
      </c>
      <c r="G708" s="6">
        <v>223</v>
      </c>
      <c r="H708" s="6">
        <v>1</v>
      </c>
      <c r="I708" s="6">
        <v>7.9</v>
      </c>
      <c r="J708" s="6">
        <v>3.55</v>
      </c>
    </row>
    <row r="709" spans="2:10">
      <c r="B709" s="6">
        <v>113</v>
      </c>
      <c r="C709" s="6">
        <v>8</v>
      </c>
      <c r="D709" s="29" t="s">
        <v>630</v>
      </c>
      <c r="E709" s="29" t="s">
        <v>11</v>
      </c>
      <c r="F709" s="6">
        <v>-9.5</v>
      </c>
      <c r="G709" s="6">
        <v>214</v>
      </c>
      <c r="H709" s="6">
        <v>13</v>
      </c>
      <c r="I709" s="6">
        <v>7.6</v>
      </c>
      <c r="J709" s="6">
        <v>3.33</v>
      </c>
    </row>
    <row r="710" spans="2:10">
      <c r="B710" s="6">
        <v>113</v>
      </c>
      <c r="C710" s="6">
        <v>9</v>
      </c>
      <c r="D710" s="29" t="s">
        <v>631</v>
      </c>
      <c r="E710" s="29" t="s">
        <v>11</v>
      </c>
      <c r="F710" s="6">
        <v>15.7</v>
      </c>
      <c r="G710" s="6">
        <v>207</v>
      </c>
      <c r="H710" s="6">
        <v>0</v>
      </c>
      <c r="I710" s="6">
        <v>7.8</v>
      </c>
      <c r="J710" s="6">
        <v>3.57</v>
      </c>
    </row>
    <row r="711" spans="2:10">
      <c r="B711" s="6">
        <v>113</v>
      </c>
      <c r="C711" s="6">
        <v>10</v>
      </c>
      <c r="D711" s="29" t="s">
        <v>632</v>
      </c>
      <c r="E711" s="29" t="s">
        <v>11</v>
      </c>
      <c r="F711" s="6">
        <v>0.2</v>
      </c>
      <c r="G711" s="6">
        <v>223</v>
      </c>
      <c r="H711" s="6">
        <v>15</v>
      </c>
      <c r="I711" s="6">
        <v>7.1</v>
      </c>
      <c r="J711" s="6">
        <v>3.37</v>
      </c>
    </row>
    <row r="712" spans="2:10">
      <c r="B712" s="6">
        <v>113</v>
      </c>
      <c r="C712" s="6">
        <v>11</v>
      </c>
      <c r="D712" s="29" t="s">
        <v>633</v>
      </c>
      <c r="E712" s="29" t="s">
        <v>11</v>
      </c>
      <c r="F712" s="6">
        <v>7</v>
      </c>
      <c r="G712" s="6">
        <v>258</v>
      </c>
      <c r="H712" s="6">
        <v>0</v>
      </c>
      <c r="I712" s="6">
        <v>7.1</v>
      </c>
      <c r="J712" s="6">
        <v>3.41</v>
      </c>
    </row>
    <row r="713" spans="2:10">
      <c r="B713" s="6">
        <v>113</v>
      </c>
      <c r="C713" s="6">
        <v>12</v>
      </c>
      <c r="D713" s="29" t="s">
        <v>634</v>
      </c>
      <c r="E713" s="29" t="s">
        <v>11</v>
      </c>
      <c r="F713" s="6">
        <v>7.5</v>
      </c>
      <c r="G713" s="6">
        <v>218</v>
      </c>
      <c r="H713" s="6">
        <v>0</v>
      </c>
      <c r="I713" s="6">
        <v>7.3</v>
      </c>
      <c r="J713" s="6">
        <v>3.57</v>
      </c>
    </row>
    <row r="714" spans="4:5">
      <c r="D714" s="29"/>
      <c r="E714" s="29"/>
    </row>
    <row r="715" spans="4:5">
      <c r="D715" s="29"/>
      <c r="E715" s="29"/>
    </row>
    <row r="716" spans="4:5">
      <c r="D716" s="29"/>
      <c r="E716" s="29"/>
    </row>
    <row r="717" spans="4:5">
      <c r="D717" s="29"/>
      <c r="E717" s="29"/>
    </row>
    <row r="718" spans="4:5">
      <c r="D718" s="29"/>
      <c r="E718" s="29"/>
    </row>
    <row r="719" spans="4:5">
      <c r="D719" s="29"/>
      <c r="E719" s="29"/>
    </row>
    <row r="720" spans="4:5">
      <c r="D720" s="29"/>
      <c r="E720" s="29"/>
    </row>
    <row r="722" s="3" customFormat="1" spans="1:11">
      <c r="A722" s="58" t="s">
        <v>635</v>
      </c>
      <c r="B722" s="30" t="s">
        <v>1</v>
      </c>
      <c r="C722" s="31" t="s">
        <v>2</v>
      </c>
      <c r="D722" s="32" t="s">
        <v>3</v>
      </c>
      <c r="E722" s="32" t="s">
        <v>4</v>
      </c>
      <c r="F722" s="33" t="s">
        <v>5</v>
      </c>
      <c r="G722" s="33" t="s">
        <v>6</v>
      </c>
      <c r="H722" s="33" t="s">
        <v>7</v>
      </c>
      <c r="I722" s="33">
        <v>50</v>
      </c>
      <c r="J722" s="33" t="s">
        <v>8</v>
      </c>
      <c r="K722" s="31" t="s">
        <v>9</v>
      </c>
    </row>
    <row r="723" spans="2:10">
      <c r="B723" s="6">
        <v>113</v>
      </c>
      <c r="C723" s="6">
        <v>13</v>
      </c>
      <c r="D723" s="39" t="s">
        <v>636</v>
      </c>
      <c r="E723" s="29" t="s">
        <v>11</v>
      </c>
      <c r="F723" s="6">
        <v>17</v>
      </c>
      <c r="G723" s="6">
        <v>250</v>
      </c>
      <c r="H723" s="6">
        <v>16</v>
      </c>
      <c r="I723" s="6">
        <v>7.1</v>
      </c>
      <c r="J723" s="6">
        <v>3.38</v>
      </c>
    </row>
    <row r="724" spans="2:10">
      <c r="B724" s="6">
        <v>113</v>
      </c>
      <c r="C724" s="6">
        <v>14</v>
      </c>
      <c r="D724" s="29" t="s">
        <v>637</v>
      </c>
      <c r="E724" s="29" t="s">
        <v>11</v>
      </c>
      <c r="F724" s="6">
        <v>14</v>
      </c>
      <c r="G724" s="6">
        <v>240</v>
      </c>
      <c r="H724" s="6">
        <v>25</v>
      </c>
      <c r="I724" s="6">
        <v>7.6</v>
      </c>
      <c r="J724" s="6">
        <v>3.53</v>
      </c>
    </row>
    <row r="725" spans="2:10">
      <c r="B725" s="6">
        <v>113</v>
      </c>
      <c r="C725" s="6">
        <v>15</v>
      </c>
      <c r="D725" s="29" t="s">
        <v>638</v>
      </c>
      <c r="E725" s="29" t="s">
        <v>11</v>
      </c>
      <c r="F725" s="6">
        <v>14</v>
      </c>
      <c r="G725" s="6">
        <v>245</v>
      </c>
      <c r="H725" s="6">
        <v>0</v>
      </c>
      <c r="I725" s="6">
        <v>7.9</v>
      </c>
      <c r="J725" s="6">
        <v>3.52</v>
      </c>
    </row>
    <row r="726" spans="2:10">
      <c r="B726" s="6">
        <v>113</v>
      </c>
      <c r="C726" s="6">
        <v>16</v>
      </c>
      <c r="D726" s="29" t="s">
        <v>639</v>
      </c>
      <c r="E726" s="29" t="s">
        <v>11</v>
      </c>
      <c r="F726" s="6">
        <v>7</v>
      </c>
      <c r="G726" s="6">
        <v>260</v>
      </c>
      <c r="H726" s="6">
        <v>18</v>
      </c>
      <c r="I726" s="6">
        <v>7.5</v>
      </c>
      <c r="J726" s="6">
        <v>3.41</v>
      </c>
    </row>
    <row r="727" spans="2:10">
      <c r="B727" s="6">
        <v>113</v>
      </c>
      <c r="C727" s="6">
        <v>17</v>
      </c>
      <c r="D727" s="29" t="s">
        <v>640</v>
      </c>
      <c r="E727" s="29" t="s">
        <v>11</v>
      </c>
      <c r="F727" s="6">
        <v>15</v>
      </c>
      <c r="G727" s="6">
        <v>210</v>
      </c>
      <c r="H727" s="6">
        <v>21</v>
      </c>
      <c r="I727" s="6">
        <v>7.2</v>
      </c>
      <c r="J727" s="6">
        <v>3.39</v>
      </c>
    </row>
    <row r="728" spans="2:10">
      <c r="B728" s="6">
        <v>113</v>
      </c>
      <c r="C728" s="6">
        <v>18</v>
      </c>
      <c r="D728" s="29" t="s">
        <v>641</v>
      </c>
      <c r="E728" s="29" t="s">
        <v>11</v>
      </c>
      <c r="F728" s="6">
        <v>16</v>
      </c>
      <c r="G728" s="6">
        <v>270</v>
      </c>
      <c r="H728" s="6">
        <v>25</v>
      </c>
      <c r="I728" s="6">
        <v>6.3</v>
      </c>
      <c r="J728" s="6">
        <v>3.05</v>
      </c>
    </row>
    <row r="729" spans="2:10">
      <c r="B729" s="6">
        <v>113</v>
      </c>
      <c r="C729" s="6">
        <v>19</v>
      </c>
      <c r="D729" s="29" t="s">
        <v>642</v>
      </c>
      <c r="E729" s="29" t="s">
        <v>11</v>
      </c>
      <c r="F729" s="6">
        <v>3</v>
      </c>
      <c r="G729" s="6">
        <v>247</v>
      </c>
      <c r="H729" s="6">
        <v>11</v>
      </c>
      <c r="I729" s="6">
        <v>7</v>
      </c>
      <c r="J729" s="6">
        <v>3.4</v>
      </c>
    </row>
    <row r="730" spans="2:10">
      <c r="B730" s="6">
        <v>113</v>
      </c>
      <c r="C730" s="6">
        <v>20</v>
      </c>
      <c r="D730" s="29" t="s">
        <v>643</v>
      </c>
      <c r="E730" s="29" t="s">
        <v>11</v>
      </c>
      <c r="F730" s="6">
        <v>8.5</v>
      </c>
      <c r="G730" s="6">
        <v>200</v>
      </c>
      <c r="H730" s="6">
        <v>13</v>
      </c>
      <c r="I730" s="6">
        <v>7.4</v>
      </c>
      <c r="J730" s="6">
        <v>3.49</v>
      </c>
    </row>
    <row r="731" spans="2:10">
      <c r="B731" s="6">
        <v>113</v>
      </c>
      <c r="C731" s="6">
        <v>21</v>
      </c>
      <c r="D731" s="29" t="s">
        <v>644</v>
      </c>
      <c r="E731" s="29" t="s">
        <v>11</v>
      </c>
      <c r="F731" s="6">
        <v>19.5</v>
      </c>
      <c r="G731" s="6">
        <v>220</v>
      </c>
      <c r="H731" s="6">
        <v>5</v>
      </c>
      <c r="I731" s="6">
        <v>7.6</v>
      </c>
      <c r="J731" s="6">
        <v>3.51</v>
      </c>
    </row>
    <row r="732" spans="2:10">
      <c r="B732" s="6">
        <v>113</v>
      </c>
      <c r="C732" s="6">
        <v>22</v>
      </c>
      <c r="D732" s="29" t="s">
        <v>645</v>
      </c>
      <c r="E732" s="29" t="s">
        <v>11</v>
      </c>
      <c r="F732" s="6">
        <v>16</v>
      </c>
      <c r="G732" s="6">
        <v>195</v>
      </c>
      <c r="H732" s="6">
        <v>1</v>
      </c>
      <c r="I732" s="6">
        <v>8.2</v>
      </c>
      <c r="J732" s="6">
        <v>4.14</v>
      </c>
    </row>
    <row r="733" spans="2:10">
      <c r="B733" s="6">
        <v>113</v>
      </c>
      <c r="C733" s="6">
        <v>23</v>
      </c>
      <c r="D733" s="29" t="s">
        <v>646</v>
      </c>
      <c r="E733" s="29" t="s">
        <v>11</v>
      </c>
      <c r="F733" s="6">
        <v>11</v>
      </c>
      <c r="G733" s="6">
        <v>245</v>
      </c>
      <c r="H733" s="6">
        <v>3</v>
      </c>
      <c r="I733" s="6">
        <v>7.9</v>
      </c>
      <c r="J733" s="6">
        <v>4.05</v>
      </c>
    </row>
    <row r="734" spans="2:9">
      <c r="B734" s="6">
        <v>113</v>
      </c>
      <c r="C734" s="6">
        <v>24</v>
      </c>
      <c r="D734" s="29" t="s">
        <v>647</v>
      </c>
      <c r="E734" s="29" t="s">
        <v>11</v>
      </c>
      <c r="F734" s="6">
        <v>15</v>
      </c>
      <c r="G734" s="6">
        <v>245</v>
      </c>
      <c r="H734" s="6">
        <v>16</v>
      </c>
      <c r="I734" s="6">
        <v>7.1</v>
      </c>
    </row>
    <row r="735" spans="2:10">
      <c r="B735" s="6">
        <v>113</v>
      </c>
      <c r="C735" s="6">
        <v>25</v>
      </c>
      <c r="D735" s="30" t="s">
        <v>648</v>
      </c>
      <c r="E735" s="30" t="s">
        <v>11</v>
      </c>
      <c r="F735" s="6">
        <v>20</v>
      </c>
      <c r="G735" s="6">
        <v>271</v>
      </c>
      <c r="H735" s="6">
        <v>5</v>
      </c>
      <c r="I735" s="6">
        <v>6.8</v>
      </c>
      <c r="J735" s="6">
        <v>3.18</v>
      </c>
    </row>
    <row r="736" s="3" customFormat="1" spans="1:11">
      <c r="A736" s="58" t="s">
        <v>649</v>
      </c>
      <c r="B736" s="30" t="s">
        <v>1</v>
      </c>
      <c r="C736" s="31" t="s">
        <v>2</v>
      </c>
      <c r="D736" s="32" t="s">
        <v>3</v>
      </c>
      <c r="E736" s="32" t="s">
        <v>4</v>
      </c>
      <c r="F736" s="33" t="s">
        <v>5</v>
      </c>
      <c r="G736" s="33" t="s">
        <v>6</v>
      </c>
      <c r="H736" s="33" t="s">
        <v>7</v>
      </c>
      <c r="I736" s="33">
        <v>50</v>
      </c>
      <c r="J736" s="33" t="s">
        <v>8</v>
      </c>
      <c r="K736" s="31" t="s">
        <v>9</v>
      </c>
    </row>
    <row r="737" spans="2:11">
      <c r="B737" s="6">
        <v>113</v>
      </c>
      <c r="C737" s="6">
        <v>26</v>
      </c>
      <c r="D737" s="39" t="s">
        <v>650</v>
      </c>
      <c r="E737" s="29" t="s">
        <v>46</v>
      </c>
      <c r="K737" s="6" t="s">
        <v>513</v>
      </c>
    </row>
    <row r="738" spans="2:10">
      <c r="B738" s="6">
        <v>113</v>
      </c>
      <c r="C738" s="6">
        <v>27</v>
      </c>
      <c r="D738" s="29" t="s">
        <v>651</v>
      </c>
      <c r="E738" s="29" t="s">
        <v>46</v>
      </c>
      <c r="F738" s="6">
        <v>11.5</v>
      </c>
      <c r="G738" s="6">
        <v>152</v>
      </c>
      <c r="H738" s="6">
        <v>34</v>
      </c>
      <c r="I738" s="6">
        <v>9.3</v>
      </c>
      <c r="J738" s="6">
        <v>4.2</v>
      </c>
    </row>
    <row r="739" spans="2:10">
      <c r="B739" s="6">
        <v>113</v>
      </c>
      <c r="C739" s="6">
        <v>28</v>
      </c>
      <c r="D739" s="29" t="s">
        <v>652</v>
      </c>
      <c r="E739" s="29" t="s">
        <v>46</v>
      </c>
      <c r="F739" s="6">
        <v>8</v>
      </c>
      <c r="G739" s="6">
        <v>135</v>
      </c>
      <c r="H739" s="6">
        <v>38</v>
      </c>
      <c r="I739" s="6">
        <v>9.3</v>
      </c>
      <c r="J739" s="6">
        <v>4.05</v>
      </c>
    </row>
    <row r="740" spans="2:10">
      <c r="B740" s="6">
        <v>113</v>
      </c>
      <c r="C740" s="6">
        <v>29</v>
      </c>
      <c r="D740" s="29" t="s">
        <v>653</v>
      </c>
      <c r="E740" s="29" t="s">
        <v>46</v>
      </c>
      <c r="F740" s="6">
        <v>8.5</v>
      </c>
      <c r="G740" s="6">
        <v>175</v>
      </c>
      <c r="H740" s="6">
        <v>50</v>
      </c>
      <c r="I740" s="6">
        <v>8.9</v>
      </c>
      <c r="J740" s="6">
        <v>3.5</v>
      </c>
    </row>
    <row r="741" spans="2:10">
      <c r="B741" s="6">
        <v>113</v>
      </c>
      <c r="C741" s="6">
        <v>30</v>
      </c>
      <c r="D741" s="29" t="s">
        <v>654</v>
      </c>
      <c r="E741" s="29" t="s">
        <v>46</v>
      </c>
      <c r="F741" s="6">
        <v>21</v>
      </c>
      <c r="G741" s="6">
        <v>187</v>
      </c>
      <c r="H741" s="6">
        <v>53</v>
      </c>
      <c r="I741" s="6">
        <v>8.5</v>
      </c>
      <c r="J741" s="6">
        <v>3.36</v>
      </c>
    </row>
    <row r="742" spans="2:10">
      <c r="B742" s="6">
        <v>113</v>
      </c>
      <c r="C742" s="6">
        <v>31</v>
      </c>
      <c r="D742" s="29" t="s">
        <v>655</v>
      </c>
      <c r="E742" s="29" t="s">
        <v>46</v>
      </c>
      <c r="F742" s="6">
        <v>20</v>
      </c>
      <c r="G742" s="6">
        <v>185</v>
      </c>
      <c r="H742" s="6">
        <v>46</v>
      </c>
      <c r="I742" s="6">
        <v>8.6</v>
      </c>
      <c r="J742" s="6">
        <v>3.58</v>
      </c>
    </row>
    <row r="743" spans="2:10">
      <c r="B743" s="6">
        <v>113</v>
      </c>
      <c r="C743" s="6">
        <v>32</v>
      </c>
      <c r="D743" s="29" t="s">
        <v>656</v>
      </c>
      <c r="E743" s="29" t="s">
        <v>46</v>
      </c>
      <c r="F743" s="6">
        <v>25.5</v>
      </c>
      <c r="G743" s="6">
        <v>170</v>
      </c>
      <c r="H743" s="6">
        <v>52</v>
      </c>
      <c r="I743" s="6">
        <v>9.3</v>
      </c>
      <c r="J743" s="6">
        <v>3.52</v>
      </c>
    </row>
    <row r="744" spans="2:10">
      <c r="B744" s="6">
        <v>113</v>
      </c>
      <c r="C744" s="6">
        <v>33</v>
      </c>
      <c r="D744" s="29" t="s">
        <v>657</v>
      </c>
      <c r="E744" s="29" t="s">
        <v>46</v>
      </c>
      <c r="F744" s="6">
        <v>21</v>
      </c>
      <c r="G744" s="6">
        <v>170</v>
      </c>
      <c r="H744" s="6">
        <v>51</v>
      </c>
      <c r="I744" s="6">
        <v>9</v>
      </c>
      <c r="J744" s="6">
        <v>3.46</v>
      </c>
    </row>
    <row r="745" spans="2:10">
      <c r="B745" s="6">
        <v>113</v>
      </c>
      <c r="C745" s="6">
        <v>34</v>
      </c>
      <c r="D745" s="29" t="s">
        <v>658</v>
      </c>
      <c r="E745" s="29" t="s">
        <v>46</v>
      </c>
      <c r="F745" s="6">
        <v>16</v>
      </c>
      <c r="G745" s="6">
        <v>190</v>
      </c>
      <c r="H745" s="6">
        <v>52</v>
      </c>
      <c r="I745" s="6">
        <v>8.2</v>
      </c>
      <c r="J745" s="6">
        <v>3.55</v>
      </c>
    </row>
    <row r="746" spans="2:10">
      <c r="B746" s="6">
        <v>113</v>
      </c>
      <c r="C746" s="6">
        <v>35</v>
      </c>
      <c r="D746" s="29" t="s">
        <v>659</v>
      </c>
      <c r="E746" s="29" t="s">
        <v>46</v>
      </c>
      <c r="F746" s="6">
        <v>19.5</v>
      </c>
      <c r="G746" s="6">
        <v>200</v>
      </c>
      <c r="H746" s="6">
        <v>49</v>
      </c>
      <c r="I746" s="6">
        <v>8.7</v>
      </c>
      <c r="J746" s="6">
        <v>3.38</v>
      </c>
    </row>
    <row r="747" spans="2:10">
      <c r="B747" s="6">
        <v>113</v>
      </c>
      <c r="C747" s="6">
        <v>36</v>
      </c>
      <c r="D747" s="29" t="s">
        <v>660</v>
      </c>
      <c r="E747" s="29" t="s">
        <v>46</v>
      </c>
      <c r="F747" s="6">
        <v>12.5</v>
      </c>
      <c r="G747" s="6">
        <v>130</v>
      </c>
      <c r="H747" s="6">
        <v>51</v>
      </c>
      <c r="I747" s="6">
        <v>10.4</v>
      </c>
      <c r="J747" s="6">
        <v>3.5</v>
      </c>
    </row>
    <row r="748" spans="2:10">
      <c r="B748" s="6">
        <v>113</v>
      </c>
      <c r="C748" s="6">
        <v>37</v>
      </c>
      <c r="D748" s="29" t="s">
        <v>661</v>
      </c>
      <c r="E748" s="29" t="s">
        <v>46</v>
      </c>
      <c r="F748" s="6">
        <v>20</v>
      </c>
      <c r="G748" s="6">
        <v>180</v>
      </c>
      <c r="H748" s="6">
        <v>50</v>
      </c>
      <c r="I748" s="6">
        <v>9.1</v>
      </c>
      <c r="J748" s="6">
        <v>3.43</v>
      </c>
    </row>
    <row r="749" spans="2:10">
      <c r="B749" s="6">
        <v>113</v>
      </c>
      <c r="C749" s="6">
        <v>38</v>
      </c>
      <c r="D749" s="29" t="s">
        <v>662</v>
      </c>
      <c r="E749" s="29" t="s">
        <v>46</v>
      </c>
      <c r="F749" s="6">
        <v>17.5</v>
      </c>
      <c r="G749" s="6">
        <v>185</v>
      </c>
      <c r="H749" s="6">
        <v>55</v>
      </c>
      <c r="I749" s="6">
        <v>8</v>
      </c>
      <c r="J749" s="6">
        <v>3.55</v>
      </c>
    </row>
    <row r="750" spans="4:5">
      <c r="D750" s="29"/>
      <c r="E750" s="29"/>
    </row>
    <row r="751" spans="4:5">
      <c r="D751" s="29"/>
      <c r="E751" s="29"/>
    </row>
    <row r="752" spans="4:5">
      <c r="D752" s="29"/>
      <c r="E752" s="29"/>
    </row>
    <row r="753" spans="4:5">
      <c r="D753" s="29"/>
      <c r="E753" s="29"/>
    </row>
    <row r="754" spans="4:5">
      <c r="D754" s="29"/>
      <c r="E754" s="29"/>
    </row>
    <row r="755" spans="4:5">
      <c r="D755" s="29"/>
      <c r="E755" s="29"/>
    </row>
    <row r="757" s="3" customFormat="1" spans="1:11">
      <c r="A757" s="58" t="s">
        <v>663</v>
      </c>
      <c r="B757" s="30" t="s">
        <v>1</v>
      </c>
      <c r="C757" s="31" t="s">
        <v>2</v>
      </c>
      <c r="D757" s="32" t="s">
        <v>3</v>
      </c>
      <c r="E757" s="32" t="s">
        <v>4</v>
      </c>
      <c r="F757" s="33" t="s">
        <v>5</v>
      </c>
      <c r="G757" s="33" t="s">
        <v>6</v>
      </c>
      <c r="H757" s="33" t="s">
        <v>7</v>
      </c>
      <c r="I757" s="33">
        <v>50</v>
      </c>
      <c r="J757" s="33" t="s">
        <v>8</v>
      </c>
      <c r="K757" s="31" t="s">
        <v>9</v>
      </c>
    </row>
    <row r="758" spans="2:10">
      <c r="B758" s="6">
        <v>113</v>
      </c>
      <c r="C758" s="6">
        <v>39</v>
      </c>
      <c r="D758" s="39" t="s">
        <v>664</v>
      </c>
      <c r="E758" s="29" t="s">
        <v>46</v>
      </c>
      <c r="F758" s="6">
        <v>21.8</v>
      </c>
      <c r="G758" s="6">
        <v>166</v>
      </c>
      <c r="H758" s="6">
        <v>33</v>
      </c>
      <c r="I758" s="6">
        <v>9.5</v>
      </c>
      <c r="J758" s="6">
        <v>4.09</v>
      </c>
    </row>
    <row r="759" spans="2:10">
      <c r="B759" s="6">
        <v>113</v>
      </c>
      <c r="C759" s="6">
        <v>40</v>
      </c>
      <c r="D759" s="29" t="s">
        <v>665</v>
      </c>
      <c r="E759" s="29" t="s">
        <v>46</v>
      </c>
      <c r="F759" s="6">
        <v>10</v>
      </c>
      <c r="G759" s="6">
        <v>187</v>
      </c>
      <c r="H759" s="6">
        <v>46</v>
      </c>
      <c r="I759" s="6">
        <v>8.2</v>
      </c>
      <c r="J759" s="6">
        <v>3.56</v>
      </c>
    </row>
    <row r="760" spans="2:10">
      <c r="B760" s="6">
        <v>113</v>
      </c>
      <c r="C760" s="6">
        <v>41</v>
      </c>
      <c r="D760" s="29" t="s">
        <v>666</v>
      </c>
      <c r="E760" s="29" t="s">
        <v>46</v>
      </c>
      <c r="F760" s="6">
        <v>12.2</v>
      </c>
      <c r="G760" s="6">
        <v>215</v>
      </c>
      <c r="H760" s="6">
        <v>60</v>
      </c>
      <c r="I760" s="6">
        <v>7.7</v>
      </c>
      <c r="J760" s="6">
        <v>3.06</v>
      </c>
    </row>
    <row r="761" spans="2:10">
      <c r="B761" s="6">
        <v>113</v>
      </c>
      <c r="C761" s="6">
        <v>42</v>
      </c>
      <c r="D761" s="29" t="s">
        <v>667</v>
      </c>
      <c r="E761" s="29" t="s">
        <v>46</v>
      </c>
      <c r="F761" s="6">
        <v>13.5</v>
      </c>
      <c r="G761" s="6">
        <v>168</v>
      </c>
      <c r="H761" s="6">
        <v>47</v>
      </c>
      <c r="I761" s="6">
        <v>9.1</v>
      </c>
      <c r="J761" s="6">
        <v>3.52</v>
      </c>
    </row>
    <row r="762" spans="2:10">
      <c r="B762" s="6">
        <v>113</v>
      </c>
      <c r="C762" s="6">
        <v>43</v>
      </c>
      <c r="D762" s="29" t="s">
        <v>668</v>
      </c>
      <c r="E762" s="29" t="s">
        <v>46</v>
      </c>
      <c r="F762" s="6">
        <v>21.5</v>
      </c>
      <c r="G762" s="6">
        <v>168</v>
      </c>
      <c r="H762" s="6">
        <v>53</v>
      </c>
      <c r="I762" s="6">
        <v>8.8</v>
      </c>
      <c r="J762" s="6">
        <v>3.31</v>
      </c>
    </row>
    <row r="763" spans="2:10">
      <c r="B763" s="6">
        <v>113</v>
      </c>
      <c r="C763" s="6">
        <v>44</v>
      </c>
      <c r="D763" s="29" t="s">
        <v>669</v>
      </c>
      <c r="E763" s="29" t="s">
        <v>46</v>
      </c>
      <c r="F763" s="6">
        <v>12.5</v>
      </c>
      <c r="G763" s="6">
        <v>160</v>
      </c>
      <c r="H763" s="6">
        <v>42</v>
      </c>
      <c r="I763" s="6">
        <v>9.8</v>
      </c>
      <c r="J763" s="6">
        <v>4.06</v>
      </c>
    </row>
    <row r="764" spans="2:10">
      <c r="B764" s="6">
        <v>113</v>
      </c>
      <c r="C764" s="6">
        <v>45</v>
      </c>
      <c r="D764" s="29" t="s">
        <v>670</v>
      </c>
      <c r="E764" s="29" t="s">
        <v>46</v>
      </c>
      <c r="F764" s="6">
        <v>12</v>
      </c>
      <c r="G764" s="6">
        <v>170</v>
      </c>
      <c r="H764" s="6">
        <v>33</v>
      </c>
      <c r="I764" s="6">
        <v>9.8</v>
      </c>
      <c r="J764" s="6">
        <v>4.2</v>
      </c>
    </row>
    <row r="765" spans="2:10">
      <c r="B765" s="6">
        <v>113</v>
      </c>
      <c r="C765" s="6">
        <v>46</v>
      </c>
      <c r="D765" s="29" t="s">
        <v>671</v>
      </c>
      <c r="E765" s="29" t="s">
        <v>46</v>
      </c>
      <c r="F765" s="6">
        <v>25.1</v>
      </c>
      <c r="G765" s="6">
        <v>152</v>
      </c>
      <c r="H765" s="6">
        <v>27</v>
      </c>
      <c r="I765" s="6">
        <v>8.3</v>
      </c>
      <c r="J765" s="6">
        <v>3.49</v>
      </c>
    </row>
    <row r="766" spans="2:10">
      <c r="B766" s="6">
        <v>113</v>
      </c>
      <c r="C766" s="6">
        <v>47</v>
      </c>
      <c r="D766" s="29" t="s">
        <v>672</v>
      </c>
      <c r="E766" s="29" t="s">
        <v>46</v>
      </c>
      <c r="F766" s="6">
        <v>19.5</v>
      </c>
      <c r="G766" s="6">
        <v>197</v>
      </c>
      <c r="H766" s="6">
        <v>52</v>
      </c>
      <c r="I766" s="6">
        <v>8.2</v>
      </c>
      <c r="J766" s="6">
        <v>3.52</v>
      </c>
    </row>
    <row r="767" spans="2:10">
      <c r="B767" s="6">
        <v>113</v>
      </c>
      <c r="C767" s="6">
        <v>48</v>
      </c>
      <c r="D767" s="29" t="s">
        <v>673</v>
      </c>
      <c r="E767" s="29" t="s">
        <v>46</v>
      </c>
      <c r="F767" s="6">
        <v>24</v>
      </c>
      <c r="G767" s="6">
        <v>206</v>
      </c>
      <c r="H767" s="6">
        <v>46</v>
      </c>
      <c r="I767" s="6">
        <v>8.9</v>
      </c>
      <c r="J767" s="6">
        <v>4.43</v>
      </c>
    </row>
    <row r="768" spans="2:10">
      <c r="B768" s="6">
        <v>113</v>
      </c>
      <c r="C768" s="6">
        <v>49</v>
      </c>
      <c r="D768" s="6" t="s">
        <v>674</v>
      </c>
      <c r="E768" s="6" t="s">
        <v>46</v>
      </c>
      <c r="F768" s="6">
        <v>18</v>
      </c>
      <c r="G768" s="6">
        <v>160</v>
      </c>
      <c r="H768" s="6">
        <v>40</v>
      </c>
      <c r="I768" s="6">
        <v>9.5</v>
      </c>
      <c r="J768" s="6">
        <v>4.12</v>
      </c>
    </row>
    <row r="769" spans="2:5">
      <c r="B769" s="6">
        <v>113</v>
      </c>
      <c r="C769" s="6">
        <v>50</v>
      </c>
      <c r="D769" s="54" t="s">
        <v>675</v>
      </c>
      <c r="E769" s="6" t="s">
        <v>46</v>
      </c>
    </row>
    <row r="771" s="3" customFormat="1" spans="1:11">
      <c r="A771" s="58" t="s">
        <v>676</v>
      </c>
      <c r="B771" s="30" t="s">
        <v>1</v>
      </c>
      <c r="C771" s="31" t="s">
        <v>2</v>
      </c>
      <c r="D771" s="32" t="s">
        <v>3</v>
      </c>
      <c r="E771" s="32" t="s">
        <v>4</v>
      </c>
      <c r="F771" s="33" t="s">
        <v>5</v>
      </c>
      <c r="G771" s="33" t="s">
        <v>6</v>
      </c>
      <c r="H771" s="33" t="s">
        <v>7</v>
      </c>
      <c r="I771" s="33">
        <v>50</v>
      </c>
      <c r="J771" s="33" t="s">
        <v>8</v>
      </c>
      <c r="K771" s="31" t="s">
        <v>9</v>
      </c>
    </row>
    <row r="772" spans="2:10">
      <c r="B772" s="6">
        <v>114</v>
      </c>
      <c r="C772" s="6">
        <v>1</v>
      </c>
      <c r="D772" s="39" t="s">
        <v>677</v>
      </c>
      <c r="E772" s="29" t="s">
        <v>11</v>
      </c>
      <c r="F772" s="6">
        <v>14.5</v>
      </c>
      <c r="G772" s="6">
        <v>250</v>
      </c>
      <c r="H772" s="6">
        <v>5</v>
      </c>
      <c r="I772" s="6">
        <v>6.9</v>
      </c>
      <c r="J772" s="6">
        <v>3.32</v>
      </c>
    </row>
    <row r="773" spans="2:10">
      <c r="B773" s="6">
        <v>114</v>
      </c>
      <c r="C773" s="6">
        <v>2</v>
      </c>
      <c r="D773" s="29" t="s">
        <v>678</v>
      </c>
      <c r="E773" s="29" t="s">
        <v>11</v>
      </c>
      <c r="F773" s="6">
        <v>2.5</v>
      </c>
      <c r="G773" s="6">
        <v>215</v>
      </c>
      <c r="H773" s="6">
        <v>6</v>
      </c>
      <c r="I773" s="6">
        <v>7.8</v>
      </c>
      <c r="J773" s="6">
        <v>5.2</v>
      </c>
    </row>
    <row r="774" s="34" customFormat="1" spans="1:11">
      <c r="A774" s="59"/>
      <c r="B774" s="52">
        <v>114</v>
      </c>
      <c r="C774" s="52">
        <v>3</v>
      </c>
      <c r="D774" s="29" t="s">
        <v>679</v>
      </c>
      <c r="E774" s="29" t="s">
        <v>11</v>
      </c>
      <c r="F774" s="52">
        <v>7</v>
      </c>
      <c r="G774" s="52">
        <v>250</v>
      </c>
      <c r="H774" s="52">
        <v>11</v>
      </c>
      <c r="I774" s="52">
        <v>7</v>
      </c>
      <c r="J774" s="52">
        <v>3.59</v>
      </c>
      <c r="K774" s="52"/>
    </row>
    <row r="775" spans="2:10">
      <c r="B775" s="6">
        <v>114</v>
      </c>
      <c r="C775" s="6">
        <v>4</v>
      </c>
      <c r="D775" s="29" t="s">
        <v>680</v>
      </c>
      <c r="E775" s="29" t="s">
        <v>11</v>
      </c>
      <c r="F775" s="6">
        <v>18</v>
      </c>
      <c r="G775" s="6">
        <v>275</v>
      </c>
      <c r="H775" s="6">
        <v>19</v>
      </c>
      <c r="I775" s="6">
        <v>6.8</v>
      </c>
      <c r="J775" s="6">
        <v>3.34</v>
      </c>
    </row>
    <row r="776" spans="2:10">
      <c r="B776" s="6">
        <v>114</v>
      </c>
      <c r="C776" s="6">
        <v>5</v>
      </c>
      <c r="D776" s="29" t="s">
        <v>681</v>
      </c>
      <c r="E776" s="29" t="s">
        <v>11</v>
      </c>
      <c r="F776" s="6">
        <v>-2</v>
      </c>
      <c r="G776" s="6">
        <v>210</v>
      </c>
      <c r="H776" s="6">
        <v>0</v>
      </c>
      <c r="I776" s="6">
        <v>7.4</v>
      </c>
      <c r="J776" s="6">
        <v>3.44</v>
      </c>
    </row>
    <row r="777" spans="2:10">
      <c r="B777" s="6">
        <v>114</v>
      </c>
      <c r="C777" s="6">
        <v>6</v>
      </c>
      <c r="D777" s="29" t="s">
        <v>682</v>
      </c>
      <c r="E777" s="29" t="s">
        <v>11</v>
      </c>
      <c r="F777" s="6">
        <v>6</v>
      </c>
      <c r="G777" s="6">
        <v>220</v>
      </c>
      <c r="H777" s="6">
        <v>3</v>
      </c>
      <c r="I777" s="6">
        <v>7.4</v>
      </c>
      <c r="J777" s="6">
        <v>3.4</v>
      </c>
    </row>
    <row r="778" spans="2:10">
      <c r="B778" s="6">
        <v>114</v>
      </c>
      <c r="C778" s="6">
        <v>7</v>
      </c>
      <c r="D778" s="29" t="s">
        <v>683</v>
      </c>
      <c r="E778" s="29" t="s">
        <v>11</v>
      </c>
      <c r="F778" s="6">
        <v>7</v>
      </c>
      <c r="G778" s="6">
        <v>240</v>
      </c>
      <c r="H778" s="6">
        <v>10</v>
      </c>
      <c r="I778" s="6">
        <v>7.4</v>
      </c>
      <c r="J778" s="6">
        <v>4.15</v>
      </c>
    </row>
    <row r="779" spans="2:10">
      <c r="B779" s="6">
        <v>114</v>
      </c>
      <c r="C779" s="6">
        <v>8</v>
      </c>
      <c r="D779" s="29" t="s">
        <v>684</v>
      </c>
      <c r="E779" s="29" t="s">
        <v>11</v>
      </c>
      <c r="F779" s="6">
        <v>13</v>
      </c>
      <c r="G779" s="6">
        <v>275</v>
      </c>
      <c r="H779" s="6">
        <v>8</v>
      </c>
      <c r="I779" s="6">
        <v>6.8</v>
      </c>
      <c r="J779" s="6">
        <v>3.07</v>
      </c>
    </row>
    <row r="780" spans="2:10">
      <c r="B780" s="6">
        <v>114</v>
      </c>
      <c r="C780" s="6">
        <v>9</v>
      </c>
      <c r="D780" s="29" t="s">
        <v>685</v>
      </c>
      <c r="E780" s="29" t="s">
        <v>11</v>
      </c>
      <c r="F780" s="6">
        <v>13.5</v>
      </c>
      <c r="G780" s="6">
        <v>240</v>
      </c>
      <c r="H780" s="6">
        <v>13</v>
      </c>
      <c r="I780" s="6">
        <v>7.2</v>
      </c>
      <c r="J780" s="6">
        <v>4.06</v>
      </c>
    </row>
    <row r="781" spans="2:10">
      <c r="B781" s="6">
        <v>114</v>
      </c>
      <c r="C781" s="6">
        <v>10</v>
      </c>
      <c r="D781" s="29" t="s">
        <v>686</v>
      </c>
      <c r="E781" s="29" t="s">
        <v>11</v>
      </c>
      <c r="F781" s="6">
        <v>7</v>
      </c>
      <c r="G781" s="6">
        <v>220</v>
      </c>
      <c r="H781" s="6">
        <v>19</v>
      </c>
      <c r="I781" s="6">
        <v>7.4</v>
      </c>
      <c r="J781" s="6">
        <v>3.59</v>
      </c>
    </row>
    <row r="782" spans="2:10">
      <c r="B782" s="6">
        <v>114</v>
      </c>
      <c r="C782" s="6">
        <v>11</v>
      </c>
      <c r="D782" s="29" t="s">
        <v>687</v>
      </c>
      <c r="E782" s="29" t="s">
        <v>11</v>
      </c>
      <c r="F782" s="6">
        <v>15</v>
      </c>
      <c r="G782" s="6">
        <v>234</v>
      </c>
      <c r="H782" s="6">
        <v>4</v>
      </c>
      <c r="I782" s="6">
        <v>7</v>
      </c>
      <c r="J782" s="6">
        <v>3.17</v>
      </c>
    </row>
    <row r="783" spans="2:10">
      <c r="B783" s="6">
        <v>114</v>
      </c>
      <c r="C783" s="6">
        <v>12</v>
      </c>
      <c r="D783" s="29" t="s">
        <v>688</v>
      </c>
      <c r="E783" s="29" t="s">
        <v>11</v>
      </c>
      <c r="F783" s="6">
        <v>10</v>
      </c>
      <c r="G783" s="6">
        <v>259</v>
      </c>
      <c r="H783" s="6">
        <v>17</v>
      </c>
      <c r="I783" s="6">
        <v>7.1</v>
      </c>
      <c r="J783" s="6">
        <v>4</v>
      </c>
    </row>
    <row r="784" spans="4:5">
      <c r="D784" s="29"/>
      <c r="E784" s="29"/>
    </row>
    <row r="785" spans="4:5">
      <c r="D785" s="29"/>
      <c r="E785" s="29"/>
    </row>
    <row r="786" spans="4:5">
      <c r="D786" s="29"/>
      <c r="E786" s="29"/>
    </row>
    <row r="787" spans="4:5">
      <c r="D787" s="29"/>
      <c r="E787" s="29"/>
    </row>
    <row r="788" spans="4:5">
      <c r="D788" s="29"/>
      <c r="E788" s="29"/>
    </row>
    <row r="789" spans="4:5">
      <c r="D789" s="29"/>
      <c r="E789" s="29"/>
    </row>
    <row r="791" s="3" customFormat="1" spans="1:11">
      <c r="A791" s="58" t="s">
        <v>689</v>
      </c>
      <c r="B791" s="30" t="s">
        <v>1</v>
      </c>
      <c r="C791" s="31" t="s">
        <v>2</v>
      </c>
      <c r="D791" s="32" t="s">
        <v>3</v>
      </c>
      <c r="E791" s="32" t="s">
        <v>4</v>
      </c>
      <c r="F791" s="33" t="s">
        <v>5</v>
      </c>
      <c r="G791" s="33" t="s">
        <v>6</v>
      </c>
      <c r="H791" s="33" t="s">
        <v>7</v>
      </c>
      <c r="I791" s="33">
        <v>50</v>
      </c>
      <c r="J791" s="33" t="s">
        <v>8</v>
      </c>
      <c r="K791" s="31" t="s">
        <v>9</v>
      </c>
    </row>
    <row r="792" spans="2:10">
      <c r="B792" s="6">
        <v>114</v>
      </c>
      <c r="C792" s="6">
        <v>13</v>
      </c>
      <c r="D792" s="39" t="s">
        <v>690</v>
      </c>
      <c r="E792" s="29" t="s">
        <v>11</v>
      </c>
      <c r="F792" s="6">
        <v>2.4</v>
      </c>
      <c r="G792" s="6">
        <v>258</v>
      </c>
      <c r="H792" s="6">
        <v>11</v>
      </c>
      <c r="I792" s="6">
        <v>7</v>
      </c>
      <c r="J792" s="6">
        <v>3.25</v>
      </c>
    </row>
    <row r="793" spans="2:10">
      <c r="B793" s="6">
        <v>114</v>
      </c>
      <c r="C793" s="6">
        <v>14</v>
      </c>
      <c r="D793" s="29" t="s">
        <v>691</v>
      </c>
      <c r="E793" s="29" t="s">
        <v>11</v>
      </c>
      <c r="F793" s="6">
        <v>8.5</v>
      </c>
      <c r="G793" s="6">
        <v>228</v>
      </c>
      <c r="H793" s="6">
        <v>6</v>
      </c>
      <c r="I793" s="6">
        <v>7.5</v>
      </c>
      <c r="J793" s="6">
        <v>3.55</v>
      </c>
    </row>
    <row r="794" spans="2:10">
      <c r="B794" s="6">
        <v>114</v>
      </c>
      <c r="C794" s="6">
        <v>15</v>
      </c>
      <c r="D794" s="29" t="s">
        <v>692</v>
      </c>
      <c r="E794" s="29" t="s">
        <v>11</v>
      </c>
      <c r="F794" s="6">
        <v>6.5</v>
      </c>
      <c r="G794" s="6">
        <v>198</v>
      </c>
      <c r="H794" s="6">
        <v>8</v>
      </c>
      <c r="I794" s="6">
        <v>7.6</v>
      </c>
      <c r="J794" s="6">
        <v>3.43</v>
      </c>
    </row>
    <row r="795" spans="2:10">
      <c r="B795" s="6">
        <v>114</v>
      </c>
      <c r="C795" s="6">
        <v>16</v>
      </c>
      <c r="D795" s="29" t="s">
        <v>693</v>
      </c>
      <c r="E795" s="29" t="s">
        <v>11</v>
      </c>
      <c r="F795" s="6">
        <v>7.5</v>
      </c>
      <c r="G795" s="6">
        <v>266</v>
      </c>
      <c r="H795" s="6">
        <v>26</v>
      </c>
      <c r="I795" s="6">
        <v>7.2</v>
      </c>
      <c r="J795" s="6">
        <v>3.46</v>
      </c>
    </row>
    <row r="796" spans="2:10">
      <c r="B796" s="6">
        <v>114</v>
      </c>
      <c r="C796" s="6">
        <v>17</v>
      </c>
      <c r="D796" s="29" t="s">
        <v>694</v>
      </c>
      <c r="E796" s="29" t="s">
        <v>11</v>
      </c>
      <c r="F796" s="6">
        <v>14</v>
      </c>
      <c r="G796" s="6">
        <v>223</v>
      </c>
      <c r="H796" s="6">
        <v>12</v>
      </c>
      <c r="I796" s="6">
        <v>7.2</v>
      </c>
      <c r="J796" s="6">
        <v>3.47</v>
      </c>
    </row>
    <row r="797" spans="2:10">
      <c r="B797" s="6">
        <v>114</v>
      </c>
      <c r="C797" s="6">
        <v>18</v>
      </c>
      <c r="D797" s="29" t="s">
        <v>695</v>
      </c>
      <c r="E797" s="29" t="s">
        <v>11</v>
      </c>
      <c r="F797" s="6">
        <v>1.5</v>
      </c>
      <c r="G797" s="6">
        <v>226</v>
      </c>
      <c r="H797" s="6">
        <v>17</v>
      </c>
      <c r="I797" s="6">
        <v>7.7</v>
      </c>
      <c r="J797" s="6">
        <v>3.13</v>
      </c>
    </row>
    <row r="798" spans="2:10">
      <c r="B798" s="6">
        <v>114</v>
      </c>
      <c r="C798" s="6">
        <v>19</v>
      </c>
      <c r="D798" s="29" t="s">
        <v>696</v>
      </c>
      <c r="E798" s="29" t="s">
        <v>11</v>
      </c>
      <c r="F798" s="6">
        <v>10</v>
      </c>
      <c r="G798" s="6">
        <v>252</v>
      </c>
      <c r="H798" s="6">
        <v>5</v>
      </c>
      <c r="I798" s="6">
        <v>6.9</v>
      </c>
      <c r="J798" s="6">
        <v>3.27</v>
      </c>
    </row>
    <row r="799" spans="2:10">
      <c r="B799" s="6">
        <v>114</v>
      </c>
      <c r="C799" s="6">
        <v>20</v>
      </c>
      <c r="D799" s="29" t="s">
        <v>697</v>
      </c>
      <c r="E799" s="29" t="s">
        <v>11</v>
      </c>
      <c r="F799" s="6">
        <v>3.5</v>
      </c>
      <c r="G799" s="6">
        <v>237</v>
      </c>
      <c r="H799" s="6">
        <v>2</v>
      </c>
      <c r="I799" s="6">
        <v>7.3</v>
      </c>
      <c r="J799" s="6">
        <v>3.35</v>
      </c>
    </row>
    <row r="800" spans="2:10">
      <c r="B800" s="6">
        <v>114</v>
      </c>
      <c r="C800" s="6">
        <v>21</v>
      </c>
      <c r="D800" s="29" t="s">
        <v>698</v>
      </c>
      <c r="E800" s="29" t="s">
        <v>11</v>
      </c>
      <c r="F800" s="6">
        <v>12.9</v>
      </c>
      <c r="G800" s="6">
        <v>223</v>
      </c>
      <c r="H800" s="6">
        <v>10</v>
      </c>
      <c r="I800" s="6">
        <v>8</v>
      </c>
      <c r="J800" s="6">
        <v>4.18</v>
      </c>
    </row>
    <row r="801" spans="2:10">
      <c r="B801" s="6">
        <v>114</v>
      </c>
      <c r="C801" s="6">
        <v>22</v>
      </c>
      <c r="D801" s="29" t="s">
        <v>699</v>
      </c>
      <c r="E801" s="29" t="s">
        <v>11</v>
      </c>
      <c r="F801" s="6">
        <v>-1.8</v>
      </c>
      <c r="G801" s="6">
        <v>218</v>
      </c>
      <c r="H801" s="6">
        <v>0</v>
      </c>
      <c r="I801" s="6">
        <v>7.4</v>
      </c>
      <c r="J801" s="6">
        <v>3.48</v>
      </c>
    </row>
    <row r="802" spans="2:10">
      <c r="B802" s="6">
        <v>114</v>
      </c>
      <c r="C802" s="6">
        <v>23</v>
      </c>
      <c r="D802" s="29" t="s">
        <v>700</v>
      </c>
      <c r="E802" s="29" t="s">
        <v>11</v>
      </c>
      <c r="F802" s="6">
        <v>13.5</v>
      </c>
      <c r="G802" s="6">
        <v>253</v>
      </c>
      <c r="H802" s="6">
        <v>26</v>
      </c>
      <c r="I802" s="6">
        <v>6.9</v>
      </c>
      <c r="J802" s="6">
        <v>3.14</v>
      </c>
    </row>
    <row r="803" spans="2:10">
      <c r="B803" s="6">
        <v>114</v>
      </c>
      <c r="C803" s="6">
        <v>24</v>
      </c>
      <c r="D803" s="29" t="s">
        <v>701</v>
      </c>
      <c r="E803" s="29" t="s">
        <v>11</v>
      </c>
      <c r="F803" s="6">
        <v>-4</v>
      </c>
      <c r="G803" s="6">
        <v>237</v>
      </c>
      <c r="H803" s="6">
        <v>3</v>
      </c>
      <c r="I803" s="6">
        <v>7.2</v>
      </c>
      <c r="J803" s="6">
        <v>3.53</v>
      </c>
    </row>
    <row r="804" spans="2:10">
      <c r="B804" s="6">
        <v>114</v>
      </c>
      <c r="C804" s="6">
        <v>25</v>
      </c>
      <c r="D804" s="6" t="s">
        <v>702</v>
      </c>
      <c r="E804" s="30" t="s">
        <v>11</v>
      </c>
      <c r="F804" s="6">
        <v>3</v>
      </c>
      <c r="H804" s="6">
        <v>2</v>
      </c>
      <c r="I804" s="6">
        <v>7.4</v>
      </c>
      <c r="J804" s="6">
        <v>3.54</v>
      </c>
    </row>
    <row r="806" s="3" customFormat="1" spans="1:11">
      <c r="A806" s="58" t="s">
        <v>703</v>
      </c>
      <c r="B806" s="30" t="s">
        <v>1</v>
      </c>
      <c r="C806" s="31" t="s">
        <v>2</v>
      </c>
      <c r="D806" s="32" t="s">
        <v>3</v>
      </c>
      <c r="E806" s="32" t="s">
        <v>4</v>
      </c>
      <c r="F806" s="33" t="s">
        <v>5</v>
      </c>
      <c r="G806" s="33" t="s">
        <v>6</v>
      </c>
      <c r="H806" s="33" t="s">
        <v>7</v>
      </c>
      <c r="I806" s="33">
        <v>50</v>
      </c>
      <c r="J806" s="33" t="s">
        <v>8</v>
      </c>
      <c r="K806" s="31" t="s">
        <v>9</v>
      </c>
    </row>
    <row r="807" spans="2:10">
      <c r="B807" s="6">
        <v>114</v>
      </c>
      <c r="C807" s="6">
        <v>26</v>
      </c>
      <c r="D807" s="39" t="s">
        <v>704</v>
      </c>
      <c r="E807" s="29" t="s">
        <v>46</v>
      </c>
      <c r="F807" s="6">
        <v>19.3</v>
      </c>
      <c r="G807" s="6">
        <v>153</v>
      </c>
      <c r="H807" s="6">
        <v>54</v>
      </c>
      <c r="I807" s="6">
        <v>9.3</v>
      </c>
      <c r="J807" s="6">
        <v>3.42</v>
      </c>
    </row>
    <row r="808" spans="2:10">
      <c r="B808" s="6">
        <v>114</v>
      </c>
      <c r="C808" s="6">
        <v>27</v>
      </c>
      <c r="D808" s="29" t="s">
        <v>705</v>
      </c>
      <c r="E808" s="29" t="s">
        <v>46</v>
      </c>
      <c r="F808" s="6">
        <v>11</v>
      </c>
      <c r="G808" s="6">
        <v>189</v>
      </c>
      <c r="H808" s="6">
        <v>48</v>
      </c>
      <c r="I808" s="6">
        <v>8.3</v>
      </c>
      <c r="J808" s="6">
        <v>3.36</v>
      </c>
    </row>
    <row r="809" spans="2:10">
      <c r="B809" s="6">
        <v>114</v>
      </c>
      <c r="C809" s="6">
        <v>28</v>
      </c>
      <c r="D809" s="29" t="s">
        <v>706</v>
      </c>
      <c r="E809" s="29" t="s">
        <v>46</v>
      </c>
      <c r="F809" s="6">
        <v>13.4</v>
      </c>
      <c r="G809" s="6">
        <v>203</v>
      </c>
      <c r="H809" s="6">
        <v>56</v>
      </c>
      <c r="I809" s="6">
        <v>8.6</v>
      </c>
      <c r="J809" s="6">
        <v>3.2</v>
      </c>
    </row>
    <row r="810" spans="2:10">
      <c r="B810" s="6">
        <v>114</v>
      </c>
      <c r="C810" s="6">
        <v>29</v>
      </c>
      <c r="D810" s="29" t="s">
        <v>707</v>
      </c>
      <c r="E810" s="29" t="s">
        <v>46</v>
      </c>
      <c r="F810" s="6">
        <v>20.5</v>
      </c>
      <c r="G810" s="6">
        <v>143</v>
      </c>
      <c r="H810" s="6">
        <v>41</v>
      </c>
      <c r="I810" s="6">
        <v>9.5</v>
      </c>
      <c r="J810" s="6">
        <v>3.53</v>
      </c>
    </row>
    <row r="811" spans="2:10">
      <c r="B811" s="6">
        <v>114</v>
      </c>
      <c r="C811" s="6">
        <v>30</v>
      </c>
      <c r="D811" s="29" t="s">
        <v>708</v>
      </c>
      <c r="E811" s="29" t="s">
        <v>46</v>
      </c>
      <c r="F811" s="6">
        <v>15.3</v>
      </c>
      <c r="G811" s="6">
        <v>170</v>
      </c>
      <c r="H811" s="6">
        <v>37</v>
      </c>
      <c r="I811" s="6">
        <v>8.6</v>
      </c>
      <c r="J811" s="6">
        <v>3.49</v>
      </c>
    </row>
    <row r="812" spans="2:10">
      <c r="B812" s="6">
        <v>114</v>
      </c>
      <c r="C812" s="6">
        <v>31</v>
      </c>
      <c r="D812" s="29" t="s">
        <v>709</v>
      </c>
      <c r="E812" s="29" t="s">
        <v>46</v>
      </c>
      <c r="F812" s="6">
        <v>20.1</v>
      </c>
      <c r="G812" s="6">
        <v>181</v>
      </c>
      <c r="H812" s="6">
        <v>45</v>
      </c>
      <c r="I812" s="6">
        <v>8</v>
      </c>
      <c r="J812" s="6">
        <v>3.2</v>
      </c>
    </row>
    <row r="813" spans="2:10">
      <c r="B813" s="6">
        <v>114</v>
      </c>
      <c r="C813" s="6">
        <v>32</v>
      </c>
      <c r="D813" s="29" t="s">
        <v>710</v>
      </c>
      <c r="E813" s="29" t="s">
        <v>46</v>
      </c>
      <c r="F813" s="6">
        <v>13</v>
      </c>
      <c r="G813" s="6">
        <v>181</v>
      </c>
      <c r="H813" s="6">
        <v>53</v>
      </c>
      <c r="I813" s="6">
        <v>8.4</v>
      </c>
      <c r="J813" s="6">
        <v>3.2</v>
      </c>
    </row>
    <row r="814" spans="2:10">
      <c r="B814" s="6">
        <v>114</v>
      </c>
      <c r="C814" s="6">
        <v>33</v>
      </c>
      <c r="D814" s="29" t="s">
        <v>711</v>
      </c>
      <c r="E814" s="29" t="s">
        <v>46</v>
      </c>
      <c r="F814" s="6">
        <v>10.3</v>
      </c>
      <c r="G814" s="6">
        <v>210</v>
      </c>
      <c r="H814" s="6">
        <v>29</v>
      </c>
      <c r="I814" s="6">
        <v>8</v>
      </c>
      <c r="J814" s="6">
        <v>3.46</v>
      </c>
    </row>
    <row r="815" spans="2:10">
      <c r="B815" s="6">
        <v>114</v>
      </c>
      <c r="C815" s="6">
        <v>34</v>
      </c>
      <c r="D815" s="29" t="s">
        <v>712</v>
      </c>
      <c r="E815" s="29" t="s">
        <v>46</v>
      </c>
      <c r="F815" s="6">
        <v>22.9</v>
      </c>
      <c r="G815" s="6">
        <v>186</v>
      </c>
      <c r="H815" s="6">
        <v>49</v>
      </c>
      <c r="I815" s="6">
        <v>8.5</v>
      </c>
      <c r="J815" s="6">
        <v>3.5</v>
      </c>
    </row>
    <row r="816" spans="2:10">
      <c r="B816" s="6">
        <v>114</v>
      </c>
      <c r="C816" s="6">
        <v>35</v>
      </c>
      <c r="D816" s="29" t="s">
        <v>713</v>
      </c>
      <c r="E816" s="29" t="s">
        <v>46</v>
      </c>
      <c r="F816" s="6">
        <v>16</v>
      </c>
      <c r="G816" s="6">
        <v>168</v>
      </c>
      <c r="H816" s="6">
        <v>53</v>
      </c>
      <c r="I816" s="6">
        <v>8.6</v>
      </c>
      <c r="J816" s="6">
        <v>3.17</v>
      </c>
    </row>
    <row r="817" spans="2:10">
      <c r="B817" s="6">
        <v>114</v>
      </c>
      <c r="C817" s="6">
        <v>36</v>
      </c>
      <c r="D817" s="29" t="s">
        <v>714</v>
      </c>
      <c r="E817" s="29" t="s">
        <v>46</v>
      </c>
      <c r="F817" s="6">
        <v>12.3</v>
      </c>
      <c r="G817" s="6">
        <v>157</v>
      </c>
      <c r="H817" s="6">
        <v>45</v>
      </c>
      <c r="I817" s="6">
        <v>9.8</v>
      </c>
      <c r="J817" s="6">
        <v>3.51</v>
      </c>
    </row>
    <row r="818" spans="2:10">
      <c r="B818" s="6">
        <v>114</v>
      </c>
      <c r="C818" s="6">
        <v>37</v>
      </c>
      <c r="D818" s="29" t="s">
        <v>715</v>
      </c>
      <c r="E818" s="29" t="s">
        <v>46</v>
      </c>
      <c r="F818" s="6">
        <v>4.4</v>
      </c>
      <c r="G818" s="6">
        <v>189</v>
      </c>
      <c r="H818" s="6">
        <v>41</v>
      </c>
      <c r="I818" s="6">
        <v>8.4</v>
      </c>
      <c r="J818" s="6">
        <v>3.48</v>
      </c>
    </row>
    <row r="819" spans="4:5">
      <c r="D819" s="29"/>
      <c r="E819" s="29"/>
    </row>
    <row r="820" spans="4:5">
      <c r="D820" s="29"/>
      <c r="E820" s="29"/>
    </row>
    <row r="821" spans="4:5">
      <c r="D821" s="29"/>
      <c r="E821" s="29"/>
    </row>
    <row r="822" spans="4:5">
      <c r="D822" s="29"/>
      <c r="E822" s="29"/>
    </row>
    <row r="823" spans="4:5">
      <c r="D823" s="29"/>
      <c r="E823" s="29"/>
    </row>
    <row r="824" spans="4:5">
      <c r="D824" s="29"/>
      <c r="E824" s="29"/>
    </row>
    <row r="825" spans="4:5">
      <c r="D825" s="29"/>
      <c r="E825" s="29"/>
    </row>
    <row r="827" s="3" customFormat="1" spans="1:11">
      <c r="A827" s="58" t="s">
        <v>716</v>
      </c>
      <c r="B827" s="30" t="s">
        <v>1</v>
      </c>
      <c r="C827" s="31" t="s">
        <v>2</v>
      </c>
      <c r="D827" s="32" t="s">
        <v>3</v>
      </c>
      <c r="E827" s="32" t="s">
        <v>4</v>
      </c>
      <c r="F827" s="33" t="s">
        <v>5</v>
      </c>
      <c r="G827" s="33" t="s">
        <v>6</v>
      </c>
      <c r="H827" s="33" t="s">
        <v>7</v>
      </c>
      <c r="I827" s="33">
        <v>50</v>
      </c>
      <c r="J827" s="33" t="s">
        <v>8</v>
      </c>
      <c r="K827" s="31" t="s">
        <v>9</v>
      </c>
    </row>
    <row r="828" spans="2:10">
      <c r="B828" s="6">
        <v>114</v>
      </c>
      <c r="C828" s="6">
        <v>38</v>
      </c>
      <c r="D828" s="39" t="s">
        <v>717</v>
      </c>
      <c r="E828" s="29" t="s">
        <v>46</v>
      </c>
      <c r="F828" s="6">
        <v>16</v>
      </c>
      <c r="G828" s="6">
        <v>175</v>
      </c>
      <c r="H828" s="6">
        <v>53</v>
      </c>
      <c r="I828" s="6">
        <v>8.5</v>
      </c>
      <c r="J828" s="6">
        <v>3.34</v>
      </c>
    </row>
    <row r="829" spans="2:10">
      <c r="B829" s="6">
        <v>114</v>
      </c>
      <c r="C829" s="6">
        <v>39</v>
      </c>
      <c r="D829" s="29" t="s">
        <v>718</v>
      </c>
      <c r="E829" s="29" t="s">
        <v>46</v>
      </c>
      <c r="F829" s="6">
        <v>19.6</v>
      </c>
      <c r="G829" s="6">
        <v>201</v>
      </c>
      <c r="H829" s="6">
        <v>57</v>
      </c>
      <c r="I829" s="6">
        <v>7.8</v>
      </c>
      <c r="J829" s="6">
        <v>3.22</v>
      </c>
    </row>
    <row r="830" spans="2:10">
      <c r="B830" s="6">
        <v>114</v>
      </c>
      <c r="C830" s="6">
        <v>40</v>
      </c>
      <c r="D830" s="29" t="s">
        <v>109</v>
      </c>
      <c r="E830" s="29" t="s">
        <v>46</v>
      </c>
      <c r="F830" s="6">
        <v>15.8</v>
      </c>
      <c r="G830" s="6">
        <v>178</v>
      </c>
      <c r="H830" s="6">
        <v>40</v>
      </c>
      <c r="I830" s="6">
        <v>8.9</v>
      </c>
      <c r="J830" s="6">
        <v>3.39</v>
      </c>
    </row>
    <row r="831" spans="2:10">
      <c r="B831" s="6">
        <v>114</v>
      </c>
      <c r="C831" s="6">
        <v>41</v>
      </c>
      <c r="D831" s="29" t="s">
        <v>719</v>
      </c>
      <c r="E831" s="29" t="s">
        <v>46</v>
      </c>
      <c r="F831" s="6">
        <v>25.9</v>
      </c>
      <c r="G831" s="6">
        <v>185</v>
      </c>
      <c r="H831" s="6">
        <v>47</v>
      </c>
      <c r="I831" s="6">
        <v>9.1</v>
      </c>
      <c r="J831" s="6">
        <v>4.22</v>
      </c>
    </row>
    <row r="832" spans="2:10">
      <c r="B832" s="6">
        <v>114</v>
      </c>
      <c r="C832" s="6">
        <v>42</v>
      </c>
      <c r="D832" s="29" t="s">
        <v>720</v>
      </c>
      <c r="E832" s="29" t="s">
        <v>46</v>
      </c>
      <c r="F832" s="6">
        <v>22</v>
      </c>
      <c r="G832" s="6">
        <v>165</v>
      </c>
      <c r="H832" s="6">
        <v>48</v>
      </c>
      <c r="I832" s="6">
        <v>8.4</v>
      </c>
      <c r="J832" s="6">
        <v>3.43</v>
      </c>
    </row>
    <row r="833" spans="2:10">
      <c r="B833" s="6">
        <v>114</v>
      </c>
      <c r="C833" s="6">
        <v>43</v>
      </c>
      <c r="D833" s="29" t="s">
        <v>721</v>
      </c>
      <c r="E833" s="29" t="s">
        <v>46</v>
      </c>
      <c r="F833" s="6">
        <v>24.8</v>
      </c>
      <c r="G833" s="6">
        <v>188</v>
      </c>
      <c r="H833" s="6">
        <v>41</v>
      </c>
      <c r="I833" s="6">
        <v>8.3</v>
      </c>
      <c r="J833" s="6">
        <v>3.21</v>
      </c>
    </row>
    <row r="834" spans="2:8">
      <c r="B834" s="6">
        <v>114</v>
      </c>
      <c r="C834" s="6">
        <v>44</v>
      </c>
      <c r="D834" s="29" t="s">
        <v>722</v>
      </c>
      <c r="E834" s="29" t="s">
        <v>46</v>
      </c>
      <c r="F834" s="6">
        <v>16.3</v>
      </c>
      <c r="G834" s="6">
        <v>183</v>
      </c>
      <c r="H834" s="6">
        <v>53</v>
      </c>
    </row>
    <row r="835" spans="2:10">
      <c r="B835" s="6">
        <v>114</v>
      </c>
      <c r="C835" s="6">
        <v>45</v>
      </c>
      <c r="D835" s="29" t="s">
        <v>723</v>
      </c>
      <c r="E835" s="29" t="s">
        <v>46</v>
      </c>
      <c r="F835" s="6">
        <v>17.3</v>
      </c>
      <c r="G835" s="6">
        <v>189</v>
      </c>
      <c r="H835" s="6">
        <v>53</v>
      </c>
      <c r="I835" s="6">
        <v>9</v>
      </c>
      <c r="J835" s="6">
        <v>3.28</v>
      </c>
    </row>
    <row r="836" spans="2:10">
      <c r="B836" s="6">
        <v>114</v>
      </c>
      <c r="C836" s="6">
        <v>46</v>
      </c>
      <c r="D836" s="29" t="s">
        <v>724</v>
      </c>
      <c r="E836" s="29" t="s">
        <v>46</v>
      </c>
      <c r="F836" s="6">
        <v>18.5</v>
      </c>
      <c r="G836" s="6">
        <v>142</v>
      </c>
      <c r="H836" s="6">
        <v>46</v>
      </c>
      <c r="I836" s="6">
        <v>10.7</v>
      </c>
      <c r="J836" s="6">
        <v>5.25</v>
      </c>
    </row>
    <row r="837" spans="2:10">
      <c r="B837" s="6">
        <v>114</v>
      </c>
      <c r="C837" s="6">
        <v>47</v>
      </c>
      <c r="D837" s="29" t="s">
        <v>725</v>
      </c>
      <c r="E837" s="29" t="s">
        <v>46</v>
      </c>
      <c r="F837" s="6">
        <v>20.2</v>
      </c>
      <c r="G837" s="6">
        <v>163</v>
      </c>
      <c r="H837" s="6">
        <v>50</v>
      </c>
      <c r="I837" s="6">
        <v>8.8</v>
      </c>
      <c r="J837" s="6">
        <v>3.58</v>
      </c>
    </row>
    <row r="838" spans="2:10">
      <c r="B838" s="6">
        <v>114</v>
      </c>
      <c r="C838" s="6">
        <v>48</v>
      </c>
      <c r="D838" s="29" t="s">
        <v>726</v>
      </c>
      <c r="E838" s="29" t="s">
        <v>46</v>
      </c>
      <c r="F838" s="6">
        <v>16.3</v>
      </c>
      <c r="G838" s="6">
        <v>183</v>
      </c>
      <c r="H838" s="6">
        <v>63</v>
      </c>
      <c r="I838" s="6">
        <v>8.1</v>
      </c>
      <c r="J838" s="6">
        <v>3.11</v>
      </c>
    </row>
    <row r="839" spans="2:10">
      <c r="B839" s="6">
        <v>114</v>
      </c>
      <c r="C839" s="6">
        <v>49</v>
      </c>
      <c r="D839" s="6" t="s">
        <v>727</v>
      </c>
      <c r="E839" s="6" t="s">
        <v>46</v>
      </c>
      <c r="F839" s="6">
        <v>20.3</v>
      </c>
      <c r="G839" s="6">
        <v>151</v>
      </c>
      <c r="H839" s="6">
        <v>25</v>
      </c>
      <c r="I839" s="6">
        <v>9</v>
      </c>
      <c r="J839" s="6">
        <v>4.22</v>
      </c>
    </row>
    <row r="841" s="3" customFormat="1" spans="1:11">
      <c r="A841" s="58" t="s">
        <v>728</v>
      </c>
      <c r="B841" s="30" t="s">
        <v>1</v>
      </c>
      <c r="C841" s="31" t="s">
        <v>2</v>
      </c>
      <c r="D841" s="32" t="s">
        <v>3</v>
      </c>
      <c r="E841" s="32" t="s">
        <v>4</v>
      </c>
      <c r="F841" s="33" t="s">
        <v>5</v>
      </c>
      <c r="G841" s="33" t="s">
        <v>6</v>
      </c>
      <c r="H841" s="33" t="s">
        <v>7</v>
      </c>
      <c r="I841" s="33">
        <v>50</v>
      </c>
      <c r="J841" s="33" t="s">
        <v>8</v>
      </c>
      <c r="K841" s="31" t="s">
        <v>9</v>
      </c>
    </row>
    <row r="842" spans="2:10">
      <c r="B842" s="6">
        <v>115</v>
      </c>
      <c r="C842" s="6">
        <v>1</v>
      </c>
      <c r="D842" s="39" t="s">
        <v>729</v>
      </c>
      <c r="E842" s="29" t="s">
        <v>11</v>
      </c>
      <c r="F842" s="6">
        <v>20.9</v>
      </c>
      <c r="G842" s="6">
        <v>256</v>
      </c>
      <c r="H842" s="6">
        <v>26</v>
      </c>
      <c r="I842" s="6">
        <v>7.1</v>
      </c>
      <c r="J842" s="6">
        <v>3.1</v>
      </c>
    </row>
    <row r="843" spans="2:10">
      <c r="B843" s="6">
        <v>115</v>
      </c>
      <c r="C843" s="6">
        <v>2</v>
      </c>
      <c r="D843" s="29" t="s">
        <v>730</v>
      </c>
      <c r="E843" s="29" t="s">
        <v>11</v>
      </c>
      <c r="F843" s="6">
        <v>7.5</v>
      </c>
      <c r="G843" s="6">
        <v>235</v>
      </c>
      <c r="H843" s="6">
        <v>18</v>
      </c>
      <c r="I843" s="6">
        <v>6.9</v>
      </c>
      <c r="J843" s="6">
        <v>3.24</v>
      </c>
    </row>
    <row r="844" spans="2:10">
      <c r="B844" s="6">
        <v>115</v>
      </c>
      <c r="C844" s="6">
        <v>3</v>
      </c>
      <c r="D844" s="29" t="s">
        <v>731</v>
      </c>
      <c r="E844" s="29" t="s">
        <v>11</v>
      </c>
      <c r="F844" s="6">
        <v>4.3</v>
      </c>
      <c r="G844" s="6">
        <v>234</v>
      </c>
      <c r="H844" s="6">
        <v>15</v>
      </c>
      <c r="I844" s="6">
        <v>7</v>
      </c>
      <c r="J844" s="6">
        <v>3.15</v>
      </c>
    </row>
    <row r="845" spans="2:10">
      <c r="B845" s="6">
        <v>115</v>
      </c>
      <c r="C845" s="6">
        <v>4</v>
      </c>
      <c r="D845" s="29" t="s">
        <v>732</v>
      </c>
      <c r="E845" s="29" t="s">
        <v>11</v>
      </c>
      <c r="F845" s="6">
        <v>21.4</v>
      </c>
      <c r="G845" s="6">
        <v>205</v>
      </c>
      <c r="H845" s="6">
        <v>3</v>
      </c>
      <c r="I845" s="6">
        <v>8.1</v>
      </c>
      <c r="J845" s="6">
        <v>3.57</v>
      </c>
    </row>
    <row r="846" spans="2:10">
      <c r="B846" s="6">
        <v>115</v>
      </c>
      <c r="C846" s="6">
        <v>5</v>
      </c>
      <c r="D846" s="29" t="s">
        <v>733</v>
      </c>
      <c r="E846" s="29" t="s">
        <v>11</v>
      </c>
      <c r="F846" s="6">
        <v>26.6</v>
      </c>
      <c r="G846" s="6">
        <v>184</v>
      </c>
      <c r="H846" s="6">
        <v>13</v>
      </c>
      <c r="I846" s="6">
        <v>7.7</v>
      </c>
      <c r="J846" s="6">
        <v>3.37</v>
      </c>
    </row>
    <row r="847" spans="2:10">
      <c r="B847" s="6">
        <v>115</v>
      </c>
      <c r="C847" s="6">
        <v>6</v>
      </c>
      <c r="D847" s="29" t="s">
        <v>734</v>
      </c>
      <c r="E847" s="29" t="s">
        <v>11</v>
      </c>
      <c r="F847" s="6">
        <v>9.4</v>
      </c>
      <c r="G847" s="6">
        <v>221</v>
      </c>
      <c r="H847" s="6">
        <v>3</v>
      </c>
      <c r="I847" s="6">
        <v>7.4</v>
      </c>
      <c r="J847" s="6">
        <v>3.5</v>
      </c>
    </row>
    <row r="848" spans="2:10">
      <c r="B848" s="6">
        <v>115</v>
      </c>
      <c r="C848" s="6">
        <v>7</v>
      </c>
      <c r="D848" s="29" t="s">
        <v>735</v>
      </c>
      <c r="E848" s="29" t="s">
        <v>11</v>
      </c>
      <c r="F848" s="6">
        <v>14</v>
      </c>
      <c r="G848" s="6">
        <v>220</v>
      </c>
      <c r="H848" s="6">
        <v>13</v>
      </c>
      <c r="I848" s="6">
        <v>6.9</v>
      </c>
      <c r="J848" s="6">
        <v>3.16</v>
      </c>
    </row>
    <row r="849" spans="2:10">
      <c r="B849" s="6">
        <v>115</v>
      </c>
      <c r="C849" s="6">
        <v>8</v>
      </c>
      <c r="D849" s="29" t="s">
        <v>736</v>
      </c>
      <c r="E849" s="29" t="s">
        <v>11</v>
      </c>
      <c r="F849" s="6">
        <v>15.5</v>
      </c>
      <c r="G849" s="6">
        <v>192</v>
      </c>
      <c r="H849" s="6">
        <v>1</v>
      </c>
      <c r="I849" s="6">
        <v>7.9</v>
      </c>
      <c r="J849" s="6">
        <v>3.55</v>
      </c>
    </row>
    <row r="850" spans="2:10">
      <c r="B850" s="6">
        <v>115</v>
      </c>
      <c r="C850" s="6">
        <v>9</v>
      </c>
      <c r="D850" s="29" t="s">
        <v>737</v>
      </c>
      <c r="E850" s="29" t="s">
        <v>11</v>
      </c>
      <c r="F850" s="6">
        <v>9.9</v>
      </c>
      <c r="G850" s="6">
        <v>193</v>
      </c>
      <c r="H850" s="6">
        <v>11</v>
      </c>
      <c r="I850" s="6">
        <v>7.7</v>
      </c>
      <c r="J850" s="6">
        <v>3.27</v>
      </c>
    </row>
    <row r="851" spans="2:10">
      <c r="B851" s="6">
        <v>115</v>
      </c>
      <c r="C851" s="6">
        <v>10</v>
      </c>
      <c r="D851" s="29" t="s">
        <v>738</v>
      </c>
      <c r="E851" s="29" t="s">
        <v>11</v>
      </c>
      <c r="F851" s="6">
        <v>12</v>
      </c>
      <c r="G851" s="6">
        <v>262</v>
      </c>
      <c r="H851" s="6">
        <v>19</v>
      </c>
      <c r="I851" s="6">
        <v>7</v>
      </c>
      <c r="J851" s="6">
        <v>3.15</v>
      </c>
    </row>
    <row r="852" spans="2:10">
      <c r="B852" s="6">
        <v>115</v>
      </c>
      <c r="C852" s="6">
        <v>11</v>
      </c>
      <c r="D852" s="29" t="s">
        <v>739</v>
      </c>
      <c r="E852" s="29" t="s">
        <v>11</v>
      </c>
      <c r="F852" s="6">
        <v>24</v>
      </c>
      <c r="G852" s="6">
        <v>263</v>
      </c>
      <c r="H852" s="6">
        <v>9</v>
      </c>
      <c r="I852" s="6">
        <v>7.6</v>
      </c>
      <c r="J852" s="6">
        <v>3.52</v>
      </c>
    </row>
    <row r="853" spans="2:10">
      <c r="B853" s="6">
        <v>115</v>
      </c>
      <c r="C853" s="6">
        <v>12</v>
      </c>
      <c r="D853" s="29" t="s">
        <v>740</v>
      </c>
      <c r="E853" s="29" t="s">
        <v>11</v>
      </c>
      <c r="F853" s="6">
        <v>14</v>
      </c>
      <c r="G853" s="6">
        <v>245</v>
      </c>
      <c r="H853" s="6">
        <v>10</v>
      </c>
      <c r="I853" s="6">
        <v>6.8</v>
      </c>
      <c r="J853" s="6">
        <v>3.32</v>
      </c>
    </row>
    <row r="854" spans="4:5">
      <c r="D854" s="29"/>
      <c r="E854" s="29"/>
    </row>
    <row r="855" spans="4:5">
      <c r="D855" s="29"/>
      <c r="E855" s="29"/>
    </row>
    <row r="856" spans="4:5">
      <c r="D856" s="29"/>
      <c r="E856" s="29"/>
    </row>
    <row r="857" spans="4:5">
      <c r="D857" s="29"/>
      <c r="E857" s="29"/>
    </row>
    <row r="858" spans="4:5">
      <c r="D858" s="29"/>
      <c r="E858" s="29"/>
    </row>
    <row r="859" spans="4:5">
      <c r="D859" s="29"/>
      <c r="E859" s="29"/>
    </row>
    <row r="860" spans="4:5">
      <c r="D860" s="29"/>
      <c r="E860" s="29"/>
    </row>
    <row r="862" s="3" customFormat="1" spans="1:11">
      <c r="A862" s="58" t="s">
        <v>741</v>
      </c>
      <c r="B862" s="30" t="s">
        <v>1</v>
      </c>
      <c r="C862" s="31" t="s">
        <v>2</v>
      </c>
      <c r="D862" s="32" t="s">
        <v>3</v>
      </c>
      <c r="E862" s="32" t="s">
        <v>4</v>
      </c>
      <c r="F862" s="33" t="s">
        <v>5</v>
      </c>
      <c r="G862" s="33" t="s">
        <v>6</v>
      </c>
      <c r="H862" s="33" t="s">
        <v>7</v>
      </c>
      <c r="I862" s="33">
        <v>50</v>
      </c>
      <c r="J862" s="33" t="s">
        <v>8</v>
      </c>
      <c r="K862" s="31" t="s">
        <v>9</v>
      </c>
    </row>
    <row r="863" spans="2:10">
      <c r="B863" s="6">
        <v>115</v>
      </c>
      <c r="C863" s="6">
        <v>13</v>
      </c>
      <c r="D863" s="39" t="s">
        <v>742</v>
      </c>
      <c r="E863" s="29" t="s">
        <v>11</v>
      </c>
      <c r="F863" s="6">
        <v>1</v>
      </c>
      <c r="G863" s="6">
        <v>240</v>
      </c>
      <c r="H863" s="6">
        <v>17</v>
      </c>
      <c r="I863" s="6">
        <v>7.3</v>
      </c>
      <c r="J863" s="6">
        <v>3.33</v>
      </c>
    </row>
    <row r="864" spans="2:10">
      <c r="B864" s="6">
        <v>115</v>
      </c>
      <c r="C864" s="6">
        <v>14</v>
      </c>
      <c r="D864" s="29" t="s">
        <v>743</v>
      </c>
      <c r="E864" s="29" t="s">
        <v>11</v>
      </c>
      <c r="F864" s="6">
        <v>6.9</v>
      </c>
      <c r="G864" s="6">
        <v>230</v>
      </c>
      <c r="H864" s="6">
        <v>12</v>
      </c>
      <c r="I864" s="6">
        <v>7.5</v>
      </c>
      <c r="J864" s="6">
        <v>3.34</v>
      </c>
    </row>
    <row r="865" spans="2:10">
      <c r="B865" s="6">
        <v>115</v>
      </c>
      <c r="C865" s="6">
        <v>15</v>
      </c>
      <c r="D865" s="29" t="s">
        <v>744</v>
      </c>
      <c r="E865" s="29" t="s">
        <v>11</v>
      </c>
      <c r="F865" s="6">
        <v>13</v>
      </c>
      <c r="G865" s="6">
        <v>210</v>
      </c>
      <c r="H865" s="6">
        <v>0</v>
      </c>
      <c r="I865" s="6">
        <v>7.4</v>
      </c>
      <c r="J865" s="6">
        <v>3.36</v>
      </c>
    </row>
    <row r="866" spans="2:10">
      <c r="B866" s="6">
        <v>115</v>
      </c>
      <c r="C866" s="6">
        <v>16</v>
      </c>
      <c r="D866" s="29" t="s">
        <v>745</v>
      </c>
      <c r="E866" s="29" t="s">
        <v>11</v>
      </c>
      <c r="F866" s="6">
        <v>19.2</v>
      </c>
      <c r="G866" s="6">
        <v>205</v>
      </c>
      <c r="H866" s="6">
        <v>6</v>
      </c>
      <c r="I866" s="6">
        <v>7</v>
      </c>
      <c r="J866" s="6">
        <v>4.06</v>
      </c>
    </row>
    <row r="867" spans="2:10">
      <c r="B867" s="6">
        <v>115</v>
      </c>
      <c r="C867" s="6">
        <v>17</v>
      </c>
      <c r="D867" s="29" t="s">
        <v>746</v>
      </c>
      <c r="E867" s="29" t="s">
        <v>11</v>
      </c>
      <c r="F867" s="6">
        <v>17.2</v>
      </c>
      <c r="G867" s="6">
        <v>216</v>
      </c>
      <c r="H867" s="6">
        <v>16</v>
      </c>
      <c r="I867" s="6">
        <v>7.2</v>
      </c>
      <c r="J867" s="6">
        <v>3.26</v>
      </c>
    </row>
    <row r="868" spans="2:10">
      <c r="B868" s="6">
        <v>115</v>
      </c>
      <c r="C868" s="6">
        <v>18</v>
      </c>
      <c r="D868" s="29" t="s">
        <v>747</v>
      </c>
      <c r="E868" s="29" t="s">
        <v>11</v>
      </c>
      <c r="F868" s="6">
        <v>13.5</v>
      </c>
      <c r="G868" s="6">
        <v>248</v>
      </c>
      <c r="H868" s="6">
        <v>2</v>
      </c>
      <c r="I868" s="6">
        <v>7.1</v>
      </c>
      <c r="J868" s="6">
        <v>3.23</v>
      </c>
    </row>
    <row r="869" spans="2:10">
      <c r="B869" s="6">
        <v>115</v>
      </c>
      <c r="C869" s="6">
        <v>19</v>
      </c>
      <c r="D869" s="29" t="s">
        <v>748</v>
      </c>
      <c r="E869" s="29" t="s">
        <v>11</v>
      </c>
      <c r="F869" s="6">
        <v>17.5</v>
      </c>
      <c r="G869" s="6">
        <v>228</v>
      </c>
      <c r="H869" s="6">
        <v>17</v>
      </c>
      <c r="I869" s="6">
        <v>7.9</v>
      </c>
      <c r="J869" s="6">
        <v>3.48</v>
      </c>
    </row>
    <row r="870" spans="2:10">
      <c r="B870" s="6">
        <v>115</v>
      </c>
      <c r="C870" s="6">
        <v>20</v>
      </c>
      <c r="D870" s="29" t="s">
        <v>749</v>
      </c>
      <c r="E870" s="29" t="s">
        <v>11</v>
      </c>
      <c r="F870" s="6">
        <v>21.5</v>
      </c>
      <c r="G870" s="6">
        <v>235</v>
      </c>
      <c r="H870" s="6">
        <v>24</v>
      </c>
      <c r="I870" s="6">
        <v>8.1</v>
      </c>
      <c r="J870" s="6">
        <v>3.53</v>
      </c>
    </row>
    <row r="871" spans="2:10">
      <c r="B871" s="6">
        <v>115</v>
      </c>
      <c r="C871" s="6">
        <v>21</v>
      </c>
      <c r="D871" s="29" t="s">
        <v>96</v>
      </c>
      <c r="E871" s="29" t="s">
        <v>11</v>
      </c>
      <c r="F871" s="6">
        <v>8</v>
      </c>
      <c r="G871" s="6">
        <v>222</v>
      </c>
      <c r="H871" s="6">
        <v>4</v>
      </c>
      <c r="I871" s="6">
        <v>7.4</v>
      </c>
      <c r="J871" s="6">
        <v>3.28</v>
      </c>
    </row>
    <row r="872" spans="2:10">
      <c r="B872" s="6">
        <v>115</v>
      </c>
      <c r="C872" s="6">
        <v>22</v>
      </c>
      <c r="D872" s="29" t="s">
        <v>750</v>
      </c>
      <c r="E872" s="29" t="s">
        <v>11</v>
      </c>
      <c r="F872" s="6">
        <v>13.5</v>
      </c>
      <c r="G872" s="6">
        <v>230</v>
      </c>
      <c r="H872" s="6">
        <v>6</v>
      </c>
      <c r="I872" s="6">
        <v>7.1</v>
      </c>
      <c r="J872" s="6">
        <v>3.31</v>
      </c>
    </row>
    <row r="873" spans="2:10">
      <c r="B873" s="6">
        <v>115</v>
      </c>
      <c r="C873" s="6">
        <v>23</v>
      </c>
      <c r="D873" s="29" t="s">
        <v>751</v>
      </c>
      <c r="E873" s="29" t="s">
        <v>11</v>
      </c>
      <c r="F873" s="6">
        <v>18.4</v>
      </c>
      <c r="G873" s="6">
        <v>240</v>
      </c>
      <c r="H873" s="6">
        <v>20</v>
      </c>
      <c r="I873" s="6">
        <v>6.6</v>
      </c>
      <c r="J873" s="6">
        <v>3.13</v>
      </c>
    </row>
    <row r="874" spans="2:10">
      <c r="B874" s="6">
        <v>115</v>
      </c>
      <c r="C874" s="6">
        <v>24</v>
      </c>
      <c r="D874" s="29" t="s">
        <v>752</v>
      </c>
      <c r="E874" s="29" t="s">
        <v>11</v>
      </c>
      <c r="F874" s="6">
        <v>3.5</v>
      </c>
      <c r="G874" s="6">
        <v>215</v>
      </c>
      <c r="H874" s="6">
        <v>10</v>
      </c>
      <c r="I874" s="6">
        <v>7.4</v>
      </c>
      <c r="J874" s="6">
        <v>4.24</v>
      </c>
    </row>
    <row r="876" s="3" customFormat="1" spans="1:11">
      <c r="A876" s="58" t="s">
        <v>753</v>
      </c>
      <c r="B876" s="30" t="s">
        <v>1</v>
      </c>
      <c r="C876" s="31" t="s">
        <v>2</v>
      </c>
      <c r="D876" s="32" t="s">
        <v>3</v>
      </c>
      <c r="E876" s="32" t="s">
        <v>4</v>
      </c>
      <c r="F876" s="33" t="s">
        <v>5</v>
      </c>
      <c r="G876" s="33" t="s">
        <v>6</v>
      </c>
      <c r="H876" s="33" t="s">
        <v>7</v>
      </c>
      <c r="I876" s="33">
        <v>50</v>
      </c>
      <c r="J876" s="33" t="s">
        <v>8</v>
      </c>
      <c r="K876" s="31" t="s">
        <v>9</v>
      </c>
    </row>
    <row r="877" spans="2:10">
      <c r="B877" s="6">
        <v>115</v>
      </c>
      <c r="C877" s="6">
        <v>25</v>
      </c>
      <c r="D877" s="39" t="s">
        <v>754</v>
      </c>
      <c r="E877" s="29" t="s">
        <v>46</v>
      </c>
      <c r="F877" s="6">
        <v>10</v>
      </c>
      <c r="G877" s="6">
        <v>173</v>
      </c>
      <c r="H877" s="6">
        <v>41</v>
      </c>
      <c r="I877" s="6">
        <v>8.7</v>
      </c>
      <c r="J877" s="6">
        <v>3.34</v>
      </c>
    </row>
    <row r="878" spans="2:10">
      <c r="B878" s="6">
        <v>115</v>
      </c>
      <c r="C878" s="6">
        <v>26</v>
      </c>
      <c r="D878" s="29" t="s">
        <v>755</v>
      </c>
      <c r="E878" s="29" t="s">
        <v>46</v>
      </c>
      <c r="F878" s="6">
        <v>15.5</v>
      </c>
      <c r="G878" s="6">
        <v>197</v>
      </c>
      <c r="H878" s="6">
        <v>47</v>
      </c>
      <c r="I878" s="6">
        <v>8.1</v>
      </c>
      <c r="J878" s="6">
        <v>3.21</v>
      </c>
    </row>
    <row r="879" spans="2:10">
      <c r="B879" s="6">
        <v>115</v>
      </c>
      <c r="C879" s="6">
        <v>27</v>
      </c>
      <c r="D879" s="29" t="s">
        <v>756</v>
      </c>
      <c r="E879" s="29" t="s">
        <v>46</v>
      </c>
      <c r="F879" s="6">
        <v>25.5</v>
      </c>
      <c r="G879" s="6">
        <v>190</v>
      </c>
      <c r="H879" s="6">
        <v>54</v>
      </c>
      <c r="I879" s="6">
        <v>8.7</v>
      </c>
      <c r="J879" s="6">
        <v>3.35</v>
      </c>
    </row>
    <row r="880" spans="2:11">
      <c r="B880" s="6">
        <v>115</v>
      </c>
      <c r="C880" s="6">
        <v>28</v>
      </c>
      <c r="D880" s="29" t="s">
        <v>335</v>
      </c>
      <c r="E880" s="29" t="s">
        <v>46</v>
      </c>
      <c r="K880" s="6" t="s">
        <v>440</v>
      </c>
    </row>
    <row r="881" spans="2:10">
      <c r="B881" s="6">
        <v>115</v>
      </c>
      <c r="C881" s="6">
        <v>29</v>
      </c>
      <c r="D881" s="29" t="s">
        <v>757</v>
      </c>
      <c r="E881" s="29" t="s">
        <v>46</v>
      </c>
      <c r="F881" s="6">
        <v>14.2</v>
      </c>
      <c r="G881" s="6">
        <v>197</v>
      </c>
      <c r="H881" s="6">
        <v>27</v>
      </c>
      <c r="I881" s="6">
        <v>8.4</v>
      </c>
      <c r="J881" s="6">
        <v>3.57</v>
      </c>
    </row>
    <row r="882" spans="2:10">
      <c r="B882" s="6">
        <v>115</v>
      </c>
      <c r="C882" s="6">
        <v>30</v>
      </c>
      <c r="D882" s="29" t="s">
        <v>758</v>
      </c>
      <c r="E882" s="29" t="s">
        <v>46</v>
      </c>
      <c r="F882" s="6">
        <v>19.1</v>
      </c>
      <c r="G882" s="6">
        <v>175</v>
      </c>
      <c r="H882" s="6">
        <v>25</v>
      </c>
      <c r="I882" s="6">
        <v>9.6</v>
      </c>
      <c r="J882" s="6">
        <v>4.21</v>
      </c>
    </row>
    <row r="883" spans="2:10">
      <c r="B883" s="6">
        <v>115</v>
      </c>
      <c r="C883" s="6">
        <v>31</v>
      </c>
      <c r="D883" s="29" t="s">
        <v>759</v>
      </c>
      <c r="E883" s="29" t="s">
        <v>46</v>
      </c>
      <c r="F883" s="6">
        <v>22.3</v>
      </c>
      <c r="G883" s="6">
        <v>181</v>
      </c>
      <c r="H883" s="6">
        <v>43</v>
      </c>
      <c r="I883" s="6">
        <v>8.4</v>
      </c>
      <c r="J883" s="6">
        <v>3.2</v>
      </c>
    </row>
    <row r="884" spans="2:10">
      <c r="B884" s="6">
        <v>115</v>
      </c>
      <c r="C884" s="6">
        <v>32</v>
      </c>
      <c r="D884" s="29" t="s">
        <v>760</v>
      </c>
      <c r="E884" s="29" t="s">
        <v>46</v>
      </c>
      <c r="F884" s="6">
        <v>26.3</v>
      </c>
      <c r="G884" s="6">
        <v>210</v>
      </c>
      <c r="H884" s="6">
        <v>45</v>
      </c>
      <c r="I884" s="6">
        <v>8</v>
      </c>
      <c r="J884" s="6">
        <v>3.14</v>
      </c>
    </row>
    <row r="885" spans="2:10">
      <c r="B885" s="6">
        <v>115</v>
      </c>
      <c r="C885" s="6">
        <v>33</v>
      </c>
      <c r="D885" s="29" t="s">
        <v>761</v>
      </c>
      <c r="E885" s="29" t="s">
        <v>46</v>
      </c>
      <c r="F885" s="6">
        <v>12.6</v>
      </c>
      <c r="G885" s="6">
        <v>201</v>
      </c>
      <c r="H885" s="6">
        <v>57</v>
      </c>
      <c r="I885" s="6">
        <v>7.7</v>
      </c>
      <c r="J885" s="6">
        <v>3.55</v>
      </c>
    </row>
    <row r="886" spans="2:10">
      <c r="B886" s="6">
        <v>115</v>
      </c>
      <c r="C886" s="6">
        <v>34</v>
      </c>
      <c r="D886" s="29" t="s">
        <v>762</v>
      </c>
      <c r="E886" s="29" t="s">
        <v>46</v>
      </c>
      <c r="F886" s="6">
        <v>12.2</v>
      </c>
      <c r="G886" s="6">
        <v>154</v>
      </c>
      <c r="H886" s="6">
        <v>51</v>
      </c>
      <c r="I886" s="6">
        <v>8.8</v>
      </c>
      <c r="J886" s="6">
        <v>3.36</v>
      </c>
    </row>
    <row r="887" spans="2:11">
      <c r="B887" s="6">
        <v>115</v>
      </c>
      <c r="C887" s="6">
        <v>35</v>
      </c>
      <c r="D887" s="29" t="s">
        <v>763</v>
      </c>
      <c r="E887" s="29" t="s">
        <v>46</v>
      </c>
      <c r="K887" s="6" t="s">
        <v>440</v>
      </c>
    </row>
    <row r="888" spans="2:10">
      <c r="B888" s="6">
        <v>115</v>
      </c>
      <c r="C888" s="6">
        <v>36</v>
      </c>
      <c r="D888" s="29" t="s">
        <v>764</v>
      </c>
      <c r="E888" s="29" t="s">
        <v>46</v>
      </c>
      <c r="F888" s="6">
        <v>15.3</v>
      </c>
      <c r="G888" s="6">
        <v>212</v>
      </c>
      <c r="H888" s="6">
        <v>33</v>
      </c>
      <c r="I888" s="6">
        <v>8.4</v>
      </c>
      <c r="J888" s="6">
        <v>3.26</v>
      </c>
    </row>
    <row r="889" spans="2:10">
      <c r="B889" s="6">
        <v>115</v>
      </c>
      <c r="C889" s="6">
        <v>37</v>
      </c>
      <c r="D889" s="29" t="s">
        <v>765</v>
      </c>
      <c r="E889" s="29" t="s">
        <v>46</v>
      </c>
      <c r="F889" s="6">
        <v>18.6</v>
      </c>
      <c r="G889" s="6">
        <v>192</v>
      </c>
      <c r="H889" s="6">
        <v>37</v>
      </c>
      <c r="I889" s="6">
        <v>8.5</v>
      </c>
      <c r="J889" s="6">
        <v>3.33</v>
      </c>
    </row>
    <row r="890" spans="4:5">
      <c r="D890" s="29"/>
      <c r="E890" s="29"/>
    </row>
    <row r="891" spans="4:5">
      <c r="D891" s="29"/>
      <c r="E891" s="29"/>
    </row>
    <row r="892" spans="4:5">
      <c r="D892" s="29"/>
      <c r="E892" s="29"/>
    </row>
    <row r="893" spans="4:5">
      <c r="D893" s="29"/>
      <c r="E893" s="29"/>
    </row>
    <row r="894" spans="4:5">
      <c r="D894" s="29"/>
      <c r="E894" s="29"/>
    </row>
    <row r="895" spans="4:5">
      <c r="D895" s="29"/>
      <c r="E895" s="29"/>
    </row>
    <row r="897" s="3" customFormat="1" spans="1:11">
      <c r="A897" s="58" t="s">
        <v>766</v>
      </c>
      <c r="B897" s="30" t="s">
        <v>1</v>
      </c>
      <c r="C897" s="31" t="s">
        <v>2</v>
      </c>
      <c r="D897" s="32" t="s">
        <v>3</v>
      </c>
      <c r="E897" s="32" t="s">
        <v>4</v>
      </c>
      <c r="F897" s="33" t="s">
        <v>5</v>
      </c>
      <c r="G897" s="33" t="s">
        <v>6</v>
      </c>
      <c r="H897" s="33" t="s">
        <v>7</v>
      </c>
      <c r="I897" s="33">
        <v>50</v>
      </c>
      <c r="J897" s="33" t="s">
        <v>8</v>
      </c>
      <c r="K897" s="31" t="s">
        <v>9</v>
      </c>
    </row>
    <row r="898" spans="2:10">
      <c r="B898" s="6">
        <v>115</v>
      </c>
      <c r="C898" s="6">
        <v>38</v>
      </c>
      <c r="D898" s="39" t="s">
        <v>767</v>
      </c>
      <c r="E898" s="29" t="s">
        <v>46</v>
      </c>
      <c r="F898" s="6">
        <v>21</v>
      </c>
      <c r="G898" s="6">
        <v>180</v>
      </c>
      <c r="H898" s="6">
        <v>48</v>
      </c>
      <c r="I898" s="6">
        <v>8.2</v>
      </c>
      <c r="J898" s="6">
        <v>3.56</v>
      </c>
    </row>
    <row r="899" spans="2:10">
      <c r="B899" s="6">
        <v>115</v>
      </c>
      <c r="C899" s="6">
        <v>39</v>
      </c>
      <c r="D899" s="29" t="s">
        <v>768</v>
      </c>
      <c r="E899" s="29" t="s">
        <v>46</v>
      </c>
      <c r="F899" s="6">
        <v>14</v>
      </c>
      <c r="G899" s="6">
        <v>198</v>
      </c>
      <c r="H899" s="6">
        <v>52</v>
      </c>
      <c r="I899" s="6">
        <v>8.6</v>
      </c>
      <c r="J899" s="6">
        <v>3.4</v>
      </c>
    </row>
    <row r="900" spans="2:10">
      <c r="B900" s="6">
        <v>115</v>
      </c>
      <c r="C900" s="6">
        <v>40</v>
      </c>
      <c r="D900" s="29" t="s">
        <v>769</v>
      </c>
      <c r="E900" s="29" t="s">
        <v>46</v>
      </c>
      <c r="F900" s="6">
        <v>13</v>
      </c>
      <c r="G900" s="6">
        <v>170</v>
      </c>
      <c r="H900" s="6">
        <v>50</v>
      </c>
      <c r="I900" s="6">
        <v>8.1</v>
      </c>
      <c r="J900" s="6">
        <v>3.32</v>
      </c>
    </row>
    <row r="901" spans="2:10">
      <c r="B901" s="6">
        <v>115</v>
      </c>
      <c r="C901" s="6">
        <v>41</v>
      </c>
      <c r="D901" s="29" t="s">
        <v>770</v>
      </c>
      <c r="E901" s="29" t="s">
        <v>46</v>
      </c>
      <c r="F901" s="6">
        <v>22.5</v>
      </c>
      <c r="G901" s="6">
        <v>168</v>
      </c>
      <c r="H901" s="6">
        <v>47</v>
      </c>
      <c r="I901" s="6">
        <v>9.4</v>
      </c>
      <c r="J901" s="6">
        <v>3.48</v>
      </c>
    </row>
    <row r="902" spans="2:10">
      <c r="B902" s="6">
        <v>115</v>
      </c>
      <c r="C902" s="6">
        <v>42</v>
      </c>
      <c r="D902" s="29" t="s">
        <v>771</v>
      </c>
      <c r="E902" s="29" t="s">
        <v>46</v>
      </c>
      <c r="F902" s="6">
        <v>13.5</v>
      </c>
      <c r="G902" s="6">
        <v>195</v>
      </c>
      <c r="H902" s="6">
        <v>53</v>
      </c>
      <c r="I902" s="6">
        <v>7.6</v>
      </c>
      <c r="J902" s="6">
        <v>3.22</v>
      </c>
    </row>
    <row r="903" spans="2:10">
      <c r="B903" s="6">
        <v>115</v>
      </c>
      <c r="C903" s="6">
        <v>43</v>
      </c>
      <c r="D903" s="29" t="s">
        <v>772</v>
      </c>
      <c r="E903" s="29" t="s">
        <v>46</v>
      </c>
      <c r="F903" s="6">
        <v>20</v>
      </c>
      <c r="G903" s="6">
        <v>174</v>
      </c>
      <c r="H903" s="6">
        <v>46</v>
      </c>
      <c r="I903" s="6">
        <v>8.4</v>
      </c>
      <c r="J903" s="6">
        <v>3.43</v>
      </c>
    </row>
    <row r="904" spans="2:10">
      <c r="B904" s="6">
        <v>115</v>
      </c>
      <c r="C904" s="6">
        <v>44</v>
      </c>
      <c r="D904" s="29" t="s">
        <v>773</v>
      </c>
      <c r="E904" s="29" t="s">
        <v>46</v>
      </c>
      <c r="F904" s="6">
        <v>15</v>
      </c>
      <c r="G904" s="6">
        <v>185</v>
      </c>
      <c r="H904" s="6">
        <v>51</v>
      </c>
      <c r="I904" s="6">
        <v>8.5</v>
      </c>
      <c r="J904" s="6">
        <v>3.39</v>
      </c>
    </row>
    <row r="905" spans="2:10">
      <c r="B905" s="6">
        <v>115</v>
      </c>
      <c r="C905" s="6">
        <v>45</v>
      </c>
      <c r="D905" s="29" t="s">
        <v>774</v>
      </c>
      <c r="E905" s="29" t="s">
        <v>46</v>
      </c>
      <c r="F905" s="6">
        <v>19.5</v>
      </c>
      <c r="G905" s="6">
        <v>178</v>
      </c>
      <c r="H905" s="6">
        <v>41</v>
      </c>
      <c r="I905" s="6">
        <v>9</v>
      </c>
      <c r="J905" s="6">
        <v>3.49</v>
      </c>
    </row>
    <row r="906" spans="2:10">
      <c r="B906" s="6">
        <v>115</v>
      </c>
      <c r="C906" s="6">
        <v>46</v>
      </c>
      <c r="D906" s="29" t="s">
        <v>775</v>
      </c>
      <c r="E906" s="29" t="s">
        <v>46</v>
      </c>
      <c r="F906" s="6">
        <v>12</v>
      </c>
      <c r="G906" s="6">
        <v>185</v>
      </c>
      <c r="H906" s="6">
        <v>53</v>
      </c>
      <c r="I906" s="6">
        <v>8.1</v>
      </c>
      <c r="J906" s="6">
        <v>3.25</v>
      </c>
    </row>
    <row r="907" spans="2:10">
      <c r="B907" s="6">
        <v>115</v>
      </c>
      <c r="C907" s="6">
        <v>47</v>
      </c>
      <c r="D907" s="29" t="s">
        <v>776</v>
      </c>
      <c r="E907" s="29" t="s">
        <v>46</v>
      </c>
      <c r="F907" s="6">
        <v>18</v>
      </c>
      <c r="G907" s="6">
        <v>180</v>
      </c>
      <c r="H907" s="6">
        <v>49</v>
      </c>
      <c r="I907" s="6">
        <v>8.7</v>
      </c>
      <c r="J907" s="6">
        <v>3.27</v>
      </c>
    </row>
    <row r="908" spans="2:10">
      <c r="B908" s="6">
        <v>115</v>
      </c>
      <c r="C908" s="6">
        <v>48</v>
      </c>
      <c r="D908" s="29" t="s">
        <v>777</v>
      </c>
      <c r="E908" s="29" t="s">
        <v>46</v>
      </c>
      <c r="F908" s="6">
        <v>19</v>
      </c>
      <c r="G908" s="6">
        <v>180</v>
      </c>
      <c r="H908" s="6">
        <v>53</v>
      </c>
      <c r="I908" s="6">
        <v>9.2</v>
      </c>
      <c r="J908" s="6">
        <v>4.13</v>
      </c>
    </row>
    <row r="909" spans="2:10">
      <c r="B909" s="6">
        <v>115</v>
      </c>
      <c r="C909" s="6">
        <v>49</v>
      </c>
      <c r="D909" s="29" t="s">
        <v>778</v>
      </c>
      <c r="E909" s="29" t="s">
        <v>46</v>
      </c>
      <c r="F909" s="6">
        <v>24.5</v>
      </c>
      <c r="G909" s="6">
        <v>190</v>
      </c>
      <c r="H909" s="6">
        <v>53</v>
      </c>
      <c r="I909" s="6">
        <v>8.6</v>
      </c>
      <c r="J909" s="6">
        <v>4.02</v>
      </c>
    </row>
    <row r="911" s="3" customFormat="1" spans="1:11">
      <c r="A911" s="58" t="s">
        <v>779</v>
      </c>
      <c r="B911" s="30" t="s">
        <v>1</v>
      </c>
      <c r="C911" s="31" t="s">
        <v>2</v>
      </c>
      <c r="D911" s="32" t="s">
        <v>3</v>
      </c>
      <c r="E911" s="32" t="s">
        <v>4</v>
      </c>
      <c r="F911" s="33" t="s">
        <v>5</v>
      </c>
      <c r="G911" s="33" t="s">
        <v>6</v>
      </c>
      <c r="H911" s="33" t="s">
        <v>7</v>
      </c>
      <c r="I911" s="33">
        <v>50</v>
      </c>
      <c r="J911" s="33" t="s">
        <v>8</v>
      </c>
      <c r="K911" s="31" t="s">
        <v>9</v>
      </c>
    </row>
    <row r="912" spans="2:10">
      <c r="B912" s="6">
        <v>116</v>
      </c>
      <c r="C912" s="6">
        <v>1</v>
      </c>
      <c r="D912" s="39" t="s">
        <v>780</v>
      </c>
      <c r="E912" s="29" t="s">
        <v>11</v>
      </c>
      <c r="F912" s="6">
        <v>13.5</v>
      </c>
      <c r="G912" s="6">
        <v>260</v>
      </c>
      <c r="H912" s="6">
        <v>22</v>
      </c>
      <c r="J912" s="6">
        <v>3.37</v>
      </c>
    </row>
    <row r="913" spans="2:10">
      <c r="B913" s="6">
        <v>116</v>
      </c>
      <c r="C913" s="6">
        <v>2</v>
      </c>
      <c r="D913" s="29" t="s">
        <v>781</v>
      </c>
      <c r="E913" s="29" t="s">
        <v>11</v>
      </c>
      <c r="F913" s="6">
        <v>11</v>
      </c>
      <c r="G913" s="6">
        <v>258</v>
      </c>
      <c r="H913" s="6">
        <v>7</v>
      </c>
      <c r="I913" s="6">
        <v>7.2</v>
      </c>
      <c r="J913" s="6">
        <v>4.08</v>
      </c>
    </row>
    <row r="914" spans="2:10">
      <c r="B914" s="6">
        <v>116</v>
      </c>
      <c r="C914" s="6">
        <v>3</v>
      </c>
      <c r="D914" s="29" t="s">
        <v>782</v>
      </c>
      <c r="E914" s="29" t="s">
        <v>11</v>
      </c>
      <c r="F914" s="6">
        <v>11</v>
      </c>
      <c r="G914" s="6">
        <v>237</v>
      </c>
      <c r="H914" s="6">
        <v>10</v>
      </c>
      <c r="I914" s="6">
        <v>7.2</v>
      </c>
      <c r="J914" s="6">
        <v>3.26</v>
      </c>
    </row>
    <row r="915" spans="2:10">
      <c r="B915" s="6">
        <v>116</v>
      </c>
      <c r="C915" s="6">
        <v>4</v>
      </c>
      <c r="D915" s="29" t="s">
        <v>783</v>
      </c>
      <c r="E915" s="29" t="s">
        <v>11</v>
      </c>
      <c r="F915" s="6">
        <v>7.5</v>
      </c>
      <c r="G915" s="6">
        <v>210</v>
      </c>
      <c r="H915" s="6">
        <v>4</v>
      </c>
      <c r="I915" s="6">
        <v>7.6</v>
      </c>
      <c r="J915" s="6">
        <v>3.42</v>
      </c>
    </row>
    <row r="916" spans="2:10">
      <c r="B916" s="6">
        <v>116</v>
      </c>
      <c r="C916" s="6">
        <v>5</v>
      </c>
      <c r="D916" s="29" t="s">
        <v>784</v>
      </c>
      <c r="E916" s="29" t="s">
        <v>11</v>
      </c>
      <c r="F916" s="6">
        <v>11.5</v>
      </c>
      <c r="G916" s="6">
        <v>202</v>
      </c>
      <c r="H916" s="6">
        <v>1</v>
      </c>
      <c r="I916" s="6">
        <v>7.8</v>
      </c>
      <c r="J916" s="6">
        <v>3.58</v>
      </c>
    </row>
    <row r="917" spans="2:10">
      <c r="B917" s="6">
        <v>116</v>
      </c>
      <c r="C917" s="6">
        <v>6</v>
      </c>
      <c r="D917" s="29" t="s">
        <v>785</v>
      </c>
      <c r="E917" s="29" t="s">
        <v>11</v>
      </c>
      <c r="F917" s="6">
        <v>1.5</v>
      </c>
      <c r="G917" s="6">
        <v>155</v>
      </c>
      <c r="H917" s="6">
        <v>0</v>
      </c>
      <c r="I917" s="6">
        <v>10.6</v>
      </c>
      <c r="J917" s="6">
        <v>6.09</v>
      </c>
    </row>
    <row r="918" spans="2:11">
      <c r="B918" s="6">
        <v>116</v>
      </c>
      <c r="C918" s="6">
        <v>7</v>
      </c>
      <c r="D918" s="29" t="s">
        <v>786</v>
      </c>
      <c r="E918" s="29" t="s">
        <v>11</v>
      </c>
      <c r="K918" s="6" t="s">
        <v>513</v>
      </c>
    </row>
    <row r="919" spans="2:10">
      <c r="B919" s="6">
        <v>116</v>
      </c>
      <c r="C919" s="6">
        <v>8</v>
      </c>
      <c r="D919" s="29" t="s">
        <v>787</v>
      </c>
      <c r="E919" s="29" t="s">
        <v>11</v>
      </c>
      <c r="F919" s="6">
        <v>14.5</v>
      </c>
      <c r="G919" s="6">
        <v>213</v>
      </c>
      <c r="H919" s="6">
        <v>6</v>
      </c>
      <c r="I919" s="6">
        <v>7.6</v>
      </c>
      <c r="J919" s="6">
        <v>3.49</v>
      </c>
    </row>
    <row r="920" spans="2:10">
      <c r="B920" s="6">
        <v>116</v>
      </c>
      <c r="C920" s="6">
        <v>9</v>
      </c>
      <c r="D920" s="29" t="s">
        <v>788</v>
      </c>
      <c r="E920" s="29" t="s">
        <v>11</v>
      </c>
      <c r="F920" s="6">
        <v>10.5</v>
      </c>
      <c r="G920" s="6">
        <v>242</v>
      </c>
      <c r="H920" s="6">
        <v>5</v>
      </c>
      <c r="I920" s="6">
        <v>7.1</v>
      </c>
      <c r="J920" s="6">
        <v>3.33</v>
      </c>
    </row>
    <row r="921" spans="2:10">
      <c r="B921" s="6">
        <v>116</v>
      </c>
      <c r="C921" s="6">
        <v>10</v>
      </c>
      <c r="D921" s="29" t="s">
        <v>789</v>
      </c>
      <c r="E921" s="29" t="s">
        <v>11</v>
      </c>
      <c r="F921" s="6">
        <v>6.5</v>
      </c>
      <c r="G921" s="6">
        <v>177</v>
      </c>
      <c r="H921" s="6">
        <v>0</v>
      </c>
      <c r="I921" s="6">
        <v>8.3</v>
      </c>
      <c r="J921" s="6">
        <v>4.44</v>
      </c>
    </row>
    <row r="922" spans="2:10">
      <c r="B922" s="6">
        <v>116</v>
      </c>
      <c r="C922" s="6">
        <v>11</v>
      </c>
      <c r="D922" s="29" t="s">
        <v>790</v>
      </c>
      <c r="E922" s="29" t="s">
        <v>11</v>
      </c>
      <c r="F922" s="6">
        <v>16</v>
      </c>
      <c r="G922" s="6">
        <v>228</v>
      </c>
      <c r="H922" s="6">
        <v>16</v>
      </c>
      <c r="I922" s="6">
        <v>7.5</v>
      </c>
      <c r="J922" s="6">
        <v>3.43</v>
      </c>
    </row>
    <row r="923" spans="2:10">
      <c r="B923" s="6">
        <v>116</v>
      </c>
      <c r="C923" s="6">
        <v>12</v>
      </c>
      <c r="D923" s="29" t="s">
        <v>791</v>
      </c>
      <c r="E923" s="29" t="s">
        <v>11</v>
      </c>
      <c r="F923" s="6">
        <v>13</v>
      </c>
      <c r="G923" s="6">
        <v>221</v>
      </c>
      <c r="H923" s="6">
        <v>18</v>
      </c>
      <c r="I923" s="6">
        <v>7.4</v>
      </c>
      <c r="J923" s="6">
        <v>3.3</v>
      </c>
    </row>
    <row r="924" spans="2:10">
      <c r="B924" s="6">
        <v>116</v>
      </c>
      <c r="C924" s="6">
        <v>13</v>
      </c>
      <c r="D924" s="29" t="s">
        <v>792</v>
      </c>
      <c r="E924" s="29" t="s">
        <v>11</v>
      </c>
      <c r="F924" s="6">
        <v>1</v>
      </c>
      <c r="G924" s="6">
        <v>212</v>
      </c>
      <c r="H924" s="6">
        <v>0</v>
      </c>
      <c r="I924" s="6">
        <v>7.8</v>
      </c>
      <c r="J924" s="6">
        <v>4.41</v>
      </c>
    </row>
    <row r="925" spans="4:5">
      <c r="D925" s="29"/>
      <c r="E925" s="29"/>
    </row>
    <row r="926" spans="4:5">
      <c r="D926" s="29"/>
      <c r="E926" s="29"/>
    </row>
    <row r="927" spans="4:5">
      <c r="D927" s="29"/>
      <c r="E927" s="29"/>
    </row>
    <row r="928" spans="4:5">
      <c r="D928" s="29"/>
      <c r="E928" s="29"/>
    </row>
    <row r="929" spans="4:5">
      <c r="D929" s="29"/>
      <c r="E929" s="29"/>
    </row>
    <row r="931" s="3" customFormat="1" spans="1:11">
      <c r="A931" s="58" t="s">
        <v>793</v>
      </c>
      <c r="B931" s="30" t="s">
        <v>1</v>
      </c>
      <c r="C931" s="31" t="s">
        <v>2</v>
      </c>
      <c r="D931" s="32" t="s">
        <v>3</v>
      </c>
      <c r="E931" s="32" t="s">
        <v>4</v>
      </c>
      <c r="F931" s="33" t="s">
        <v>5</v>
      </c>
      <c r="G931" s="33" t="s">
        <v>6</v>
      </c>
      <c r="H931" s="33" t="s">
        <v>7</v>
      </c>
      <c r="I931" s="33">
        <v>50</v>
      </c>
      <c r="J931" s="33" t="s">
        <v>8</v>
      </c>
      <c r="K931" s="31" t="s">
        <v>9</v>
      </c>
    </row>
    <row r="932" spans="2:10">
      <c r="B932" s="6">
        <v>116</v>
      </c>
      <c r="C932" s="6">
        <v>14</v>
      </c>
      <c r="D932" s="39" t="s">
        <v>794</v>
      </c>
      <c r="E932" s="29" t="s">
        <v>11</v>
      </c>
      <c r="F932" s="6">
        <v>3.6</v>
      </c>
      <c r="G932" s="6">
        <v>235</v>
      </c>
      <c r="H932" s="6">
        <v>16</v>
      </c>
      <c r="I932" s="6">
        <v>7</v>
      </c>
      <c r="J932" s="6">
        <v>3.31</v>
      </c>
    </row>
    <row r="933" spans="2:10">
      <c r="B933" s="6">
        <v>116</v>
      </c>
      <c r="C933" s="6">
        <v>15</v>
      </c>
      <c r="D933" s="29" t="s">
        <v>795</v>
      </c>
      <c r="E933" s="29" t="s">
        <v>11</v>
      </c>
      <c r="F933" s="6">
        <v>2.5</v>
      </c>
      <c r="G933" s="6">
        <v>240</v>
      </c>
      <c r="H933" s="6">
        <v>28</v>
      </c>
      <c r="I933" s="6">
        <v>7</v>
      </c>
      <c r="J933" s="6">
        <v>4.02</v>
      </c>
    </row>
    <row r="934" spans="2:10">
      <c r="B934" s="6">
        <v>116</v>
      </c>
      <c r="C934" s="6">
        <v>16</v>
      </c>
      <c r="D934" s="29" t="s">
        <v>796</v>
      </c>
      <c r="E934" s="29" t="s">
        <v>11</v>
      </c>
      <c r="F934" s="6">
        <v>10.1</v>
      </c>
      <c r="G934" s="6">
        <v>260</v>
      </c>
      <c r="H934" s="6">
        <v>6</v>
      </c>
      <c r="I934" s="6">
        <v>7.5</v>
      </c>
      <c r="J934" s="6">
        <v>3.42</v>
      </c>
    </row>
    <row r="935" spans="2:10">
      <c r="B935" s="6">
        <v>116</v>
      </c>
      <c r="C935" s="6">
        <v>17</v>
      </c>
      <c r="D935" s="29" t="s">
        <v>797</v>
      </c>
      <c r="E935" s="29" t="s">
        <v>11</v>
      </c>
      <c r="F935" s="6">
        <v>7.1</v>
      </c>
      <c r="G935" s="6">
        <v>185</v>
      </c>
      <c r="H935" s="6">
        <v>19</v>
      </c>
      <c r="I935" s="6">
        <v>7.9</v>
      </c>
      <c r="J935" s="6">
        <v>3.52</v>
      </c>
    </row>
    <row r="936" spans="2:10">
      <c r="B936" s="6">
        <v>116</v>
      </c>
      <c r="C936" s="6">
        <v>18</v>
      </c>
      <c r="D936" s="29" t="s">
        <v>798</v>
      </c>
      <c r="E936" s="29" t="s">
        <v>11</v>
      </c>
      <c r="F936" s="6">
        <v>7.5</v>
      </c>
      <c r="G936" s="6">
        <v>265</v>
      </c>
      <c r="H936" s="6">
        <v>12</v>
      </c>
      <c r="J936" s="6">
        <v>3.3</v>
      </c>
    </row>
    <row r="937" spans="2:10">
      <c r="B937" s="6">
        <v>116</v>
      </c>
      <c r="C937" s="6">
        <v>19</v>
      </c>
      <c r="D937" s="29" t="s">
        <v>799</v>
      </c>
      <c r="E937" s="29" t="s">
        <v>11</v>
      </c>
      <c r="F937" s="6">
        <v>15.5</v>
      </c>
      <c r="G937" s="6">
        <v>250</v>
      </c>
      <c r="H937" s="6">
        <v>35</v>
      </c>
      <c r="I937" s="6">
        <v>7.1</v>
      </c>
      <c r="J937" s="6">
        <v>3.44</v>
      </c>
    </row>
    <row r="938" spans="2:10">
      <c r="B938" s="6">
        <v>116</v>
      </c>
      <c r="C938" s="6">
        <v>20</v>
      </c>
      <c r="D938" s="29" t="s">
        <v>800</v>
      </c>
      <c r="E938" s="29" t="s">
        <v>11</v>
      </c>
      <c r="F938" s="6">
        <v>16</v>
      </c>
      <c r="G938" s="6">
        <v>230</v>
      </c>
      <c r="H938" s="6">
        <v>16</v>
      </c>
      <c r="I938" s="6">
        <v>7.4</v>
      </c>
      <c r="J938" s="6">
        <v>4.22</v>
      </c>
    </row>
    <row r="939" spans="2:10">
      <c r="B939" s="6">
        <v>116</v>
      </c>
      <c r="C939" s="6">
        <v>21</v>
      </c>
      <c r="D939" s="29" t="s">
        <v>411</v>
      </c>
      <c r="E939" s="29" t="s">
        <v>11</v>
      </c>
      <c r="F939" s="6">
        <v>18.5</v>
      </c>
      <c r="G939" s="6">
        <v>200</v>
      </c>
      <c r="H939" s="6">
        <v>1</v>
      </c>
      <c r="I939" s="6">
        <v>8.2</v>
      </c>
      <c r="J939" s="6">
        <v>4.59</v>
      </c>
    </row>
    <row r="940" spans="2:10">
      <c r="B940" s="6">
        <v>116</v>
      </c>
      <c r="C940" s="6">
        <v>22</v>
      </c>
      <c r="D940" s="29" t="s">
        <v>801</v>
      </c>
      <c r="E940" s="29" t="s">
        <v>11</v>
      </c>
      <c r="F940" s="6">
        <v>6.8</v>
      </c>
      <c r="G940" s="6">
        <v>257</v>
      </c>
      <c r="H940" s="6">
        <v>26</v>
      </c>
      <c r="I940" s="6">
        <v>7</v>
      </c>
      <c r="J940" s="6">
        <v>3.41</v>
      </c>
    </row>
    <row r="941" spans="2:10">
      <c r="B941" s="6">
        <v>116</v>
      </c>
      <c r="C941" s="6">
        <v>23</v>
      </c>
      <c r="D941" s="29" t="s">
        <v>802</v>
      </c>
      <c r="E941" s="29" t="s">
        <v>11</v>
      </c>
      <c r="F941" s="6">
        <v>20.5</v>
      </c>
      <c r="G941" s="6">
        <v>250</v>
      </c>
      <c r="H941" s="6">
        <v>17</v>
      </c>
      <c r="I941" s="6">
        <v>7.3</v>
      </c>
      <c r="J941" s="6">
        <v>3.32</v>
      </c>
    </row>
    <row r="942" spans="2:10">
      <c r="B942" s="6">
        <v>116</v>
      </c>
      <c r="C942" s="6">
        <v>24</v>
      </c>
      <c r="D942" s="29" t="s">
        <v>803</v>
      </c>
      <c r="E942" s="29" t="s">
        <v>11</v>
      </c>
      <c r="F942" s="6">
        <v>4</v>
      </c>
      <c r="G942" s="6">
        <v>251</v>
      </c>
      <c r="H942" s="6">
        <v>19</v>
      </c>
      <c r="I942" s="6">
        <v>7.1</v>
      </c>
      <c r="J942" s="6">
        <v>3.23</v>
      </c>
    </row>
    <row r="943" spans="2:10">
      <c r="B943" s="6">
        <v>116</v>
      </c>
      <c r="C943" s="6">
        <v>25</v>
      </c>
      <c r="D943" s="29" t="s">
        <v>804</v>
      </c>
      <c r="E943" s="29" t="s">
        <v>11</v>
      </c>
      <c r="F943" s="6">
        <v>7.5</v>
      </c>
      <c r="G943" s="6">
        <v>225</v>
      </c>
      <c r="H943" s="6">
        <v>27</v>
      </c>
      <c r="I943" s="6">
        <v>7.3</v>
      </c>
      <c r="J943" s="6">
        <v>3.05</v>
      </c>
    </row>
    <row r="944" spans="2:10">
      <c r="B944" s="6">
        <v>116</v>
      </c>
      <c r="C944" s="6">
        <v>26</v>
      </c>
      <c r="D944" s="6" t="s">
        <v>805</v>
      </c>
      <c r="E944" s="6" t="s">
        <v>11</v>
      </c>
      <c r="F944" s="6">
        <v>17</v>
      </c>
      <c r="G944" s="6">
        <v>220</v>
      </c>
      <c r="H944" s="6">
        <v>10</v>
      </c>
      <c r="I944" s="6">
        <v>8</v>
      </c>
      <c r="J944" s="6">
        <v>3.48</v>
      </c>
    </row>
    <row r="946" s="3" customFormat="1" spans="1:11">
      <c r="A946" s="58" t="s">
        <v>806</v>
      </c>
      <c r="B946" s="30" t="s">
        <v>1</v>
      </c>
      <c r="C946" s="31" t="s">
        <v>2</v>
      </c>
      <c r="D946" s="32" t="s">
        <v>3</v>
      </c>
      <c r="E946" s="32" t="s">
        <v>4</v>
      </c>
      <c r="F946" s="33" t="s">
        <v>5</v>
      </c>
      <c r="G946" s="33" t="s">
        <v>6</v>
      </c>
      <c r="H946" s="33" t="s">
        <v>7</v>
      </c>
      <c r="I946" s="33">
        <v>50</v>
      </c>
      <c r="J946" s="33" t="s">
        <v>8</v>
      </c>
      <c r="K946" s="31" t="s">
        <v>9</v>
      </c>
    </row>
    <row r="947" spans="2:10">
      <c r="B947" s="6">
        <v>116</v>
      </c>
      <c r="C947" s="6">
        <v>27</v>
      </c>
      <c r="D947" s="39" t="s">
        <v>807</v>
      </c>
      <c r="E947" s="29" t="s">
        <v>46</v>
      </c>
      <c r="F947" s="6">
        <v>25.1</v>
      </c>
      <c r="G947" s="6">
        <v>173</v>
      </c>
      <c r="H947" s="6">
        <v>44</v>
      </c>
      <c r="I947" s="6">
        <v>8.8</v>
      </c>
      <c r="J947" s="6">
        <v>3.22</v>
      </c>
    </row>
    <row r="948" spans="2:10">
      <c r="B948" s="6">
        <v>116</v>
      </c>
      <c r="C948" s="6">
        <v>28</v>
      </c>
      <c r="D948" s="29" t="s">
        <v>808</v>
      </c>
      <c r="E948" s="29" t="s">
        <v>46</v>
      </c>
      <c r="F948" s="6">
        <v>19.6</v>
      </c>
      <c r="G948" s="6">
        <v>208</v>
      </c>
      <c r="H948" s="6">
        <v>40</v>
      </c>
      <c r="I948" s="6">
        <v>8.5</v>
      </c>
      <c r="J948" s="6">
        <v>3.4</v>
      </c>
    </row>
    <row r="949" spans="2:10">
      <c r="B949" s="6">
        <v>116</v>
      </c>
      <c r="C949" s="6">
        <v>29</v>
      </c>
      <c r="D949" s="29" t="s">
        <v>809</v>
      </c>
      <c r="E949" s="29" t="s">
        <v>46</v>
      </c>
      <c r="F949" s="6">
        <v>13.7</v>
      </c>
      <c r="G949" s="6">
        <v>171</v>
      </c>
      <c r="H949" s="6">
        <v>57</v>
      </c>
      <c r="I949" s="6">
        <v>10.2</v>
      </c>
      <c r="J949" s="6">
        <v>4.08</v>
      </c>
    </row>
    <row r="950" spans="2:10">
      <c r="B950" s="6">
        <v>116</v>
      </c>
      <c r="C950" s="6">
        <v>30</v>
      </c>
      <c r="D950" s="29" t="s">
        <v>810</v>
      </c>
      <c r="E950" s="29" t="s">
        <v>46</v>
      </c>
      <c r="F950" s="6">
        <v>15.6</v>
      </c>
      <c r="G950" s="6">
        <v>173</v>
      </c>
      <c r="H950" s="6">
        <v>50</v>
      </c>
      <c r="I950" s="6">
        <v>9.4</v>
      </c>
      <c r="J950" s="6">
        <v>3.52</v>
      </c>
    </row>
    <row r="951" spans="2:10">
      <c r="B951" s="6">
        <v>116</v>
      </c>
      <c r="C951" s="6">
        <v>31</v>
      </c>
      <c r="D951" s="29" t="s">
        <v>811</v>
      </c>
      <c r="E951" s="29" t="s">
        <v>46</v>
      </c>
      <c r="F951" s="6">
        <v>16.5</v>
      </c>
      <c r="G951" s="6">
        <v>153</v>
      </c>
      <c r="H951" s="6">
        <v>51</v>
      </c>
      <c r="I951" s="6">
        <v>9.3</v>
      </c>
      <c r="J951" s="6">
        <v>4.2</v>
      </c>
    </row>
    <row r="952" spans="2:10">
      <c r="B952" s="6">
        <v>116</v>
      </c>
      <c r="C952" s="6">
        <v>32</v>
      </c>
      <c r="D952" s="29" t="s">
        <v>812</v>
      </c>
      <c r="E952" s="29" t="s">
        <v>46</v>
      </c>
      <c r="F952" s="6">
        <v>21.4</v>
      </c>
      <c r="G952" s="6">
        <v>201</v>
      </c>
      <c r="H952" s="6">
        <v>54</v>
      </c>
      <c r="I952" s="6">
        <v>8.1</v>
      </c>
      <c r="J952" s="6">
        <v>3.27</v>
      </c>
    </row>
    <row r="953" spans="2:10">
      <c r="B953" s="6">
        <v>116</v>
      </c>
      <c r="C953" s="6">
        <v>33</v>
      </c>
      <c r="D953" s="29" t="s">
        <v>813</v>
      </c>
      <c r="E953" s="29" t="s">
        <v>46</v>
      </c>
      <c r="F953" s="6">
        <v>26</v>
      </c>
      <c r="G953" s="6">
        <v>185</v>
      </c>
      <c r="H953" s="6">
        <v>48</v>
      </c>
      <c r="I953" s="6">
        <v>8.7</v>
      </c>
      <c r="J953" s="6">
        <v>3.32</v>
      </c>
    </row>
    <row r="954" spans="2:10">
      <c r="B954" s="6">
        <v>116</v>
      </c>
      <c r="C954" s="6">
        <v>34</v>
      </c>
      <c r="D954" s="29" t="s">
        <v>814</v>
      </c>
      <c r="E954" s="29" t="s">
        <v>46</v>
      </c>
      <c r="F954" s="6">
        <v>25.5</v>
      </c>
      <c r="G954" s="6">
        <v>171</v>
      </c>
      <c r="H954" s="6">
        <v>45</v>
      </c>
      <c r="I954" s="6">
        <v>9.2</v>
      </c>
      <c r="J954" s="6">
        <v>3.3</v>
      </c>
    </row>
    <row r="955" spans="2:10">
      <c r="B955" s="6">
        <v>116</v>
      </c>
      <c r="C955" s="6">
        <v>35</v>
      </c>
      <c r="D955" s="29" t="s">
        <v>815</v>
      </c>
      <c r="E955" s="29" t="s">
        <v>46</v>
      </c>
      <c r="F955" s="6">
        <v>19.7</v>
      </c>
      <c r="G955" s="6">
        <v>181</v>
      </c>
      <c r="H955" s="6">
        <v>28</v>
      </c>
      <c r="I955" s="6">
        <v>8.2</v>
      </c>
      <c r="J955" s="6">
        <v>3.26</v>
      </c>
    </row>
    <row r="956" spans="2:10">
      <c r="B956" s="6">
        <v>116</v>
      </c>
      <c r="C956" s="6">
        <v>36</v>
      </c>
      <c r="D956" s="29" t="s">
        <v>816</v>
      </c>
      <c r="E956" s="29" t="s">
        <v>46</v>
      </c>
      <c r="F956" s="6">
        <v>23</v>
      </c>
      <c r="G956" s="6">
        <v>184</v>
      </c>
      <c r="H956" s="6">
        <v>40</v>
      </c>
      <c r="I956" s="6">
        <v>8</v>
      </c>
      <c r="J956" s="6">
        <v>3.33</v>
      </c>
    </row>
    <row r="957" spans="2:10">
      <c r="B957" s="6">
        <v>116</v>
      </c>
      <c r="C957" s="6">
        <v>37</v>
      </c>
      <c r="D957" s="29" t="s">
        <v>817</v>
      </c>
      <c r="E957" s="29" t="s">
        <v>46</v>
      </c>
      <c r="F957" s="6">
        <v>22.1</v>
      </c>
      <c r="G957" s="6">
        <v>207</v>
      </c>
      <c r="H957" s="6">
        <v>38</v>
      </c>
      <c r="I957" s="6">
        <v>7.7</v>
      </c>
      <c r="J957" s="6">
        <v>3.04</v>
      </c>
    </row>
    <row r="958" spans="2:10">
      <c r="B958" s="6">
        <v>116</v>
      </c>
      <c r="C958" s="6">
        <v>38</v>
      </c>
      <c r="D958" s="29" t="s">
        <v>818</v>
      </c>
      <c r="E958" s="29" t="s">
        <v>46</v>
      </c>
      <c r="F958" s="6">
        <v>29</v>
      </c>
      <c r="G958" s="6">
        <v>196</v>
      </c>
      <c r="H958" s="6">
        <v>50</v>
      </c>
      <c r="I958" s="6">
        <v>9</v>
      </c>
      <c r="J958" s="6">
        <v>3.5</v>
      </c>
    </row>
    <row r="959" spans="2:10">
      <c r="B959" s="6">
        <v>116</v>
      </c>
      <c r="C959" s="6">
        <v>39</v>
      </c>
      <c r="D959" s="29" t="s">
        <v>819</v>
      </c>
      <c r="E959" s="29" t="s">
        <v>46</v>
      </c>
      <c r="F959" s="6">
        <v>26.5</v>
      </c>
      <c r="G959" s="6">
        <v>184</v>
      </c>
      <c r="I959" s="6">
        <v>8.1</v>
      </c>
      <c r="J959" s="6">
        <v>3.19</v>
      </c>
    </row>
    <row r="961" s="3" customFormat="1" spans="1:11">
      <c r="A961" s="58" t="s">
        <v>820</v>
      </c>
      <c r="B961" s="30" t="s">
        <v>1</v>
      </c>
      <c r="C961" s="31" t="s">
        <v>2</v>
      </c>
      <c r="D961" s="32" t="s">
        <v>3</v>
      </c>
      <c r="E961" s="32" t="s">
        <v>4</v>
      </c>
      <c r="F961" s="33" t="s">
        <v>5</v>
      </c>
      <c r="G961" s="33" t="s">
        <v>6</v>
      </c>
      <c r="H961" s="33" t="s">
        <v>7</v>
      </c>
      <c r="I961" s="33">
        <v>50</v>
      </c>
      <c r="J961" s="33" t="s">
        <v>8</v>
      </c>
      <c r="K961" s="31" t="s">
        <v>9</v>
      </c>
    </row>
    <row r="962" spans="2:10">
      <c r="B962" s="6">
        <v>116</v>
      </c>
      <c r="C962" s="6">
        <v>40</v>
      </c>
      <c r="D962" s="39" t="s">
        <v>821</v>
      </c>
      <c r="E962" s="29" t="s">
        <v>46</v>
      </c>
      <c r="F962" s="6">
        <v>26</v>
      </c>
      <c r="G962" s="6">
        <v>188</v>
      </c>
      <c r="H962" s="6">
        <v>50</v>
      </c>
      <c r="I962" s="6">
        <v>8.6</v>
      </c>
      <c r="J962" s="6">
        <v>3.17</v>
      </c>
    </row>
    <row r="963" spans="2:10">
      <c r="B963" s="6">
        <v>116</v>
      </c>
      <c r="C963" s="6">
        <v>41</v>
      </c>
      <c r="D963" s="29" t="s">
        <v>822</v>
      </c>
      <c r="E963" s="29" t="s">
        <v>46</v>
      </c>
      <c r="F963" s="6">
        <v>21</v>
      </c>
      <c r="G963" s="6">
        <v>165</v>
      </c>
      <c r="H963" s="6">
        <v>52</v>
      </c>
      <c r="I963" s="6">
        <v>8.9</v>
      </c>
      <c r="J963" s="6">
        <v>3.58</v>
      </c>
    </row>
    <row r="964" spans="2:11">
      <c r="B964" s="6">
        <v>116</v>
      </c>
      <c r="C964" s="6">
        <v>42</v>
      </c>
      <c r="D964" s="29" t="s">
        <v>823</v>
      </c>
      <c r="E964" s="29" t="s">
        <v>46</v>
      </c>
      <c r="K964" s="6" t="s">
        <v>513</v>
      </c>
    </row>
    <row r="965" spans="2:10">
      <c r="B965" s="6">
        <v>116</v>
      </c>
      <c r="C965" s="6">
        <v>43</v>
      </c>
      <c r="D965" s="29" t="s">
        <v>824</v>
      </c>
      <c r="E965" s="29" t="s">
        <v>46</v>
      </c>
      <c r="F965" s="6">
        <v>17</v>
      </c>
      <c r="G965" s="6">
        <v>170</v>
      </c>
      <c r="H965" s="6">
        <v>44</v>
      </c>
      <c r="I965" s="6">
        <v>8.5</v>
      </c>
      <c r="J965" s="6">
        <v>3.24</v>
      </c>
    </row>
    <row r="966" spans="2:10">
      <c r="B966" s="6">
        <v>116</v>
      </c>
      <c r="C966" s="6">
        <v>44</v>
      </c>
      <c r="D966" s="29" t="s">
        <v>825</v>
      </c>
      <c r="E966" s="29" t="s">
        <v>46</v>
      </c>
      <c r="F966" s="6">
        <v>8.2</v>
      </c>
      <c r="G966" s="6">
        <v>182</v>
      </c>
      <c r="H966" s="6">
        <v>41</v>
      </c>
      <c r="I966" s="6">
        <v>8.5</v>
      </c>
      <c r="J966" s="6">
        <v>3.5</v>
      </c>
    </row>
    <row r="967" spans="2:10">
      <c r="B967" s="6">
        <v>116</v>
      </c>
      <c r="C967" s="6">
        <v>45</v>
      </c>
      <c r="D967" s="29" t="s">
        <v>826</v>
      </c>
      <c r="E967" s="29" t="s">
        <v>46</v>
      </c>
      <c r="F967" s="6">
        <v>20.4</v>
      </c>
      <c r="G967" s="6">
        <v>180</v>
      </c>
      <c r="H967" s="6">
        <v>47</v>
      </c>
      <c r="I967" s="6">
        <v>8.7</v>
      </c>
      <c r="J967" s="6">
        <v>3.29</v>
      </c>
    </row>
    <row r="968" spans="2:11">
      <c r="B968" s="6">
        <v>116</v>
      </c>
      <c r="C968" s="6">
        <v>46</v>
      </c>
      <c r="D968" s="29" t="s">
        <v>827</v>
      </c>
      <c r="E968" s="29" t="s">
        <v>46</v>
      </c>
      <c r="K968" s="6" t="s">
        <v>482</v>
      </c>
    </row>
    <row r="969" spans="2:10">
      <c r="B969" s="6">
        <v>116</v>
      </c>
      <c r="C969" s="6">
        <v>47</v>
      </c>
      <c r="D969" s="29" t="s">
        <v>828</v>
      </c>
      <c r="E969" s="29" t="s">
        <v>46</v>
      </c>
      <c r="F969" s="6">
        <v>26.2</v>
      </c>
      <c r="G969" s="6">
        <v>180</v>
      </c>
      <c r="H969" s="6">
        <v>50</v>
      </c>
      <c r="I969" s="6">
        <v>8.4</v>
      </c>
      <c r="J969" s="6">
        <v>3.31</v>
      </c>
    </row>
    <row r="970" spans="2:10">
      <c r="B970" s="6">
        <v>116</v>
      </c>
      <c r="C970" s="6">
        <v>48</v>
      </c>
      <c r="D970" s="29" t="s">
        <v>829</v>
      </c>
      <c r="E970" s="29" t="s">
        <v>46</v>
      </c>
      <c r="F970" s="6">
        <v>18</v>
      </c>
      <c r="G970" s="6">
        <v>170</v>
      </c>
      <c r="H970" s="6">
        <v>53</v>
      </c>
      <c r="I970" s="6">
        <v>8.3</v>
      </c>
      <c r="J970" s="6">
        <v>3.29</v>
      </c>
    </row>
    <row r="971" spans="2:10">
      <c r="B971" s="6">
        <v>116</v>
      </c>
      <c r="C971" s="6">
        <v>49</v>
      </c>
      <c r="D971" s="29" t="s">
        <v>830</v>
      </c>
      <c r="E971" s="29" t="s">
        <v>46</v>
      </c>
      <c r="F971" s="6">
        <v>26.3</v>
      </c>
      <c r="G971" s="6">
        <v>185</v>
      </c>
      <c r="H971" s="6">
        <v>30</v>
      </c>
      <c r="I971" s="6">
        <v>8.5</v>
      </c>
      <c r="J971" s="6">
        <v>3.35</v>
      </c>
    </row>
    <row r="972" spans="2:10">
      <c r="B972" s="6">
        <v>116</v>
      </c>
      <c r="C972" s="6">
        <v>50</v>
      </c>
      <c r="D972" s="6" t="s">
        <v>831</v>
      </c>
      <c r="E972" s="6" t="s">
        <v>46</v>
      </c>
      <c r="F972" s="6">
        <v>12.2</v>
      </c>
      <c r="G972" s="6">
        <v>175</v>
      </c>
      <c r="H972" s="6">
        <v>45</v>
      </c>
      <c r="I972" s="6">
        <v>8.8</v>
      </c>
      <c r="J972" s="6">
        <v>3.33</v>
      </c>
    </row>
    <row r="973" spans="2:11">
      <c r="B973" s="6">
        <v>116</v>
      </c>
      <c r="C973" s="6">
        <v>51</v>
      </c>
      <c r="D973" s="6" t="s">
        <v>832</v>
      </c>
      <c r="E973" s="6" t="s">
        <v>46</v>
      </c>
      <c r="F973" s="6">
        <v>15.5</v>
      </c>
      <c r="G973" s="6">
        <v>193</v>
      </c>
      <c r="I973" s="6">
        <v>9</v>
      </c>
      <c r="K973" s="6" t="s">
        <v>513</v>
      </c>
    </row>
    <row r="974" spans="2:11">
      <c r="B974" s="6">
        <v>116</v>
      </c>
      <c r="C974" s="6">
        <v>52</v>
      </c>
      <c r="D974" s="30" t="s">
        <v>833</v>
      </c>
      <c r="E974" s="6" t="s">
        <v>46</v>
      </c>
      <c r="K974" s="6" t="s">
        <v>482</v>
      </c>
    </row>
  </sheetData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900"/>
  <sheetViews>
    <sheetView tabSelected="1" workbookViewId="0">
      <selection activeCell="A32" sqref="$A32:$XFD32"/>
    </sheetView>
  </sheetViews>
  <sheetFormatPr defaultColWidth="9" defaultRowHeight="14.4"/>
  <cols>
    <col min="1" max="1" width="9" style="6"/>
    <col min="2" max="2" width="9.87962962962963" style="6" customWidth="1"/>
    <col min="3" max="3" width="9" style="6"/>
    <col min="4" max="22" width="12.3796296296296" style="6" customWidth="1"/>
    <col min="23" max="23" width="9" style="7"/>
    <col min="24" max="24" width="12.8888888888889" style="7"/>
    <col min="25" max="16384" width="9" style="7"/>
  </cols>
  <sheetData>
    <row r="1" s="3" customFormat="1" spans="1:24">
      <c r="A1" s="30" t="s">
        <v>1</v>
      </c>
      <c r="B1" s="32" t="s">
        <v>3</v>
      </c>
      <c r="C1" s="32" t="s">
        <v>4</v>
      </c>
      <c r="D1" s="33" t="s">
        <v>5</v>
      </c>
      <c r="E1" s="38" t="s">
        <v>834</v>
      </c>
      <c r="F1" s="33" t="s">
        <v>6</v>
      </c>
      <c r="G1" s="38" t="s">
        <v>834</v>
      </c>
      <c r="H1" s="33" t="s">
        <v>7</v>
      </c>
      <c r="I1" s="38" t="s">
        <v>834</v>
      </c>
      <c r="J1" s="33" t="s">
        <v>835</v>
      </c>
      <c r="K1" s="38" t="s">
        <v>836</v>
      </c>
      <c r="L1" s="38" t="s">
        <v>837</v>
      </c>
      <c r="M1" s="33">
        <v>50</v>
      </c>
      <c r="N1" s="33" t="s">
        <v>838</v>
      </c>
      <c r="O1" s="38" t="s">
        <v>834</v>
      </c>
      <c r="P1" s="33" t="s">
        <v>8</v>
      </c>
      <c r="Q1" s="31" t="s">
        <v>838</v>
      </c>
      <c r="R1" s="46" t="s">
        <v>834</v>
      </c>
      <c r="S1" s="31" t="s">
        <v>839</v>
      </c>
      <c r="T1" s="46" t="s">
        <v>836</v>
      </c>
      <c r="U1" s="46" t="s">
        <v>837</v>
      </c>
      <c r="V1" s="31" t="s">
        <v>9</v>
      </c>
      <c r="W1" s="47" t="s">
        <v>840</v>
      </c>
      <c r="X1" s="47" t="s">
        <v>841</v>
      </c>
    </row>
    <row r="2" ht="15.6" hidden="1" spans="1:24">
      <c r="A2" s="6">
        <v>113</v>
      </c>
      <c r="B2" s="29" t="s">
        <v>641</v>
      </c>
      <c r="C2" s="29" t="s">
        <v>11</v>
      </c>
      <c r="D2" s="6">
        <v>16</v>
      </c>
      <c r="E2" s="40">
        <f>LOOKUP(D2,{0,-4,-3,-2,-1,0,1,2.4,3.8,5.2,6.6,8,9.4,10.8,12.2,13.6,15,17.2,19.4,21.5,23.6},{0,10,20,30,40,50,60,62,64,66,68,70,72,74,76,78,80,85,90,95,100})</f>
        <v>80</v>
      </c>
      <c r="F2" s="6">
        <v>270</v>
      </c>
      <c r="G2" s="40">
        <f>LOOKUP(F2,{0,170,175,180,185,190,195,199,203,207,211,215,219,223,227,231,235,243,250,255,260},{0,10,20,30,40,50,60,62,64,66,68,70,72,74,76,78,80,85,90,95,100})</f>
        <v>100</v>
      </c>
      <c r="H2" s="6">
        <v>25</v>
      </c>
      <c r="I2" s="40">
        <f>LOOKUP(H2,{0,2,3,4,5,6,7,8,9,10,11,12,13,14,15,16},{0,10,20,30,40,50,60,64,68,72,76,80,85,90,95,100})</f>
        <v>100</v>
      </c>
      <c r="J2" s="7">
        <f>H2-16</f>
        <v>9</v>
      </c>
      <c r="K2" s="40">
        <f>LOOKUP(J2,{0,1,2,3,4,5,6,7,8,9,10},{0,1,2,3,4,5,6,7,8,9,10})</f>
        <v>9</v>
      </c>
      <c r="L2" s="7">
        <f>I2+K2</f>
        <v>109</v>
      </c>
      <c r="M2" s="6">
        <v>6.3</v>
      </c>
      <c r="N2" s="43">
        <f>13-M2</f>
        <v>6.7</v>
      </c>
      <c r="O2" s="40">
        <f>LOOKUP(N2,{0,2.5,2.7,2.9,3.1,3.3,3.5,3.7,3.9,4.1,4.3,4.5,4.7,4.9,5.1,5.3,5.5,5.6,5.7,5.8,5.9},{0,10,20,30,40,50,60,62,64,66,68,70,72,74,76,78,80,85,90,95,100})</f>
        <v>100</v>
      </c>
      <c r="P2" s="6">
        <v>3.05</v>
      </c>
      <c r="Q2" s="6">
        <f>10-P2</f>
        <v>6.95</v>
      </c>
      <c r="R2" s="40">
        <f>LOOKUP(Q2,{0,3.75,3.95,4.55,4.75,4.95,5.55,5.6,5.65,5.7,5.75,5.8,5.85,5.9,5.95,6,6.45,6.53,6.6,6.65,6.7},{0,10,20,30,40,50,60,62,64,66,68,70,72,74,76,78,80,85,90,95,100})</f>
        <v>100</v>
      </c>
      <c r="S2" s="7">
        <f>3.3-P2</f>
        <v>0.25</v>
      </c>
      <c r="T2" s="40">
        <f>LOOKUP(S2,{0,0.04,0.08,0.12,0.16,0.2,0.23,0.26,0.29,0.32,0.35},{0,1,2,3,4,5,6,7,8,9,10})</f>
        <v>6</v>
      </c>
      <c r="U2" s="7">
        <f>R2+T2</f>
        <v>106</v>
      </c>
      <c r="W2" s="7">
        <f>E2*0.1+G2*0.1+I2*0.1+O2*0.2+R2*0.2</f>
        <v>68</v>
      </c>
      <c r="X2" s="21">
        <f>W2/0.7+K2+T2</f>
        <v>112.142857142857</v>
      </c>
    </row>
    <row r="3" ht="15.6" hidden="1" spans="1:24">
      <c r="A3" s="6">
        <v>109</v>
      </c>
      <c r="B3" s="29" t="s">
        <v>409</v>
      </c>
      <c r="C3" s="29" t="s">
        <v>11</v>
      </c>
      <c r="D3" s="6">
        <v>1.2</v>
      </c>
      <c r="E3" s="40">
        <f>LOOKUP(D3,{0,-4,-3,-2,-1,0,1,2.4,3.8,5.2,6.6,8,9.4,10.8,12.2,13.6,15,17.2,19.4,21.5,23.6},{0,10,20,30,40,50,60,62,64,66,68,70,72,74,76,78,80,85,90,95,100})</f>
        <v>60</v>
      </c>
      <c r="F3" s="6">
        <v>230</v>
      </c>
      <c r="G3" s="40">
        <f>LOOKUP(F3,{0,170,175,180,185,190,195,199,203,207,211,215,219,223,227,231,235,243,250,255,260},{0,10,20,30,40,50,60,62,64,66,68,70,72,74,76,78,80,85,90,95,100})</f>
        <v>76</v>
      </c>
      <c r="H3" s="6">
        <v>26</v>
      </c>
      <c r="I3" s="40">
        <f>LOOKUP(H3,{0,2,3,4,5,6,7,8,9,10,11,12,13,14,15,16},{0,10,20,30,40,50,60,64,68,72,76,80,85,90,95,100})</f>
        <v>100</v>
      </c>
      <c r="J3" s="7">
        <f>H3-16</f>
        <v>10</v>
      </c>
      <c r="K3" s="40">
        <f>LOOKUP(J3,{0,1,2,3,4,5,6,7,8,9,10},{0,1,2,3,4,5,6,7,8,9,10})</f>
        <v>10</v>
      </c>
      <c r="L3" s="7">
        <f>I3+K3</f>
        <v>110</v>
      </c>
      <c r="M3" s="6">
        <v>6.4</v>
      </c>
      <c r="N3" s="43">
        <f>13-M3</f>
        <v>6.6</v>
      </c>
      <c r="O3" s="40">
        <f>LOOKUP(N3,{0,2.5,2.7,2.9,3.1,3.3,3.5,3.7,3.9,4.1,4.3,4.5,4.7,4.9,5.1,5.3,5.5,5.6,5.7,5.8,5.9},{0,10,20,30,40,50,60,62,64,66,68,70,72,74,76,78,80,85,90,95,100})</f>
        <v>100</v>
      </c>
      <c r="P3" s="6">
        <v>3.04</v>
      </c>
      <c r="Q3" s="6">
        <f>10-P3</f>
        <v>6.96</v>
      </c>
      <c r="R3" s="40">
        <f>LOOKUP(Q3,{0,3.75,3.95,4.55,4.75,4.95,5.55,5.6,5.65,5.7,5.75,5.8,5.85,5.9,5.95,6,6.45,6.53,6.6,6.65,6.7},{0,10,20,30,40,50,60,62,64,66,68,70,72,74,76,78,80,85,90,95,100})</f>
        <v>100</v>
      </c>
      <c r="S3" s="7">
        <f>3.3-P3</f>
        <v>0.26</v>
      </c>
      <c r="T3" s="40">
        <f>LOOKUP(S3,{0,0.04,0.08,0.12,0.16,0.2,0.23,0.26,0.29,0.32,0.35},{0,1,2,3,4,5,6,7,8,9,10})</f>
        <v>7</v>
      </c>
      <c r="U3" s="7">
        <f>R3+T3</f>
        <v>107</v>
      </c>
      <c r="W3" s="7">
        <f>E3*0.1+G3*0.1+I3*0.1+O3*0.2+R3*0.2</f>
        <v>63.6</v>
      </c>
      <c r="X3" s="21">
        <f>W3/0.7+K3+T3</f>
        <v>107.857142857143</v>
      </c>
    </row>
    <row r="4" ht="15.6" hidden="1" spans="1:24">
      <c r="A4" s="6">
        <v>103</v>
      </c>
      <c r="B4" s="29" t="s">
        <v>121</v>
      </c>
      <c r="C4" s="29" t="s">
        <v>11</v>
      </c>
      <c r="D4" s="6">
        <v>16</v>
      </c>
      <c r="E4" s="40">
        <f>LOOKUP(D4,{0,-4,-3,-2,-1,0,1,2.4,3.8,5.2,6.6,8,9.4,10.8,12.2,13.6,15,17.2,19.4,21.5,23.6},{0,10,20,30,40,50,60,62,64,66,68,70,72,74,76,78,80,85,90,95,100})</f>
        <v>80</v>
      </c>
      <c r="F4" s="6">
        <v>250</v>
      </c>
      <c r="G4" s="40">
        <f>LOOKUP(F4,{0,170,175,180,185,190,195,199,203,207,211,215,219,223,227,231,235,243,250,255,260},{0,10,20,30,40,50,60,62,64,66,68,70,72,74,76,78,80,85,90,95,100})</f>
        <v>90</v>
      </c>
      <c r="H4" s="6">
        <v>18</v>
      </c>
      <c r="I4" s="40">
        <f>LOOKUP(H4,{0,2,3,4,5,6,7,8,9,10,11,12,13,14,15,16},{0,10,20,30,40,50,60,64,68,72,76,80,85,90,95,100})</f>
        <v>100</v>
      </c>
      <c r="J4" s="7">
        <f>H4-16</f>
        <v>2</v>
      </c>
      <c r="K4" s="40">
        <f>LOOKUP(J4,{0,1,2,3,4,5,6,7,8,9,10},{0,1,2,3,4,5,6,7,8,9,10})</f>
        <v>2</v>
      </c>
      <c r="L4" s="7">
        <f>I4+K4</f>
        <v>102</v>
      </c>
      <c r="M4" s="6">
        <v>6.4</v>
      </c>
      <c r="N4" s="43">
        <f>13-M4</f>
        <v>6.6</v>
      </c>
      <c r="O4" s="40">
        <f>LOOKUP(N4,{0,2.5,2.7,2.9,3.1,3.3,3.5,3.7,3.9,4.1,4.3,4.5,4.7,4.9,5.1,5.3,5.5,5.6,5.7,5.8,5.9},{0,10,20,30,40,50,60,62,64,66,68,70,72,74,76,78,80,85,90,95,100})</f>
        <v>100</v>
      </c>
      <c r="P4" s="6">
        <v>3.29</v>
      </c>
      <c r="Q4" s="6">
        <f>10-P4</f>
        <v>6.71</v>
      </c>
      <c r="R4" s="40">
        <f>LOOKUP(Q4,{0,3.75,3.95,4.55,4.75,4.95,5.55,5.6,5.65,5.7,5.75,5.8,5.85,5.9,5.95,6,6.45,6.53,6.6,6.65,6.7},{0,10,20,30,40,50,60,62,64,66,68,70,72,74,76,78,80,85,90,95,100})</f>
        <v>100</v>
      </c>
      <c r="S4" s="7">
        <f>3.3-P4</f>
        <v>0.00999999999999979</v>
      </c>
      <c r="T4" s="40">
        <f>LOOKUP(S4,{0,0.04,0.08,0.12,0.16,0.2,0.23,0.26,0.29,0.32,0.35},{0,1,2,3,4,5,6,7,8,9,10})</f>
        <v>0</v>
      </c>
      <c r="U4" s="7">
        <f>R4+T4</f>
        <v>100</v>
      </c>
      <c r="W4" s="7">
        <f>E4*0.1+G4*0.1+I4*0.1+O4*0.2+R4*0.2</f>
        <v>67</v>
      </c>
      <c r="X4" s="21">
        <f>W4/0.7+K4+T4</f>
        <v>97.7142857142857</v>
      </c>
    </row>
    <row r="5" ht="15.6" hidden="1" spans="1:24">
      <c r="A5" s="6">
        <v>110</v>
      </c>
      <c r="B5" s="29" t="s">
        <v>476</v>
      </c>
      <c r="C5" s="29" t="s">
        <v>11</v>
      </c>
      <c r="D5" s="6">
        <v>14</v>
      </c>
      <c r="E5" s="40">
        <f>LOOKUP(D5,{0,-4,-3,-2,-1,0,1,2.4,3.8,5.2,6.6,8,9.4,10.8,12.2,13.6,15,17.2,19.4,21.5,23.6},{0,10,20,30,40,50,60,62,64,66,68,70,72,74,76,78,80,85,90,95,100})</f>
        <v>78</v>
      </c>
      <c r="F5" s="6">
        <v>260</v>
      </c>
      <c r="G5" s="40">
        <f>LOOKUP(F5,{0,170,175,180,185,190,195,199,203,207,211,215,219,223,227,231,235,243,250,255,260},{0,10,20,30,40,50,60,62,64,66,68,70,72,74,76,78,80,85,90,95,100})</f>
        <v>100</v>
      </c>
      <c r="H5" s="6">
        <v>16</v>
      </c>
      <c r="I5" s="40">
        <f>LOOKUP(H5,{0,2,3,4,5,6,7,8,9,10,11,12,13,14,15,16},{0,10,20,30,40,50,60,64,68,72,76,80,85,90,95,100})</f>
        <v>100</v>
      </c>
      <c r="J5" s="7">
        <f>H5-16</f>
        <v>0</v>
      </c>
      <c r="K5" s="40">
        <f>LOOKUP(J5,{0,1,2,3,4,5,6,7,8,9,10},{0,1,2,3,4,5,6,7,8,9,10})</f>
        <v>0</v>
      </c>
      <c r="L5" s="7">
        <f>I5+K5</f>
        <v>100</v>
      </c>
      <c r="M5" s="6">
        <v>6.4</v>
      </c>
      <c r="N5" s="43">
        <f>13-M5</f>
        <v>6.6</v>
      </c>
      <c r="O5" s="40">
        <f>LOOKUP(N5,{0,2.5,2.7,2.9,3.1,3.3,3.5,3.7,3.9,4.1,4.3,4.5,4.7,4.9,5.1,5.3,5.5,5.6,5.7,5.8,5.9},{0,10,20,30,40,50,60,62,64,66,68,70,72,74,76,78,80,85,90,95,100})</f>
        <v>100</v>
      </c>
      <c r="P5" s="6">
        <v>3.33</v>
      </c>
      <c r="Q5" s="6">
        <f>10-P5</f>
        <v>6.67</v>
      </c>
      <c r="R5" s="40">
        <f>LOOKUP(Q5,{0,3.75,3.95,4.55,4.75,4.95,5.55,5.6,5.65,5.7,5.75,5.8,5.85,5.9,5.95,6,6.45,6.53,6.6,6.65,6.7},{0,10,20,30,40,50,60,62,64,66,68,70,72,74,76,78,80,85,90,95,100})</f>
        <v>95</v>
      </c>
      <c r="S5" s="7"/>
      <c r="T5" s="7"/>
      <c r="U5" s="7">
        <f>R5+T5</f>
        <v>95</v>
      </c>
      <c r="W5" s="7">
        <f>E5*0.1+G5*0.1+I5*0.1+O5*0.2+R5*0.2</f>
        <v>66.8</v>
      </c>
      <c r="X5" s="21">
        <f>W5/0.7+K5+T5</f>
        <v>95.4285714285714</v>
      </c>
    </row>
    <row r="6" ht="15.6" hidden="1" spans="1:24">
      <c r="A6" s="6">
        <v>109</v>
      </c>
      <c r="B6" s="29" t="s">
        <v>412</v>
      </c>
      <c r="C6" s="29" t="s">
        <v>11</v>
      </c>
      <c r="D6" s="6">
        <v>12.7</v>
      </c>
      <c r="E6" s="40">
        <f>LOOKUP(D6,{0,-4,-3,-2,-1,0,1,2.4,3.8,5.2,6.6,8,9.4,10.8,12.2,13.6,15,17.2,19.4,21.5,23.6},{0,10,20,30,40,50,60,62,64,66,68,70,72,74,76,78,80,85,90,95,100})</f>
        <v>76</v>
      </c>
      <c r="F6" s="6">
        <v>260</v>
      </c>
      <c r="G6" s="40">
        <f>LOOKUP(F6,{0,170,175,180,185,190,195,199,203,207,211,215,219,223,227,231,235,243,250,255,260},{0,10,20,30,40,50,60,62,64,66,68,70,72,74,76,78,80,85,90,95,100})</f>
        <v>100</v>
      </c>
      <c r="H6" s="6">
        <v>17</v>
      </c>
      <c r="I6" s="40">
        <f>LOOKUP(H6,{0,2,3,4,5,6,7,8,9,10,11,12,13,14,15,16},{0,10,20,30,40,50,60,64,68,72,76,80,85,90,95,100})</f>
        <v>100</v>
      </c>
      <c r="J6" s="7">
        <f>H6-16</f>
        <v>1</v>
      </c>
      <c r="K6" s="40">
        <f>LOOKUP(J6,{0,1,2,3,4,5,6,7,8,9,10},{0,1,2,3,4,5,6,7,8,9,10})</f>
        <v>1</v>
      </c>
      <c r="L6" s="7">
        <f>I6+K6</f>
        <v>101</v>
      </c>
      <c r="M6" s="6">
        <v>6.5</v>
      </c>
      <c r="N6" s="43">
        <f>13-M6</f>
        <v>6.5</v>
      </c>
      <c r="O6" s="40">
        <f>LOOKUP(N6,{0,2.5,2.7,2.9,3.1,3.3,3.5,3.7,3.9,4.1,4.3,4.5,4.7,4.9,5.1,5.3,5.5,5.6,5.7,5.8,5.9},{0,10,20,30,40,50,60,62,64,66,68,70,72,74,76,78,80,85,90,95,100})</f>
        <v>100</v>
      </c>
      <c r="P6" s="6">
        <v>3.1</v>
      </c>
      <c r="Q6" s="6">
        <f>10-P6</f>
        <v>6.9</v>
      </c>
      <c r="R6" s="40">
        <f>LOOKUP(Q6,{0,3.75,3.95,4.55,4.75,4.95,5.55,5.6,5.65,5.7,5.75,5.8,5.85,5.9,5.95,6,6.45,6.53,6.6,6.65,6.7},{0,10,20,30,40,50,60,62,64,66,68,70,72,74,76,78,80,85,90,95,100})</f>
        <v>100</v>
      </c>
      <c r="S6" s="7">
        <f>3.3-P6</f>
        <v>0.2</v>
      </c>
      <c r="T6" s="40">
        <f>LOOKUP(S6,{0,0.04,0.08,0.12,0.16,0.2,0.23,0.26,0.29,0.32,0.35},{0,1,2,3,4,5,6,7,8,9,10})</f>
        <v>4</v>
      </c>
      <c r="U6" s="7">
        <f>R6+T6</f>
        <v>104</v>
      </c>
      <c r="W6" s="7">
        <f>E6*0.1+G6*0.1+I6*0.1+O6*0.2+R6*0.2</f>
        <v>67.6</v>
      </c>
      <c r="X6" s="21">
        <f>W6/0.7+K6+T6</f>
        <v>101.571428571429</v>
      </c>
    </row>
    <row r="7" ht="15.6" hidden="1" spans="1:24">
      <c r="A7" s="6">
        <v>111</v>
      </c>
      <c r="B7" s="39" t="s">
        <v>529</v>
      </c>
      <c r="C7" s="29" t="s">
        <v>11</v>
      </c>
      <c r="D7" s="6">
        <v>11.3</v>
      </c>
      <c r="E7" s="40">
        <f>LOOKUP(D7,{0,-4,-3,-2,-1,0,1,2.4,3.8,5.2,6.6,8,9.4,10.8,12.2,13.6,15,17.2,19.4,21.5,23.6},{0,10,20,30,40,50,60,62,64,66,68,70,72,74,76,78,80,85,90,95,100})</f>
        <v>74</v>
      </c>
      <c r="F7" s="6">
        <v>262</v>
      </c>
      <c r="G7" s="40">
        <f>LOOKUP(F7,{0,170,175,180,185,190,195,199,203,207,211,215,219,223,227,231,235,243,250,255,260},{0,10,20,30,40,50,60,62,64,66,68,70,72,74,76,78,80,85,90,95,100})</f>
        <v>100</v>
      </c>
      <c r="H7" s="6">
        <v>20</v>
      </c>
      <c r="I7" s="40">
        <f>LOOKUP(H7,{0,2,3,4,5,6,7,8,9,10,11,12,13,14,15,16},{0,10,20,30,40,50,60,64,68,72,76,80,85,90,95,100})</f>
        <v>100</v>
      </c>
      <c r="J7" s="7">
        <f>H7-16</f>
        <v>4</v>
      </c>
      <c r="K7" s="40">
        <f>LOOKUP(J7,{0,1,2,3,4,5,6,7,8,9,10},{0,1,2,3,4,5,6,7,8,9,10})</f>
        <v>4</v>
      </c>
      <c r="L7" s="7">
        <f>I7+K7</f>
        <v>104</v>
      </c>
      <c r="M7" s="6">
        <v>6.5</v>
      </c>
      <c r="N7" s="43">
        <f>13-M7</f>
        <v>6.5</v>
      </c>
      <c r="O7" s="40">
        <f>LOOKUP(N7,{0,2.5,2.7,2.9,3.1,3.3,3.5,3.7,3.9,4.1,4.3,4.5,4.7,4.9,5.1,5.3,5.5,5.6,5.7,5.8,5.9},{0,10,20,30,40,50,60,62,64,66,68,70,72,74,76,78,80,85,90,95,100})</f>
        <v>100</v>
      </c>
      <c r="P7" s="6">
        <v>3.17</v>
      </c>
      <c r="Q7" s="6">
        <f>10-P7</f>
        <v>6.83</v>
      </c>
      <c r="R7" s="40">
        <f>LOOKUP(Q7,{0,3.75,3.95,4.55,4.75,4.95,5.55,5.6,5.65,5.7,5.75,5.8,5.85,5.9,5.95,6,6.45,6.53,6.6,6.65,6.7},{0,10,20,30,40,50,60,62,64,66,68,70,72,74,76,78,80,85,90,95,100})</f>
        <v>100</v>
      </c>
      <c r="S7" s="7">
        <f>3.3-P7</f>
        <v>0.13</v>
      </c>
      <c r="T7" s="40">
        <f>LOOKUP(S7,{0,0.04,0.08,0.12,0.16,0.2,0.23,0.26,0.29,0.32,0.35},{0,1,2,3,4,5,6,7,8,9,10})</f>
        <v>3</v>
      </c>
      <c r="U7" s="7">
        <f>R7+T7</f>
        <v>103</v>
      </c>
      <c r="W7" s="7">
        <f>E7*0.1+G7*0.1+I7*0.1+O7*0.2+R7*0.2</f>
        <v>67.4</v>
      </c>
      <c r="X7" s="21">
        <f>W7/0.7+K7+T7</f>
        <v>103.285714285714</v>
      </c>
    </row>
    <row r="8" ht="15.6" hidden="1" spans="1:24">
      <c r="A8" s="6">
        <v>108</v>
      </c>
      <c r="B8" s="29" t="s">
        <v>381</v>
      </c>
      <c r="C8" s="29" t="s">
        <v>11</v>
      </c>
      <c r="D8" s="6">
        <v>21</v>
      </c>
      <c r="E8" s="40">
        <f>LOOKUP(D8,{0,-4,-3,-2,-1,0,1,2.4,3.8,5.2,6.6,8,9.4,10.8,12.2,13.6,15,17.2,19.4,21.5,23.6},{0,10,20,30,40,50,60,62,64,66,68,70,72,74,76,78,80,85,90,95,100})</f>
        <v>90</v>
      </c>
      <c r="F8" s="6">
        <v>206</v>
      </c>
      <c r="G8" s="40">
        <f>LOOKUP(F8,{0,170,175,180,185,190,195,199,203,207,211,215,219,223,227,231,235,243,250,255,260},{0,10,20,30,40,50,60,62,64,66,68,70,72,74,76,78,80,85,90,95,100})</f>
        <v>64</v>
      </c>
      <c r="H8" s="6">
        <v>25</v>
      </c>
      <c r="I8" s="40">
        <f>LOOKUP(H8,{0,2,3,4,5,6,7,8,9,10,11,12,13,14,15,16},{0,10,20,30,40,50,60,64,68,72,76,80,85,90,95,100})</f>
        <v>100</v>
      </c>
      <c r="J8" s="7">
        <f>H8-16</f>
        <v>9</v>
      </c>
      <c r="K8" s="40">
        <f>LOOKUP(J8,{0,1,2,3,4,5,6,7,8,9,10},{0,1,2,3,4,5,6,7,8,9,10})</f>
        <v>9</v>
      </c>
      <c r="L8" s="7">
        <f>I8+K8</f>
        <v>109</v>
      </c>
      <c r="M8" s="6">
        <v>6.5</v>
      </c>
      <c r="N8" s="43">
        <f>13-M8</f>
        <v>6.5</v>
      </c>
      <c r="O8" s="40">
        <f>LOOKUP(N8,{0,2.5,2.7,2.9,3.1,3.3,3.5,3.7,3.9,4.1,4.3,4.5,4.7,4.9,5.1,5.3,5.5,5.6,5.7,5.8,5.9},{0,10,20,30,40,50,60,62,64,66,68,70,72,74,76,78,80,85,90,95,100})</f>
        <v>100</v>
      </c>
      <c r="P8" s="6">
        <v>3.27</v>
      </c>
      <c r="Q8" s="6">
        <f>10-P8</f>
        <v>6.73</v>
      </c>
      <c r="R8" s="40">
        <f>LOOKUP(Q8,{0,3.75,3.95,4.55,4.75,4.95,5.55,5.6,5.65,5.7,5.75,5.8,5.85,5.9,5.95,6,6.45,6.53,6.6,6.65,6.7},{0,10,20,30,40,50,60,62,64,66,68,70,72,74,76,78,80,85,90,95,100})</f>
        <v>100</v>
      </c>
      <c r="S8" s="7">
        <f>3.3-P8</f>
        <v>0.0299999999999998</v>
      </c>
      <c r="T8" s="40">
        <f>LOOKUP(S8,{0,0.04,0.08,0.12,0.16,0.2,0.23,0.26,0.29,0.32,0.35},{0,1,2,3,4,5,6,7,8,9,10})</f>
        <v>0</v>
      </c>
      <c r="U8" s="7">
        <f>R8+T8</f>
        <v>100</v>
      </c>
      <c r="W8" s="7">
        <f>E8*0.1+G8*0.1+I8*0.1+O8*0.2+R8*0.2</f>
        <v>65.4</v>
      </c>
      <c r="X8" s="21">
        <f>W8/0.7+K8+T8</f>
        <v>102.428571428571</v>
      </c>
    </row>
    <row r="9" ht="15.6" hidden="1" spans="1:24">
      <c r="A9" s="6">
        <v>111</v>
      </c>
      <c r="B9" s="29" t="s">
        <v>534</v>
      </c>
      <c r="C9" s="29" t="s">
        <v>11</v>
      </c>
      <c r="D9" s="6">
        <v>26</v>
      </c>
      <c r="E9" s="40">
        <f>LOOKUP(D9,{0,-4,-3,-2,-1,0,1,2.4,3.8,5.2,6.6,8,9.4,10.8,12.2,13.6,15,17.2,19.4,21.5,23.6},{0,10,20,30,40,50,60,62,64,66,68,70,72,74,76,78,80,85,90,95,100})</f>
        <v>100</v>
      </c>
      <c r="F9" s="6">
        <v>216</v>
      </c>
      <c r="G9" s="40">
        <f>LOOKUP(F9,{0,170,175,180,185,190,195,199,203,207,211,215,219,223,227,231,235,243,250,255,260},{0,10,20,30,40,50,60,62,64,66,68,70,72,74,76,78,80,85,90,95,100})</f>
        <v>70</v>
      </c>
      <c r="H9" s="6">
        <v>14</v>
      </c>
      <c r="I9" s="40">
        <f>LOOKUP(H9,{0,2,3,4,5,6,7,8,9,10,11,12,13,14,15,16},{0,10,20,30,40,50,60,64,68,72,76,80,85,90,95,100})</f>
        <v>90</v>
      </c>
      <c r="J9" s="7"/>
      <c r="K9" s="7"/>
      <c r="L9" s="7">
        <f>I9+K9</f>
        <v>90</v>
      </c>
      <c r="M9" s="6">
        <v>6.5</v>
      </c>
      <c r="N9" s="43">
        <f>13-M9</f>
        <v>6.5</v>
      </c>
      <c r="O9" s="40">
        <f>LOOKUP(N9,{0,2.5,2.7,2.9,3.1,3.3,3.5,3.7,3.9,4.1,4.3,4.5,4.7,4.9,5.1,5.3,5.5,5.6,5.7,5.8,5.9},{0,10,20,30,40,50,60,62,64,66,68,70,72,74,76,78,80,85,90,95,100})</f>
        <v>100</v>
      </c>
      <c r="P9" s="6">
        <v>3.27</v>
      </c>
      <c r="Q9" s="6">
        <f>10-P9</f>
        <v>6.73</v>
      </c>
      <c r="R9" s="40">
        <f>LOOKUP(Q9,{0,3.75,3.95,4.55,4.75,4.95,5.55,5.6,5.65,5.7,5.75,5.8,5.85,5.9,5.95,6,6.45,6.53,6.6,6.65,6.7},{0,10,20,30,40,50,60,62,64,66,68,70,72,74,76,78,80,85,90,95,100})</f>
        <v>100</v>
      </c>
      <c r="S9" s="7">
        <f>3.3-P9</f>
        <v>0.0299999999999998</v>
      </c>
      <c r="T9" s="40">
        <f>LOOKUP(S9,{0,0.04,0.08,0.12,0.16,0.2,0.23,0.26,0.29,0.32,0.35},{0,1,2,3,4,5,6,7,8,9,10})</f>
        <v>0</v>
      </c>
      <c r="U9" s="7">
        <f>R9+T9</f>
        <v>100</v>
      </c>
      <c r="W9" s="7">
        <f>E9*0.1+G9*0.1+I9*0.1+O9*0.2+R9*0.2</f>
        <v>66</v>
      </c>
      <c r="X9" s="21">
        <f>W9/0.7+K9+T9</f>
        <v>94.2857142857143</v>
      </c>
    </row>
    <row r="10" ht="15.6" hidden="1" spans="1:24">
      <c r="A10" s="6">
        <v>106</v>
      </c>
      <c r="B10" s="29" t="s">
        <v>252</v>
      </c>
      <c r="C10" s="29" t="s">
        <v>11</v>
      </c>
      <c r="D10" s="6">
        <v>0.2</v>
      </c>
      <c r="E10" s="40">
        <f>LOOKUP(D10,{0,-4,-3,-2,-1,0,1,2.4,3.8,5.2,6.6,8,9.4,10.8,12.2,13.6,15,17.2,19.4,21.5,23.6},{0,10,20,30,40,50,60,62,64,66,68,70,72,74,76,78,80,85,90,95,100})</f>
        <v>50</v>
      </c>
      <c r="F10" s="6">
        <v>250</v>
      </c>
      <c r="G10" s="40">
        <f>LOOKUP(F10,{0,170,175,180,185,190,195,199,203,207,211,215,219,223,227,231,235,243,250,255,260},{0,10,20,30,40,50,60,62,64,66,68,70,72,74,76,78,80,85,90,95,100})</f>
        <v>90</v>
      </c>
      <c r="H10" s="6">
        <v>26</v>
      </c>
      <c r="I10" s="40">
        <f>LOOKUP(H10,{0,2,3,4,5,6,7,8,9,10,11,12,13,14,15,16},{0,10,20,30,40,50,60,64,68,72,76,80,85,90,95,100})</f>
        <v>100</v>
      </c>
      <c r="J10" s="7">
        <f>H10-16</f>
        <v>10</v>
      </c>
      <c r="K10" s="40">
        <f>LOOKUP(J10,{0,1,2,3,4,5,6,7,8,9,10},{0,1,2,3,4,5,6,7,8,9,10})</f>
        <v>10</v>
      </c>
      <c r="L10" s="7">
        <f>I10+K10</f>
        <v>110</v>
      </c>
      <c r="M10" s="6">
        <v>6.6</v>
      </c>
      <c r="N10" s="43">
        <f>13-M10</f>
        <v>6.4</v>
      </c>
      <c r="O10" s="40">
        <f>LOOKUP(N10,{0,2.5,2.7,2.9,3.1,3.3,3.5,3.7,3.9,4.1,4.3,4.5,4.7,4.9,5.1,5.3,5.5,5.6,5.7,5.8,5.9},{0,10,20,30,40,50,60,62,64,66,68,70,72,74,76,78,80,85,90,95,100})</f>
        <v>100</v>
      </c>
      <c r="P10" s="6">
        <v>3.04</v>
      </c>
      <c r="Q10" s="6">
        <f>10-P10</f>
        <v>6.96</v>
      </c>
      <c r="R10" s="40">
        <f>LOOKUP(Q10,{0,3.75,3.95,4.55,4.75,4.95,5.55,5.6,5.65,5.7,5.75,5.8,5.85,5.9,5.95,6,6.45,6.53,6.6,6.65,6.7},{0,10,20,30,40,50,60,62,64,66,68,70,72,74,76,78,80,85,90,95,100})</f>
        <v>100</v>
      </c>
      <c r="S10" s="7">
        <f>3.3-P10</f>
        <v>0.26</v>
      </c>
      <c r="T10" s="40">
        <f>LOOKUP(S10,{0,0.04,0.08,0.12,0.16,0.2,0.23,0.26,0.29,0.32,0.35},{0,1,2,3,4,5,6,7,8,9,10})</f>
        <v>7</v>
      </c>
      <c r="U10" s="7">
        <f>R10+T10</f>
        <v>107</v>
      </c>
      <c r="W10" s="7">
        <f>E10*0.1+G10*0.1+I10*0.1+O10*0.2+R10*0.2</f>
        <v>64</v>
      </c>
      <c r="X10" s="21">
        <f>W10/0.7+K10+T10</f>
        <v>108.428571428571</v>
      </c>
    </row>
    <row r="11" ht="15.6" hidden="1" spans="1:24">
      <c r="A11" s="6">
        <v>115</v>
      </c>
      <c r="B11" s="29" t="s">
        <v>751</v>
      </c>
      <c r="C11" s="29" t="s">
        <v>11</v>
      </c>
      <c r="D11" s="6">
        <v>18.4</v>
      </c>
      <c r="E11" s="40">
        <f>LOOKUP(D11,{0,-4,-3,-2,-1,0,1,2.4,3.8,5.2,6.6,8,9.4,10.8,12.2,13.6,15,17.2,19.4,21.5,23.6},{0,10,20,30,40,50,60,62,64,66,68,70,72,74,76,78,80,85,90,95,100})</f>
        <v>85</v>
      </c>
      <c r="F11" s="6">
        <v>240</v>
      </c>
      <c r="G11" s="40">
        <f>LOOKUP(F11,{0,170,175,180,185,190,195,199,203,207,211,215,219,223,227,231,235,243,250,255,260},{0,10,20,30,40,50,60,62,64,66,68,70,72,74,76,78,80,85,90,95,100})</f>
        <v>80</v>
      </c>
      <c r="H11" s="6">
        <v>20</v>
      </c>
      <c r="I11" s="40">
        <f>LOOKUP(H11,{0,2,3,4,5,6,7,8,9,10,11,12,13,14,15,16},{0,10,20,30,40,50,60,64,68,72,76,80,85,90,95,100})</f>
        <v>100</v>
      </c>
      <c r="J11" s="7">
        <f>H11-16</f>
        <v>4</v>
      </c>
      <c r="K11" s="40">
        <f>LOOKUP(J11,{0,1,2,3,4,5,6,7,8,9,10},{0,1,2,3,4,5,6,7,8,9,10})</f>
        <v>4</v>
      </c>
      <c r="L11" s="7">
        <f>I11+K11</f>
        <v>104</v>
      </c>
      <c r="M11" s="6">
        <v>6.6</v>
      </c>
      <c r="N11" s="43">
        <f>13-M11</f>
        <v>6.4</v>
      </c>
      <c r="O11" s="40">
        <f>LOOKUP(N11,{0,2.5,2.7,2.9,3.1,3.3,3.5,3.7,3.9,4.1,4.3,4.5,4.7,4.9,5.1,5.3,5.5,5.6,5.7,5.8,5.9},{0,10,20,30,40,50,60,62,64,66,68,70,72,74,76,78,80,85,90,95,100})</f>
        <v>100</v>
      </c>
      <c r="P11" s="6">
        <v>3.13</v>
      </c>
      <c r="Q11" s="6">
        <f>10-P11</f>
        <v>6.87</v>
      </c>
      <c r="R11" s="40">
        <f>LOOKUP(Q11,{0,3.75,3.95,4.55,4.75,4.95,5.55,5.6,5.65,5.7,5.75,5.8,5.85,5.9,5.95,6,6.45,6.53,6.6,6.65,6.7},{0,10,20,30,40,50,60,62,64,66,68,70,72,74,76,78,80,85,90,95,100})</f>
        <v>100</v>
      </c>
      <c r="S11" s="7">
        <f>3.3-P11</f>
        <v>0.17</v>
      </c>
      <c r="T11" s="40">
        <f>LOOKUP(S11,{0,0.04,0.08,0.12,0.16,0.2,0.23,0.26,0.29,0.32,0.35},{0,1,2,3,4,5,6,7,8,9,10})</f>
        <v>4</v>
      </c>
      <c r="U11" s="7">
        <f>R11+T11</f>
        <v>104</v>
      </c>
      <c r="W11" s="7">
        <f>E11*0.1+G11*0.1+I11*0.1+O11*0.2+R11*0.2</f>
        <v>66.5</v>
      </c>
      <c r="X11" s="21">
        <f>W11/0.7+K11+T11</f>
        <v>103</v>
      </c>
    </row>
    <row r="12" ht="15.6" hidden="1" spans="1:24">
      <c r="A12" s="6">
        <v>103</v>
      </c>
      <c r="B12" s="29" t="s">
        <v>129</v>
      </c>
      <c r="C12" s="29" t="s">
        <v>11</v>
      </c>
      <c r="D12" s="6">
        <v>21.2</v>
      </c>
      <c r="E12" s="40">
        <f>LOOKUP(D12,{0,-4,-3,-2,-1,0,1,2.4,3.8,5.2,6.6,8,9.4,10.8,12.2,13.6,15,17.2,19.4,21.5,23.6},{0,10,20,30,40,50,60,62,64,66,68,70,72,74,76,78,80,85,90,95,100})</f>
        <v>90</v>
      </c>
      <c r="F12" s="6">
        <v>300</v>
      </c>
      <c r="G12" s="40">
        <f>LOOKUP(F12,{0,170,175,180,185,190,195,199,203,207,211,215,219,223,227,231,235,243,250,255,260},{0,10,20,30,40,50,60,62,64,66,68,70,72,74,76,78,80,85,90,95,100})</f>
        <v>100</v>
      </c>
      <c r="H12" s="6">
        <v>20</v>
      </c>
      <c r="I12" s="40">
        <f>LOOKUP(H12,{0,2,3,4,5,6,7,8,9,10,11,12,13,14,15,16},{0,10,20,30,40,50,60,64,68,72,76,80,85,90,95,100})</f>
        <v>100</v>
      </c>
      <c r="J12" s="7">
        <f>H12-16</f>
        <v>4</v>
      </c>
      <c r="K12" s="40">
        <f>LOOKUP(J12,{0,1,2,3,4,5,6,7,8,9,10},{0,1,2,3,4,5,6,7,8,9,10})</f>
        <v>4</v>
      </c>
      <c r="L12" s="7">
        <f>I12+K12</f>
        <v>104</v>
      </c>
      <c r="M12" s="6">
        <v>6.6</v>
      </c>
      <c r="N12" s="43">
        <f>13-M12</f>
        <v>6.4</v>
      </c>
      <c r="O12" s="40">
        <f>LOOKUP(N12,{0,2.5,2.7,2.9,3.1,3.3,3.5,3.7,3.9,4.1,4.3,4.5,4.7,4.9,5.1,5.3,5.5,5.6,5.7,5.8,5.9},{0,10,20,30,40,50,60,62,64,66,68,70,72,74,76,78,80,85,90,95,100})</f>
        <v>100</v>
      </c>
      <c r="P12" s="6">
        <v>3.17</v>
      </c>
      <c r="Q12" s="6">
        <f>10-P12</f>
        <v>6.83</v>
      </c>
      <c r="R12" s="40">
        <f>LOOKUP(Q12,{0,3.75,3.95,4.55,4.75,4.95,5.55,5.6,5.65,5.7,5.75,5.8,5.85,5.9,5.95,6,6.45,6.53,6.6,6.65,6.7},{0,10,20,30,40,50,60,62,64,66,68,70,72,74,76,78,80,85,90,95,100})</f>
        <v>100</v>
      </c>
      <c r="S12" s="7">
        <f>3.3-P12</f>
        <v>0.13</v>
      </c>
      <c r="T12" s="40">
        <f>LOOKUP(S12,{0,0.04,0.08,0.12,0.16,0.2,0.23,0.26,0.29,0.32,0.35},{0,1,2,3,4,5,6,7,8,9,10})</f>
        <v>3</v>
      </c>
      <c r="U12" s="7">
        <f>R12+T12</f>
        <v>103</v>
      </c>
      <c r="W12" s="7">
        <f>E12*0.1+G12*0.1+I12*0.1+O12*0.2+R12*0.2</f>
        <v>69</v>
      </c>
      <c r="X12" s="21">
        <f>W12/0.7+K12+T12</f>
        <v>105.571428571429</v>
      </c>
    </row>
    <row r="13" s="3" customFormat="1" ht="15.6" hidden="1" spans="1:24">
      <c r="A13" s="6">
        <v>111</v>
      </c>
      <c r="B13" s="29" t="s">
        <v>538</v>
      </c>
      <c r="C13" s="29" t="s">
        <v>11</v>
      </c>
      <c r="D13" s="6">
        <v>21</v>
      </c>
      <c r="E13" s="40">
        <f>LOOKUP(D13,{0,-4,-3,-2,-1,0,1,2.4,3.8,5.2,6.6,8,9.4,10.8,12.2,13.6,15,17.2,19.4,21.5,23.6},{0,10,20,30,40,50,60,62,64,66,68,70,72,74,76,78,80,85,90,95,100})</f>
        <v>90</v>
      </c>
      <c r="F13" s="6">
        <v>282</v>
      </c>
      <c r="G13" s="40">
        <f>LOOKUP(F13,{0,170,175,180,185,190,195,199,203,207,211,215,219,223,227,231,235,243,250,255,260},{0,10,20,30,40,50,60,62,64,66,68,70,72,74,76,78,80,85,90,95,100})</f>
        <v>100</v>
      </c>
      <c r="H13" s="6">
        <v>26</v>
      </c>
      <c r="I13" s="40">
        <f>LOOKUP(H13,{0,2,3,4,5,6,7,8,9,10,11,12,13,14,15,16},{0,10,20,30,40,50,60,64,68,72,76,80,85,90,95,100})</f>
        <v>100</v>
      </c>
      <c r="J13" s="7">
        <f>H13-16</f>
        <v>10</v>
      </c>
      <c r="K13" s="40">
        <f>LOOKUP(J13,{0,1,2,3,4,5,6,7,8,9,10},{0,1,2,3,4,5,6,7,8,9,10})</f>
        <v>10</v>
      </c>
      <c r="L13" s="7">
        <f>I13+K13</f>
        <v>110</v>
      </c>
      <c r="M13" s="6">
        <v>6.6</v>
      </c>
      <c r="N13" s="43">
        <f>13-M13</f>
        <v>6.4</v>
      </c>
      <c r="O13" s="40">
        <f>LOOKUP(N13,{0,2.5,2.7,2.9,3.1,3.3,3.5,3.7,3.9,4.1,4.3,4.5,4.7,4.9,5.1,5.3,5.5,5.6,5.7,5.8,5.9},{0,10,20,30,40,50,60,62,64,66,68,70,72,74,76,78,80,85,90,95,100})</f>
        <v>100</v>
      </c>
      <c r="P13" s="6">
        <v>3.23</v>
      </c>
      <c r="Q13" s="6">
        <f>10-P13</f>
        <v>6.77</v>
      </c>
      <c r="R13" s="40">
        <f>LOOKUP(Q13,{0,3.75,3.95,4.55,4.75,4.95,5.55,5.6,5.65,5.7,5.75,5.8,5.85,5.9,5.95,6,6.45,6.53,6.6,6.65,6.7},{0,10,20,30,40,50,60,62,64,66,68,70,72,74,76,78,80,85,90,95,100})</f>
        <v>100</v>
      </c>
      <c r="S13" s="7">
        <f>3.3-P13</f>
        <v>0.0699999999999998</v>
      </c>
      <c r="T13" s="40">
        <f>LOOKUP(S13,{0,0.04,0.08,0.12,0.16,0.2,0.23,0.26,0.29,0.32,0.35},{0,1,2,3,4,5,6,7,8,9,10})</f>
        <v>1</v>
      </c>
      <c r="U13" s="7">
        <f>R13+T13</f>
        <v>101</v>
      </c>
      <c r="V13" s="6"/>
      <c r="W13" s="7">
        <f>E13*0.1+G13*0.1+I13*0.1+O13*0.2+R13*0.2</f>
        <v>69</v>
      </c>
      <c r="X13" s="21">
        <f>W13/0.7+K13+T13</f>
        <v>109.571428571429</v>
      </c>
    </row>
    <row r="14" ht="15.6" hidden="1" spans="1:24">
      <c r="A14" s="6">
        <v>104</v>
      </c>
      <c r="B14" s="29" t="s">
        <v>195</v>
      </c>
      <c r="C14" s="29" t="s">
        <v>11</v>
      </c>
      <c r="D14" s="6">
        <v>11.5</v>
      </c>
      <c r="E14" s="40">
        <f>LOOKUP(D14,{0,-4,-3,-2,-1,0,1,2.4,3.8,5.2,6.6,8,9.4,10.8,12.2,13.6,15,17.2,19.4,21.5,23.6},{0,10,20,30,40,50,60,62,64,66,68,70,72,74,76,78,80,85,90,95,100})</f>
        <v>74</v>
      </c>
      <c r="F14" s="6">
        <v>247</v>
      </c>
      <c r="G14" s="40">
        <f>LOOKUP(F14,{0,170,175,180,185,190,195,199,203,207,211,215,219,223,227,231,235,243,250,255,260},{0,10,20,30,40,50,60,62,64,66,68,70,72,74,76,78,80,85,90,95,100})</f>
        <v>85</v>
      </c>
      <c r="H14" s="6">
        <v>19</v>
      </c>
      <c r="I14" s="40">
        <f>LOOKUP(H14,{0,2,3,4,5,6,7,8,9,10,11,12,13,14,15,16},{0,10,20,30,40,50,60,64,68,72,76,80,85,90,95,100})</f>
        <v>100</v>
      </c>
      <c r="J14" s="7">
        <f>H14-16</f>
        <v>3</v>
      </c>
      <c r="K14" s="40">
        <f>LOOKUP(J14,{0,1,2,3,4,5,6,7,8,9,10},{0,1,2,3,4,5,6,7,8,9,10})</f>
        <v>3</v>
      </c>
      <c r="L14" s="7">
        <f>I14+K14</f>
        <v>103</v>
      </c>
      <c r="M14" s="6">
        <v>6.6</v>
      </c>
      <c r="N14" s="43">
        <f>13-M14</f>
        <v>6.4</v>
      </c>
      <c r="O14" s="40">
        <f>LOOKUP(N14,{0,2.5,2.7,2.9,3.1,3.3,3.5,3.7,3.9,4.1,4.3,4.5,4.7,4.9,5.1,5.3,5.5,5.6,5.7,5.8,5.9},{0,10,20,30,40,50,60,62,64,66,68,70,72,74,76,78,80,85,90,95,100})</f>
        <v>100</v>
      </c>
      <c r="P14" s="6">
        <v>3.35</v>
      </c>
      <c r="Q14" s="6">
        <f>10-P14</f>
        <v>6.65</v>
      </c>
      <c r="R14" s="40">
        <f>LOOKUP(Q14,{0,3.75,3.95,4.55,4.75,4.95,5.55,5.6,5.65,5.7,5.75,5.8,5.85,5.9,5.95,6,6.45,6.53,6.6,6.65,6.7},{0,10,20,30,40,50,60,62,64,66,68,70,72,74,76,78,80,85,90,95,100})</f>
        <v>95</v>
      </c>
      <c r="S14" s="7"/>
      <c r="T14" s="7"/>
      <c r="U14" s="7">
        <f>R14+T14</f>
        <v>95</v>
      </c>
      <c r="W14" s="7">
        <f>E14*0.1+G14*0.1+I14*0.1+O14*0.2+R14*0.2</f>
        <v>64.9</v>
      </c>
      <c r="X14" s="21">
        <f>W14/0.7+K14+T14</f>
        <v>95.7142857142857</v>
      </c>
    </row>
    <row r="15" ht="15.6" hidden="1" spans="1:24">
      <c r="A15" s="6">
        <v>102</v>
      </c>
      <c r="B15" s="29" t="s">
        <v>94</v>
      </c>
      <c r="C15" s="29" t="s">
        <v>11</v>
      </c>
      <c r="D15" s="6">
        <v>15</v>
      </c>
      <c r="E15" s="40">
        <f>LOOKUP(D15,{0,-4,-3,-2,-1,0,1,2.4,3.8,5.2,6.6,8,9.4,10.8,12.2,13.6,15,17.2,19.4,21.5,23.6},{0,10,20,30,40,50,60,62,64,66,68,70,72,74,76,78,80,85,90,95,100})</f>
        <v>80</v>
      </c>
      <c r="F15" s="6">
        <v>245</v>
      </c>
      <c r="G15" s="40">
        <f>LOOKUP(F15,{0,170,175,180,185,190,195,199,203,207,211,215,219,223,227,231,235,243,250,255,260},{0,10,20,30,40,50,60,62,64,66,68,70,72,74,76,78,80,85,90,95,100})</f>
        <v>85</v>
      </c>
      <c r="H15" s="6">
        <v>16</v>
      </c>
      <c r="I15" s="40">
        <f>LOOKUP(H15,{0,2,3,4,5,6,7,8,9,10,11,12,13,14,15,16},{0,10,20,30,40,50,60,64,68,72,76,80,85,90,95,100})</f>
        <v>100</v>
      </c>
      <c r="J15" s="7">
        <f>H15-16</f>
        <v>0</v>
      </c>
      <c r="K15" s="40">
        <f>LOOKUP(J15,{0,1,2,3,4,5,6,7,8,9,10},{0,1,2,3,4,5,6,7,8,9,10})</f>
        <v>0</v>
      </c>
      <c r="L15" s="7">
        <f>I15+K15</f>
        <v>100</v>
      </c>
      <c r="M15" s="6">
        <v>6.6</v>
      </c>
      <c r="N15" s="43">
        <f>13-M15</f>
        <v>6.4</v>
      </c>
      <c r="O15" s="40">
        <f>LOOKUP(N15,{0,2.5,2.7,2.9,3.1,3.3,3.5,3.7,3.9,4.1,4.3,4.5,4.7,4.9,5.1,5.3,5.5,5.6,5.7,5.8,5.9},{0,10,20,30,40,50,60,62,64,66,68,70,72,74,76,78,80,85,90,95,100})</f>
        <v>100</v>
      </c>
      <c r="P15" s="6">
        <v>3.41</v>
      </c>
      <c r="Q15" s="6">
        <f>10-P15</f>
        <v>6.59</v>
      </c>
      <c r="R15" s="40">
        <f>LOOKUP(Q15,{0,3.75,3.95,4.55,4.75,4.95,5.55,5.6,5.65,5.7,5.75,5.8,5.85,5.9,5.95,6,6.45,6.53,6.6,6.65,6.7},{0,10,20,30,40,50,60,62,64,66,68,70,72,74,76,78,80,85,90,95,100})</f>
        <v>85</v>
      </c>
      <c r="S15" s="7"/>
      <c r="T15" s="7"/>
      <c r="U15" s="7">
        <f>R15+T15</f>
        <v>85</v>
      </c>
      <c r="W15" s="7">
        <f>E15*0.1+G15*0.1+I15*0.1+O15*0.2+R15*0.2</f>
        <v>63.5</v>
      </c>
      <c r="X15" s="21">
        <f>W15/0.7+K15+T15</f>
        <v>90.7142857142857</v>
      </c>
    </row>
    <row r="16" ht="15.6" hidden="1" spans="1:24">
      <c r="A16" s="6">
        <v>107</v>
      </c>
      <c r="B16" s="29" t="s">
        <v>301</v>
      </c>
      <c r="C16" s="29" t="s">
        <v>11</v>
      </c>
      <c r="D16" s="6">
        <v>18.1</v>
      </c>
      <c r="E16" s="40">
        <f>LOOKUP(D16,{0,-4,-3,-2,-1,0,1,2.4,3.8,5.2,6.6,8,9.4,10.8,12.2,13.6,15,17.2,19.4,21.5,23.6},{0,10,20,30,40,50,60,62,64,66,68,70,72,74,76,78,80,85,90,95,100})</f>
        <v>85</v>
      </c>
      <c r="F16" s="6">
        <v>255</v>
      </c>
      <c r="G16" s="40">
        <f>LOOKUP(F16,{0,170,175,180,185,190,195,199,203,207,211,215,219,223,227,231,235,243,250,255,260},{0,10,20,30,40,50,60,62,64,66,68,70,72,74,76,78,80,85,90,95,100})</f>
        <v>95</v>
      </c>
      <c r="H16" s="6">
        <v>28</v>
      </c>
      <c r="I16" s="40">
        <f>LOOKUP(H16,{0,2,3,4,5,6,7,8,9,10,11,12,13,14,15,16},{0,10,20,30,40,50,60,64,68,72,76,80,85,90,95,100})</f>
        <v>100</v>
      </c>
      <c r="J16" s="7">
        <f>H16-16</f>
        <v>12</v>
      </c>
      <c r="K16" s="40">
        <f>LOOKUP(J16,{0,1,2,3,4,5,6,7,8,9,10},{0,1,2,3,4,5,6,7,8,9,10})</f>
        <v>10</v>
      </c>
      <c r="L16" s="7">
        <f>I16+K16</f>
        <v>110</v>
      </c>
      <c r="M16" s="6">
        <v>6.7</v>
      </c>
      <c r="N16" s="43">
        <f>13-M16</f>
        <v>6.3</v>
      </c>
      <c r="O16" s="40">
        <f>LOOKUP(N16,{0,2.5,2.7,2.9,3.1,3.3,3.5,3.7,3.9,4.1,4.3,4.5,4.7,4.9,5.1,5.3,5.5,5.6,5.7,5.8,5.9},{0,10,20,30,40,50,60,62,64,66,68,70,72,74,76,78,80,85,90,95,100})</f>
        <v>100</v>
      </c>
      <c r="P16" s="6">
        <v>3.1</v>
      </c>
      <c r="Q16" s="6">
        <f>10-P16</f>
        <v>6.9</v>
      </c>
      <c r="R16" s="40">
        <f>LOOKUP(Q16,{0,3.75,3.95,4.55,4.75,4.95,5.55,5.6,5.65,5.7,5.75,5.8,5.85,5.9,5.95,6,6.45,6.53,6.6,6.65,6.7},{0,10,20,30,40,50,60,62,64,66,68,70,72,74,76,78,80,85,90,95,100})</f>
        <v>100</v>
      </c>
      <c r="S16" s="7">
        <f>3.3-P16</f>
        <v>0.2</v>
      </c>
      <c r="T16" s="40">
        <f>LOOKUP(S16,{0,0.04,0.08,0.12,0.16,0.2,0.23,0.26,0.29,0.32,0.35},{0,1,2,3,4,5,6,7,8,9,10})</f>
        <v>4</v>
      </c>
      <c r="U16" s="7">
        <f>R16+T16</f>
        <v>104</v>
      </c>
      <c r="W16" s="7">
        <f>E16*0.1+G16*0.1+I16*0.1+O16*0.2+R16*0.2</f>
        <v>68</v>
      </c>
      <c r="X16" s="21">
        <f>W16/0.7+K16+T16</f>
        <v>111.142857142857</v>
      </c>
    </row>
    <row r="17" ht="15.6" hidden="1" spans="1:24">
      <c r="A17" s="6">
        <v>103</v>
      </c>
      <c r="B17" s="29" t="s">
        <v>125</v>
      </c>
      <c r="C17" s="29" t="s">
        <v>11</v>
      </c>
      <c r="D17" s="6">
        <v>18.5</v>
      </c>
      <c r="E17" s="40">
        <f>LOOKUP(D17,{0,-4,-3,-2,-1,0,1,2.4,3.8,5.2,6.6,8,9.4,10.8,12.2,13.6,15,17.2,19.4,21.5,23.6},{0,10,20,30,40,50,60,62,64,66,68,70,72,74,76,78,80,85,90,95,100})</f>
        <v>85</v>
      </c>
      <c r="F17" s="6">
        <v>245</v>
      </c>
      <c r="G17" s="40">
        <f>LOOKUP(F17,{0,170,175,180,185,190,195,199,203,207,211,215,219,223,227,231,235,243,250,255,260},{0,10,20,30,40,50,60,62,64,66,68,70,72,74,76,78,80,85,90,95,100})</f>
        <v>85</v>
      </c>
      <c r="H17" s="6">
        <v>21</v>
      </c>
      <c r="I17" s="40">
        <f>LOOKUP(H17,{0,2,3,4,5,6,7,8,9,10,11,12,13,14,15,16},{0,10,20,30,40,50,60,64,68,72,76,80,85,90,95,100})</f>
        <v>100</v>
      </c>
      <c r="J17" s="7">
        <f>H17-16</f>
        <v>5</v>
      </c>
      <c r="K17" s="40">
        <f>LOOKUP(J17,{0,1,2,3,4,5,6,7,8,9,10},{0,1,2,3,4,5,6,7,8,9,10})</f>
        <v>5</v>
      </c>
      <c r="L17" s="7">
        <f>I17+K17</f>
        <v>105</v>
      </c>
      <c r="M17" s="6">
        <v>6.7</v>
      </c>
      <c r="N17" s="43">
        <f>13-M17</f>
        <v>6.3</v>
      </c>
      <c r="O17" s="40">
        <f>LOOKUP(N17,{0,2.5,2.7,2.9,3.1,3.3,3.5,3.7,3.9,4.1,4.3,4.5,4.7,4.9,5.1,5.3,5.5,5.6,5.7,5.8,5.9},{0,10,20,30,40,50,60,62,64,66,68,70,72,74,76,78,80,85,90,95,100})</f>
        <v>100</v>
      </c>
      <c r="P17" s="6">
        <v>3.14</v>
      </c>
      <c r="Q17" s="6">
        <f>10-P17</f>
        <v>6.86</v>
      </c>
      <c r="R17" s="40">
        <f>LOOKUP(Q17,{0,3.75,3.95,4.55,4.75,4.95,5.55,5.6,5.65,5.7,5.75,5.8,5.85,5.9,5.95,6,6.45,6.53,6.6,6.65,6.7},{0,10,20,30,40,50,60,62,64,66,68,70,72,74,76,78,80,85,90,95,100})</f>
        <v>100</v>
      </c>
      <c r="S17" s="7">
        <f>3.3-P17</f>
        <v>0.16</v>
      </c>
      <c r="T17" s="40">
        <f>LOOKUP(S17,{0,0.04,0.08,0.12,0.16,0.2,0.23,0.26,0.29,0.32,0.35},{0,1,2,3,4,5,6,7,8,9,10})</f>
        <v>3</v>
      </c>
      <c r="U17" s="7">
        <f>R17+T17</f>
        <v>103</v>
      </c>
      <c r="W17" s="7">
        <f>E17*0.1+G17*0.1+I17*0.1+O17*0.2+R17*0.2</f>
        <v>67</v>
      </c>
      <c r="X17" s="21">
        <f>W17/0.7+K17+T17</f>
        <v>103.714285714286</v>
      </c>
    </row>
    <row r="18" ht="15.6" hidden="1" spans="1:24">
      <c r="A18" s="6">
        <v>104</v>
      </c>
      <c r="B18" s="39" t="s">
        <v>179</v>
      </c>
      <c r="C18" s="29" t="s">
        <v>11</v>
      </c>
      <c r="D18" s="6">
        <v>5.1</v>
      </c>
      <c r="E18" s="40">
        <f>LOOKUP(D18,{0,-4,-3,-2,-1,0,1,2.4,3.8,5.2,6.6,8,9.4,10.8,12.2,13.6,15,17.2,19.4,21.5,23.6},{0,10,20,30,40,50,60,62,64,66,68,70,72,74,76,78,80,85,90,95,100})</f>
        <v>64</v>
      </c>
      <c r="F18" s="6">
        <v>248</v>
      </c>
      <c r="G18" s="40">
        <f>LOOKUP(F18,{0,170,175,180,185,190,195,199,203,207,211,215,219,223,227,231,235,243,250,255,260},{0,10,20,30,40,50,60,62,64,66,68,70,72,74,76,78,80,85,90,95,100})</f>
        <v>85</v>
      </c>
      <c r="H18" s="6">
        <v>13</v>
      </c>
      <c r="I18" s="40">
        <f>LOOKUP(H18,{0,2,3,4,5,6,7,8,9,10,11,12,13,14,15,16},{0,10,20,30,40,50,60,64,68,72,76,80,85,90,95,100})</f>
        <v>85</v>
      </c>
      <c r="J18" s="7"/>
      <c r="K18" s="7"/>
      <c r="L18" s="7">
        <f>I18+K18</f>
        <v>85</v>
      </c>
      <c r="M18" s="6">
        <v>6.7</v>
      </c>
      <c r="N18" s="43">
        <f>13-M18</f>
        <v>6.3</v>
      </c>
      <c r="O18" s="40">
        <f>LOOKUP(N18,{0,2.5,2.7,2.9,3.1,3.3,3.5,3.7,3.9,4.1,4.3,4.5,4.7,4.9,5.1,5.3,5.5,5.6,5.7,5.8,5.9},{0,10,20,30,40,50,60,62,64,66,68,70,72,74,76,78,80,85,90,95,100})</f>
        <v>100</v>
      </c>
      <c r="P18" s="6">
        <v>3.21</v>
      </c>
      <c r="Q18" s="6">
        <f>10-P18</f>
        <v>6.79</v>
      </c>
      <c r="R18" s="40">
        <f>LOOKUP(Q18,{0,3.75,3.95,4.55,4.75,4.95,5.55,5.6,5.65,5.7,5.75,5.8,5.85,5.9,5.95,6,6.45,6.53,6.6,6.65,6.7},{0,10,20,30,40,50,60,62,64,66,68,70,72,74,76,78,80,85,90,95,100})</f>
        <v>100</v>
      </c>
      <c r="S18" s="7">
        <f>3.3-P18</f>
        <v>0.0899999999999999</v>
      </c>
      <c r="T18" s="40">
        <f>LOOKUP(S18,{0,0.04,0.08,0.12,0.16,0.2,0.23,0.26,0.29,0.32,0.35},{0,1,2,3,4,5,6,7,8,9,10})</f>
        <v>2</v>
      </c>
      <c r="U18" s="7">
        <f>R18+T18</f>
        <v>102</v>
      </c>
      <c r="W18" s="7">
        <f>E18*0.1+G18*0.1+I18*0.1+O18*0.2+R18*0.2</f>
        <v>63.4</v>
      </c>
      <c r="X18" s="21">
        <f>W18/0.7+K18+T18</f>
        <v>92.5714285714286</v>
      </c>
    </row>
    <row r="19" ht="15.6" hidden="1" spans="1:24">
      <c r="A19" s="6">
        <v>101</v>
      </c>
      <c r="B19" s="29" t="s">
        <v>32</v>
      </c>
      <c r="C19" s="29" t="s">
        <v>11</v>
      </c>
      <c r="D19" s="6">
        <v>22</v>
      </c>
      <c r="E19" s="40">
        <f>LOOKUP(D19,{0,-4,-3,-2,-1,0,1,2.4,3.8,5.2,6.6,8,9.4,10.8,12.2,13.6,15,17.2,19.4,21.5,23.6},{0,10,20,30,40,50,60,62,64,66,68,70,72,74,76,78,80,85,90,95,100})</f>
        <v>95</v>
      </c>
      <c r="F19" s="6">
        <v>237</v>
      </c>
      <c r="G19" s="40">
        <f>LOOKUP(F19,{0,170,175,180,185,190,195,199,203,207,211,215,219,223,227,231,235,243,250,255,260},{0,10,20,30,40,50,60,62,64,66,68,70,72,74,76,78,80,85,90,95,100})</f>
        <v>80</v>
      </c>
      <c r="H19" s="6">
        <v>23</v>
      </c>
      <c r="I19" s="40">
        <f>LOOKUP(H19,{0,2,3,4,5,6,7,8,9,10,11,12,13,14,15,16},{0,10,20,30,40,50,60,64,68,72,76,80,85,90,95,100})</f>
        <v>100</v>
      </c>
      <c r="J19" s="7">
        <f>H19-16</f>
        <v>7</v>
      </c>
      <c r="K19" s="40">
        <f>LOOKUP(J19,{0,1,2,3,4,5,6,7,8,9,10},{0,1,2,3,4,5,6,7,8,9,10})</f>
        <v>7</v>
      </c>
      <c r="L19" s="7">
        <f>I19+K19</f>
        <v>107</v>
      </c>
      <c r="M19" s="6">
        <v>6.7</v>
      </c>
      <c r="N19" s="43">
        <f>13-M19</f>
        <v>6.3</v>
      </c>
      <c r="O19" s="40">
        <f>LOOKUP(N19,{0,2.5,2.7,2.9,3.1,3.3,3.5,3.7,3.9,4.1,4.3,4.5,4.7,4.9,5.1,5.3,5.5,5.6,5.7,5.8,5.9},{0,10,20,30,40,50,60,62,64,66,68,70,72,74,76,78,80,85,90,95,100})</f>
        <v>100</v>
      </c>
      <c r="P19" s="6">
        <v>3.24</v>
      </c>
      <c r="Q19" s="6">
        <f>10-P19</f>
        <v>6.76</v>
      </c>
      <c r="R19" s="40">
        <f>LOOKUP(Q19,{0,3.75,3.95,4.55,4.75,4.95,5.55,5.6,5.65,5.7,5.75,5.8,5.85,5.9,5.95,6,6.45,6.53,6.6,6.65,6.7},{0,10,20,30,40,50,60,62,64,66,68,70,72,74,76,78,80,85,90,95,100})</f>
        <v>100</v>
      </c>
      <c r="S19" s="7">
        <f>3.3-P19</f>
        <v>0.0599999999999996</v>
      </c>
      <c r="T19" s="40">
        <f>LOOKUP(S19,{0,0.04,0.08,0.12,0.16,0.2,0.23,0.26,0.29,0.32,0.35},{0,1,2,3,4,5,6,7,8,9,10})</f>
        <v>1</v>
      </c>
      <c r="U19" s="7">
        <f>R19+T19</f>
        <v>101</v>
      </c>
      <c r="W19" s="7">
        <f>E19*0.1+G19*0.1+I19*0.1+O19*0.2+R19*0.2</f>
        <v>67.5</v>
      </c>
      <c r="X19" s="21">
        <f>W19/0.7+K19+T19</f>
        <v>104.428571428571</v>
      </c>
    </row>
    <row r="20" ht="15.6" hidden="1" spans="1:24">
      <c r="A20" s="6">
        <v>101</v>
      </c>
      <c r="B20" s="29" t="s">
        <v>12</v>
      </c>
      <c r="C20" s="29" t="s">
        <v>11</v>
      </c>
      <c r="D20" s="6">
        <v>5.3</v>
      </c>
      <c r="E20" s="40">
        <f>LOOKUP(D20,{0,-4,-3,-2,-1,0,1,2.4,3.8,5.2,6.6,8,9.4,10.8,12.2,13.6,15,17.2,19.4,21.5,23.6},{0,10,20,30,40,50,60,62,64,66,68,70,72,74,76,78,80,85,90,95,100})</f>
        <v>66</v>
      </c>
      <c r="F20" s="6">
        <v>283</v>
      </c>
      <c r="G20" s="40">
        <f>LOOKUP(F20,{0,170,175,180,185,190,195,199,203,207,211,215,219,223,227,231,235,243,250,255,260},{0,10,20,30,40,50,60,62,64,66,68,70,72,74,76,78,80,85,90,95,100})</f>
        <v>100</v>
      </c>
      <c r="H20" s="6">
        <v>20</v>
      </c>
      <c r="I20" s="40">
        <f>LOOKUP(H20,{0,2,3,4,5,6,7,8,9,10,11,12,13,14,15,16},{0,10,20,30,40,50,60,64,68,72,76,80,85,90,95,100})</f>
        <v>100</v>
      </c>
      <c r="J20" s="7">
        <f>H20-16</f>
        <v>4</v>
      </c>
      <c r="K20" s="40">
        <f>LOOKUP(J20,{0,1,2,3,4,5,6,7,8,9,10},{0,1,2,3,4,5,6,7,8,9,10})</f>
        <v>4</v>
      </c>
      <c r="L20" s="7">
        <f>I20+K20</f>
        <v>104</v>
      </c>
      <c r="M20" s="6">
        <v>6.7</v>
      </c>
      <c r="N20" s="43">
        <f>13-M20</f>
        <v>6.3</v>
      </c>
      <c r="O20" s="40">
        <f>LOOKUP(N20,{0,2.5,2.7,2.9,3.1,3.3,3.5,3.7,3.9,4.1,4.3,4.5,4.7,4.9,5.1,5.3,5.5,5.6,5.7,5.8,5.9},{0,10,20,30,40,50,60,62,64,66,68,70,72,74,76,78,80,85,90,95,100})</f>
        <v>100</v>
      </c>
      <c r="P20" s="6">
        <v>3.25</v>
      </c>
      <c r="Q20" s="6">
        <f>10-P20</f>
        <v>6.75</v>
      </c>
      <c r="R20" s="40">
        <f>LOOKUP(Q20,{0,3.75,3.95,4.55,4.75,4.95,5.55,5.6,5.65,5.7,5.75,5.8,5.85,5.9,5.95,6,6.45,6.53,6.6,6.65,6.7},{0,10,20,30,40,50,60,62,64,66,68,70,72,74,76,78,80,85,90,95,100})</f>
        <v>100</v>
      </c>
      <c r="S20" s="7">
        <f>3.3-P20</f>
        <v>0.0499999999999998</v>
      </c>
      <c r="T20" s="40">
        <f>LOOKUP(S20,{0,0.04,0.08,0.12,0.16,0.2,0.23,0.26,0.29,0.32,0.35},{0,1,2,3,4,5,6,7,8,9,10})</f>
        <v>1</v>
      </c>
      <c r="U20" s="7">
        <f>R20+T20</f>
        <v>101</v>
      </c>
      <c r="W20" s="7">
        <f>E20*0.1+G20*0.1+I20*0.1+O20*0.2+R20*0.2</f>
        <v>66.6</v>
      </c>
      <c r="X20" s="21">
        <f>W20/0.7+K20+T20</f>
        <v>100.142857142857</v>
      </c>
    </row>
    <row r="21" ht="15.6" hidden="1" spans="1:24">
      <c r="A21" s="6">
        <v>101</v>
      </c>
      <c r="B21" s="29" t="s">
        <v>40</v>
      </c>
      <c r="C21" s="29" t="s">
        <v>11</v>
      </c>
      <c r="D21" s="6">
        <v>9.5</v>
      </c>
      <c r="E21" s="40">
        <f>LOOKUP(D21,{0,-4,-3,-2,-1,0,1,2.4,3.8,5.2,6.6,8,9.4,10.8,12.2,13.6,15,17.2,19.4,21.5,23.6},{0,10,20,30,40,50,60,62,64,66,68,70,72,74,76,78,80,85,90,95,100})</f>
        <v>72</v>
      </c>
      <c r="F21" s="6">
        <v>255</v>
      </c>
      <c r="G21" s="40">
        <f>LOOKUP(F21,{0,170,175,180,185,190,195,199,203,207,211,215,219,223,227,231,235,243,250,255,260},{0,10,20,30,40,50,60,62,64,66,68,70,72,74,76,78,80,85,90,95,100})</f>
        <v>95</v>
      </c>
      <c r="H21" s="6">
        <v>13</v>
      </c>
      <c r="I21" s="40">
        <f>LOOKUP(H21,{0,2,3,4,5,6,7,8,9,10,11,12,13,14,15,16},{0,10,20,30,40,50,60,64,68,72,76,80,85,90,95,100})</f>
        <v>85</v>
      </c>
      <c r="J21" s="7"/>
      <c r="K21" s="7"/>
      <c r="L21" s="7">
        <f>I21+K21</f>
        <v>85</v>
      </c>
      <c r="M21" s="6">
        <v>6.7</v>
      </c>
      <c r="N21" s="43">
        <f>13-M21</f>
        <v>6.3</v>
      </c>
      <c r="O21" s="40">
        <f>LOOKUP(N21,{0,2.5,2.7,2.9,3.1,3.3,3.5,3.7,3.9,4.1,4.3,4.5,4.7,4.9,5.1,5.3,5.5,5.6,5.7,5.8,5.9},{0,10,20,30,40,50,60,62,64,66,68,70,72,74,76,78,80,85,90,95,100})</f>
        <v>100</v>
      </c>
      <c r="P21" s="6">
        <v>3.25</v>
      </c>
      <c r="Q21" s="6">
        <f>10-P21</f>
        <v>6.75</v>
      </c>
      <c r="R21" s="40">
        <f>LOOKUP(Q21,{0,3.75,3.95,4.55,4.75,4.95,5.55,5.6,5.65,5.7,5.75,5.8,5.85,5.9,5.95,6,6.45,6.53,6.6,6.65,6.7},{0,10,20,30,40,50,60,62,64,66,68,70,72,74,76,78,80,85,90,95,100})</f>
        <v>100</v>
      </c>
      <c r="S21" s="7">
        <f>3.3-P21</f>
        <v>0.0499999999999998</v>
      </c>
      <c r="T21" s="40">
        <f>LOOKUP(S21,{0,0.04,0.08,0.12,0.16,0.2,0.23,0.26,0.29,0.32,0.35},{0,1,2,3,4,5,6,7,8,9,10})</f>
        <v>1</v>
      </c>
      <c r="U21" s="7">
        <f>R21+T21</f>
        <v>101</v>
      </c>
      <c r="W21" s="7">
        <f>E21*0.1+G21*0.1+I21*0.1+O21*0.2+R21*0.2</f>
        <v>65.2</v>
      </c>
      <c r="X21" s="21">
        <f>W21/0.7+K21+T21</f>
        <v>94.1428571428572</v>
      </c>
    </row>
    <row r="22" ht="15.6" hidden="1" spans="1:24">
      <c r="A22" s="6">
        <v>104</v>
      </c>
      <c r="B22" s="29" t="s">
        <v>177</v>
      </c>
      <c r="C22" s="29" t="s">
        <v>11</v>
      </c>
      <c r="D22" s="6">
        <v>14.2</v>
      </c>
      <c r="E22" s="40">
        <f>LOOKUP(D22,{0,-4,-3,-2,-1,0,1,2.4,3.8,5.2,6.6,8,9.4,10.8,12.2,13.6,15,17.2,19.4,21.5,23.6},{0,10,20,30,40,50,60,62,64,66,68,70,72,74,76,78,80,85,90,95,100})</f>
        <v>78</v>
      </c>
      <c r="F22" s="6">
        <v>263</v>
      </c>
      <c r="G22" s="40">
        <f>LOOKUP(F22,{0,170,175,180,185,190,195,199,203,207,211,215,219,223,227,231,235,243,250,255,260},{0,10,20,30,40,50,60,62,64,66,68,70,72,74,76,78,80,85,90,95,100})</f>
        <v>100</v>
      </c>
      <c r="H22" s="6">
        <v>2</v>
      </c>
      <c r="I22" s="40">
        <f>LOOKUP(H22,{0,2,3,4,5,6,7,8,9,10,11,12,13,14,15,16},{0,10,20,30,40,50,60,64,68,72,76,80,85,90,95,100})</f>
        <v>10</v>
      </c>
      <c r="J22" s="7"/>
      <c r="K22" s="7"/>
      <c r="L22" s="7">
        <f>I22+K22</f>
        <v>10</v>
      </c>
      <c r="M22" s="6">
        <v>6.7</v>
      </c>
      <c r="N22" s="43">
        <f>13-M22</f>
        <v>6.3</v>
      </c>
      <c r="O22" s="40">
        <f>LOOKUP(N22,{0,2.5,2.7,2.9,3.1,3.3,3.5,3.7,3.9,4.1,4.3,4.5,4.7,4.9,5.1,5.3,5.5,5.6,5.7,5.8,5.9},{0,10,20,30,40,50,60,62,64,66,68,70,72,74,76,78,80,85,90,95,100})</f>
        <v>100</v>
      </c>
      <c r="P22" s="6">
        <v>3.25</v>
      </c>
      <c r="Q22" s="6">
        <f>10-P22</f>
        <v>6.75</v>
      </c>
      <c r="R22" s="40">
        <f>LOOKUP(Q22,{0,3.75,3.95,4.55,4.75,4.95,5.55,5.6,5.65,5.7,5.75,5.8,5.85,5.9,5.95,6,6.45,6.53,6.6,6.65,6.7},{0,10,20,30,40,50,60,62,64,66,68,70,72,74,76,78,80,85,90,95,100})</f>
        <v>100</v>
      </c>
      <c r="S22" s="7">
        <f>3.3-P22</f>
        <v>0.0499999999999998</v>
      </c>
      <c r="T22" s="40">
        <f>LOOKUP(S22,{0,0.04,0.08,0.12,0.16,0.2,0.23,0.26,0.29,0.32,0.35},{0,1,2,3,4,5,6,7,8,9,10})</f>
        <v>1</v>
      </c>
      <c r="U22" s="7">
        <f>R22+T22</f>
        <v>101</v>
      </c>
      <c r="W22" s="7">
        <f>E22*0.1+G22*0.1+I22*0.1+O22*0.2+R22*0.2</f>
        <v>58.8</v>
      </c>
      <c r="X22" s="21">
        <f>W22/0.7+K22+T22</f>
        <v>85</v>
      </c>
    </row>
    <row r="23" ht="15.6" hidden="1" spans="1:24">
      <c r="A23" s="6">
        <v>109</v>
      </c>
      <c r="B23" s="29" t="s">
        <v>421</v>
      </c>
      <c r="C23" s="29" t="s">
        <v>11</v>
      </c>
      <c r="D23" s="6">
        <v>4.2</v>
      </c>
      <c r="E23" s="40">
        <f>LOOKUP(D23,{0,-4,-3,-2,-1,0,1,2.4,3.8,5.2,6.6,8,9.4,10.8,12.2,13.6,15,17.2,19.4,21.5,23.6},{0,10,20,30,40,50,60,62,64,66,68,70,72,74,76,78,80,85,90,95,100})</f>
        <v>64</v>
      </c>
      <c r="F23" s="6">
        <v>255</v>
      </c>
      <c r="G23" s="40">
        <f>LOOKUP(F23,{0,170,175,180,185,190,195,199,203,207,211,215,219,223,227,231,235,243,250,255,260},{0,10,20,30,40,50,60,62,64,66,68,70,72,74,76,78,80,85,90,95,100})</f>
        <v>95</v>
      </c>
      <c r="H23" s="6">
        <v>12</v>
      </c>
      <c r="I23" s="40">
        <f>LOOKUP(H23,{0,2,3,4,5,6,7,8,9,10,11,12,13,14,15,16},{0,10,20,30,40,50,60,64,68,72,76,80,85,90,95,100})</f>
        <v>80</v>
      </c>
      <c r="J23" s="7"/>
      <c r="K23" s="7"/>
      <c r="L23" s="7">
        <f>I23+K23</f>
        <v>80</v>
      </c>
      <c r="M23" s="6">
        <v>6.7</v>
      </c>
      <c r="N23" s="43">
        <f>13-M23</f>
        <v>6.3</v>
      </c>
      <c r="O23" s="40">
        <f>LOOKUP(N23,{0,2.5,2.7,2.9,3.1,3.3,3.5,3.7,3.9,4.1,4.3,4.5,4.7,4.9,5.1,5.3,5.5,5.6,5.7,5.8,5.9},{0,10,20,30,40,50,60,62,64,66,68,70,72,74,76,78,80,85,90,95,100})</f>
        <v>100</v>
      </c>
      <c r="P23" s="6">
        <v>3.28</v>
      </c>
      <c r="Q23" s="6">
        <f>10-P23</f>
        <v>6.72</v>
      </c>
      <c r="R23" s="40">
        <f>LOOKUP(Q23,{0,3.75,3.95,4.55,4.75,4.95,5.55,5.6,5.65,5.7,5.75,5.8,5.85,5.9,5.95,6,6.45,6.53,6.6,6.65,6.7},{0,10,20,30,40,50,60,62,64,66,68,70,72,74,76,78,80,85,90,95,100})</f>
        <v>100</v>
      </c>
      <c r="S23" s="7">
        <f>3.3-P23</f>
        <v>0.02</v>
      </c>
      <c r="T23" s="40">
        <f>LOOKUP(S23,{0,0.04,0.08,0.12,0.16,0.2,0.23,0.26,0.29,0.32,0.35},{0,1,2,3,4,5,6,7,8,9,10})</f>
        <v>0</v>
      </c>
      <c r="U23" s="7">
        <f>R23+T23</f>
        <v>100</v>
      </c>
      <c r="W23" s="7">
        <f>E23*0.1+G23*0.1+I23*0.1+O23*0.2+R23*0.2</f>
        <v>63.9</v>
      </c>
      <c r="X23" s="21">
        <f>W23/0.7+K23+T23</f>
        <v>91.2857142857143</v>
      </c>
    </row>
    <row r="24" ht="15.6" hidden="1" spans="1:24">
      <c r="A24" s="6">
        <v>110</v>
      </c>
      <c r="B24" s="29" t="s">
        <v>470</v>
      </c>
      <c r="C24" s="29" t="s">
        <v>11</v>
      </c>
      <c r="D24" s="6">
        <v>10.4</v>
      </c>
      <c r="E24" s="40">
        <f>LOOKUP(D24,{0,-4,-3,-2,-1,0,1,2.4,3.8,5.2,6.6,8,9.4,10.8,12.2,13.6,15,17.2,19.4,21.5,23.6},{0,10,20,30,40,50,60,62,64,66,68,70,72,74,76,78,80,85,90,95,100})</f>
        <v>72</v>
      </c>
      <c r="F24" s="6">
        <v>260</v>
      </c>
      <c r="G24" s="40">
        <f>LOOKUP(F24,{0,170,175,180,185,190,195,199,203,207,211,215,219,223,227,231,235,243,250,255,260},{0,10,20,30,40,50,60,62,64,66,68,70,72,74,76,78,80,85,90,95,100})</f>
        <v>100</v>
      </c>
      <c r="H24" s="6">
        <v>18</v>
      </c>
      <c r="I24" s="40">
        <f>LOOKUP(H24,{0,2,3,4,5,6,7,8,9,10,11,12,13,14,15,16},{0,10,20,30,40,50,60,64,68,72,76,80,85,90,95,100})</f>
        <v>100</v>
      </c>
      <c r="J24" s="7">
        <f>H24-16</f>
        <v>2</v>
      </c>
      <c r="K24" s="40">
        <f>LOOKUP(J24,{0,1,2,3,4,5,6,7,8,9,10},{0,1,2,3,4,5,6,7,8,9,10})</f>
        <v>2</v>
      </c>
      <c r="L24" s="7">
        <f>I24+K24</f>
        <v>102</v>
      </c>
      <c r="M24" s="6">
        <v>6.7</v>
      </c>
      <c r="N24" s="43">
        <f>13-M24</f>
        <v>6.3</v>
      </c>
      <c r="O24" s="40">
        <f>LOOKUP(N24,{0,2.5,2.7,2.9,3.1,3.3,3.5,3.7,3.9,4.1,4.3,4.5,4.7,4.9,5.1,5.3,5.5,5.6,5.7,5.8,5.9},{0,10,20,30,40,50,60,62,64,66,68,70,72,74,76,78,80,85,90,95,100})</f>
        <v>100</v>
      </c>
      <c r="P24" s="6">
        <v>3.29</v>
      </c>
      <c r="Q24" s="6">
        <f>10-P24</f>
        <v>6.71</v>
      </c>
      <c r="R24" s="40">
        <f>LOOKUP(Q24,{0,3.75,3.95,4.55,4.75,4.95,5.55,5.6,5.65,5.7,5.75,5.8,5.85,5.9,5.95,6,6.45,6.53,6.6,6.65,6.7},{0,10,20,30,40,50,60,62,64,66,68,70,72,74,76,78,80,85,90,95,100})</f>
        <v>100</v>
      </c>
      <c r="S24" s="7">
        <f>3.3-P24</f>
        <v>0.00999999999999979</v>
      </c>
      <c r="T24" s="40">
        <f>LOOKUP(S24,{0,0.04,0.08,0.12,0.16,0.2,0.23,0.26,0.29,0.32,0.35},{0,1,2,3,4,5,6,7,8,9,10})</f>
        <v>0</v>
      </c>
      <c r="U24" s="7">
        <f>R24+T24</f>
        <v>100</v>
      </c>
      <c r="W24" s="7">
        <f>E24*0.1+G24*0.1+I24*0.1+O24*0.2+R24*0.2</f>
        <v>67.2</v>
      </c>
      <c r="X24" s="21">
        <f>W24/0.7+K24+T24</f>
        <v>98</v>
      </c>
    </row>
    <row r="25" s="3" customFormat="1" ht="15.6" hidden="1" spans="1:24">
      <c r="A25" s="6">
        <v>110</v>
      </c>
      <c r="B25" s="39" t="s">
        <v>480</v>
      </c>
      <c r="C25" s="29" t="s">
        <v>11</v>
      </c>
      <c r="D25" s="6">
        <v>20</v>
      </c>
      <c r="E25" s="40">
        <f>LOOKUP(D25,{0,-4,-3,-2,-1,0,1,2.4,3.8,5.2,6.6,8,9.4,10.8,12.2,13.6,15,17.2,19.4,21.5,23.6},{0,10,20,30,40,50,60,62,64,66,68,70,72,74,76,78,80,85,90,95,100})</f>
        <v>90</v>
      </c>
      <c r="F25" s="6">
        <v>251</v>
      </c>
      <c r="G25" s="40">
        <f>LOOKUP(F25,{0,170,175,180,185,190,195,199,203,207,211,215,219,223,227,231,235,243,250,255,260},{0,10,20,30,40,50,60,62,64,66,68,70,72,74,76,78,80,85,90,95,100})</f>
        <v>90</v>
      </c>
      <c r="H25" s="6">
        <v>22</v>
      </c>
      <c r="I25" s="40">
        <f>LOOKUP(H25,{0,2,3,4,5,6,7,8,9,10,11,12,13,14,15,16},{0,10,20,30,40,50,60,64,68,72,76,80,85,90,95,100})</f>
        <v>100</v>
      </c>
      <c r="J25" s="7">
        <f>H25-16</f>
        <v>6</v>
      </c>
      <c r="K25" s="40">
        <f>LOOKUP(J25,{0,1,2,3,4,5,6,7,8,9,10},{0,1,2,3,4,5,6,7,8,9,10})</f>
        <v>6</v>
      </c>
      <c r="L25" s="7">
        <f>I25+K25</f>
        <v>106</v>
      </c>
      <c r="M25" s="6">
        <v>6.7</v>
      </c>
      <c r="N25" s="43">
        <f>13-M25</f>
        <v>6.3</v>
      </c>
      <c r="O25" s="40">
        <f>LOOKUP(N25,{0,2.5,2.7,2.9,3.1,3.3,3.5,3.7,3.9,4.1,4.3,4.5,4.7,4.9,5.1,5.3,5.5,5.6,5.7,5.8,5.9},{0,10,20,30,40,50,60,62,64,66,68,70,72,74,76,78,80,85,90,95,100})</f>
        <v>100</v>
      </c>
      <c r="P25" s="6">
        <v>3.3</v>
      </c>
      <c r="Q25" s="6">
        <f>10-P25</f>
        <v>6.7</v>
      </c>
      <c r="R25" s="40">
        <f>LOOKUP(Q25,{0,3.75,3.95,4.55,4.75,4.95,5.55,5.6,5.65,5.7,5.75,5.8,5.85,5.9,5.95,6,6.45,6.53,6.6,6.65,6.7},{0,10,20,30,40,50,60,62,64,66,68,70,72,74,76,78,80,85,90,95,100})</f>
        <v>100</v>
      </c>
      <c r="S25" s="7">
        <f>3.3-P25</f>
        <v>0</v>
      </c>
      <c r="T25" s="40">
        <f>LOOKUP(S25,{0,0.04,0.08,0.12,0.16,0.2,0.23,0.26,0.29,0.32,0.35},{0,1,2,3,4,5,6,7,8,9,10})</f>
        <v>0</v>
      </c>
      <c r="U25" s="7">
        <f>R25+T25</f>
        <v>100</v>
      </c>
      <c r="V25" s="6"/>
      <c r="W25" s="7">
        <f>E25*0.1+G25*0.1+I25*0.1+O25*0.2+R25*0.2</f>
        <v>68</v>
      </c>
      <c r="X25" s="21">
        <f>W25/0.7+K25+T25</f>
        <v>103.142857142857</v>
      </c>
    </row>
    <row r="26" ht="15.6" hidden="1" spans="1:24">
      <c r="A26" s="6">
        <v>102</v>
      </c>
      <c r="B26" s="29" t="s">
        <v>70</v>
      </c>
      <c r="C26" s="29" t="s">
        <v>11</v>
      </c>
      <c r="D26" s="6">
        <v>5.6</v>
      </c>
      <c r="E26" s="40">
        <f>LOOKUP(D26,{0,-4,-3,-2,-1,0,1,2.4,3.8,5.2,6.6,8,9.4,10.8,12.2,13.6,15,17.2,19.4,21.5,23.6},{0,10,20,30,40,50,60,62,64,66,68,70,72,74,76,78,80,85,90,95,100})</f>
        <v>66</v>
      </c>
      <c r="F26" s="6">
        <v>251</v>
      </c>
      <c r="G26" s="40">
        <f>LOOKUP(F26,{0,170,175,180,185,190,195,199,203,207,211,215,219,223,227,231,235,243,250,255,260},{0,10,20,30,40,50,60,62,64,66,68,70,72,74,76,78,80,85,90,95,100})</f>
        <v>90</v>
      </c>
      <c r="H26" s="6">
        <v>21</v>
      </c>
      <c r="I26" s="40">
        <f>LOOKUP(H26,{0,2,3,4,5,6,7,8,9,10,11,12,13,14,15,16},{0,10,20,30,40,50,60,64,68,72,76,80,85,90,95,100})</f>
        <v>100</v>
      </c>
      <c r="J26" s="7">
        <f>H26-16</f>
        <v>5</v>
      </c>
      <c r="K26" s="40">
        <f>LOOKUP(J26,{0,1,2,3,4,5,6,7,8,9,10},{0,1,2,3,4,5,6,7,8,9,10})</f>
        <v>5</v>
      </c>
      <c r="L26" s="7">
        <f>I26+K26</f>
        <v>105</v>
      </c>
      <c r="M26" s="6">
        <v>6.7</v>
      </c>
      <c r="N26" s="43">
        <f>13-M26</f>
        <v>6.3</v>
      </c>
      <c r="O26" s="40">
        <f>LOOKUP(N26,{0,2.5,2.7,2.9,3.1,3.3,3.5,3.7,3.9,4.1,4.3,4.5,4.7,4.9,5.1,5.3,5.5,5.6,5.7,5.8,5.9},{0,10,20,30,40,50,60,62,64,66,68,70,72,74,76,78,80,85,90,95,100})</f>
        <v>100</v>
      </c>
      <c r="P26" s="6">
        <v>3.38</v>
      </c>
      <c r="Q26" s="6">
        <f>10-P26</f>
        <v>6.62</v>
      </c>
      <c r="R26" s="40">
        <f>LOOKUP(Q26,{0,3.75,3.95,4.55,4.75,4.95,5.55,5.6,5.65,5.7,5.75,5.8,5.85,5.9,5.95,6,6.45,6.53,6.6,6.65,6.7},{0,10,20,30,40,50,60,62,64,66,68,70,72,74,76,78,80,85,90,95,100})</f>
        <v>90</v>
      </c>
      <c r="S26" s="7"/>
      <c r="T26" s="7"/>
      <c r="U26" s="7">
        <f>R26+T26</f>
        <v>90</v>
      </c>
      <c r="W26" s="7">
        <f>E26*0.1+G26*0.1+I26*0.1+O26*0.2+R26*0.2</f>
        <v>63.6</v>
      </c>
      <c r="X26" s="21">
        <f>W26/0.7+K26+T26</f>
        <v>95.8571428571429</v>
      </c>
    </row>
    <row r="27" ht="15.6" hidden="1" spans="1:24">
      <c r="A27" s="6">
        <v>101</v>
      </c>
      <c r="B27" s="29" t="s">
        <v>14</v>
      </c>
      <c r="C27" s="29" t="s">
        <v>11</v>
      </c>
      <c r="D27" s="6">
        <v>11.2</v>
      </c>
      <c r="E27" s="40">
        <f>LOOKUP(D27,{0,-4,-3,-2,-1,0,1,2.4,3.8,5.2,6.6,8,9.4,10.8,12.2,13.6,15,17.2,19.4,21.5,23.6},{0,10,20,30,40,50,60,62,64,66,68,70,72,74,76,78,80,85,90,95,100})</f>
        <v>74</v>
      </c>
      <c r="F27" s="6">
        <v>250</v>
      </c>
      <c r="G27" s="40">
        <f>LOOKUP(F27,{0,170,175,180,185,190,195,199,203,207,211,215,219,223,227,231,235,243,250,255,260},{0,10,20,30,40,50,60,62,64,66,68,70,72,74,76,78,80,85,90,95,100})</f>
        <v>90</v>
      </c>
      <c r="H27" s="6">
        <v>2</v>
      </c>
      <c r="I27" s="40">
        <f>LOOKUP(H27,{0,2,3,4,5,6,7,8,9,10,11,12,13,14,15,16},{0,10,20,30,40,50,60,64,68,72,76,80,85,90,95,100})</f>
        <v>10</v>
      </c>
      <c r="J27" s="7"/>
      <c r="K27" s="7"/>
      <c r="L27" s="7">
        <f>I27+K27</f>
        <v>10</v>
      </c>
      <c r="M27" s="6">
        <v>6.7</v>
      </c>
      <c r="N27" s="43">
        <f>13-M27</f>
        <v>6.3</v>
      </c>
      <c r="O27" s="40">
        <f>LOOKUP(N27,{0,2.5,2.7,2.9,3.1,3.3,3.5,3.7,3.9,4.1,4.3,4.5,4.7,4.9,5.1,5.3,5.5,5.6,5.7,5.8,5.9},{0,10,20,30,40,50,60,62,64,66,68,70,72,74,76,78,80,85,90,95,100})</f>
        <v>100</v>
      </c>
      <c r="P27" s="6">
        <v>4.07</v>
      </c>
      <c r="Q27" s="6">
        <f>10-P27</f>
        <v>5.93</v>
      </c>
      <c r="R27" s="40">
        <f>LOOKUP(Q27,{0,3.75,3.95,4.55,4.75,4.95,5.55,5.6,5.65,5.7,5.75,5.8,5.85,5.9,5.95,6,6.45,6.53,6.6,6.65,6.7},{0,10,20,30,40,50,60,62,64,66,68,70,72,74,76,78,80,85,90,95,100})</f>
        <v>74</v>
      </c>
      <c r="S27" s="7"/>
      <c r="T27" s="7"/>
      <c r="U27" s="7">
        <f>R27+T27</f>
        <v>74</v>
      </c>
      <c r="W27" s="7">
        <f>E27*0.1+G27*0.1+I27*0.1+O27*0.2+R27*0.2</f>
        <v>52.2</v>
      </c>
      <c r="X27" s="21">
        <f>W27/0.7+K27+T27</f>
        <v>74.5714285714286</v>
      </c>
    </row>
    <row r="28" ht="15.6" hidden="1" spans="1:24">
      <c r="A28" s="6">
        <v>107</v>
      </c>
      <c r="B28" s="29" t="s">
        <v>313</v>
      </c>
      <c r="C28" s="29" t="s">
        <v>11</v>
      </c>
      <c r="D28" s="6">
        <v>7.2</v>
      </c>
      <c r="E28" s="40">
        <f>LOOKUP(D28,{0,-4,-3,-2,-1,0,1,2.4,3.8,5.2,6.6,8,9.4,10.8,12.2,13.6,15,17.2,19.4,21.5,23.6},{0,10,20,30,40,50,60,62,64,66,68,70,72,74,76,78,80,85,90,95,100})</f>
        <v>68</v>
      </c>
      <c r="F28" s="6">
        <v>247</v>
      </c>
      <c r="G28" s="40">
        <f>LOOKUP(F28,{0,170,175,180,185,190,195,199,203,207,211,215,219,223,227,231,235,243,250,255,260},{0,10,20,30,40,50,60,62,64,66,68,70,72,74,76,78,80,85,90,95,100})</f>
        <v>85</v>
      </c>
      <c r="H28" s="6">
        <v>2</v>
      </c>
      <c r="I28" s="40">
        <f>LOOKUP(H28,{0,2,3,4,5,6,7,8,9,10,11,12,13,14,15,16},{0,10,20,30,40,50,60,64,68,72,76,80,85,90,95,100})</f>
        <v>10</v>
      </c>
      <c r="J28" s="7"/>
      <c r="K28" s="7"/>
      <c r="L28" s="7">
        <f>I28+K28</f>
        <v>10</v>
      </c>
      <c r="M28" s="6">
        <v>6.7</v>
      </c>
      <c r="N28" s="43">
        <f>13-M28</f>
        <v>6.3</v>
      </c>
      <c r="O28" s="40">
        <f>LOOKUP(N28,{0,2.5,2.7,2.9,3.1,3.3,3.5,3.7,3.9,4.1,4.3,4.5,4.7,4.9,5.1,5.3,5.5,5.6,5.7,5.8,5.9},{0,10,20,30,40,50,60,62,64,66,68,70,72,74,76,78,80,85,90,95,100})</f>
        <v>100</v>
      </c>
      <c r="P28" s="6">
        <v>4.12</v>
      </c>
      <c r="Q28" s="6">
        <f>10-P28</f>
        <v>5.88</v>
      </c>
      <c r="R28" s="40">
        <f>LOOKUP(Q28,{0,3.75,3.95,4.55,4.75,4.95,5.55,5.6,5.65,5.7,5.75,5.8,5.85,5.9,5.95,6,6.45,6.53,6.6,6.65,6.7},{0,10,20,30,40,50,60,62,64,66,68,70,72,74,76,78,80,85,90,95,100})</f>
        <v>72</v>
      </c>
      <c r="S28" s="7"/>
      <c r="T28" s="7"/>
      <c r="U28" s="7">
        <f>R28+T28</f>
        <v>72</v>
      </c>
      <c r="W28" s="7">
        <f>E28*0.1+G28*0.1+I28*0.1+O28*0.2+R28*0.2</f>
        <v>50.7</v>
      </c>
      <c r="X28" s="21">
        <f>W28/0.7+K28+T28</f>
        <v>72.4285714285714</v>
      </c>
    </row>
    <row r="29" ht="15.6" hidden="1" spans="1:24">
      <c r="A29" s="6">
        <v>114</v>
      </c>
      <c r="B29" s="29" t="s">
        <v>684</v>
      </c>
      <c r="C29" s="29" t="s">
        <v>11</v>
      </c>
      <c r="D29" s="6">
        <v>13</v>
      </c>
      <c r="E29" s="40">
        <f>LOOKUP(D29,{0,-4,-3,-2,-1,0,1,2.4,3.8,5.2,6.6,8,9.4,10.8,12.2,13.6,15,17.2,19.4,21.5,23.6},{0,10,20,30,40,50,60,62,64,66,68,70,72,74,76,78,80,85,90,95,100})</f>
        <v>76</v>
      </c>
      <c r="F29" s="6">
        <v>275</v>
      </c>
      <c r="G29" s="40">
        <f>LOOKUP(F29,{0,170,175,180,185,190,195,199,203,207,211,215,219,223,227,231,235,243,250,255,260},{0,10,20,30,40,50,60,62,64,66,68,70,72,74,76,78,80,85,90,95,100})</f>
        <v>100</v>
      </c>
      <c r="H29" s="6">
        <v>8</v>
      </c>
      <c r="I29" s="40">
        <f>LOOKUP(H29,{0,2,3,4,5,6,7,8,9,10,11,12,13,14,15,16},{0,10,20,30,40,50,60,64,68,72,76,80,85,90,95,100})</f>
        <v>64</v>
      </c>
      <c r="J29" s="7"/>
      <c r="K29" s="7"/>
      <c r="L29" s="7">
        <f>I29+K29</f>
        <v>64</v>
      </c>
      <c r="M29" s="6">
        <v>6.8</v>
      </c>
      <c r="N29" s="43">
        <f>13-M29</f>
        <v>6.2</v>
      </c>
      <c r="O29" s="40">
        <f>LOOKUP(N29,{0,2.5,2.7,2.9,3.1,3.3,3.5,3.7,3.9,4.1,4.3,4.5,4.7,4.9,5.1,5.3,5.5,5.6,5.7,5.8,5.9},{0,10,20,30,40,50,60,62,64,66,68,70,72,74,76,78,80,85,90,95,100})</f>
        <v>100</v>
      </c>
      <c r="P29" s="6">
        <v>3.07</v>
      </c>
      <c r="Q29" s="6">
        <f>10-P29</f>
        <v>6.93</v>
      </c>
      <c r="R29" s="40">
        <f>LOOKUP(Q29,{0,3.75,3.95,4.55,4.75,4.95,5.55,5.6,5.65,5.7,5.75,5.8,5.85,5.9,5.95,6,6.45,6.53,6.6,6.65,6.7},{0,10,20,30,40,50,60,62,64,66,68,70,72,74,76,78,80,85,90,95,100})</f>
        <v>100</v>
      </c>
      <c r="S29" s="7">
        <f>3.3-P29</f>
        <v>0.23</v>
      </c>
      <c r="T29" s="40">
        <f>LOOKUP(S29,{0,0.04,0.08,0.12,0.16,0.2,0.23,0.26,0.29,0.32,0.35},{0,1,2,3,4,5,6,7,8,9,10})</f>
        <v>6</v>
      </c>
      <c r="U29" s="7">
        <f>R29+T29</f>
        <v>106</v>
      </c>
      <c r="W29" s="7">
        <f>E29*0.1+G29*0.1+I29*0.1+O29*0.2+R29*0.2</f>
        <v>64</v>
      </c>
      <c r="X29" s="21">
        <f>W29/0.7+K29+T29</f>
        <v>97.4285714285714</v>
      </c>
    </row>
    <row r="30" ht="15.6" hidden="1" spans="1:24">
      <c r="A30" s="6">
        <v>113</v>
      </c>
      <c r="B30" s="30" t="s">
        <v>648</v>
      </c>
      <c r="C30" s="30" t="s">
        <v>11</v>
      </c>
      <c r="D30" s="6">
        <v>20</v>
      </c>
      <c r="E30" s="40">
        <f>LOOKUP(D30,{0,-4,-3,-2,-1,0,1,2.4,3.8,5.2,6.6,8,9.4,10.8,12.2,13.6,15,17.2,19.4,21.5,23.6},{0,10,20,30,40,50,60,62,64,66,68,70,72,74,76,78,80,85,90,95,100})</f>
        <v>90</v>
      </c>
      <c r="F30" s="6">
        <v>271</v>
      </c>
      <c r="G30" s="40">
        <f>LOOKUP(F30,{0,170,175,180,185,190,195,199,203,207,211,215,219,223,227,231,235,243,250,255,260},{0,10,20,30,40,50,60,62,64,66,68,70,72,74,76,78,80,85,90,95,100})</f>
        <v>100</v>
      </c>
      <c r="H30" s="6">
        <v>5</v>
      </c>
      <c r="I30" s="40">
        <f>LOOKUP(H30,{0,2,3,4,5,6,7,8,9,10,11,12,13,14,15,16},{0,10,20,30,40,50,60,64,68,72,76,80,85,90,95,100})</f>
        <v>40</v>
      </c>
      <c r="J30" s="7"/>
      <c r="K30" s="7"/>
      <c r="L30" s="7">
        <f>I30+K30</f>
        <v>40</v>
      </c>
      <c r="M30" s="6">
        <v>6.8</v>
      </c>
      <c r="N30" s="43">
        <f>13-M30</f>
        <v>6.2</v>
      </c>
      <c r="O30" s="40">
        <f>LOOKUP(N30,{0,2.5,2.7,2.9,3.1,3.3,3.5,3.7,3.9,4.1,4.3,4.5,4.7,4.9,5.1,5.3,5.5,5.6,5.7,5.8,5.9},{0,10,20,30,40,50,60,62,64,66,68,70,72,74,76,78,80,85,90,95,100})</f>
        <v>100</v>
      </c>
      <c r="P30" s="6">
        <v>3.18</v>
      </c>
      <c r="Q30" s="6">
        <f>10-P30</f>
        <v>6.82</v>
      </c>
      <c r="R30" s="40">
        <f>LOOKUP(Q30,{0,3.75,3.95,4.55,4.75,4.95,5.55,5.6,5.65,5.7,5.75,5.8,5.85,5.9,5.95,6,6.45,6.53,6.6,6.65,6.7},{0,10,20,30,40,50,60,62,64,66,68,70,72,74,76,78,80,85,90,95,100})</f>
        <v>100</v>
      </c>
      <c r="S30" s="7">
        <f>3.3-P30</f>
        <v>0.12</v>
      </c>
      <c r="T30" s="40">
        <f>LOOKUP(S30,{0,0.04,0.08,0.12,0.16,0.2,0.23,0.26,0.29,0.32,0.35},{0,1,2,3,4,5,6,7,8,9,10})</f>
        <v>2</v>
      </c>
      <c r="U30" s="7">
        <f>R30+T30</f>
        <v>102</v>
      </c>
      <c r="W30" s="7">
        <f>E30*0.1+G30*0.1+I30*0.1+O30*0.2+R30*0.2</f>
        <v>63</v>
      </c>
      <c r="X30" s="21">
        <f>W30/0.7+K30+T30</f>
        <v>92</v>
      </c>
    </row>
    <row r="31" ht="15.6" hidden="1" spans="1:24">
      <c r="A31" s="6">
        <v>102</v>
      </c>
      <c r="B31" s="29" t="s">
        <v>68</v>
      </c>
      <c r="C31" s="29" t="s">
        <v>11</v>
      </c>
      <c r="D31" s="6">
        <v>9.6</v>
      </c>
      <c r="E31" s="40">
        <f>LOOKUP(D31,{0,-4,-3,-2,-1,0,1,2.4,3.8,5.2,6.6,8,9.4,10.8,12.2,13.6,15,17.2,19.4,21.5,23.6},{0,10,20,30,40,50,60,62,64,66,68,70,72,74,76,78,80,85,90,95,100})</f>
        <v>72</v>
      </c>
      <c r="F31" s="6">
        <v>227</v>
      </c>
      <c r="G31" s="40">
        <f>LOOKUP(F31,{0,170,175,180,185,190,195,199,203,207,211,215,219,223,227,231,235,243,250,255,260},{0,10,20,30,40,50,60,62,64,66,68,70,72,74,76,78,80,85,90,95,100})</f>
        <v>76</v>
      </c>
      <c r="H31" s="6">
        <v>6</v>
      </c>
      <c r="I31" s="40">
        <f>LOOKUP(H31,{0,2,3,4,5,6,7,8,9,10,11,12,13,14,15,16},{0,10,20,30,40,50,60,64,68,72,76,80,85,90,95,100})</f>
        <v>50</v>
      </c>
      <c r="J31" s="7"/>
      <c r="K31" s="7"/>
      <c r="L31" s="7">
        <f>I31+K31</f>
        <v>50</v>
      </c>
      <c r="M31" s="6">
        <v>6.8</v>
      </c>
      <c r="N31" s="43">
        <f>13-M31</f>
        <v>6.2</v>
      </c>
      <c r="O31" s="40">
        <f>LOOKUP(N31,{0,2.5,2.7,2.9,3.1,3.3,3.5,3.7,3.9,4.1,4.3,4.5,4.7,4.9,5.1,5.3,5.5,5.6,5.7,5.8,5.9},{0,10,20,30,40,50,60,62,64,66,68,70,72,74,76,78,80,85,90,95,100})</f>
        <v>100</v>
      </c>
      <c r="P31" s="6">
        <v>3.2</v>
      </c>
      <c r="Q31" s="6">
        <f>10-P31</f>
        <v>6.8</v>
      </c>
      <c r="R31" s="40">
        <f>LOOKUP(Q31,{0,3.75,3.95,4.55,4.75,4.95,5.55,5.6,5.65,5.7,5.75,5.8,5.85,5.9,5.95,6,6.45,6.53,6.6,6.65,6.7},{0,10,20,30,40,50,60,62,64,66,68,70,72,74,76,78,80,85,90,95,100})</f>
        <v>100</v>
      </c>
      <c r="S31" s="7">
        <f>3.3-P31</f>
        <v>0.0999999999999996</v>
      </c>
      <c r="T31" s="40">
        <f>LOOKUP(S31,{0,0.04,0.08,0.12,0.16,0.2,0.23,0.26,0.29,0.32,0.35},{0,1,2,3,4,5,6,7,8,9,10})</f>
        <v>2</v>
      </c>
      <c r="U31" s="7">
        <f>R31+T31</f>
        <v>102</v>
      </c>
      <c r="W31" s="7">
        <f>E31*0.1+G31*0.1+I31*0.1+O31*0.2+R31*0.2</f>
        <v>59.8</v>
      </c>
      <c r="X31" s="21">
        <f>W31/0.7+K31+T31</f>
        <v>87.4285714285714</v>
      </c>
    </row>
    <row r="32" s="4" customFormat="1" ht="15.6" spans="1:24">
      <c r="A32" s="6">
        <v>112</v>
      </c>
      <c r="B32" s="29" t="s">
        <v>604</v>
      </c>
      <c r="C32" s="29" t="s">
        <v>46</v>
      </c>
      <c r="D32" s="6">
        <v>20</v>
      </c>
      <c r="E32" s="40">
        <f>LOOKUP(D32,{0,0.4,1.2,2,2.8,3.6,4.4,5.7,7,8.3,9.6,10.9,12.2,13.5,14.8,16.1,17.4,19.1,20.8,22.5,24.2},{0,10,20,30,40,50,60,62,64,66,68,70,72,74,76,78,80,85,90,95,100})</f>
        <v>85</v>
      </c>
      <c r="F32" s="6">
        <v>202</v>
      </c>
      <c r="G32" s="40">
        <f>LOOKUP(F32,{0,123,128,133,138,143,148,151,154,157,160,163,166,169,172,175,178,185,192,198,204},{0,10,20,30,40,50,60,62,64,66,68,70,72,74,76,78,80,85,90,95,100})</f>
        <v>95</v>
      </c>
      <c r="H32" s="6">
        <v>60</v>
      </c>
      <c r="I32" s="40">
        <f>LOOKUP(H32,{0,13,15,17,19,21,23,25,27,29,31,33,35,37,39,41,43,46,49,51,53},{0,10,20,30,40,50,60,62,64,66,68,70,72,74,76,78,80,85,90,95,100})</f>
        <v>100</v>
      </c>
      <c r="J32" s="45">
        <f>H32-53</f>
        <v>7</v>
      </c>
      <c r="K32" s="40">
        <f>LOOKUP(J32,{0,2,4,6,7,8,9,10,11,12,13},{0,1,2,3,4,5,6,7,8,9,10})</f>
        <v>4</v>
      </c>
      <c r="L32" s="7">
        <f>I32+K32</f>
        <v>104</v>
      </c>
      <c r="M32" s="6">
        <v>7.6</v>
      </c>
      <c r="N32" s="43">
        <f>13-M32</f>
        <v>5.4</v>
      </c>
      <c r="O32" s="40">
        <f>LOOKUP(N32,{0,1.4,1.6,1.8,2,2.2,2.4,2.6,2.8,3,3.2,3.4,3.6,3.8,4,4.2,4.4,4.7,5,5.1,5.2},{0,10,20,30,40,50,60,62,64,66,68,70,72,74,76,78,80,85,90,95,100})</f>
        <v>100</v>
      </c>
      <c r="P32" s="6">
        <v>3.1</v>
      </c>
      <c r="Q32" s="6">
        <f>10-P32</f>
        <v>6.9</v>
      </c>
      <c r="R32" s="40">
        <f>LOOKUP(Q32,{0,4.7,4.8,4.9,5,5.5,5.6,5.65,5.7,5.75,5.8,5.85,5.9,5.95,6,6.45,6.5,6.57,6.64,6.7,6.76},{0,10,20,30,40,50,60,62,64,66,68,70,72,74,76,78,80,85,90,95,100})</f>
        <v>100</v>
      </c>
      <c r="S32" s="48">
        <f>3.24-P32</f>
        <v>0.14</v>
      </c>
      <c r="T32" s="40">
        <f>LOOKUP(S32,{0,0.05,0.1,0.15,0.2,0.25,0.3,0.35,0.4,0.45,0.5},{0,1,2,3,4,5,6,7,8,9,10})</f>
        <v>2</v>
      </c>
      <c r="U32" s="7">
        <f>R32+T32</f>
        <v>102</v>
      </c>
      <c r="V32" s="6"/>
      <c r="W32" s="7">
        <f>E32*0.1+G32*0.1+I32*0.1+O32*0.2+R32*0.2</f>
        <v>68</v>
      </c>
      <c r="X32" s="21">
        <f>W32/0.7+K32+T32</f>
        <v>103.142857142857</v>
      </c>
    </row>
    <row r="33" s="4" customFormat="1" ht="15.6" spans="1:24">
      <c r="A33" s="6">
        <v>113</v>
      </c>
      <c r="B33" s="29" t="s">
        <v>666</v>
      </c>
      <c r="C33" s="29" t="s">
        <v>46</v>
      </c>
      <c r="D33" s="6">
        <v>12.2</v>
      </c>
      <c r="E33" s="40">
        <f>LOOKUP(D33,{0,0.4,1.2,2,2.8,3.6,4.4,5.7,7,8.3,9.6,10.9,12.2,13.5,14.8,16.1,17.4,19.1,20.8,22.5,24.2},{0,10,20,30,40,50,60,62,64,66,68,70,72,74,76,78,80,85,90,95,100})</f>
        <v>72</v>
      </c>
      <c r="F33" s="6">
        <v>215</v>
      </c>
      <c r="G33" s="40">
        <f>LOOKUP(F33,{0,123,128,133,138,143,148,151,154,157,160,163,166,169,172,175,178,185,192,198,204},{0,10,20,30,40,50,60,62,64,66,68,70,72,74,76,78,80,85,90,95,100})</f>
        <v>100</v>
      </c>
      <c r="H33" s="6">
        <v>60</v>
      </c>
      <c r="I33" s="40">
        <f>LOOKUP(H33,{0,13,15,17,19,21,23,25,27,29,31,33,35,37,39,41,43,46,49,51,53},{0,10,20,30,40,50,60,62,64,66,68,70,72,74,76,78,80,85,90,95,100})</f>
        <v>100</v>
      </c>
      <c r="J33" s="45">
        <f>H33-53</f>
        <v>7</v>
      </c>
      <c r="K33" s="40">
        <f>LOOKUP(J33,{0,2,4,6,7,8,9,10,11,12,13},{0,1,2,3,4,5,6,7,8,9,10})</f>
        <v>4</v>
      </c>
      <c r="L33" s="7">
        <f>I33+K33</f>
        <v>104</v>
      </c>
      <c r="M33" s="6">
        <v>7.7</v>
      </c>
      <c r="N33" s="43">
        <f>13-M33</f>
        <v>5.3</v>
      </c>
      <c r="O33" s="40">
        <f>LOOKUP(N33,{0,1.4,1.6,1.8,2,2.2,2.4,2.6,2.8,3,3.2,3.4,3.6,3.8,4,4.2,4.4,4.7,5,5.1,5.2},{0,10,20,30,40,50,60,62,64,66,68,70,72,74,76,78,80,85,90,95,100})</f>
        <v>100</v>
      </c>
      <c r="P33" s="6">
        <v>3.06</v>
      </c>
      <c r="Q33" s="6">
        <f>10-P33</f>
        <v>6.94</v>
      </c>
      <c r="R33" s="40">
        <f>LOOKUP(Q33,{0,4.7,4.8,4.9,5,5.5,5.6,5.65,5.7,5.75,5.8,5.85,5.9,5.95,6,6.45,6.5,6.57,6.64,6.7,6.76},{0,10,20,30,40,50,60,62,64,66,68,70,72,74,76,78,80,85,90,95,100})</f>
        <v>100</v>
      </c>
      <c r="S33" s="48">
        <f>3.24-P33</f>
        <v>0.18</v>
      </c>
      <c r="T33" s="40">
        <f>LOOKUP(S33,{0,0.05,0.1,0.15,0.2,0.25,0.3,0.35,0.4,0.45,0.5},{0,1,2,3,4,5,6,7,8,9,10})</f>
        <v>3</v>
      </c>
      <c r="U33" s="7">
        <f>R33+T33</f>
        <v>103</v>
      </c>
      <c r="V33" s="6"/>
      <c r="W33" s="7">
        <f>E33*0.1+G33*0.1+I33*0.1+O33*0.2+R33*0.2</f>
        <v>67.2</v>
      </c>
      <c r="X33" s="21">
        <f>W33/0.7+K33+T33</f>
        <v>103</v>
      </c>
    </row>
    <row r="34" ht="15.6" spans="1:24">
      <c r="A34" s="6">
        <v>104</v>
      </c>
      <c r="B34" s="29" t="s">
        <v>207</v>
      </c>
      <c r="C34" s="29" t="s">
        <v>46</v>
      </c>
      <c r="D34" s="6">
        <v>25</v>
      </c>
      <c r="E34" s="40">
        <f>LOOKUP(D34,{0,0.4,1.2,2,2.8,3.6,4.4,5.7,7,8.3,9.6,10.9,12.2,13.5,14.8,16.1,17.4,19.1,20.8,22.5,24.2},{0,10,20,30,40,50,60,62,64,66,68,70,72,74,76,78,80,85,90,95,100})</f>
        <v>100</v>
      </c>
      <c r="F34" s="6">
        <v>202</v>
      </c>
      <c r="G34" s="40">
        <f>LOOKUP(F34,{0,123,128,133,138,143,148,151,154,157,160,163,166,169,172,175,178,185,192,198,204},{0,10,20,30,40,50,60,62,64,66,68,70,72,74,76,78,80,85,90,95,100})</f>
        <v>95</v>
      </c>
      <c r="H34" s="6">
        <v>60</v>
      </c>
      <c r="I34" s="40">
        <f>LOOKUP(H34,{0,13,15,17,19,21,23,25,27,29,31,33,35,37,39,41,43,46,49,51,53},{0,10,20,30,40,50,60,62,64,66,68,70,72,74,76,78,80,85,90,95,100})</f>
        <v>100</v>
      </c>
      <c r="J34" s="45">
        <f>H34-53</f>
        <v>7</v>
      </c>
      <c r="K34" s="40">
        <f>LOOKUP(J34,{0,2,4,6,7,8,9,10,11,12,13},{0,1,2,3,4,5,6,7,8,9,10})</f>
        <v>4</v>
      </c>
      <c r="L34" s="7">
        <f>I34+K34</f>
        <v>104</v>
      </c>
      <c r="M34" s="6">
        <v>8.5</v>
      </c>
      <c r="N34" s="43">
        <f>13-M34</f>
        <v>4.5</v>
      </c>
      <c r="O34" s="40">
        <f>LOOKUP(N34,{0,1.4,1.6,1.8,2,2.2,2.4,2.6,2.8,3,3.2,3.4,3.6,3.8,4,4.2,4.4,4.7,5,5.1,5.2},{0,10,20,30,40,50,60,62,64,66,68,70,72,74,76,78,80,85,90,95,100})</f>
        <v>80</v>
      </c>
      <c r="P34" s="6">
        <v>3.09</v>
      </c>
      <c r="Q34" s="6">
        <f>10-P34</f>
        <v>6.91</v>
      </c>
      <c r="R34" s="40">
        <f>LOOKUP(Q34,{0,4.7,4.8,4.9,5,5.5,5.6,5.65,5.7,5.75,5.8,5.85,5.9,5.95,6,6.45,6.5,6.57,6.64,6.7,6.76},{0,10,20,30,40,50,60,62,64,66,68,70,72,74,76,78,80,85,90,95,100})</f>
        <v>100</v>
      </c>
      <c r="S34" s="48">
        <f>3.24-P34</f>
        <v>0.15</v>
      </c>
      <c r="T34" s="40">
        <f>LOOKUP(S34,{0,0.05,0.1,0.15,0.2,0.25,0.3,0.35,0.4,0.45,0.5},{0,1,2,3,4,5,6,7,8,9,10})</f>
        <v>3</v>
      </c>
      <c r="U34" s="7">
        <f>R34+T34</f>
        <v>103</v>
      </c>
      <c r="W34" s="7">
        <f>E34*0.1+G34*0.1+I34*0.1+O34*0.2+R34*0.2</f>
        <v>65.5</v>
      </c>
      <c r="X34" s="21">
        <f>W34/0.7+K34+T34</f>
        <v>100.571428571429</v>
      </c>
    </row>
    <row r="35" ht="15.6" spans="1:24">
      <c r="A35" s="6">
        <v>107</v>
      </c>
      <c r="B35" s="29" t="s">
        <v>343</v>
      </c>
      <c r="C35" s="29" t="s">
        <v>46</v>
      </c>
      <c r="D35" s="6">
        <v>21.7</v>
      </c>
      <c r="E35" s="40">
        <f>LOOKUP(D35,{0,0.4,1.2,2,2.8,3.6,4.4,5.7,7,8.3,9.6,10.9,12.2,13.5,14.8,16.1,17.4,19.1,20.8,22.5,24.2},{0,10,20,30,40,50,60,62,64,66,68,70,72,74,76,78,80,85,90,95,100})</f>
        <v>90</v>
      </c>
      <c r="F35" s="6">
        <v>215</v>
      </c>
      <c r="G35" s="40">
        <f>LOOKUP(F35,{0,123,128,133,138,143,148,151,154,157,160,163,166,169,172,175,178,185,192,198,204},{0,10,20,30,40,50,60,62,64,66,68,70,72,74,76,78,80,85,90,95,100})</f>
        <v>100</v>
      </c>
      <c r="H35" s="6">
        <v>56</v>
      </c>
      <c r="I35" s="40">
        <f>LOOKUP(H35,{0,13,15,17,19,21,23,25,27,29,31,33,35,37,39,41,43,46,49,51,53},{0,10,20,30,40,50,60,62,64,66,68,70,72,74,76,78,80,85,90,95,100})</f>
        <v>100</v>
      </c>
      <c r="J35" s="45">
        <f>H35-53</f>
        <v>3</v>
      </c>
      <c r="K35" s="40">
        <f>LOOKUP(J35,{0,2,4,6,7,8,9,10,11,12,13},{0,1,2,3,4,5,6,7,8,9,10})</f>
        <v>1</v>
      </c>
      <c r="L35" s="7">
        <f>I35+K35</f>
        <v>101</v>
      </c>
      <c r="M35" s="6">
        <v>7.5</v>
      </c>
      <c r="N35" s="43">
        <f>13-M35</f>
        <v>5.5</v>
      </c>
      <c r="O35" s="40">
        <f>LOOKUP(N35,{0,1.4,1.6,1.8,2,2.2,2.4,2.6,2.8,3,3.2,3.4,3.6,3.8,4,4.2,4.4,4.7,5,5.1,5.2},{0,10,20,30,40,50,60,62,64,66,68,70,72,74,76,78,80,85,90,95,100})</f>
        <v>100</v>
      </c>
      <c r="P35" s="6">
        <v>3.16</v>
      </c>
      <c r="Q35" s="6">
        <f>10-P35</f>
        <v>6.84</v>
      </c>
      <c r="R35" s="40">
        <f>LOOKUP(Q35,{0,4.7,4.8,4.9,5,5.5,5.6,5.65,5.7,5.75,5.8,5.85,5.9,5.95,6,6.45,6.5,6.57,6.64,6.7,6.76},{0,10,20,30,40,50,60,62,64,66,68,70,72,74,76,78,80,85,90,95,100})</f>
        <v>100</v>
      </c>
      <c r="S35" s="48">
        <f>3.24-P35</f>
        <v>0.0800000000000001</v>
      </c>
      <c r="T35" s="40">
        <f>LOOKUP(S35,{0,0.05,0.1,0.15,0.2,0.25,0.3,0.35,0.4,0.45,0.5},{0,1,2,3,4,5,6,7,8,9,10})</f>
        <v>1</v>
      </c>
      <c r="U35" s="7">
        <f>R35+T35</f>
        <v>101</v>
      </c>
      <c r="W35" s="7">
        <f>E35*0.1+G35*0.1+I35*0.1+O35*0.2+R35*0.2</f>
        <v>69</v>
      </c>
      <c r="X35" s="21">
        <f>W35/0.7+K35+T35</f>
        <v>100.571428571429</v>
      </c>
    </row>
    <row r="36" s="3" customFormat="1" ht="15.6" spans="1:24">
      <c r="A36" s="6">
        <v>112</v>
      </c>
      <c r="B36" s="29" t="s">
        <v>612</v>
      </c>
      <c r="C36" s="29" t="s">
        <v>46</v>
      </c>
      <c r="D36" s="6">
        <v>17.5</v>
      </c>
      <c r="E36" s="40">
        <f>LOOKUP(D36,{0,0.4,1.2,2,2.8,3.6,4.4,5.7,7,8.3,9.6,10.9,12.2,13.5,14.8,16.1,17.4,19.1,20.8,22.5,24.2},{0,10,20,30,40,50,60,62,64,66,68,70,72,74,76,78,80,85,90,95,100})</f>
        <v>80</v>
      </c>
      <c r="F36" s="6">
        <v>220</v>
      </c>
      <c r="G36" s="40">
        <f>LOOKUP(F36,{0,123,128,133,138,143,148,151,154,157,160,163,166,169,172,175,178,185,192,198,204},{0,10,20,30,40,50,60,62,64,66,68,70,72,74,76,78,80,85,90,95,100})</f>
        <v>100</v>
      </c>
      <c r="H36" s="6">
        <v>51</v>
      </c>
      <c r="I36" s="40">
        <f>LOOKUP(H36,{0,13,15,17,19,21,23,25,27,29,31,33,35,37,39,41,43,46,49,51,53},{0,10,20,30,40,50,60,62,64,66,68,70,72,74,76,78,80,85,90,95,100})</f>
        <v>95</v>
      </c>
      <c r="J36" s="45"/>
      <c r="K36" s="45"/>
      <c r="L36" s="7">
        <f>I36+K36</f>
        <v>95</v>
      </c>
      <c r="M36" s="6">
        <v>7.2</v>
      </c>
      <c r="N36" s="43">
        <f>13-M36</f>
        <v>5.8</v>
      </c>
      <c r="O36" s="40">
        <f>LOOKUP(N36,{0,1.4,1.6,1.8,2,2.2,2.4,2.6,2.8,3,3.2,3.4,3.6,3.8,4,4.2,4.4,4.7,5,5.1,5.2},{0,10,20,30,40,50,60,62,64,66,68,70,72,74,76,78,80,85,90,95,100})</f>
        <v>100</v>
      </c>
      <c r="P36" s="6">
        <v>3</v>
      </c>
      <c r="Q36" s="6">
        <f>10-P36</f>
        <v>7</v>
      </c>
      <c r="R36" s="40">
        <f>LOOKUP(Q36,{0,4.7,4.8,4.9,5,5.5,5.6,5.65,5.7,5.75,5.8,5.85,5.9,5.95,6,6.45,6.5,6.57,6.64,6.7,6.76},{0,10,20,30,40,50,60,62,64,66,68,70,72,74,76,78,80,85,90,95,100})</f>
        <v>100</v>
      </c>
      <c r="S36" s="48">
        <f>3.24-P36</f>
        <v>0.24</v>
      </c>
      <c r="T36" s="40">
        <f>LOOKUP(S36,{0,0.05,0.1,0.15,0.2,0.25,0.3,0.35,0.4,0.45,0.5},{0,1,2,3,4,5,6,7,8,9,10})</f>
        <v>4</v>
      </c>
      <c r="U36" s="7">
        <f>R36+T36</f>
        <v>104</v>
      </c>
      <c r="V36" s="6"/>
      <c r="W36" s="7">
        <f>E36*0.1+G36*0.1+I36*0.1+O36*0.2+R36*0.2</f>
        <v>67.5</v>
      </c>
      <c r="X36" s="21">
        <f>W36/0.7+K36+T36</f>
        <v>100.428571428571</v>
      </c>
    </row>
    <row r="37" ht="15.6" spans="1:24">
      <c r="A37" s="6">
        <v>114</v>
      </c>
      <c r="B37" s="29" t="s">
        <v>718</v>
      </c>
      <c r="C37" s="29" t="s">
        <v>46</v>
      </c>
      <c r="D37" s="6">
        <v>19.6</v>
      </c>
      <c r="E37" s="40">
        <f>LOOKUP(D37,{0,0.4,1.2,2,2.8,3.6,4.4,5.7,7,8.3,9.6,10.9,12.2,13.5,14.8,16.1,17.4,19.1,20.8,22.5,24.2},{0,10,20,30,40,50,60,62,64,66,68,70,72,74,76,78,80,85,90,95,100})</f>
        <v>85</v>
      </c>
      <c r="F37" s="6">
        <v>201</v>
      </c>
      <c r="G37" s="40">
        <f>LOOKUP(F37,{0,123,128,133,138,143,148,151,154,157,160,163,166,169,172,175,178,185,192,198,204},{0,10,20,30,40,50,60,62,64,66,68,70,72,74,76,78,80,85,90,95,100})</f>
        <v>95</v>
      </c>
      <c r="H37" s="6">
        <v>57</v>
      </c>
      <c r="I37" s="40">
        <f>LOOKUP(H37,{0,13,15,17,19,21,23,25,27,29,31,33,35,37,39,41,43,46,49,51,53},{0,10,20,30,40,50,60,62,64,66,68,70,72,74,76,78,80,85,90,95,100})</f>
        <v>100</v>
      </c>
      <c r="J37" s="45">
        <f>H37-53</f>
        <v>4</v>
      </c>
      <c r="K37" s="40">
        <f>LOOKUP(J37,{0,2,4,6,7,8,9,10,11,12,13},{0,1,2,3,4,5,6,7,8,9,10})</f>
        <v>2</v>
      </c>
      <c r="L37" s="7">
        <f>I37+K37</f>
        <v>102</v>
      </c>
      <c r="M37" s="6">
        <v>7.8</v>
      </c>
      <c r="N37" s="43">
        <f>13-M37</f>
        <v>5.2</v>
      </c>
      <c r="O37" s="40">
        <f>LOOKUP(N37,{0,1.4,1.6,1.8,2,2.2,2.4,2.6,2.8,3,3.2,3.4,3.6,3.8,4,4.2,4.4,4.7,5,5.1,5.2},{0,10,20,30,40,50,60,62,64,66,68,70,72,74,76,78,80,85,90,95,100})</f>
        <v>100</v>
      </c>
      <c r="P37" s="6">
        <v>3.22</v>
      </c>
      <c r="Q37" s="6">
        <f>10-P37</f>
        <v>6.78</v>
      </c>
      <c r="R37" s="40">
        <f>LOOKUP(Q37,{0,4.7,4.8,4.9,5,5.5,5.6,5.65,5.7,5.75,5.8,5.85,5.9,5.95,6,6.45,6.5,6.57,6.64,6.7,6.76},{0,10,20,30,40,50,60,62,64,66,68,70,72,74,76,78,80,85,90,95,100})</f>
        <v>100</v>
      </c>
      <c r="S37" s="48">
        <f>3.24-P37</f>
        <v>0.02</v>
      </c>
      <c r="T37" s="40">
        <f>LOOKUP(S37,{0,0.05,0.1,0.15,0.2,0.25,0.3,0.35,0.4,0.45,0.5},{0,1,2,3,4,5,6,7,8,9,10})</f>
        <v>0</v>
      </c>
      <c r="U37" s="7">
        <f>R37+T37</f>
        <v>100</v>
      </c>
      <c r="W37" s="7">
        <f>E37*0.1+G37*0.1+I37*0.1+O37*0.2+R37*0.2</f>
        <v>68</v>
      </c>
      <c r="X37" s="21">
        <f>W37/0.7+K37+T37</f>
        <v>99.1428571428572</v>
      </c>
    </row>
    <row r="38" ht="15.6" spans="1:24">
      <c r="A38" s="6">
        <v>116</v>
      </c>
      <c r="B38" s="29" t="s">
        <v>817</v>
      </c>
      <c r="C38" s="29" t="s">
        <v>46</v>
      </c>
      <c r="D38" s="6">
        <v>22.1</v>
      </c>
      <c r="E38" s="40">
        <f>LOOKUP(D38,{0,0.4,1.2,2,2.8,3.6,4.4,5.7,7,8.3,9.6,10.9,12.2,13.5,14.8,16.1,17.4,19.1,20.8,22.5,24.2},{0,10,20,30,40,50,60,62,64,66,68,70,72,74,76,78,80,85,90,95,100})</f>
        <v>90</v>
      </c>
      <c r="F38" s="6">
        <v>207</v>
      </c>
      <c r="G38" s="40">
        <f>LOOKUP(F38,{0,123,128,133,138,143,148,151,154,157,160,163,166,169,172,175,178,185,192,198,204},{0,10,20,30,40,50,60,62,64,66,68,70,72,74,76,78,80,85,90,95,100})</f>
        <v>100</v>
      </c>
      <c r="H38" s="6">
        <v>38</v>
      </c>
      <c r="I38" s="40">
        <f>LOOKUP(H38,{0,13,15,17,19,21,23,25,27,29,31,33,35,37,39,41,43,46,49,51,53},{0,10,20,30,40,50,60,62,64,66,68,70,72,74,76,78,80,85,90,95,100})</f>
        <v>74</v>
      </c>
      <c r="J38" s="45"/>
      <c r="K38" s="45"/>
      <c r="L38" s="7">
        <f>I38+K38</f>
        <v>74</v>
      </c>
      <c r="M38" s="6">
        <v>7.7</v>
      </c>
      <c r="N38" s="43">
        <f>13-M38</f>
        <v>5.3</v>
      </c>
      <c r="O38" s="40">
        <f>LOOKUP(N38,{0,1.4,1.6,1.8,2,2.2,2.4,2.6,2.8,3,3.2,3.4,3.6,3.8,4,4.2,4.4,4.7,5,5.1,5.2},{0,10,20,30,40,50,60,62,64,66,68,70,72,74,76,78,80,85,90,95,100})</f>
        <v>100</v>
      </c>
      <c r="P38" s="6">
        <v>3.04</v>
      </c>
      <c r="Q38" s="6">
        <f>10-P38</f>
        <v>6.96</v>
      </c>
      <c r="R38" s="40">
        <f>LOOKUP(Q38,{0,4.7,4.8,4.9,5,5.5,5.6,5.65,5.7,5.75,5.8,5.85,5.9,5.95,6,6.45,6.5,6.57,6.64,6.7,6.76},{0,10,20,30,40,50,60,62,64,66,68,70,72,74,76,78,80,85,90,95,100})</f>
        <v>100</v>
      </c>
      <c r="S38" s="48">
        <f>3.24-P38</f>
        <v>0.2</v>
      </c>
      <c r="T38" s="40">
        <f>LOOKUP(S38,{0,0.05,0.1,0.15,0.2,0.25,0.3,0.35,0.4,0.45,0.5},{0,1,2,3,4,5,6,7,8,9,10})</f>
        <v>4</v>
      </c>
      <c r="U38" s="7">
        <f>R38+T38</f>
        <v>104</v>
      </c>
      <c r="W38" s="7">
        <f>E38*0.1+G38*0.1+I38*0.1+O38*0.2+R38*0.2</f>
        <v>66.4</v>
      </c>
      <c r="X38" s="21">
        <f>W38/0.7+K38+T38</f>
        <v>98.8571428571429</v>
      </c>
    </row>
    <row r="39" ht="15.6" spans="1:24">
      <c r="A39" s="6">
        <v>114</v>
      </c>
      <c r="B39" s="29" t="s">
        <v>726</v>
      </c>
      <c r="C39" s="29" t="s">
        <v>46</v>
      </c>
      <c r="D39" s="6">
        <v>16.3</v>
      </c>
      <c r="E39" s="40">
        <f>LOOKUP(D39,{0,0.4,1.2,2,2.8,3.6,4.4,5.7,7,8.3,9.6,10.9,12.2,13.5,14.8,16.1,17.4,19.1,20.8,22.5,24.2},{0,10,20,30,40,50,60,62,64,66,68,70,72,74,76,78,80,85,90,95,100})</f>
        <v>78</v>
      </c>
      <c r="F39" s="6">
        <v>183</v>
      </c>
      <c r="G39" s="40">
        <f>LOOKUP(F39,{0,123,128,133,138,143,148,151,154,157,160,163,166,169,172,175,178,185,192,198,204},{0,10,20,30,40,50,60,62,64,66,68,70,72,74,76,78,80,85,90,95,100})</f>
        <v>80</v>
      </c>
      <c r="H39" s="6">
        <v>63</v>
      </c>
      <c r="I39" s="40">
        <f>LOOKUP(H39,{0,13,15,17,19,21,23,25,27,29,31,33,35,37,39,41,43,46,49,51,53},{0,10,20,30,40,50,60,62,64,66,68,70,72,74,76,78,80,85,90,95,100})</f>
        <v>100</v>
      </c>
      <c r="J39" s="45">
        <f>H39-53</f>
        <v>10</v>
      </c>
      <c r="K39" s="40">
        <f>LOOKUP(J39,{0,2,4,6,7,8,9,10,11,12,13},{0,1,2,3,4,5,6,7,8,9,10})</f>
        <v>7</v>
      </c>
      <c r="L39" s="7">
        <f>I39+K39</f>
        <v>107</v>
      </c>
      <c r="M39" s="6">
        <v>8.1</v>
      </c>
      <c r="N39" s="43">
        <f>13-M39</f>
        <v>4.9</v>
      </c>
      <c r="O39" s="40">
        <f>LOOKUP(N39,{0,1.4,1.6,1.8,2,2.2,2.4,2.6,2.8,3,3.2,3.4,3.6,3.8,4,4.2,4.4,4.7,5,5.1,5.2},{0,10,20,30,40,50,60,62,64,66,68,70,72,74,76,78,80,85,90,95,100})</f>
        <v>85</v>
      </c>
      <c r="P39" s="6">
        <v>3.11</v>
      </c>
      <c r="Q39" s="6">
        <f>10-P39</f>
        <v>6.89</v>
      </c>
      <c r="R39" s="40">
        <f>LOOKUP(Q39,{0,4.7,4.8,4.9,5,5.5,5.6,5.65,5.7,5.75,5.8,5.85,5.9,5.95,6,6.45,6.5,6.57,6.64,6.7,6.76},{0,10,20,30,40,50,60,62,64,66,68,70,72,74,76,78,80,85,90,95,100})</f>
        <v>100</v>
      </c>
      <c r="S39" s="48">
        <f>3.24-P39</f>
        <v>0.13</v>
      </c>
      <c r="T39" s="40">
        <f>LOOKUP(S39,{0,0.05,0.1,0.15,0.2,0.25,0.3,0.35,0.4,0.45,0.5},{0,1,2,3,4,5,6,7,8,9,10})</f>
        <v>2</v>
      </c>
      <c r="U39" s="7">
        <f>R39+T39</f>
        <v>102</v>
      </c>
      <c r="W39" s="7">
        <f>E39*0.1+G39*0.1+I39*0.1+O39*0.2+R39*0.2</f>
        <v>62.8</v>
      </c>
      <c r="X39" s="21">
        <f>W39/0.7+K39+T39</f>
        <v>98.7142857142857</v>
      </c>
    </row>
    <row r="40" ht="15.6" spans="1:24">
      <c r="A40" s="6">
        <v>104</v>
      </c>
      <c r="B40" s="39" t="s">
        <v>199</v>
      </c>
      <c r="C40" s="29" t="s">
        <v>46</v>
      </c>
      <c r="D40" s="6">
        <v>24.5</v>
      </c>
      <c r="E40" s="40">
        <f>LOOKUP(D40,{0,0.4,1.2,2,2.8,3.6,4.4,5.7,7,8.3,9.6,10.9,12.2,13.5,14.8,16.1,17.4,19.1,20.8,22.5,24.2},{0,10,20,30,40,50,60,62,64,66,68,70,72,74,76,78,80,85,90,95,100})</f>
        <v>100</v>
      </c>
      <c r="F40" s="6">
        <v>205</v>
      </c>
      <c r="G40" s="40">
        <f>LOOKUP(F40,{0,123,128,133,138,143,148,151,154,157,160,163,166,169,172,175,178,185,192,198,204},{0,10,20,30,40,50,60,62,64,66,68,70,72,74,76,78,80,85,90,95,100})</f>
        <v>100</v>
      </c>
      <c r="H40" s="6">
        <v>47</v>
      </c>
      <c r="I40" s="40">
        <f>LOOKUP(H40,{0,13,15,17,19,21,23,25,27,29,31,33,35,37,39,41,43,46,49,51,53},{0,10,20,30,40,50,60,62,64,66,68,70,72,74,76,78,80,85,90,95,100})</f>
        <v>85</v>
      </c>
      <c r="J40" s="45"/>
      <c r="K40" s="45"/>
      <c r="L40" s="7">
        <f>I40+K40</f>
        <v>85</v>
      </c>
      <c r="M40" s="6">
        <v>7.8</v>
      </c>
      <c r="N40" s="43">
        <f>13-M40</f>
        <v>5.2</v>
      </c>
      <c r="O40" s="40">
        <f>LOOKUP(N40,{0,1.4,1.6,1.8,2,2.2,2.4,2.6,2.8,3,3.2,3.4,3.6,3.8,4,4.2,4.4,4.7,5,5.1,5.2},{0,10,20,30,40,50,60,62,64,66,68,70,72,74,76,78,80,85,90,95,100})</f>
        <v>100</v>
      </c>
      <c r="P40" s="6">
        <v>3.23</v>
      </c>
      <c r="Q40" s="6">
        <f>10-P40</f>
        <v>6.77</v>
      </c>
      <c r="R40" s="40">
        <f>LOOKUP(Q40,{0,4.7,4.8,4.9,5,5.5,5.6,5.65,5.7,5.75,5.8,5.85,5.9,5.95,6,6.45,6.5,6.57,6.64,6.7,6.76},{0,10,20,30,40,50,60,62,64,66,68,70,72,74,76,78,80,85,90,95,100})</f>
        <v>100</v>
      </c>
      <c r="S40" s="48">
        <f>3.24-P40</f>
        <v>0.0100000000000002</v>
      </c>
      <c r="T40" s="40">
        <f>LOOKUP(S40,{0,0.05,0.1,0.15,0.2,0.25,0.3,0.35,0.4,0.45,0.5},{0,1,2,3,4,5,6,7,8,9,10})</f>
        <v>0</v>
      </c>
      <c r="U40" s="7">
        <f>R40+T40</f>
        <v>100</v>
      </c>
      <c r="W40" s="7">
        <f>E40*0.1+G40*0.1+I40*0.1+O40*0.2+R40*0.2</f>
        <v>68.5</v>
      </c>
      <c r="X40" s="21">
        <f>W40/0.7+K40+T40</f>
        <v>97.8571428571429</v>
      </c>
    </row>
    <row r="41" ht="15.6" spans="1:24">
      <c r="A41" s="6">
        <v>101</v>
      </c>
      <c r="B41" s="39" t="s">
        <v>56</v>
      </c>
      <c r="C41" s="29" t="s">
        <v>46</v>
      </c>
      <c r="D41" s="6">
        <v>15.5</v>
      </c>
      <c r="E41" s="40">
        <f>LOOKUP(D41,{0,0.4,1.2,2,2.8,3.6,4.4,5.7,7,8.3,9.6,10.9,12.2,13.5,14.8,16.1,17.4,19.1,20.8,22.5,24.2},{0,10,20,30,40,50,60,62,64,66,68,70,72,74,76,78,80,85,90,95,100})</f>
        <v>76</v>
      </c>
      <c r="F41" s="6">
        <v>210</v>
      </c>
      <c r="G41" s="40">
        <f>LOOKUP(F41,{0,123,128,133,138,143,148,151,154,157,160,163,166,169,172,175,178,185,192,198,204},{0,10,20,30,40,50,60,62,64,66,68,70,72,74,76,78,80,85,90,95,100})</f>
        <v>100</v>
      </c>
      <c r="H41" s="6">
        <v>53</v>
      </c>
      <c r="I41" s="40">
        <f>LOOKUP(H41,{0,13,15,17,19,21,23,25,27,29,31,33,35,37,39,41,43,46,49,51,53},{0,10,20,30,40,50,60,62,64,66,68,70,72,74,76,78,80,85,90,95,100})</f>
        <v>100</v>
      </c>
      <c r="J41" s="45">
        <f>H41-53</f>
        <v>0</v>
      </c>
      <c r="K41" s="40">
        <f>LOOKUP(J41,{0,2,4,6,7,8,9,10,11,12,13},{0,1,2,3,4,5,6,7,8,9,10})</f>
        <v>0</v>
      </c>
      <c r="L41" s="7">
        <f>I41+K41</f>
        <v>100</v>
      </c>
      <c r="M41" s="6">
        <v>7.8</v>
      </c>
      <c r="N41" s="43">
        <f>13-M41</f>
        <v>5.2</v>
      </c>
      <c r="O41" s="40">
        <f>LOOKUP(N41,{0,1.4,1.6,1.8,2,2.2,2.4,2.6,2.8,3,3.2,3.4,3.6,3.8,4,4.2,4.4,4.7,5,5.1,5.2},{0,10,20,30,40,50,60,62,64,66,68,70,72,74,76,78,80,85,90,95,100})</f>
        <v>100</v>
      </c>
      <c r="P41" s="6">
        <v>3.16</v>
      </c>
      <c r="Q41" s="6">
        <f>10-P41</f>
        <v>6.84</v>
      </c>
      <c r="R41" s="40">
        <f>LOOKUP(Q41,{0,4.7,4.8,4.9,5,5.5,5.6,5.65,5.7,5.75,5.8,5.85,5.9,5.95,6,6.45,6.5,6.57,6.64,6.7,6.76},{0,10,20,30,40,50,60,62,64,66,68,70,72,74,76,78,80,85,90,95,100})</f>
        <v>100</v>
      </c>
      <c r="S41" s="48">
        <f>3.24-P41</f>
        <v>0.0800000000000001</v>
      </c>
      <c r="T41" s="40">
        <f>LOOKUP(S41,{0,0.05,0.1,0.15,0.2,0.25,0.3,0.35,0.4,0.45,0.5},{0,1,2,3,4,5,6,7,8,9,10})</f>
        <v>1</v>
      </c>
      <c r="U41" s="7">
        <f>R41+T41</f>
        <v>101</v>
      </c>
      <c r="W41" s="7">
        <f>E41*0.1+G41*0.1+I41*0.1+O41*0.2+R41*0.2</f>
        <v>67.6</v>
      </c>
      <c r="X41" s="21">
        <f>W41/0.7+K41+T41</f>
        <v>97.5714285714286</v>
      </c>
    </row>
    <row r="42" ht="15.6" spans="1:24">
      <c r="A42" s="6">
        <v>115</v>
      </c>
      <c r="B42" s="29" t="s">
        <v>760</v>
      </c>
      <c r="C42" s="29" t="s">
        <v>46</v>
      </c>
      <c r="D42" s="6">
        <v>26.3</v>
      </c>
      <c r="E42" s="40">
        <f>LOOKUP(D42,{0,0.4,1.2,2,2.8,3.6,4.4,5.7,7,8.3,9.6,10.9,12.2,13.5,14.8,16.1,17.4,19.1,20.8,22.5,24.2},{0,10,20,30,40,50,60,62,64,66,68,70,72,74,76,78,80,85,90,95,100})</f>
        <v>100</v>
      </c>
      <c r="F42" s="6">
        <v>210</v>
      </c>
      <c r="G42" s="40">
        <f>LOOKUP(F42,{0,123,128,133,138,143,148,151,154,157,160,163,166,169,172,175,178,185,192,198,204},{0,10,20,30,40,50,60,62,64,66,68,70,72,74,76,78,80,85,90,95,100})</f>
        <v>100</v>
      </c>
      <c r="H42" s="6">
        <v>45</v>
      </c>
      <c r="I42" s="40">
        <f>LOOKUP(H42,{0,13,15,17,19,21,23,25,27,29,31,33,35,37,39,41,43,46,49,51,53},{0,10,20,30,40,50,60,62,64,66,68,70,72,74,76,78,80,85,90,95,100})</f>
        <v>80</v>
      </c>
      <c r="J42" s="45"/>
      <c r="K42" s="45"/>
      <c r="L42" s="7">
        <f>I42+K42</f>
        <v>80</v>
      </c>
      <c r="M42" s="6">
        <v>8</v>
      </c>
      <c r="N42" s="43">
        <f>13-M42</f>
        <v>5</v>
      </c>
      <c r="O42" s="40">
        <f>LOOKUP(N42,{0,1.4,1.6,1.8,2,2.2,2.4,2.6,2.8,3,3.2,3.4,3.6,3.8,4,4.2,4.4,4.7,5,5.1,5.2},{0,10,20,30,40,50,60,62,64,66,68,70,72,74,76,78,80,85,90,95,100})</f>
        <v>90</v>
      </c>
      <c r="P42" s="6">
        <v>3.14</v>
      </c>
      <c r="Q42" s="6">
        <f>10-P42</f>
        <v>6.86</v>
      </c>
      <c r="R42" s="40">
        <f>LOOKUP(Q42,{0,4.7,4.8,4.9,5,5.5,5.6,5.65,5.7,5.75,5.8,5.85,5.9,5.95,6,6.45,6.5,6.57,6.64,6.7,6.76},{0,10,20,30,40,50,60,62,64,66,68,70,72,74,76,78,80,85,90,95,100})</f>
        <v>100</v>
      </c>
      <c r="S42" s="48">
        <f>3.24-P42</f>
        <v>0.1</v>
      </c>
      <c r="T42" s="40">
        <f>LOOKUP(S42,{0,0.05,0.1,0.15,0.2,0.25,0.3,0.35,0.4,0.45,0.5},{0,1,2,3,4,5,6,7,8,9,10})</f>
        <v>2</v>
      </c>
      <c r="U42" s="7">
        <f>R42+T42</f>
        <v>102</v>
      </c>
      <c r="W42" s="7">
        <f>E42*0.1+G42*0.1+I42*0.1+O42*0.2+R42*0.2</f>
        <v>66</v>
      </c>
      <c r="X42" s="21">
        <f>W42/0.7+K42+T42</f>
        <v>96.2857142857143</v>
      </c>
    </row>
    <row r="43" ht="15.6" spans="1:24">
      <c r="A43" s="6">
        <v>104</v>
      </c>
      <c r="B43" s="29" t="s">
        <v>216</v>
      </c>
      <c r="C43" s="29" t="s">
        <v>46</v>
      </c>
      <c r="D43" s="6">
        <v>8</v>
      </c>
      <c r="E43" s="40">
        <f>LOOKUP(D43,{0,0.4,1.2,2,2.8,3.6,4.4,5.7,7,8.3,9.6,10.9,12.2,13.5,14.8,16.1,17.4,19.1,20.8,22.5,24.2},{0,10,20,30,40,50,60,62,64,66,68,70,72,74,76,78,80,85,90,95,100})</f>
        <v>64</v>
      </c>
      <c r="F43" s="6">
        <v>195</v>
      </c>
      <c r="G43" s="40">
        <f>LOOKUP(F43,{0,123,128,133,138,143,148,151,154,157,160,163,166,169,172,175,178,185,192,198,204},{0,10,20,30,40,50,60,62,64,66,68,70,72,74,76,78,80,85,90,95,100})</f>
        <v>90</v>
      </c>
      <c r="H43" s="6">
        <v>61</v>
      </c>
      <c r="I43" s="40">
        <f>LOOKUP(H43,{0,13,15,17,19,21,23,25,27,29,31,33,35,37,39,41,43,46,49,51,53},{0,10,20,30,40,50,60,62,64,66,68,70,72,74,76,78,80,85,90,95,100})</f>
        <v>100</v>
      </c>
      <c r="J43" s="45">
        <f>H43-53</f>
        <v>8</v>
      </c>
      <c r="K43" s="40">
        <f>LOOKUP(J43,{0,2,4,6,7,8,9,10,11,12,13},{0,1,2,3,4,5,6,7,8,9,10})</f>
        <v>5</v>
      </c>
      <c r="L43" s="7">
        <f>I43+K43</f>
        <v>105</v>
      </c>
      <c r="M43" s="6">
        <v>8.1</v>
      </c>
      <c r="N43" s="43">
        <f>13-M43</f>
        <v>4.9</v>
      </c>
      <c r="O43" s="40">
        <f>LOOKUP(N43,{0,1.4,1.6,1.8,2,2.2,2.4,2.6,2.8,3,3.2,3.4,3.6,3.8,4,4.2,4.4,4.7,5,5.1,5.2},{0,10,20,30,40,50,60,62,64,66,68,70,72,74,76,78,80,85,90,95,100})</f>
        <v>85</v>
      </c>
      <c r="P43" s="6">
        <v>3.12</v>
      </c>
      <c r="Q43" s="6">
        <f>10-P43</f>
        <v>6.88</v>
      </c>
      <c r="R43" s="40">
        <f>LOOKUP(Q43,{0,4.7,4.8,4.9,5,5.5,5.6,5.65,5.7,5.75,5.8,5.85,5.9,5.95,6,6.45,6.5,6.57,6.64,6.7,6.76},{0,10,20,30,40,50,60,62,64,66,68,70,72,74,76,78,80,85,90,95,100})</f>
        <v>100</v>
      </c>
      <c r="S43" s="48">
        <f>3.24-P43</f>
        <v>0.12</v>
      </c>
      <c r="T43" s="40">
        <f>LOOKUP(S43,{0,0.05,0.1,0.15,0.2,0.25,0.3,0.35,0.4,0.45,0.5},{0,1,2,3,4,5,6,7,8,9,10})</f>
        <v>2</v>
      </c>
      <c r="U43" s="7">
        <f>R43+T43</f>
        <v>102</v>
      </c>
      <c r="W43" s="7">
        <f>E43*0.1+G43*0.1+I43*0.1+O43*0.2+R43*0.2</f>
        <v>62.4</v>
      </c>
      <c r="X43" s="21">
        <f>W43/0.7+K43+T43</f>
        <v>96.1428571428572</v>
      </c>
    </row>
    <row r="44" ht="15.6" spans="1:24">
      <c r="A44" s="6">
        <v>115</v>
      </c>
      <c r="B44" s="29" t="s">
        <v>771</v>
      </c>
      <c r="C44" s="29" t="s">
        <v>46</v>
      </c>
      <c r="D44" s="6">
        <v>13.5</v>
      </c>
      <c r="E44" s="40">
        <f>LOOKUP(D44,{0,0.4,1.2,2,2.8,3.6,4.4,5.7,7,8.3,9.6,10.9,12.2,13.5,14.8,16.1,17.4,19.1,20.8,22.5,24.2},{0,10,20,30,40,50,60,62,64,66,68,70,72,74,76,78,80,85,90,95,100})</f>
        <v>74</v>
      </c>
      <c r="F44" s="6">
        <v>195</v>
      </c>
      <c r="G44" s="40">
        <f>LOOKUP(F44,{0,123,128,133,138,143,148,151,154,157,160,163,166,169,172,175,178,185,192,198,204},{0,10,20,30,40,50,60,62,64,66,68,70,72,74,76,78,80,85,90,95,100})</f>
        <v>90</v>
      </c>
      <c r="H44" s="6">
        <v>53</v>
      </c>
      <c r="I44" s="40">
        <f>LOOKUP(H44,{0,13,15,17,19,21,23,25,27,29,31,33,35,37,39,41,43,46,49,51,53},{0,10,20,30,40,50,60,62,64,66,68,70,72,74,76,78,80,85,90,95,100})</f>
        <v>100</v>
      </c>
      <c r="J44" s="45">
        <f>H44-53</f>
        <v>0</v>
      </c>
      <c r="K44" s="40">
        <f>LOOKUP(J44,{0,2,4,6,7,8,9,10,11,12,13},{0,1,2,3,4,5,6,7,8,9,10})</f>
        <v>0</v>
      </c>
      <c r="L44" s="7">
        <f>I44+K44</f>
        <v>100</v>
      </c>
      <c r="M44" s="6">
        <v>7.6</v>
      </c>
      <c r="N44" s="43">
        <f>13-M44</f>
        <v>5.4</v>
      </c>
      <c r="O44" s="40">
        <f>LOOKUP(N44,{0,1.4,1.6,1.8,2,2.2,2.4,2.6,2.8,3,3.2,3.4,3.6,3.8,4,4.2,4.4,4.7,5,5.1,5.2},{0,10,20,30,40,50,60,62,64,66,68,70,72,74,76,78,80,85,90,95,100})</f>
        <v>100</v>
      </c>
      <c r="P44" s="6">
        <v>3.22</v>
      </c>
      <c r="Q44" s="6">
        <f>10-P44</f>
        <v>6.78</v>
      </c>
      <c r="R44" s="40">
        <f>LOOKUP(Q44,{0,4.7,4.8,4.9,5,5.5,5.6,5.65,5.7,5.75,5.8,5.85,5.9,5.95,6,6.45,6.5,6.57,6.64,6.7,6.76},{0,10,20,30,40,50,60,62,64,66,68,70,72,74,76,78,80,85,90,95,100})</f>
        <v>100</v>
      </c>
      <c r="S44" s="48">
        <f>3.24-P44</f>
        <v>0.02</v>
      </c>
      <c r="T44" s="40">
        <f>LOOKUP(S44,{0,0.05,0.1,0.15,0.2,0.25,0.3,0.35,0.4,0.45,0.5},{0,1,2,3,4,5,6,7,8,9,10})</f>
        <v>0</v>
      </c>
      <c r="U44" s="7">
        <f>R44+T44</f>
        <v>100</v>
      </c>
      <c r="W44" s="7">
        <f>E44*0.1+G44*0.1+I44*0.1+O44*0.2+R44*0.2</f>
        <v>66.4</v>
      </c>
      <c r="X44" s="21">
        <f>W44/0.7+K44+T44</f>
        <v>94.8571428571429</v>
      </c>
    </row>
    <row r="45" ht="15.6" spans="1:24">
      <c r="A45" s="6">
        <v>111</v>
      </c>
      <c r="B45" s="29" t="s">
        <v>553</v>
      </c>
      <c r="C45" s="29" t="s">
        <v>46</v>
      </c>
      <c r="D45" s="6">
        <v>22</v>
      </c>
      <c r="E45" s="40">
        <f>LOOKUP(D45,{0,0.4,1.2,2,2.8,3.6,4.4,5.7,7,8.3,9.6,10.9,12.2,13.5,14.8,16.1,17.4,19.1,20.8,22.5,24.2},{0,10,20,30,40,50,60,62,64,66,68,70,72,74,76,78,80,85,90,95,100})</f>
        <v>90</v>
      </c>
      <c r="F45" s="6">
        <v>216</v>
      </c>
      <c r="G45" s="40">
        <f>LOOKUP(F45,{0,123,128,133,138,143,148,151,154,157,160,163,166,169,172,175,178,185,192,198,204},{0,10,20,30,40,50,60,62,64,66,68,70,72,74,76,78,80,85,90,95,100})</f>
        <v>100</v>
      </c>
      <c r="H45" s="6">
        <v>50</v>
      </c>
      <c r="I45" s="40">
        <f>LOOKUP(H45,{0,13,15,17,19,21,23,25,27,29,31,33,35,37,39,41,43,46,49,51,53},{0,10,20,30,40,50,60,62,64,66,68,70,72,74,76,78,80,85,90,95,100})</f>
        <v>90</v>
      </c>
      <c r="J45" s="45"/>
      <c r="K45" s="45"/>
      <c r="L45" s="7">
        <f>I45+K45</f>
        <v>90</v>
      </c>
      <c r="M45" s="6">
        <v>8.2</v>
      </c>
      <c r="N45" s="43">
        <f>13-M45</f>
        <v>4.8</v>
      </c>
      <c r="O45" s="40">
        <f>LOOKUP(N45,{0,1.4,1.6,1.8,2,2.2,2.4,2.6,2.8,3,3.2,3.4,3.6,3.8,4,4.2,4.4,4.7,5,5.1,5.2},{0,10,20,30,40,50,60,62,64,66,68,70,72,74,76,78,80,85,90,95,100})</f>
        <v>85</v>
      </c>
      <c r="P45" s="6">
        <v>3.13</v>
      </c>
      <c r="Q45" s="6">
        <f>10-P45</f>
        <v>6.87</v>
      </c>
      <c r="R45" s="40">
        <f>LOOKUP(Q45,{0,4.7,4.8,4.9,5,5.5,5.6,5.65,5.7,5.75,5.8,5.85,5.9,5.95,6,6.45,6.5,6.57,6.64,6.7,6.76},{0,10,20,30,40,50,60,62,64,66,68,70,72,74,76,78,80,85,90,95,100})</f>
        <v>100</v>
      </c>
      <c r="S45" s="48">
        <f>3.24-P45</f>
        <v>0.11</v>
      </c>
      <c r="T45" s="40">
        <f>LOOKUP(S45,{0,0.05,0.1,0.15,0.2,0.25,0.3,0.35,0.4,0.45,0.5},{0,1,2,3,4,5,6,7,8,9,10})</f>
        <v>2</v>
      </c>
      <c r="U45" s="7">
        <f>R45+T45</f>
        <v>102</v>
      </c>
      <c r="W45" s="7">
        <f>E45*0.1+G45*0.1+I45*0.1+O45*0.2+R45*0.2</f>
        <v>65</v>
      </c>
      <c r="X45" s="21">
        <f>W45/0.7+K45+T45</f>
        <v>94.8571428571429</v>
      </c>
    </row>
    <row r="46" ht="15.6" spans="1:24">
      <c r="A46" s="6">
        <v>106</v>
      </c>
      <c r="B46" s="29" t="s">
        <v>281</v>
      </c>
      <c r="C46" s="29" t="s">
        <v>46</v>
      </c>
      <c r="D46" s="6">
        <v>21</v>
      </c>
      <c r="E46" s="40">
        <f>LOOKUP(D46,{0,0.4,1.2,2,2.8,3.6,4.4,5.7,7,8.3,9.6,10.9,12.2,13.5,14.8,16.1,17.4,19.1,20.8,22.5,24.2},{0,10,20,30,40,50,60,62,64,66,68,70,72,74,76,78,80,85,90,95,100})</f>
        <v>90</v>
      </c>
      <c r="F46" s="6">
        <v>183</v>
      </c>
      <c r="G46" s="40">
        <f>LOOKUP(F46,{0,123,128,133,138,143,148,151,154,157,160,163,166,169,172,175,178,185,192,198,204},{0,10,20,30,40,50,60,62,64,66,68,70,72,74,76,78,80,85,90,95,100})</f>
        <v>80</v>
      </c>
      <c r="H46" s="6">
        <v>58</v>
      </c>
      <c r="I46" s="40">
        <f>LOOKUP(H46,{0,13,15,17,19,21,23,25,27,29,31,33,35,37,39,41,43,46,49,51,53},{0,10,20,30,40,50,60,62,64,66,68,70,72,74,76,78,80,85,90,95,100})</f>
        <v>100</v>
      </c>
      <c r="J46" s="45">
        <f>H46-53</f>
        <v>5</v>
      </c>
      <c r="K46" s="40">
        <f>LOOKUP(J46,{0,2,4,6,7,8,9,10,11,12,13},{0,1,2,3,4,5,6,7,8,9,10})</f>
        <v>2</v>
      </c>
      <c r="L46" s="7">
        <f>I46+K46</f>
        <v>102</v>
      </c>
      <c r="M46" s="6">
        <v>8.3</v>
      </c>
      <c r="N46" s="43">
        <f>13-M46</f>
        <v>4.7</v>
      </c>
      <c r="O46" s="40">
        <f>LOOKUP(N46,{0,1.4,1.6,1.8,2,2.2,2.4,2.6,2.8,3,3.2,3.4,3.6,3.8,4,4.2,4.4,4.7,5,5.1,5.2},{0,10,20,30,40,50,60,62,64,66,68,70,72,74,76,78,80,85,90,95,100})</f>
        <v>85</v>
      </c>
      <c r="P46" s="6">
        <v>3.17</v>
      </c>
      <c r="Q46" s="6">
        <f>10-P46</f>
        <v>6.83</v>
      </c>
      <c r="R46" s="40">
        <f>LOOKUP(Q46,{0,4.7,4.8,4.9,5,5.5,5.6,5.65,5.7,5.75,5.8,5.85,5.9,5.95,6,6.45,6.5,6.57,6.64,6.7,6.76},{0,10,20,30,40,50,60,62,64,66,68,70,72,74,76,78,80,85,90,95,100})</f>
        <v>100</v>
      </c>
      <c r="S46" s="48">
        <f>3.24-P46</f>
        <v>0.0700000000000003</v>
      </c>
      <c r="T46" s="40">
        <f>LOOKUP(S46,{0,0.05,0.1,0.15,0.2,0.25,0.3,0.35,0.4,0.45,0.5},{0,1,2,3,4,5,6,7,8,9,10})</f>
        <v>1</v>
      </c>
      <c r="U46" s="7">
        <f>R46+T46</f>
        <v>101</v>
      </c>
      <c r="W46" s="7">
        <f>E46*0.1+G46*0.1+I46*0.1+O46*0.2+R46*0.2</f>
        <v>64</v>
      </c>
      <c r="X46" s="21">
        <f>W46/0.7+K46+T46</f>
        <v>94.4285714285714</v>
      </c>
    </row>
    <row r="47" s="3" customFormat="1" ht="15.6" spans="1:24">
      <c r="A47" s="6">
        <v>111</v>
      </c>
      <c r="B47" s="29" t="s">
        <v>546</v>
      </c>
      <c r="C47" s="29" t="s">
        <v>46</v>
      </c>
      <c r="D47" s="6">
        <v>25</v>
      </c>
      <c r="E47" s="40">
        <f>LOOKUP(D47,{0,0.4,1.2,2,2.8,3.6,4.4,5.7,7,8.3,9.6,10.9,12.2,13.5,14.8,16.1,17.4,19.1,20.8,22.5,24.2},{0,10,20,30,40,50,60,62,64,66,68,70,72,74,76,78,80,85,90,95,100})</f>
        <v>100</v>
      </c>
      <c r="F47" s="6">
        <v>200</v>
      </c>
      <c r="G47" s="40">
        <f>LOOKUP(F47,{0,123,128,133,138,143,148,151,154,157,160,163,166,169,172,175,178,185,192,198,204},{0,10,20,30,40,50,60,62,64,66,68,70,72,74,76,78,80,85,90,95,100})</f>
        <v>95</v>
      </c>
      <c r="H47" s="6">
        <v>52</v>
      </c>
      <c r="I47" s="40">
        <f>LOOKUP(H47,{0,13,15,17,19,21,23,25,27,29,31,33,35,37,39,41,43,46,49,51,53},{0,10,20,30,40,50,60,62,64,66,68,70,72,74,76,78,80,85,90,95,100})</f>
        <v>95</v>
      </c>
      <c r="J47" s="45"/>
      <c r="K47" s="45"/>
      <c r="L47" s="7">
        <f>I47+K47</f>
        <v>95</v>
      </c>
      <c r="M47" s="6">
        <v>8</v>
      </c>
      <c r="N47" s="43">
        <f>13-M47</f>
        <v>5</v>
      </c>
      <c r="O47" s="40">
        <f>LOOKUP(N47,{0,1.4,1.6,1.8,2,2.2,2.4,2.6,2.8,3,3.2,3.4,3.6,3.8,4,4.2,4.4,4.7,5,5.1,5.2},{0,10,20,30,40,50,60,62,64,66,68,70,72,74,76,78,80,85,90,95,100})</f>
        <v>90</v>
      </c>
      <c r="P47" s="6">
        <v>3.26</v>
      </c>
      <c r="Q47" s="6">
        <f>10-P47</f>
        <v>6.74</v>
      </c>
      <c r="R47" s="40">
        <f>LOOKUP(Q47,{0,4.7,4.8,4.9,5,5.5,5.6,5.65,5.7,5.75,5.8,5.85,5.9,5.95,6,6.45,6.5,6.57,6.64,6.7,6.76},{0,10,20,30,40,50,60,62,64,66,68,70,72,74,76,78,80,85,90,95,100})</f>
        <v>95</v>
      </c>
      <c r="S47" s="45"/>
      <c r="T47" s="45"/>
      <c r="U47" s="7">
        <f>R47+T47</f>
        <v>95</v>
      </c>
      <c r="V47" s="6"/>
      <c r="W47" s="7">
        <f>E47*0.1+G47*0.1+I47*0.1+O47*0.2+R47*0.2</f>
        <v>66</v>
      </c>
      <c r="X47" s="21">
        <f>W47/0.7+K47+T47</f>
        <v>94.2857142857143</v>
      </c>
    </row>
    <row r="48" ht="15.6" hidden="1" spans="1:24">
      <c r="A48" s="6">
        <v>112</v>
      </c>
      <c r="B48" s="29" t="s">
        <v>584</v>
      </c>
      <c r="C48" s="29" t="s">
        <v>11</v>
      </c>
      <c r="D48" s="6">
        <v>16</v>
      </c>
      <c r="E48" s="40">
        <f>LOOKUP(D48,{0,-4,-3,-2,-1,0,1,2.4,3.8,5.2,6.6,8,9.4,10.8,12.2,13.6,15,17.2,19.4,21.5,23.6},{0,10,20,30,40,50,60,62,64,66,68,70,72,74,76,78,80,85,90,95,100})</f>
        <v>80</v>
      </c>
      <c r="F48" s="6">
        <v>265</v>
      </c>
      <c r="G48" s="40">
        <f>LOOKUP(F48,{0,170,175,180,185,190,195,199,203,207,211,215,219,223,227,231,235,243,250,255,260},{0,10,20,30,40,50,60,62,64,66,68,70,72,74,76,78,80,85,90,95,100})</f>
        <v>100</v>
      </c>
      <c r="H48" s="6">
        <v>26</v>
      </c>
      <c r="I48" s="40">
        <f>LOOKUP(H48,{0,2,3,4,5,6,7,8,9,10,11,12,13,14,15,16},{0,10,20,30,40,50,60,64,68,72,76,80,85,90,95,100})</f>
        <v>100</v>
      </c>
      <c r="J48" s="7">
        <f>H48-16</f>
        <v>10</v>
      </c>
      <c r="K48" s="40">
        <f>LOOKUP(J48,{0,1,2,3,4,5,6,7,8,9,10},{0,1,2,3,4,5,6,7,8,9,10})</f>
        <v>10</v>
      </c>
      <c r="L48" s="7">
        <f>I48+K48</f>
        <v>110</v>
      </c>
      <c r="M48" s="6">
        <v>6.8</v>
      </c>
      <c r="N48" s="43">
        <f>13-M48</f>
        <v>6.2</v>
      </c>
      <c r="O48" s="40">
        <f>LOOKUP(N48,{0,2.5,2.7,2.9,3.1,3.3,3.5,3.7,3.9,4.1,4.3,4.5,4.7,4.9,5.1,5.3,5.5,5.6,5.7,5.8,5.9},{0,10,20,30,40,50,60,62,64,66,68,70,72,74,76,78,80,85,90,95,100})</f>
        <v>100</v>
      </c>
      <c r="P48" s="6">
        <v>3.21</v>
      </c>
      <c r="Q48" s="6">
        <f>10-P48</f>
        <v>6.79</v>
      </c>
      <c r="R48" s="40">
        <f>LOOKUP(Q48,{0,3.75,3.95,4.55,4.75,4.95,5.55,5.6,5.65,5.7,5.75,5.8,5.85,5.9,5.95,6,6.45,6.53,6.6,6.65,6.7},{0,10,20,30,40,50,60,62,64,66,68,70,72,74,76,78,80,85,90,95,100})</f>
        <v>100</v>
      </c>
      <c r="S48" s="7">
        <f>3.3-P48</f>
        <v>0.0899999999999999</v>
      </c>
      <c r="T48" s="40">
        <f>LOOKUP(S48,{0,0.04,0.08,0.12,0.16,0.2,0.23,0.26,0.29,0.32,0.35},{0,1,2,3,4,5,6,7,8,9,10})</f>
        <v>2</v>
      </c>
      <c r="U48" s="7">
        <f>R48+T48</f>
        <v>102</v>
      </c>
      <c r="W48" s="7">
        <f>E48*0.1+G48*0.1+I48*0.1+O48*0.2+R48*0.2</f>
        <v>68</v>
      </c>
      <c r="X48" s="21">
        <f>W48/0.7+K48+T48</f>
        <v>109.142857142857</v>
      </c>
    </row>
    <row r="49" ht="15.6" hidden="1" spans="1:24">
      <c r="A49" s="6">
        <v>104</v>
      </c>
      <c r="B49" s="29" t="s">
        <v>180</v>
      </c>
      <c r="C49" s="29" t="s">
        <v>11</v>
      </c>
      <c r="D49" s="6">
        <v>10.2</v>
      </c>
      <c r="E49" s="40">
        <f>LOOKUP(D49,{0,-4,-3,-2,-1,0,1,2.4,3.8,5.2,6.6,8,9.4,10.8,12.2,13.6,15,17.2,19.4,21.5,23.6},{0,10,20,30,40,50,60,62,64,66,68,70,72,74,76,78,80,85,90,95,100})</f>
        <v>72</v>
      </c>
      <c r="F49" s="6">
        <v>243</v>
      </c>
      <c r="G49" s="40">
        <f>LOOKUP(F49,{0,170,175,180,185,190,195,199,203,207,211,215,219,223,227,231,235,243,250,255,260},{0,10,20,30,40,50,60,62,64,66,68,70,72,74,76,78,80,85,90,95,100})</f>
        <v>85</v>
      </c>
      <c r="H49" s="6">
        <v>18</v>
      </c>
      <c r="I49" s="40">
        <f>LOOKUP(H49,{0,2,3,4,5,6,7,8,9,10,11,12,13,14,15,16},{0,10,20,30,40,50,60,64,68,72,76,80,85,90,95,100})</f>
        <v>100</v>
      </c>
      <c r="J49" s="7">
        <f>H49-16</f>
        <v>2</v>
      </c>
      <c r="K49" s="40">
        <f>LOOKUP(J49,{0,1,2,3,4,5,6,7,8,9,10},{0,1,2,3,4,5,6,7,8,9,10})</f>
        <v>2</v>
      </c>
      <c r="L49" s="7">
        <f>I49+K49</f>
        <v>102</v>
      </c>
      <c r="M49" s="6">
        <v>6.8</v>
      </c>
      <c r="N49" s="43">
        <f>13-M49</f>
        <v>6.2</v>
      </c>
      <c r="O49" s="40">
        <f>LOOKUP(N49,{0,2.5,2.7,2.9,3.1,3.3,3.5,3.7,3.9,4.1,4.3,4.5,4.7,4.9,5.1,5.3,5.5,5.6,5.7,5.8,5.9},{0,10,20,30,40,50,60,62,64,66,68,70,72,74,76,78,80,85,90,95,100})</f>
        <v>100</v>
      </c>
      <c r="P49" s="6">
        <v>3.24</v>
      </c>
      <c r="Q49" s="6">
        <f>10-P49</f>
        <v>6.76</v>
      </c>
      <c r="R49" s="40">
        <f>LOOKUP(Q49,{0,3.75,3.95,4.55,4.75,4.95,5.55,5.6,5.65,5.7,5.75,5.8,5.85,5.9,5.95,6,6.45,6.53,6.6,6.65,6.7},{0,10,20,30,40,50,60,62,64,66,68,70,72,74,76,78,80,85,90,95,100})</f>
        <v>100</v>
      </c>
      <c r="S49" s="7">
        <f>3.3-P49</f>
        <v>0.0599999999999996</v>
      </c>
      <c r="T49" s="40">
        <f>LOOKUP(S49,{0,0.04,0.08,0.12,0.16,0.2,0.23,0.26,0.29,0.32,0.35},{0,1,2,3,4,5,6,7,8,9,10})</f>
        <v>1</v>
      </c>
      <c r="U49" s="7">
        <f>R49+T49</f>
        <v>101</v>
      </c>
      <c r="W49" s="7">
        <f>E49*0.1+G49*0.1+I49*0.1+O49*0.2+R49*0.2</f>
        <v>65.7</v>
      </c>
      <c r="X49" s="21">
        <f>W49/0.7+K49+T49</f>
        <v>96.8571428571429</v>
      </c>
    </row>
    <row r="50" ht="15.6" hidden="1" spans="1:24">
      <c r="A50" s="6">
        <v>103</v>
      </c>
      <c r="B50" s="29" t="s">
        <v>143</v>
      </c>
      <c r="C50" s="29" t="s">
        <v>11</v>
      </c>
      <c r="D50" s="6">
        <v>-1.5</v>
      </c>
      <c r="E50" s="40">
        <f>LOOKUP(D50,{0,-4,-3,-2,-1,0,1,2.4,3.8,5.2,6.6,8,9.4,10.8,12.2,13.6,15,17.2,19.4,21.5,23.6},{0,10,20,30,40,50,60,62,64,66,68,70,72,74,76,78,80,85,90,95,100})</f>
        <v>30</v>
      </c>
      <c r="F50" s="6">
        <v>240</v>
      </c>
      <c r="G50" s="40">
        <f>LOOKUP(F50,{0,170,175,180,185,190,195,199,203,207,211,215,219,223,227,231,235,243,250,255,260},{0,10,20,30,40,50,60,62,64,66,68,70,72,74,76,78,80,85,90,95,100})</f>
        <v>80</v>
      </c>
      <c r="H50" s="6">
        <v>11</v>
      </c>
      <c r="I50" s="40">
        <f>LOOKUP(H50,{0,2,3,4,5,6,7,8,9,10,11,12,13,14,15,16},{0,10,20,30,40,50,60,64,68,72,76,80,85,90,95,100})</f>
        <v>76</v>
      </c>
      <c r="J50" s="7"/>
      <c r="K50" s="7"/>
      <c r="L50" s="7">
        <f>I50+K50</f>
        <v>76</v>
      </c>
      <c r="M50" s="6">
        <v>6.8</v>
      </c>
      <c r="N50" s="43">
        <f>13-M50</f>
        <v>6.2</v>
      </c>
      <c r="O50" s="40">
        <f>LOOKUP(N50,{0,2.5,2.7,2.9,3.1,3.3,3.5,3.7,3.9,4.1,4.3,4.5,4.7,4.9,5.1,5.3,5.5,5.6,5.7,5.8,5.9},{0,10,20,30,40,50,60,62,64,66,68,70,72,74,76,78,80,85,90,95,100})</f>
        <v>100</v>
      </c>
      <c r="P50" s="6">
        <v>3.25</v>
      </c>
      <c r="Q50" s="6">
        <f>10-P50</f>
        <v>6.75</v>
      </c>
      <c r="R50" s="40">
        <f>LOOKUP(Q50,{0,3.75,3.95,4.55,4.75,4.95,5.55,5.6,5.65,5.7,5.75,5.8,5.85,5.9,5.95,6,6.45,6.53,6.6,6.65,6.7},{0,10,20,30,40,50,60,62,64,66,68,70,72,74,76,78,80,85,90,95,100})</f>
        <v>100</v>
      </c>
      <c r="S50" s="7">
        <f>3.3-P50</f>
        <v>0.0499999999999998</v>
      </c>
      <c r="T50" s="40">
        <f>LOOKUP(S50,{0,0.04,0.08,0.12,0.16,0.2,0.23,0.26,0.29,0.32,0.35},{0,1,2,3,4,5,6,7,8,9,10})</f>
        <v>1</v>
      </c>
      <c r="U50" s="7">
        <f>R50+T50</f>
        <v>101</v>
      </c>
      <c r="W50" s="7">
        <f>E50*0.1+G50*0.1+I50*0.1+O50*0.2+R50*0.2</f>
        <v>58.6</v>
      </c>
      <c r="X50" s="21">
        <f>W50/0.7+K50+T50</f>
        <v>84.7142857142857</v>
      </c>
    </row>
    <row r="51" ht="15.6" hidden="1" spans="1:24">
      <c r="A51" s="6">
        <v>110</v>
      </c>
      <c r="B51" s="29" t="s">
        <v>488</v>
      </c>
      <c r="C51" s="29" t="s">
        <v>11</v>
      </c>
      <c r="D51" s="6">
        <v>14.5</v>
      </c>
      <c r="E51" s="40">
        <f>LOOKUP(D51,{0,-4,-3,-2,-1,0,1,2.4,3.8,5.2,6.6,8,9.4,10.8,12.2,13.6,15,17.2,19.4,21.5,23.6},{0,10,20,30,40,50,60,62,64,66,68,70,72,74,76,78,80,85,90,95,100})</f>
        <v>78</v>
      </c>
      <c r="F51" s="6">
        <v>245</v>
      </c>
      <c r="G51" s="40">
        <f>LOOKUP(F51,{0,170,175,180,185,190,195,199,203,207,211,215,219,223,227,231,235,243,250,255,260},{0,10,20,30,40,50,60,62,64,66,68,70,72,74,76,78,80,85,90,95,100})</f>
        <v>85</v>
      </c>
      <c r="H51" s="6">
        <v>27</v>
      </c>
      <c r="I51" s="40">
        <f>LOOKUP(H51,{0,2,3,4,5,6,7,8,9,10,11,12,13,14,15,16},{0,10,20,30,40,50,60,64,68,72,76,80,85,90,95,100})</f>
        <v>100</v>
      </c>
      <c r="J51" s="7">
        <f>H51-16</f>
        <v>11</v>
      </c>
      <c r="K51" s="40">
        <f>LOOKUP(J51,{0,1,2,3,4,5,6,7,8,9,10},{0,1,2,3,4,5,6,7,8,9,10})</f>
        <v>10</v>
      </c>
      <c r="L51" s="7">
        <f>I51+K51</f>
        <v>110</v>
      </c>
      <c r="M51" s="6">
        <v>6.8</v>
      </c>
      <c r="N51" s="43">
        <f>13-M51</f>
        <v>6.2</v>
      </c>
      <c r="O51" s="40">
        <f>LOOKUP(N51,{0,2.5,2.7,2.9,3.1,3.3,3.5,3.7,3.9,4.1,4.3,4.5,4.7,4.9,5.1,5.3,5.5,5.6,5.7,5.8,5.9},{0,10,20,30,40,50,60,62,64,66,68,70,72,74,76,78,80,85,90,95,100})</f>
        <v>100</v>
      </c>
      <c r="P51" s="6">
        <v>3.28</v>
      </c>
      <c r="Q51" s="6">
        <f>10-P51</f>
        <v>6.72</v>
      </c>
      <c r="R51" s="40">
        <f>LOOKUP(Q51,{0,3.75,3.95,4.55,4.75,4.95,5.55,5.6,5.65,5.7,5.75,5.8,5.85,5.9,5.95,6,6.45,6.53,6.6,6.65,6.7},{0,10,20,30,40,50,60,62,64,66,68,70,72,74,76,78,80,85,90,95,100})</f>
        <v>100</v>
      </c>
      <c r="S51" s="7">
        <f>3.3-P51</f>
        <v>0.02</v>
      </c>
      <c r="T51" s="40">
        <f>LOOKUP(S51,{0,0.04,0.08,0.12,0.16,0.2,0.23,0.26,0.29,0.32,0.35},{0,1,2,3,4,5,6,7,8,9,10})</f>
        <v>0</v>
      </c>
      <c r="U51" s="7">
        <f>R51+T51</f>
        <v>100</v>
      </c>
      <c r="W51" s="7">
        <f>E51*0.1+G51*0.1+I51*0.1+O51*0.2+R51*0.2</f>
        <v>66.3</v>
      </c>
      <c r="X51" s="21">
        <f>W51/0.7+K51+T51</f>
        <v>104.714285714286</v>
      </c>
    </row>
    <row r="52" ht="15.6" hidden="1" spans="1:24">
      <c r="A52" s="6">
        <v>101</v>
      </c>
      <c r="B52" s="39" t="s">
        <v>22</v>
      </c>
      <c r="C52" s="29" t="s">
        <v>11</v>
      </c>
      <c r="D52" s="6">
        <v>23.5</v>
      </c>
      <c r="E52" s="40">
        <f>LOOKUP(D52,{0,-4,-3,-2,-1,0,1,2.4,3.8,5.2,6.6,8,9.4,10.8,12.2,13.6,15,17.2,19.4,21.5,23.6},{0,10,20,30,40,50,60,62,64,66,68,70,72,74,76,78,80,85,90,95,100})</f>
        <v>95</v>
      </c>
      <c r="F52" s="6">
        <v>272</v>
      </c>
      <c r="G52" s="40">
        <f>LOOKUP(F52,{0,170,175,180,185,190,195,199,203,207,211,215,219,223,227,231,235,243,250,255,260},{0,10,20,30,40,50,60,62,64,66,68,70,72,74,76,78,80,85,90,95,100})</f>
        <v>100</v>
      </c>
      <c r="H52" s="6">
        <v>16</v>
      </c>
      <c r="I52" s="40">
        <f>LOOKUP(H52,{0,2,3,4,5,6,7,8,9,10,11,12,13,14,15,16},{0,10,20,30,40,50,60,64,68,72,76,80,85,90,95,100})</f>
        <v>100</v>
      </c>
      <c r="J52" s="7">
        <f>H52-16</f>
        <v>0</v>
      </c>
      <c r="K52" s="40">
        <f>LOOKUP(J52,{0,1,2,3,4,5,6,7,8,9,10},{0,1,2,3,4,5,6,7,8,9,10})</f>
        <v>0</v>
      </c>
      <c r="L52" s="7">
        <f>I52+K52</f>
        <v>100</v>
      </c>
      <c r="M52" s="6">
        <v>6.8</v>
      </c>
      <c r="N52" s="43">
        <f>13-M52</f>
        <v>6.2</v>
      </c>
      <c r="O52" s="40">
        <f>LOOKUP(N52,{0,2.5,2.7,2.9,3.1,3.3,3.5,3.7,3.9,4.1,4.3,4.5,4.7,4.9,5.1,5.3,5.5,5.6,5.7,5.8,5.9},{0,10,20,30,40,50,60,62,64,66,68,70,72,74,76,78,80,85,90,95,100})</f>
        <v>100</v>
      </c>
      <c r="P52" s="6">
        <v>3.28</v>
      </c>
      <c r="Q52" s="6">
        <f>10-P52</f>
        <v>6.72</v>
      </c>
      <c r="R52" s="40">
        <f>LOOKUP(Q52,{0,3.75,3.95,4.55,4.75,4.95,5.55,5.6,5.65,5.7,5.75,5.8,5.85,5.9,5.95,6,6.45,6.53,6.6,6.65,6.7},{0,10,20,30,40,50,60,62,64,66,68,70,72,74,76,78,80,85,90,95,100})</f>
        <v>100</v>
      </c>
      <c r="S52" s="7">
        <f>3.3-P52</f>
        <v>0.02</v>
      </c>
      <c r="T52" s="40">
        <f>LOOKUP(S52,{0,0.04,0.08,0.12,0.16,0.2,0.23,0.26,0.29,0.32,0.35},{0,1,2,3,4,5,6,7,8,9,10})</f>
        <v>0</v>
      </c>
      <c r="U52" s="7">
        <f>R52+T52</f>
        <v>100</v>
      </c>
      <c r="W52" s="7">
        <f>E52*0.1+G52*0.1+I52*0.1+O52*0.2+R52*0.2</f>
        <v>69.5</v>
      </c>
      <c r="X52" s="21">
        <f>W52/0.7+K52+T52</f>
        <v>99.2857142857143</v>
      </c>
    </row>
    <row r="53" ht="15.6" hidden="1" spans="1:24">
      <c r="A53" s="6">
        <v>107</v>
      </c>
      <c r="B53" s="29" t="s">
        <v>321</v>
      </c>
      <c r="C53" s="29" t="s">
        <v>11</v>
      </c>
      <c r="D53" s="6">
        <v>6.2</v>
      </c>
      <c r="E53" s="40">
        <f>LOOKUP(D53,{0,-4,-3,-2,-1,0,1,2.4,3.8,5.2,6.6,8,9.4,10.8,12.2,13.6,15,17.2,19.4,21.5,23.6},{0,10,20,30,40,50,60,62,64,66,68,70,72,74,76,78,80,85,90,95,100})</f>
        <v>66</v>
      </c>
      <c r="F53" s="6">
        <v>226</v>
      </c>
      <c r="G53" s="40">
        <f>LOOKUP(F53,{0,170,175,180,185,190,195,199,203,207,211,215,219,223,227,231,235,243,250,255,260},{0,10,20,30,40,50,60,62,64,66,68,70,72,74,76,78,80,85,90,95,100})</f>
        <v>74</v>
      </c>
      <c r="H53" s="6">
        <v>7</v>
      </c>
      <c r="I53" s="40">
        <f>LOOKUP(H53,{0,2,3,4,5,6,7,8,9,10,11,12,13,14,15,16},{0,10,20,30,40,50,60,64,68,72,76,80,85,90,95,100})</f>
        <v>60</v>
      </c>
      <c r="J53" s="7"/>
      <c r="K53" s="7"/>
      <c r="L53" s="7">
        <f>I53+K53</f>
        <v>60</v>
      </c>
      <c r="M53" s="6">
        <v>6.8</v>
      </c>
      <c r="N53" s="43">
        <f>13-M53</f>
        <v>6.2</v>
      </c>
      <c r="O53" s="40">
        <f>LOOKUP(N53,{0,2.5,2.7,2.9,3.1,3.3,3.5,3.7,3.9,4.1,4.3,4.5,4.7,4.9,5.1,5.3,5.5,5.6,5.7,5.8,5.9},{0,10,20,30,40,50,60,62,64,66,68,70,72,74,76,78,80,85,90,95,100})</f>
        <v>100</v>
      </c>
      <c r="P53" s="6">
        <v>3.28</v>
      </c>
      <c r="Q53" s="6">
        <f>10-P53</f>
        <v>6.72</v>
      </c>
      <c r="R53" s="40">
        <f>LOOKUP(Q53,{0,3.75,3.95,4.55,4.75,4.95,5.55,5.6,5.65,5.7,5.75,5.8,5.85,5.9,5.95,6,6.45,6.53,6.6,6.65,6.7},{0,10,20,30,40,50,60,62,64,66,68,70,72,74,76,78,80,85,90,95,100})</f>
        <v>100</v>
      </c>
      <c r="S53" s="7">
        <f>3.3-P53</f>
        <v>0.02</v>
      </c>
      <c r="T53" s="40">
        <f>LOOKUP(S53,{0,0.04,0.08,0.12,0.16,0.2,0.23,0.26,0.29,0.32,0.35},{0,1,2,3,4,5,6,7,8,9,10})</f>
        <v>0</v>
      </c>
      <c r="U53" s="7">
        <f>R53+T53</f>
        <v>100</v>
      </c>
      <c r="W53" s="7">
        <f>E53*0.1+G53*0.1+I53*0.1+O53*0.2+R53*0.2</f>
        <v>60</v>
      </c>
      <c r="X53" s="21">
        <f>W53/0.7+K53+T53</f>
        <v>85.7142857142857</v>
      </c>
    </row>
    <row r="54" ht="15.6" hidden="1" spans="1:24">
      <c r="A54" s="6">
        <v>115</v>
      </c>
      <c r="B54" s="29" t="s">
        <v>740</v>
      </c>
      <c r="C54" s="29" t="s">
        <v>11</v>
      </c>
      <c r="D54" s="6">
        <v>14</v>
      </c>
      <c r="E54" s="40">
        <f>LOOKUP(D54,{0,-4,-3,-2,-1,0,1,2.4,3.8,5.2,6.6,8,9.4,10.8,12.2,13.6,15,17.2,19.4,21.5,23.6},{0,10,20,30,40,50,60,62,64,66,68,70,72,74,76,78,80,85,90,95,100})</f>
        <v>78</v>
      </c>
      <c r="F54" s="6">
        <v>245</v>
      </c>
      <c r="G54" s="40">
        <f>LOOKUP(F54,{0,170,175,180,185,190,195,199,203,207,211,215,219,223,227,231,235,243,250,255,260},{0,10,20,30,40,50,60,62,64,66,68,70,72,74,76,78,80,85,90,95,100})</f>
        <v>85</v>
      </c>
      <c r="H54" s="6">
        <v>10</v>
      </c>
      <c r="I54" s="40">
        <f>LOOKUP(H54,{0,2,3,4,5,6,7,8,9,10,11,12,13,14,15,16},{0,10,20,30,40,50,60,64,68,72,76,80,85,90,95,100})</f>
        <v>72</v>
      </c>
      <c r="J54" s="7"/>
      <c r="K54" s="7"/>
      <c r="L54" s="7">
        <f>I54+K54</f>
        <v>72</v>
      </c>
      <c r="M54" s="6">
        <v>6.8</v>
      </c>
      <c r="N54" s="43">
        <f>13-M54</f>
        <v>6.2</v>
      </c>
      <c r="O54" s="40">
        <f>LOOKUP(N54,{0,2.5,2.7,2.9,3.1,3.3,3.5,3.7,3.9,4.1,4.3,4.5,4.7,4.9,5.1,5.3,5.5,5.6,5.7,5.8,5.9},{0,10,20,30,40,50,60,62,64,66,68,70,72,74,76,78,80,85,90,95,100})</f>
        <v>100</v>
      </c>
      <c r="P54" s="6">
        <v>3.32</v>
      </c>
      <c r="Q54" s="6">
        <f>10-P54</f>
        <v>6.68</v>
      </c>
      <c r="R54" s="40">
        <f>LOOKUP(Q54,{0,3.75,3.95,4.55,4.75,4.95,5.55,5.6,5.65,5.7,5.75,5.8,5.85,5.9,5.95,6,6.45,6.53,6.6,6.65,6.7},{0,10,20,30,40,50,60,62,64,66,68,70,72,74,76,78,80,85,90,95,100})</f>
        <v>95</v>
      </c>
      <c r="S54" s="7"/>
      <c r="T54" s="7"/>
      <c r="U54" s="7">
        <f>R54+T54</f>
        <v>95</v>
      </c>
      <c r="W54" s="7">
        <f>E54*0.1+G54*0.1+I54*0.1+O54*0.2+R54*0.2</f>
        <v>62.5</v>
      </c>
      <c r="X54" s="21">
        <f>W54/0.7+K54+T54</f>
        <v>89.2857142857143</v>
      </c>
    </row>
    <row r="55" ht="15.6" hidden="1" spans="1:24">
      <c r="A55" s="6">
        <v>106</v>
      </c>
      <c r="B55" s="29" t="s">
        <v>268</v>
      </c>
      <c r="C55" s="29" t="s">
        <v>11</v>
      </c>
      <c r="D55" s="6">
        <v>11.7</v>
      </c>
      <c r="E55" s="40">
        <f>LOOKUP(D55,{0,-4,-3,-2,-1,0,1,2.4,3.8,5.2,6.6,8,9.4,10.8,12.2,13.6,15,17.2,19.4,21.5,23.6},{0,10,20,30,40,50,60,62,64,66,68,70,72,74,76,78,80,85,90,95,100})</f>
        <v>74</v>
      </c>
      <c r="F55" s="6">
        <v>235</v>
      </c>
      <c r="G55" s="40">
        <f>LOOKUP(F55,{0,170,175,180,185,190,195,199,203,207,211,215,219,223,227,231,235,243,250,255,260},{0,10,20,30,40,50,60,62,64,66,68,70,72,74,76,78,80,85,90,95,100})</f>
        <v>80</v>
      </c>
      <c r="H55" s="6">
        <v>2</v>
      </c>
      <c r="I55" s="40">
        <f>LOOKUP(H55,{0,2,3,4,5,6,7,8,9,10,11,12,13,14,15,16},{0,10,20,30,40,50,60,64,68,72,76,80,85,90,95,100})</f>
        <v>10</v>
      </c>
      <c r="J55" s="7"/>
      <c r="K55" s="7"/>
      <c r="L55" s="7">
        <f>I55+K55</f>
        <v>10</v>
      </c>
      <c r="M55" s="6">
        <v>6.8</v>
      </c>
      <c r="N55" s="43">
        <f>13-M55</f>
        <v>6.2</v>
      </c>
      <c r="O55" s="40">
        <f>LOOKUP(N55,{0,2.5,2.7,2.9,3.1,3.3,3.5,3.7,3.9,4.1,4.3,4.5,4.7,4.9,5.1,5.3,5.5,5.6,5.7,5.8,5.9},{0,10,20,30,40,50,60,62,64,66,68,70,72,74,76,78,80,85,90,95,100})</f>
        <v>100</v>
      </c>
      <c r="P55" s="6">
        <v>3.33</v>
      </c>
      <c r="Q55" s="6">
        <f>10-P55</f>
        <v>6.67</v>
      </c>
      <c r="R55" s="40">
        <f>LOOKUP(Q55,{0,3.75,3.95,4.55,4.75,4.95,5.55,5.6,5.65,5.7,5.75,5.8,5.85,5.9,5.95,6,6.45,6.53,6.6,6.65,6.7},{0,10,20,30,40,50,60,62,64,66,68,70,72,74,76,78,80,85,90,95,100})</f>
        <v>95</v>
      </c>
      <c r="S55" s="7"/>
      <c r="T55" s="7"/>
      <c r="U55" s="7">
        <f>R55+T55</f>
        <v>95</v>
      </c>
      <c r="W55" s="7">
        <f>E55*0.1+G55*0.1+I55*0.1+O55*0.2+R55*0.2</f>
        <v>55.4</v>
      </c>
      <c r="X55" s="21">
        <f>W55/0.7+K55+T55</f>
        <v>79.1428571428571</v>
      </c>
    </row>
    <row r="56" ht="15.6" hidden="1" spans="1:24">
      <c r="A56" s="6">
        <v>114</v>
      </c>
      <c r="B56" s="29" t="s">
        <v>680</v>
      </c>
      <c r="C56" s="29" t="s">
        <v>11</v>
      </c>
      <c r="D56" s="6">
        <v>18</v>
      </c>
      <c r="E56" s="40">
        <f>LOOKUP(D56,{0,-4,-3,-2,-1,0,1,2.4,3.8,5.2,6.6,8,9.4,10.8,12.2,13.6,15,17.2,19.4,21.5,23.6},{0,10,20,30,40,50,60,62,64,66,68,70,72,74,76,78,80,85,90,95,100})</f>
        <v>85</v>
      </c>
      <c r="F56" s="6">
        <v>275</v>
      </c>
      <c r="G56" s="40">
        <f>LOOKUP(F56,{0,170,175,180,185,190,195,199,203,207,211,215,219,223,227,231,235,243,250,255,260},{0,10,20,30,40,50,60,62,64,66,68,70,72,74,76,78,80,85,90,95,100})</f>
        <v>100</v>
      </c>
      <c r="H56" s="6">
        <v>19</v>
      </c>
      <c r="I56" s="40">
        <f>LOOKUP(H56,{0,2,3,4,5,6,7,8,9,10,11,12,13,14,15,16},{0,10,20,30,40,50,60,64,68,72,76,80,85,90,95,100})</f>
        <v>100</v>
      </c>
      <c r="J56" s="7">
        <f>H56-16</f>
        <v>3</v>
      </c>
      <c r="K56" s="40">
        <f>LOOKUP(J56,{0,1,2,3,4,5,6,7,8,9,10},{0,1,2,3,4,5,6,7,8,9,10})</f>
        <v>3</v>
      </c>
      <c r="L56" s="7">
        <f>I56+K56</f>
        <v>103</v>
      </c>
      <c r="M56" s="6">
        <v>6.8</v>
      </c>
      <c r="N56" s="43">
        <f>13-M56</f>
        <v>6.2</v>
      </c>
      <c r="O56" s="40">
        <f>LOOKUP(N56,{0,2.5,2.7,2.9,3.1,3.3,3.5,3.7,3.9,4.1,4.3,4.5,4.7,4.9,5.1,5.3,5.5,5.6,5.7,5.8,5.9},{0,10,20,30,40,50,60,62,64,66,68,70,72,74,76,78,80,85,90,95,100})</f>
        <v>100</v>
      </c>
      <c r="P56" s="6">
        <v>3.34</v>
      </c>
      <c r="Q56" s="6">
        <f>10-P56</f>
        <v>6.66</v>
      </c>
      <c r="R56" s="40">
        <f>LOOKUP(Q56,{0,3.75,3.95,4.55,4.75,4.95,5.55,5.6,5.65,5.7,5.75,5.8,5.85,5.9,5.95,6,6.45,6.53,6.6,6.65,6.7},{0,10,20,30,40,50,60,62,64,66,68,70,72,74,76,78,80,85,90,95,100})</f>
        <v>95</v>
      </c>
      <c r="S56" s="7"/>
      <c r="T56" s="7"/>
      <c r="U56" s="7">
        <f>R56+T56</f>
        <v>95</v>
      </c>
      <c r="W56" s="7">
        <f>E56*0.1+G56*0.1+I56*0.1+O56*0.2+R56*0.2</f>
        <v>67.5</v>
      </c>
      <c r="X56" s="21">
        <f>W56/0.7+K56+T56</f>
        <v>99.4285714285714</v>
      </c>
    </row>
    <row r="57" ht="15.6" hidden="1" spans="1:24">
      <c r="A57" s="6">
        <v>113</v>
      </c>
      <c r="B57" s="29" t="s">
        <v>625</v>
      </c>
      <c r="C57" s="29" t="s">
        <v>11</v>
      </c>
      <c r="D57" s="6">
        <v>10</v>
      </c>
      <c r="E57" s="40">
        <f>LOOKUP(D57,{0,-4,-3,-2,-1,0,1,2.4,3.8,5.2,6.6,8,9.4,10.8,12.2,13.6,15,17.2,19.4,21.5,23.6},{0,10,20,30,40,50,60,62,64,66,68,70,72,74,76,78,80,85,90,95,100})</f>
        <v>72</v>
      </c>
      <c r="F57" s="6">
        <v>263</v>
      </c>
      <c r="G57" s="40">
        <f>LOOKUP(F57,{0,170,175,180,185,190,195,199,203,207,211,215,219,223,227,231,235,243,250,255,260},{0,10,20,30,40,50,60,62,64,66,68,70,72,74,76,78,80,85,90,95,100})</f>
        <v>100</v>
      </c>
      <c r="H57" s="6">
        <v>20</v>
      </c>
      <c r="I57" s="40">
        <f>LOOKUP(H57,{0,2,3,4,5,6,7,8,9,10,11,12,13,14,15,16},{0,10,20,30,40,50,60,64,68,72,76,80,85,90,95,100})</f>
        <v>100</v>
      </c>
      <c r="J57" s="7">
        <f>H57-16</f>
        <v>4</v>
      </c>
      <c r="K57" s="40">
        <f>LOOKUP(J57,{0,1,2,3,4,5,6,7,8,9,10},{0,1,2,3,4,5,6,7,8,9,10})</f>
        <v>4</v>
      </c>
      <c r="L57" s="7">
        <f>I57+K57</f>
        <v>104</v>
      </c>
      <c r="M57" s="6">
        <v>6.8</v>
      </c>
      <c r="N57" s="43">
        <f>13-M57</f>
        <v>6.2</v>
      </c>
      <c r="O57" s="40">
        <f>LOOKUP(N57,{0,2.5,2.7,2.9,3.1,3.3,3.5,3.7,3.9,4.1,4.3,4.5,4.7,4.9,5.1,5.3,5.5,5.6,5.7,5.8,5.9},{0,10,20,30,40,50,60,62,64,66,68,70,72,74,76,78,80,85,90,95,100})</f>
        <v>100</v>
      </c>
      <c r="P57" s="6">
        <v>3.35</v>
      </c>
      <c r="Q57" s="6">
        <f>10-P57</f>
        <v>6.65</v>
      </c>
      <c r="R57" s="40">
        <f>LOOKUP(Q57,{0,3.75,3.95,4.55,4.75,4.95,5.55,5.6,5.65,5.7,5.75,5.8,5.85,5.9,5.95,6,6.45,6.53,6.6,6.65,6.7},{0,10,20,30,40,50,60,62,64,66,68,70,72,74,76,78,80,85,90,95,100})</f>
        <v>95</v>
      </c>
      <c r="S57" s="7"/>
      <c r="T57" s="7"/>
      <c r="U57" s="7">
        <f>R57+T57</f>
        <v>95</v>
      </c>
      <c r="W57" s="7">
        <f>E57*0.1+G57*0.1+I57*0.1+O57*0.2+R57*0.2</f>
        <v>66.2</v>
      </c>
      <c r="X57" s="21">
        <f>W57/0.7+K57+T57</f>
        <v>98.5714285714286</v>
      </c>
    </row>
    <row r="58" s="3" customFormat="1" ht="15.6" hidden="1" spans="1:24">
      <c r="A58" s="6">
        <v>103</v>
      </c>
      <c r="B58" s="29" t="s">
        <v>123</v>
      </c>
      <c r="C58" s="29" t="s">
        <v>11</v>
      </c>
      <c r="D58" s="6">
        <v>9.5</v>
      </c>
      <c r="E58" s="40">
        <f>LOOKUP(D58,{0,-4,-3,-2,-1,0,1,2.4,3.8,5.2,6.6,8,9.4,10.8,12.2,13.6,15,17.2,19.4,21.5,23.6},{0,10,20,30,40,50,60,62,64,66,68,70,72,74,76,78,80,85,90,95,100})</f>
        <v>72</v>
      </c>
      <c r="F58" s="6">
        <v>240</v>
      </c>
      <c r="G58" s="40">
        <f>LOOKUP(F58,{0,170,175,180,185,190,195,199,203,207,211,215,219,223,227,231,235,243,250,255,260},{0,10,20,30,40,50,60,62,64,66,68,70,72,74,76,78,80,85,90,95,100})</f>
        <v>80</v>
      </c>
      <c r="H58" s="6">
        <v>20</v>
      </c>
      <c r="I58" s="40">
        <f>LOOKUP(H58,{0,2,3,4,5,6,7,8,9,10,11,12,13,14,15,16},{0,10,20,30,40,50,60,64,68,72,76,80,85,90,95,100})</f>
        <v>100</v>
      </c>
      <c r="J58" s="7">
        <f>H58-16</f>
        <v>4</v>
      </c>
      <c r="K58" s="40">
        <f>LOOKUP(J58,{0,1,2,3,4,5,6,7,8,9,10},{0,1,2,3,4,5,6,7,8,9,10})</f>
        <v>4</v>
      </c>
      <c r="L58" s="7">
        <f>I58+K58</f>
        <v>104</v>
      </c>
      <c r="M58" s="6">
        <v>6.8</v>
      </c>
      <c r="N58" s="43">
        <f>13-M58</f>
        <v>6.2</v>
      </c>
      <c r="O58" s="40">
        <f>LOOKUP(N58,{0,2.5,2.7,2.9,3.1,3.3,3.5,3.7,3.9,4.1,4.3,4.5,4.7,4.9,5.1,5.3,5.5,5.6,5.7,5.8,5.9},{0,10,20,30,40,50,60,62,64,66,68,70,72,74,76,78,80,85,90,95,100})</f>
        <v>100</v>
      </c>
      <c r="P58" s="6">
        <v>3.36</v>
      </c>
      <c r="Q58" s="6">
        <f>10-P58</f>
        <v>6.64</v>
      </c>
      <c r="R58" s="40">
        <f>LOOKUP(Q58,{0,3.75,3.95,4.55,4.75,4.95,5.55,5.6,5.65,5.7,5.75,5.8,5.85,5.9,5.95,6,6.45,6.53,6.6,6.65,6.7},{0,10,20,30,40,50,60,62,64,66,68,70,72,74,76,78,80,85,90,95,100})</f>
        <v>90</v>
      </c>
      <c r="S58" s="7"/>
      <c r="T58" s="7"/>
      <c r="U58" s="7">
        <f>R58+T58</f>
        <v>90</v>
      </c>
      <c r="V58" s="6"/>
      <c r="W58" s="7">
        <f>E58*0.1+G58*0.1+I58*0.1+O58*0.2+R58*0.2</f>
        <v>63.2</v>
      </c>
      <c r="X58" s="21">
        <f>W58/0.7+K58+T58</f>
        <v>94.2857142857143</v>
      </c>
    </row>
    <row r="59" ht="15.6" hidden="1" spans="1:24">
      <c r="A59" s="6">
        <v>104</v>
      </c>
      <c r="B59" s="29" t="s">
        <v>192</v>
      </c>
      <c r="C59" s="29" t="s">
        <v>11</v>
      </c>
      <c r="D59" s="6">
        <v>14.5</v>
      </c>
      <c r="E59" s="40">
        <f>LOOKUP(D59,{0,-4,-3,-2,-1,0,1,2.4,3.8,5.2,6.6,8,9.4,10.8,12.2,13.6,15,17.2,19.4,21.5,23.6},{0,10,20,30,40,50,60,62,64,66,68,70,72,74,76,78,80,85,90,95,100})</f>
        <v>78</v>
      </c>
      <c r="F59" s="6">
        <v>238</v>
      </c>
      <c r="G59" s="40">
        <f>LOOKUP(F59,{0,170,175,180,185,190,195,199,203,207,211,215,219,223,227,231,235,243,250,255,260},{0,10,20,30,40,50,60,62,64,66,68,70,72,74,76,78,80,85,90,95,100})</f>
        <v>80</v>
      </c>
      <c r="H59" s="6">
        <v>2</v>
      </c>
      <c r="I59" s="40">
        <f>LOOKUP(H59,{0,2,3,4,5,6,7,8,9,10,11,12,13,14,15,16},{0,10,20,30,40,50,60,64,68,72,76,80,85,90,95,100})</f>
        <v>10</v>
      </c>
      <c r="J59" s="7"/>
      <c r="K59" s="7"/>
      <c r="L59" s="7">
        <f>I59+K59</f>
        <v>10</v>
      </c>
      <c r="M59" s="6">
        <v>6.8</v>
      </c>
      <c r="N59" s="43">
        <f>13-M59</f>
        <v>6.2</v>
      </c>
      <c r="O59" s="40">
        <f>LOOKUP(N59,{0,2.5,2.7,2.9,3.1,3.3,3.5,3.7,3.9,4.1,4.3,4.5,4.7,4.9,5.1,5.3,5.5,5.6,5.7,5.8,5.9},{0,10,20,30,40,50,60,62,64,66,68,70,72,74,76,78,80,85,90,95,100})</f>
        <v>100</v>
      </c>
      <c r="P59" s="6">
        <v>3.36</v>
      </c>
      <c r="Q59" s="6">
        <f>10-P59</f>
        <v>6.64</v>
      </c>
      <c r="R59" s="40">
        <f>LOOKUP(Q59,{0,3.75,3.95,4.55,4.75,4.95,5.55,5.6,5.65,5.7,5.75,5.8,5.85,5.9,5.95,6,6.45,6.53,6.6,6.65,6.7},{0,10,20,30,40,50,60,62,64,66,68,70,72,74,76,78,80,85,90,95,100})</f>
        <v>90</v>
      </c>
      <c r="S59" s="7"/>
      <c r="T59" s="7"/>
      <c r="U59" s="7">
        <f>R59+T59</f>
        <v>90</v>
      </c>
      <c r="W59" s="7">
        <f>E59*0.1+G59*0.1+I59*0.1+O59*0.2+R59*0.2</f>
        <v>54.8</v>
      </c>
      <c r="X59" s="21">
        <f>W59/0.7+K59+T59</f>
        <v>78.2857142857143</v>
      </c>
    </row>
    <row r="60" ht="15.6" hidden="1" spans="1:24">
      <c r="A60" s="6">
        <v>101</v>
      </c>
      <c r="B60" s="29" t="s">
        <v>35</v>
      </c>
      <c r="C60" s="29" t="s">
        <v>11</v>
      </c>
      <c r="D60" s="6">
        <v>9.5</v>
      </c>
      <c r="E60" s="40">
        <f>LOOKUP(D60,{0,-4,-3,-2,-1,0,1,2.4,3.8,5.2,6.6,8,9.4,10.8,12.2,13.6,15,17.2,19.4,21.5,23.6},{0,10,20,30,40,50,60,62,64,66,68,70,72,74,76,78,80,85,90,95,100})</f>
        <v>72</v>
      </c>
      <c r="F60" s="6">
        <v>270</v>
      </c>
      <c r="G60" s="40">
        <f>LOOKUP(F60,{0,170,175,180,185,190,195,199,203,207,211,215,219,223,227,231,235,243,250,255,260},{0,10,20,30,40,50,60,62,64,66,68,70,72,74,76,78,80,85,90,95,100})</f>
        <v>100</v>
      </c>
      <c r="H60" s="6">
        <v>23</v>
      </c>
      <c r="I60" s="40">
        <f>LOOKUP(H60,{0,2,3,4,5,6,7,8,9,10,11,12,13,14,15,16},{0,10,20,30,40,50,60,64,68,72,76,80,85,90,95,100})</f>
        <v>100</v>
      </c>
      <c r="J60" s="7">
        <f>H60-16</f>
        <v>7</v>
      </c>
      <c r="K60" s="40">
        <f>LOOKUP(J60,{0,1,2,3,4,5,6,7,8,9,10},{0,1,2,3,4,5,6,7,8,9,10})</f>
        <v>7</v>
      </c>
      <c r="L60" s="7">
        <f>I60+K60</f>
        <v>107</v>
      </c>
      <c r="M60" s="6">
        <v>6.8</v>
      </c>
      <c r="N60" s="43">
        <f>13-M60</f>
        <v>6.2</v>
      </c>
      <c r="O60" s="40">
        <f>LOOKUP(N60,{0,2.5,2.7,2.9,3.1,3.3,3.5,3.7,3.9,4.1,4.3,4.5,4.7,4.9,5.1,5.3,5.5,5.6,5.7,5.8,5.9},{0,10,20,30,40,50,60,62,64,66,68,70,72,74,76,78,80,85,90,95,100})</f>
        <v>100</v>
      </c>
      <c r="P60" s="6">
        <v>3.37</v>
      </c>
      <c r="Q60" s="6">
        <f>10-P60</f>
        <v>6.63</v>
      </c>
      <c r="R60" s="40">
        <f>LOOKUP(Q60,{0,3.75,3.95,4.55,4.75,4.95,5.55,5.6,5.65,5.7,5.75,5.8,5.85,5.9,5.95,6,6.45,6.53,6.6,6.65,6.7},{0,10,20,30,40,50,60,62,64,66,68,70,72,74,76,78,80,85,90,95,100})</f>
        <v>90</v>
      </c>
      <c r="S60" s="7"/>
      <c r="T60" s="7"/>
      <c r="U60" s="7">
        <f>R60+T60</f>
        <v>90</v>
      </c>
      <c r="W60" s="7">
        <f>E60*0.1+G60*0.1+I60*0.1+O60*0.2+R60*0.2</f>
        <v>65.2</v>
      </c>
      <c r="X60" s="21">
        <f>W60/0.7+K60+T60</f>
        <v>100.142857142857</v>
      </c>
    </row>
    <row r="61" ht="15.6" hidden="1" spans="1:24">
      <c r="A61" s="6">
        <v>105</v>
      </c>
      <c r="B61" s="52" t="s">
        <v>241</v>
      </c>
      <c r="C61" s="52" t="s">
        <v>11</v>
      </c>
      <c r="D61" s="6">
        <v>17.6</v>
      </c>
      <c r="E61" s="40">
        <f>LOOKUP(D61,{0,-4,-3,-2,-1,0,1,2.4,3.8,5.2,6.6,8,9.4,10.8,12.2,13.6,15,17.2,19.4,21.5,23.6},{0,10,20,30,40,50,60,62,64,66,68,70,72,74,76,78,80,85,90,95,100})</f>
        <v>85</v>
      </c>
      <c r="F61" s="6">
        <v>235</v>
      </c>
      <c r="G61" s="40">
        <f>LOOKUP(F61,{0,170,175,180,185,190,195,199,203,207,211,215,219,223,227,231,235,243,250,255,260},{0,10,20,30,40,50,60,62,64,66,68,70,72,74,76,78,80,85,90,95,100})</f>
        <v>80</v>
      </c>
      <c r="H61" s="6">
        <v>20</v>
      </c>
      <c r="I61" s="40">
        <f>LOOKUP(H61,{0,2,3,4,5,6,7,8,9,10,11,12,13,14,15,16},{0,10,20,30,40,50,60,64,68,72,76,80,85,90,95,100})</f>
        <v>100</v>
      </c>
      <c r="J61" s="7">
        <f>H61-16</f>
        <v>4</v>
      </c>
      <c r="K61" s="40">
        <f>LOOKUP(J61,{0,1,2,3,4,5,6,7,8,9,10},{0,1,2,3,4,5,6,7,8,9,10})</f>
        <v>4</v>
      </c>
      <c r="L61" s="7">
        <f>I61+K61</f>
        <v>104</v>
      </c>
      <c r="M61" s="6">
        <v>6.8</v>
      </c>
      <c r="N61" s="43">
        <f>13-M61</f>
        <v>6.2</v>
      </c>
      <c r="O61" s="40">
        <f>LOOKUP(N61,{0,2.5,2.7,2.9,3.1,3.3,3.5,3.7,3.9,4.1,4.3,4.5,4.7,4.9,5.1,5.3,5.5,5.6,5.7,5.8,5.9},{0,10,20,30,40,50,60,62,64,66,68,70,72,74,76,78,80,85,90,95,100})</f>
        <v>100</v>
      </c>
      <c r="P61" s="6">
        <v>3.45</v>
      </c>
      <c r="Q61" s="6">
        <f>10-P61</f>
        <v>6.55</v>
      </c>
      <c r="R61" s="40">
        <f>LOOKUP(Q61,{0,3.75,3.95,4.55,4.75,4.95,5.55,5.6,5.65,5.7,5.75,5.8,5.85,5.9,5.95,6,6.45,6.53,6.6,6.65,6.7},{0,10,20,30,40,50,60,62,64,66,68,70,72,74,76,78,80,85,90,95,100})</f>
        <v>85</v>
      </c>
      <c r="S61" s="7"/>
      <c r="T61" s="7"/>
      <c r="U61" s="7">
        <f>R61+T61</f>
        <v>85</v>
      </c>
      <c r="W61" s="7">
        <f>E61*0.1+G61*0.1+I61*0.1+O61*0.2+R61*0.2</f>
        <v>63.5</v>
      </c>
      <c r="X61" s="21">
        <f>W61/0.7+K61+T61</f>
        <v>94.7142857142857</v>
      </c>
    </row>
    <row r="62" ht="15.6" hidden="1" spans="1:24">
      <c r="A62" s="6">
        <v>101</v>
      </c>
      <c r="B62" s="29" t="s">
        <v>20</v>
      </c>
      <c r="C62" s="29" t="s">
        <v>11</v>
      </c>
      <c r="D62" s="6">
        <v>15</v>
      </c>
      <c r="E62" s="40">
        <f>LOOKUP(D62,{0,-4,-3,-2,-1,0,1,2.4,3.8,5.2,6.6,8,9.4,10.8,12.2,13.6,15,17.2,19.4,21.5,23.6},{0,10,20,30,40,50,60,62,64,66,68,70,72,74,76,78,80,85,90,95,100})</f>
        <v>80</v>
      </c>
      <c r="F62" s="6">
        <v>265</v>
      </c>
      <c r="G62" s="40">
        <f>LOOKUP(F62,{0,170,175,180,185,190,195,199,203,207,211,215,219,223,227,231,235,243,250,255,260},{0,10,20,30,40,50,60,62,64,66,68,70,72,74,76,78,80,85,90,95,100})</f>
        <v>100</v>
      </c>
      <c r="H62" s="6">
        <v>8</v>
      </c>
      <c r="I62" s="40">
        <f>LOOKUP(H62,{0,2,3,4,5,6,7,8,9,10,11,12,13,14,15,16},{0,10,20,30,40,50,60,64,68,72,76,80,85,90,95,100})</f>
        <v>64</v>
      </c>
      <c r="J62" s="7"/>
      <c r="K62" s="7"/>
      <c r="L62" s="7">
        <f>I62+K62</f>
        <v>64</v>
      </c>
      <c r="M62" s="6">
        <v>6.8</v>
      </c>
      <c r="N62" s="43">
        <f>13-M62</f>
        <v>6.2</v>
      </c>
      <c r="O62" s="40">
        <f>LOOKUP(N62,{0,2.5,2.7,2.9,3.1,3.3,3.5,3.7,3.9,4.1,4.3,4.5,4.7,4.9,5.1,5.3,5.5,5.6,5.7,5.8,5.9},{0,10,20,30,40,50,60,62,64,66,68,70,72,74,76,78,80,85,90,95,100})</f>
        <v>100</v>
      </c>
      <c r="P62" s="6">
        <v>3.49</v>
      </c>
      <c r="Q62" s="6">
        <f>10-P62</f>
        <v>6.51</v>
      </c>
      <c r="R62" s="40">
        <f>LOOKUP(Q62,{0,3.75,3.95,4.55,4.75,4.95,5.55,5.6,5.65,5.7,5.75,5.8,5.85,5.9,5.95,6,6.45,6.53,6.6,6.65,6.7},{0,10,20,30,40,50,60,62,64,66,68,70,72,74,76,78,80,85,90,95,100})</f>
        <v>80</v>
      </c>
      <c r="S62" s="7"/>
      <c r="T62" s="7"/>
      <c r="U62" s="7">
        <f>R62+T62</f>
        <v>80</v>
      </c>
      <c r="W62" s="7">
        <f>E62*0.1+G62*0.1+I62*0.1+O62*0.2+R62*0.2</f>
        <v>60.4</v>
      </c>
      <c r="X62" s="21">
        <f>W62/0.7+K62+T62</f>
        <v>86.2857142857143</v>
      </c>
    </row>
    <row r="63" ht="15.6" hidden="1" spans="1:24">
      <c r="A63" s="6">
        <v>102</v>
      </c>
      <c r="B63" s="29" t="s">
        <v>66</v>
      </c>
      <c r="C63" s="29" t="s">
        <v>11</v>
      </c>
      <c r="D63" s="6">
        <v>6.4</v>
      </c>
      <c r="E63" s="40">
        <f>LOOKUP(D63,{0,-4,-3,-2,-1,0,1,2.4,3.8,5.2,6.6,8,9.4,10.8,12.2,13.6,15,17.2,19.4,21.5,23.6},{0,10,20,30,40,50,60,62,64,66,68,70,72,74,76,78,80,85,90,95,100})</f>
        <v>66</v>
      </c>
      <c r="F63" s="6">
        <v>168</v>
      </c>
      <c r="G63" s="40">
        <f>LOOKUP(F63,{0,170,175,180,185,190,195,199,203,207,211,215,219,223,227,231,235,243,250,255,260},{0,10,20,30,40,50,60,62,64,66,68,70,72,74,76,78,80,85,90,95,100})</f>
        <v>0</v>
      </c>
      <c r="H63" s="6">
        <v>5</v>
      </c>
      <c r="I63" s="40">
        <f>LOOKUP(H63,{0,2,3,4,5,6,7,8,9,10,11,12,13,14,15,16},{0,10,20,30,40,50,60,64,68,72,76,80,85,90,95,100})</f>
        <v>40</v>
      </c>
      <c r="J63" s="7"/>
      <c r="K63" s="7"/>
      <c r="L63" s="7">
        <f>I63+K63</f>
        <v>40</v>
      </c>
      <c r="M63" s="6">
        <v>6.8</v>
      </c>
      <c r="N63" s="43">
        <f>13-M63</f>
        <v>6.2</v>
      </c>
      <c r="O63" s="40">
        <f>LOOKUP(N63,{0,2.5,2.7,2.9,3.1,3.3,3.5,3.7,3.9,4.1,4.3,4.5,4.7,4.9,5.1,5.3,5.5,5.6,5.7,5.8,5.9},{0,10,20,30,40,50,60,62,64,66,68,70,72,74,76,78,80,85,90,95,100})</f>
        <v>100</v>
      </c>
      <c r="P63" s="6">
        <v>3.5</v>
      </c>
      <c r="Q63" s="6">
        <f>10-P63</f>
        <v>6.5</v>
      </c>
      <c r="R63" s="40">
        <f>LOOKUP(Q63,{0,3.75,3.95,4.55,4.75,4.95,5.55,5.6,5.65,5.7,5.75,5.8,5.85,5.9,5.95,6,6.45,6.53,6.6,6.65,6.7},{0,10,20,30,40,50,60,62,64,66,68,70,72,74,76,78,80,85,90,95,100})</f>
        <v>80</v>
      </c>
      <c r="S63" s="7"/>
      <c r="T63" s="7"/>
      <c r="U63" s="7">
        <f>R63+T63</f>
        <v>80</v>
      </c>
      <c r="W63" s="7">
        <f>E63*0.1+G63*0.1+I63*0.1+O63*0.2+R63*0.2</f>
        <v>46.6</v>
      </c>
      <c r="X63" s="21">
        <f>W63/0.7+K63+T63</f>
        <v>66.5714285714286</v>
      </c>
    </row>
    <row r="64" ht="15.6" hidden="1" spans="1:24">
      <c r="A64" s="6">
        <v>107</v>
      </c>
      <c r="B64" s="39" t="s">
        <v>320</v>
      </c>
      <c r="C64" s="29" t="s">
        <v>11</v>
      </c>
      <c r="D64" s="6">
        <v>11.6</v>
      </c>
      <c r="E64" s="40">
        <f>LOOKUP(D64,{0,-4,-3,-2,-1,0,1,2.4,3.8,5.2,6.6,8,9.4,10.8,12.2,13.6,15,17.2,19.4,21.5,23.6},{0,10,20,30,40,50,60,62,64,66,68,70,72,74,76,78,80,85,90,95,100})</f>
        <v>74</v>
      </c>
      <c r="F64" s="6">
        <v>262</v>
      </c>
      <c r="G64" s="40">
        <f>LOOKUP(F64,{0,170,175,180,185,190,195,199,203,207,211,215,219,223,227,231,235,243,250,255,260},{0,10,20,30,40,50,60,62,64,66,68,70,72,74,76,78,80,85,90,95,100})</f>
        <v>100</v>
      </c>
      <c r="H64" s="6">
        <v>10</v>
      </c>
      <c r="I64" s="40">
        <f>LOOKUP(H64,{0,2,3,4,5,6,7,8,9,10,11,12,13,14,15,16},{0,10,20,30,40,50,60,64,68,72,76,80,85,90,95,100})</f>
        <v>72</v>
      </c>
      <c r="J64" s="7"/>
      <c r="K64" s="7"/>
      <c r="L64" s="7">
        <f>I64+K64</f>
        <v>72</v>
      </c>
      <c r="M64" s="6">
        <v>6.8</v>
      </c>
      <c r="N64" s="43">
        <f>13-M64</f>
        <v>6.2</v>
      </c>
      <c r="O64" s="40">
        <f>LOOKUP(N64,{0,2.5,2.7,2.9,3.1,3.3,3.5,3.7,3.9,4.1,4.3,4.5,4.7,4.9,5.1,5.3,5.5,5.6,5.7,5.8,5.9},{0,10,20,30,40,50,60,62,64,66,68,70,72,74,76,78,80,85,90,95,100})</f>
        <v>100</v>
      </c>
      <c r="P64" s="6">
        <v>4</v>
      </c>
      <c r="Q64" s="6">
        <f>10-P64</f>
        <v>6</v>
      </c>
      <c r="R64" s="40">
        <f>LOOKUP(Q64,{0,3.75,3.95,4.55,4.75,4.95,5.55,5.6,5.65,5.7,5.75,5.8,5.85,5.9,5.95,6,6.45,6.53,6.6,6.65,6.7},{0,10,20,30,40,50,60,62,64,66,68,70,72,74,76,78,80,85,90,95,100})</f>
        <v>78</v>
      </c>
      <c r="S64" s="7"/>
      <c r="T64" s="7"/>
      <c r="U64" s="7">
        <f>R64+T64</f>
        <v>78</v>
      </c>
      <c r="W64" s="7">
        <f>E64*0.1+G64*0.1+I64*0.1+O64*0.2+R64*0.2</f>
        <v>60.2</v>
      </c>
      <c r="X64" s="21">
        <f>W64/0.7+K64+T64</f>
        <v>86</v>
      </c>
    </row>
    <row r="65" ht="15.6" hidden="1" spans="1:24">
      <c r="A65" s="6">
        <v>102</v>
      </c>
      <c r="B65" s="29" t="s">
        <v>72</v>
      </c>
      <c r="C65" s="29" t="s">
        <v>11</v>
      </c>
      <c r="D65" s="6">
        <v>8.6</v>
      </c>
      <c r="E65" s="40">
        <f>LOOKUP(D65,{0,-4,-3,-2,-1,0,1,2.4,3.8,5.2,6.6,8,9.4,10.8,12.2,13.6,15,17.2,19.4,21.5,23.6},{0,10,20,30,40,50,60,62,64,66,68,70,72,74,76,78,80,85,90,95,100})</f>
        <v>70</v>
      </c>
      <c r="F65" s="6">
        <v>247</v>
      </c>
      <c r="G65" s="40">
        <f>LOOKUP(F65,{0,170,175,180,185,190,195,199,203,207,211,215,219,223,227,231,235,243,250,255,260},{0,10,20,30,40,50,60,62,64,66,68,70,72,74,76,78,80,85,90,95,100})</f>
        <v>85</v>
      </c>
      <c r="H65" s="6">
        <v>21</v>
      </c>
      <c r="I65" s="40">
        <f>LOOKUP(H65,{0,2,3,4,5,6,7,8,9,10,11,12,13,14,15,16},{0,10,20,30,40,50,60,64,68,72,76,80,85,90,95,100})</f>
        <v>100</v>
      </c>
      <c r="J65" s="7">
        <f>H65-16</f>
        <v>5</v>
      </c>
      <c r="K65" s="40">
        <f>LOOKUP(J65,{0,1,2,3,4,5,6,7,8,9,10},{0,1,2,3,4,5,6,7,8,9,10})</f>
        <v>5</v>
      </c>
      <c r="L65" s="7">
        <f>I65+K65</f>
        <v>105</v>
      </c>
      <c r="M65" s="6">
        <v>6.8</v>
      </c>
      <c r="N65" s="43">
        <f>13-M65</f>
        <v>6.2</v>
      </c>
      <c r="O65" s="40">
        <f>LOOKUP(N65,{0,2.5,2.7,2.9,3.1,3.3,3.5,3.7,3.9,4.1,4.3,4.5,4.7,4.9,5.1,5.3,5.5,5.6,5.7,5.8,5.9},{0,10,20,30,40,50,60,62,64,66,68,70,72,74,76,78,80,85,90,95,100})</f>
        <v>100</v>
      </c>
      <c r="P65" s="6">
        <v>4.24</v>
      </c>
      <c r="Q65" s="6">
        <f>10-P65</f>
        <v>5.76</v>
      </c>
      <c r="R65" s="40">
        <f>LOOKUP(Q65,{0,3.75,3.95,4.55,4.75,4.95,5.55,5.6,5.65,5.7,5.75,5.8,5.85,5.9,5.95,6,6.45,6.53,6.6,6.65,6.7},{0,10,20,30,40,50,60,62,64,66,68,70,72,74,76,78,80,85,90,95,100})</f>
        <v>68</v>
      </c>
      <c r="S65" s="7"/>
      <c r="T65" s="7"/>
      <c r="U65" s="7">
        <f>R65+T65</f>
        <v>68</v>
      </c>
      <c r="W65" s="7">
        <f>E65*0.1+G65*0.1+I65*0.1+O65*0.2+R65*0.2</f>
        <v>59.1</v>
      </c>
      <c r="X65" s="21">
        <f>W65/0.7+K65+T65</f>
        <v>89.4285714285714</v>
      </c>
    </row>
    <row r="66" ht="15.6" hidden="1" spans="1:24">
      <c r="A66" s="6">
        <v>114</v>
      </c>
      <c r="B66" s="29" t="s">
        <v>700</v>
      </c>
      <c r="C66" s="29" t="s">
        <v>11</v>
      </c>
      <c r="D66" s="6">
        <v>13.5</v>
      </c>
      <c r="E66" s="40">
        <f>LOOKUP(D66,{0,-4,-3,-2,-1,0,1,2.4,3.8,5.2,6.6,8,9.4,10.8,12.2,13.6,15,17.2,19.4,21.5,23.6},{0,10,20,30,40,50,60,62,64,66,68,70,72,74,76,78,80,85,90,95,100})</f>
        <v>76</v>
      </c>
      <c r="F66" s="6">
        <v>253</v>
      </c>
      <c r="G66" s="40">
        <f>LOOKUP(F66,{0,170,175,180,185,190,195,199,203,207,211,215,219,223,227,231,235,243,250,255,260},{0,10,20,30,40,50,60,62,64,66,68,70,72,74,76,78,80,85,90,95,100})</f>
        <v>90</v>
      </c>
      <c r="H66" s="6">
        <v>26</v>
      </c>
      <c r="I66" s="40">
        <f>LOOKUP(H66,{0,2,3,4,5,6,7,8,9,10,11,12,13,14,15,16},{0,10,20,30,40,50,60,64,68,72,76,80,85,90,95,100})</f>
        <v>100</v>
      </c>
      <c r="J66" s="7">
        <f>H66-16</f>
        <v>10</v>
      </c>
      <c r="K66" s="40">
        <f>LOOKUP(J66,{0,1,2,3,4,5,6,7,8,9,10},{0,1,2,3,4,5,6,7,8,9,10})</f>
        <v>10</v>
      </c>
      <c r="L66" s="7">
        <f>I66+K66</f>
        <v>110</v>
      </c>
      <c r="M66" s="6">
        <v>6.9</v>
      </c>
      <c r="N66" s="43">
        <f>13-M66</f>
        <v>6.1</v>
      </c>
      <c r="O66" s="40">
        <f>LOOKUP(N66,{0,2.5,2.7,2.9,3.1,3.3,3.5,3.7,3.9,4.1,4.3,4.5,4.7,4.9,5.1,5.3,5.5,5.6,5.7,5.8,5.9},{0,10,20,30,40,50,60,62,64,66,68,70,72,74,76,78,80,85,90,95,100})</f>
        <v>100</v>
      </c>
      <c r="P66" s="6">
        <v>3.14</v>
      </c>
      <c r="Q66" s="6">
        <f>10-P66</f>
        <v>6.86</v>
      </c>
      <c r="R66" s="40">
        <f>LOOKUP(Q66,{0,3.75,3.95,4.55,4.75,4.95,5.55,5.6,5.65,5.7,5.75,5.8,5.85,5.9,5.95,6,6.45,6.53,6.6,6.65,6.7},{0,10,20,30,40,50,60,62,64,66,68,70,72,74,76,78,80,85,90,95,100})</f>
        <v>100</v>
      </c>
      <c r="S66" s="7">
        <f>3.3-P66</f>
        <v>0.16</v>
      </c>
      <c r="T66" s="40">
        <f>LOOKUP(S66,{0,0.04,0.08,0.12,0.16,0.2,0.23,0.26,0.29,0.32,0.35},{0,1,2,3,4,5,6,7,8,9,10})</f>
        <v>3</v>
      </c>
      <c r="U66" s="7">
        <f>R66+T66</f>
        <v>103</v>
      </c>
      <c r="W66" s="7">
        <f>E66*0.1+G66*0.1+I66*0.1+O66*0.2+R66*0.2</f>
        <v>66.6</v>
      </c>
      <c r="X66" s="21">
        <f>W66/0.7+K66+T66</f>
        <v>108.142857142857</v>
      </c>
    </row>
    <row r="67" ht="15.6" hidden="1" spans="1:24">
      <c r="A67" s="6">
        <v>115</v>
      </c>
      <c r="B67" s="29" t="s">
        <v>735</v>
      </c>
      <c r="C67" s="29" t="s">
        <v>11</v>
      </c>
      <c r="D67" s="6">
        <v>14</v>
      </c>
      <c r="E67" s="40">
        <f>LOOKUP(D67,{0,-4,-3,-2,-1,0,1,2.4,3.8,5.2,6.6,8,9.4,10.8,12.2,13.6,15,17.2,19.4,21.5,23.6},{0,10,20,30,40,50,60,62,64,66,68,70,72,74,76,78,80,85,90,95,100})</f>
        <v>78</v>
      </c>
      <c r="F67" s="6">
        <v>220</v>
      </c>
      <c r="G67" s="40">
        <f>LOOKUP(F67,{0,170,175,180,185,190,195,199,203,207,211,215,219,223,227,231,235,243,250,255,260},{0,10,20,30,40,50,60,62,64,66,68,70,72,74,76,78,80,85,90,95,100})</f>
        <v>72</v>
      </c>
      <c r="H67" s="6">
        <v>13</v>
      </c>
      <c r="I67" s="40">
        <f>LOOKUP(H67,{0,2,3,4,5,6,7,8,9,10,11,12,13,14,15,16},{0,10,20,30,40,50,60,64,68,72,76,80,85,90,95,100})</f>
        <v>85</v>
      </c>
      <c r="J67" s="7"/>
      <c r="K67" s="7"/>
      <c r="L67" s="7">
        <f>I67+K67</f>
        <v>85</v>
      </c>
      <c r="M67" s="6">
        <v>6.9</v>
      </c>
      <c r="N67" s="43">
        <f>13-M67</f>
        <v>6.1</v>
      </c>
      <c r="O67" s="40">
        <f>LOOKUP(N67,{0,2.5,2.7,2.9,3.1,3.3,3.5,3.7,3.9,4.1,4.3,4.5,4.7,4.9,5.1,5.3,5.5,5.6,5.7,5.8,5.9},{0,10,20,30,40,50,60,62,64,66,68,70,72,74,76,78,80,85,90,95,100})</f>
        <v>100</v>
      </c>
      <c r="P67" s="6">
        <v>3.16</v>
      </c>
      <c r="Q67" s="6">
        <f>10-P67</f>
        <v>6.84</v>
      </c>
      <c r="R67" s="40">
        <f>LOOKUP(Q67,{0,3.75,3.95,4.55,4.75,4.95,5.55,5.6,5.65,5.7,5.75,5.8,5.85,5.9,5.95,6,6.45,6.53,6.6,6.65,6.7},{0,10,20,30,40,50,60,62,64,66,68,70,72,74,76,78,80,85,90,95,100})</f>
        <v>100</v>
      </c>
      <c r="S67" s="7">
        <f>3.3-P67</f>
        <v>0.14</v>
      </c>
      <c r="T67" s="40">
        <f>LOOKUP(S67,{0,0.04,0.08,0.12,0.16,0.2,0.23,0.26,0.29,0.32,0.35},{0,1,2,3,4,5,6,7,8,9,10})</f>
        <v>3</v>
      </c>
      <c r="U67" s="7">
        <f>R67+T67</f>
        <v>103</v>
      </c>
      <c r="W67" s="7">
        <f>E67*0.1+G67*0.1+I67*0.1+O67*0.2+R67*0.2</f>
        <v>63.5</v>
      </c>
      <c r="X67" s="21">
        <f>W67/0.7+K67+T67</f>
        <v>93.7142857142857</v>
      </c>
    </row>
    <row r="68" ht="15.6" hidden="1" spans="1:24">
      <c r="A68" s="6">
        <v>110</v>
      </c>
      <c r="B68" s="39" t="s">
        <v>459</v>
      </c>
      <c r="C68" s="29" t="s">
        <v>11</v>
      </c>
      <c r="D68" s="6">
        <v>5.8</v>
      </c>
      <c r="E68" s="40">
        <f>LOOKUP(D68,{0,-4,-3,-2,-1,0,1,2.4,3.8,5.2,6.6,8,9.4,10.8,12.2,13.6,15,17.2,19.4,21.5,23.6},{0,10,20,30,40,50,60,62,64,66,68,70,72,74,76,78,80,85,90,95,100})</f>
        <v>66</v>
      </c>
      <c r="F68" s="6">
        <v>256</v>
      </c>
      <c r="G68" s="40">
        <f>LOOKUP(F68,{0,170,175,180,185,190,195,199,203,207,211,215,219,223,227,231,235,243,250,255,260},{0,10,20,30,40,50,60,62,64,66,68,70,72,74,76,78,80,85,90,95,100})</f>
        <v>95</v>
      </c>
      <c r="H68" s="6">
        <v>6</v>
      </c>
      <c r="I68" s="40">
        <f>LOOKUP(H68,{0,2,3,4,5,6,7,8,9,10,11,12,13,14,15,16},{0,10,20,30,40,50,60,64,68,72,76,80,85,90,95,100})</f>
        <v>50</v>
      </c>
      <c r="J68" s="7"/>
      <c r="K68" s="7"/>
      <c r="L68" s="7">
        <f>I68+K68</f>
        <v>50</v>
      </c>
      <c r="M68" s="6">
        <v>6.9</v>
      </c>
      <c r="N68" s="43">
        <f>13-M68</f>
        <v>6.1</v>
      </c>
      <c r="O68" s="40">
        <f>LOOKUP(N68,{0,2.5,2.7,2.9,3.1,3.3,3.5,3.7,3.9,4.1,4.3,4.5,4.7,4.9,5.1,5.3,5.5,5.6,5.7,5.8,5.9},{0,10,20,30,40,50,60,62,64,66,68,70,72,74,76,78,80,85,90,95,100})</f>
        <v>100</v>
      </c>
      <c r="P68" s="6">
        <v>3.23</v>
      </c>
      <c r="Q68" s="6">
        <f>10-P68</f>
        <v>6.77</v>
      </c>
      <c r="R68" s="40">
        <f>LOOKUP(Q68,{0,3.75,3.95,4.55,4.75,4.95,5.55,5.6,5.65,5.7,5.75,5.8,5.85,5.9,5.95,6,6.45,6.53,6.6,6.65,6.7},{0,10,20,30,40,50,60,62,64,66,68,70,72,74,76,78,80,85,90,95,100})</f>
        <v>100</v>
      </c>
      <c r="S68" s="7">
        <f>3.3-P68</f>
        <v>0.0699999999999998</v>
      </c>
      <c r="T68" s="40">
        <f>LOOKUP(S68,{0,0.04,0.08,0.12,0.16,0.2,0.23,0.26,0.29,0.32,0.35},{0,1,2,3,4,5,6,7,8,9,10})</f>
        <v>1</v>
      </c>
      <c r="U68" s="7">
        <f>R68+T68</f>
        <v>101</v>
      </c>
      <c r="W68" s="7">
        <f>E68*0.1+G68*0.1+I68*0.1+O68*0.2+R68*0.2</f>
        <v>61.1</v>
      </c>
      <c r="X68" s="21">
        <f>W68/0.7+K68+T68</f>
        <v>88.2857142857143</v>
      </c>
    </row>
    <row r="69" ht="15.6" hidden="1" spans="1:24">
      <c r="A69" s="6">
        <v>115</v>
      </c>
      <c r="B69" s="29" t="s">
        <v>730</v>
      </c>
      <c r="C69" s="29" t="s">
        <v>11</v>
      </c>
      <c r="D69" s="6">
        <v>7.5</v>
      </c>
      <c r="E69" s="40">
        <f>LOOKUP(D69,{0,-4,-3,-2,-1,0,1,2.4,3.8,5.2,6.6,8,9.4,10.8,12.2,13.6,15,17.2,19.4,21.5,23.6},{0,10,20,30,40,50,60,62,64,66,68,70,72,74,76,78,80,85,90,95,100})</f>
        <v>68</v>
      </c>
      <c r="F69" s="6">
        <v>235</v>
      </c>
      <c r="G69" s="40">
        <f>LOOKUP(F69,{0,170,175,180,185,190,195,199,203,207,211,215,219,223,227,231,235,243,250,255,260},{0,10,20,30,40,50,60,62,64,66,68,70,72,74,76,78,80,85,90,95,100})</f>
        <v>80</v>
      </c>
      <c r="H69" s="6">
        <v>18</v>
      </c>
      <c r="I69" s="40">
        <f>LOOKUP(H69,{0,2,3,4,5,6,7,8,9,10,11,12,13,14,15,16},{0,10,20,30,40,50,60,64,68,72,76,80,85,90,95,100})</f>
        <v>100</v>
      </c>
      <c r="J69" s="7">
        <f>H69-16</f>
        <v>2</v>
      </c>
      <c r="K69" s="40">
        <f>LOOKUP(J69,{0,1,2,3,4,5,6,7,8,9,10},{0,1,2,3,4,5,6,7,8,9,10})</f>
        <v>2</v>
      </c>
      <c r="L69" s="7">
        <f>I69+K69</f>
        <v>102</v>
      </c>
      <c r="M69" s="6">
        <v>6.9</v>
      </c>
      <c r="N69" s="43">
        <f>13-M69</f>
        <v>6.1</v>
      </c>
      <c r="O69" s="40">
        <f>LOOKUP(N69,{0,2.5,2.7,2.9,3.1,3.3,3.5,3.7,3.9,4.1,4.3,4.5,4.7,4.9,5.1,5.3,5.5,5.6,5.7,5.8,5.9},{0,10,20,30,40,50,60,62,64,66,68,70,72,74,76,78,80,85,90,95,100})</f>
        <v>100</v>
      </c>
      <c r="P69" s="6">
        <v>3.24</v>
      </c>
      <c r="Q69" s="6">
        <f>10-P69</f>
        <v>6.76</v>
      </c>
      <c r="R69" s="40">
        <f>LOOKUP(Q69,{0,3.75,3.95,4.55,4.75,4.95,5.55,5.6,5.65,5.7,5.75,5.8,5.85,5.9,5.95,6,6.45,6.53,6.6,6.65,6.7},{0,10,20,30,40,50,60,62,64,66,68,70,72,74,76,78,80,85,90,95,100})</f>
        <v>100</v>
      </c>
      <c r="S69" s="7">
        <f>3.3-P69</f>
        <v>0.0599999999999996</v>
      </c>
      <c r="T69" s="40">
        <f>LOOKUP(S69,{0,0.04,0.08,0.12,0.16,0.2,0.23,0.26,0.29,0.32,0.35},{0,1,2,3,4,5,6,7,8,9,10})</f>
        <v>1</v>
      </c>
      <c r="U69" s="7">
        <f>R69+T69</f>
        <v>101</v>
      </c>
      <c r="W69" s="7">
        <f>E69*0.1+G69*0.1+I69*0.1+O69*0.2+R69*0.2</f>
        <v>64.8</v>
      </c>
      <c r="X69" s="21">
        <f>W69/0.7+K69+T69</f>
        <v>95.5714285714286</v>
      </c>
    </row>
    <row r="70" ht="15.6" hidden="1" spans="1:24">
      <c r="A70" s="6">
        <v>114</v>
      </c>
      <c r="B70" s="29" t="s">
        <v>696</v>
      </c>
      <c r="C70" s="29" t="s">
        <v>11</v>
      </c>
      <c r="D70" s="6">
        <v>10</v>
      </c>
      <c r="E70" s="40">
        <f>LOOKUP(D70,{0,-4,-3,-2,-1,0,1,2.4,3.8,5.2,6.6,8,9.4,10.8,12.2,13.6,15,17.2,19.4,21.5,23.6},{0,10,20,30,40,50,60,62,64,66,68,70,72,74,76,78,80,85,90,95,100})</f>
        <v>72</v>
      </c>
      <c r="F70" s="6">
        <v>252</v>
      </c>
      <c r="G70" s="40">
        <f>LOOKUP(F70,{0,170,175,180,185,190,195,199,203,207,211,215,219,223,227,231,235,243,250,255,260},{0,10,20,30,40,50,60,62,64,66,68,70,72,74,76,78,80,85,90,95,100})</f>
        <v>90</v>
      </c>
      <c r="H70" s="6">
        <v>5</v>
      </c>
      <c r="I70" s="40">
        <f>LOOKUP(H70,{0,2,3,4,5,6,7,8,9,10,11,12,13,14,15,16},{0,10,20,30,40,50,60,64,68,72,76,80,85,90,95,100})</f>
        <v>40</v>
      </c>
      <c r="J70" s="7"/>
      <c r="K70" s="7"/>
      <c r="L70" s="7">
        <f>I70+K70</f>
        <v>40</v>
      </c>
      <c r="M70" s="6">
        <v>6.9</v>
      </c>
      <c r="N70" s="43">
        <f>13-M70</f>
        <v>6.1</v>
      </c>
      <c r="O70" s="40">
        <f>LOOKUP(N70,{0,2.5,2.7,2.9,3.1,3.3,3.5,3.7,3.9,4.1,4.3,4.5,4.7,4.9,5.1,5.3,5.5,5.6,5.7,5.8,5.9},{0,10,20,30,40,50,60,62,64,66,68,70,72,74,76,78,80,85,90,95,100})</f>
        <v>100</v>
      </c>
      <c r="P70" s="6">
        <v>3.27</v>
      </c>
      <c r="Q70" s="6">
        <f>10-P70</f>
        <v>6.73</v>
      </c>
      <c r="R70" s="40">
        <f>LOOKUP(Q70,{0,3.75,3.95,4.55,4.75,4.95,5.55,5.6,5.65,5.7,5.75,5.8,5.85,5.9,5.95,6,6.45,6.53,6.6,6.65,6.7},{0,10,20,30,40,50,60,62,64,66,68,70,72,74,76,78,80,85,90,95,100})</f>
        <v>100</v>
      </c>
      <c r="S70" s="7">
        <f>3.3-P70</f>
        <v>0.0299999999999998</v>
      </c>
      <c r="T70" s="40">
        <f>LOOKUP(S70,{0,0.04,0.08,0.12,0.16,0.2,0.23,0.26,0.29,0.32,0.35},{0,1,2,3,4,5,6,7,8,9,10})</f>
        <v>0</v>
      </c>
      <c r="U70" s="7">
        <f>R70+T70</f>
        <v>100</v>
      </c>
      <c r="W70" s="7">
        <f>E70*0.1+G70*0.1+I70*0.1+O70*0.2+R70*0.2</f>
        <v>60.2</v>
      </c>
      <c r="X70" s="21">
        <f>W70/0.7+K70+T70</f>
        <v>86</v>
      </c>
    </row>
    <row r="71" s="3" customFormat="1" ht="15.6" hidden="1" spans="1:24">
      <c r="A71" s="6">
        <v>106</v>
      </c>
      <c r="B71" s="29" t="s">
        <v>263</v>
      </c>
      <c r="C71" s="29" t="s">
        <v>11</v>
      </c>
      <c r="D71" s="6">
        <v>11</v>
      </c>
      <c r="E71" s="40">
        <f>LOOKUP(D71,{0,-4,-3,-2,-1,0,1,2.4,3.8,5.2,6.6,8,9.4,10.8,12.2,13.6,15,17.2,19.4,21.5,23.6},{0,10,20,30,40,50,60,62,64,66,68,70,72,74,76,78,80,85,90,95,100})</f>
        <v>74</v>
      </c>
      <c r="F71" s="6">
        <v>255</v>
      </c>
      <c r="G71" s="40">
        <f>LOOKUP(F71,{0,170,175,180,185,190,195,199,203,207,211,215,219,223,227,231,235,243,250,255,260},{0,10,20,30,40,50,60,62,64,66,68,70,72,74,76,78,80,85,90,95,100})</f>
        <v>95</v>
      </c>
      <c r="H71" s="6">
        <v>14</v>
      </c>
      <c r="I71" s="40">
        <f>LOOKUP(H71,{0,2,3,4,5,6,7,8,9,10,11,12,13,14,15,16},{0,10,20,30,40,50,60,64,68,72,76,80,85,90,95,100})</f>
        <v>90</v>
      </c>
      <c r="J71" s="7"/>
      <c r="K71" s="7"/>
      <c r="L71" s="7">
        <f>I71+K71</f>
        <v>90</v>
      </c>
      <c r="M71" s="6">
        <v>6.9</v>
      </c>
      <c r="N71" s="43">
        <f>13-M71</f>
        <v>6.1</v>
      </c>
      <c r="O71" s="40">
        <f>LOOKUP(N71,{0,2.5,2.7,2.9,3.1,3.3,3.5,3.7,3.9,4.1,4.3,4.5,4.7,4.9,5.1,5.3,5.5,5.6,5.7,5.8,5.9},{0,10,20,30,40,50,60,62,64,66,68,70,72,74,76,78,80,85,90,95,100})</f>
        <v>100</v>
      </c>
      <c r="P71" s="6">
        <v>3.31</v>
      </c>
      <c r="Q71" s="6">
        <f>10-P71</f>
        <v>6.69</v>
      </c>
      <c r="R71" s="40">
        <f>LOOKUP(Q71,{0,3.75,3.95,4.55,4.75,4.95,5.55,5.6,5.65,5.7,5.75,5.8,5.85,5.9,5.95,6,6.45,6.53,6.6,6.65,6.7},{0,10,20,30,40,50,60,62,64,66,68,70,72,74,76,78,80,85,90,95,100})</f>
        <v>95</v>
      </c>
      <c r="S71" s="7"/>
      <c r="T71" s="7"/>
      <c r="U71" s="7">
        <f>R71+T71</f>
        <v>95</v>
      </c>
      <c r="V71" s="6"/>
      <c r="W71" s="7">
        <f>E71*0.1+G71*0.1+I71*0.1+O71*0.2+R71*0.2</f>
        <v>64.9</v>
      </c>
      <c r="X71" s="21">
        <f>W71/0.7+K71+T71</f>
        <v>92.7142857142857</v>
      </c>
    </row>
    <row r="72" ht="15.6" hidden="1" spans="1:24">
      <c r="A72" s="6">
        <v>109</v>
      </c>
      <c r="B72" s="39" t="s">
        <v>426</v>
      </c>
      <c r="C72" s="29" t="s">
        <v>11</v>
      </c>
      <c r="D72" s="6">
        <v>16</v>
      </c>
      <c r="E72" s="40">
        <f>LOOKUP(D72,{0,-4,-3,-2,-1,0,1,2.4,3.8,5.2,6.6,8,9.4,10.8,12.2,13.6,15,17.2,19.4,21.5,23.6},{0,10,20,30,40,50,60,62,64,66,68,70,72,74,76,78,80,85,90,95,100})</f>
        <v>80</v>
      </c>
      <c r="F72" s="6">
        <v>242</v>
      </c>
      <c r="G72" s="40">
        <f>LOOKUP(F72,{0,170,175,180,185,190,195,199,203,207,211,215,219,223,227,231,235,243,250,255,260},{0,10,20,30,40,50,60,62,64,66,68,70,72,74,76,78,80,85,90,95,100})</f>
        <v>80</v>
      </c>
      <c r="H72" s="6">
        <v>11</v>
      </c>
      <c r="I72" s="40">
        <f>LOOKUP(H72,{0,2,3,4,5,6,7,8,9,10,11,12,13,14,15,16},{0,10,20,30,40,50,60,64,68,72,76,80,85,90,95,100})</f>
        <v>76</v>
      </c>
      <c r="J72" s="7"/>
      <c r="K72" s="7"/>
      <c r="L72" s="7">
        <f>I72+K72</f>
        <v>76</v>
      </c>
      <c r="M72" s="6">
        <v>6.9</v>
      </c>
      <c r="N72" s="43">
        <f>13-M72</f>
        <v>6.1</v>
      </c>
      <c r="O72" s="40">
        <f>LOOKUP(N72,{0,2.5,2.7,2.9,3.1,3.3,3.5,3.7,3.9,4.1,4.3,4.5,4.7,4.9,5.1,5.3,5.5,5.6,5.7,5.8,5.9},{0,10,20,30,40,50,60,62,64,66,68,70,72,74,76,78,80,85,90,95,100})</f>
        <v>100</v>
      </c>
      <c r="P72" s="6">
        <v>3.32</v>
      </c>
      <c r="Q72" s="6">
        <f>10-P72</f>
        <v>6.68</v>
      </c>
      <c r="R72" s="40">
        <f>LOOKUP(Q72,{0,3.75,3.95,4.55,4.75,4.95,5.55,5.6,5.65,5.7,5.75,5.8,5.85,5.9,5.95,6,6.45,6.53,6.6,6.65,6.7},{0,10,20,30,40,50,60,62,64,66,68,70,72,74,76,78,80,85,90,95,100})</f>
        <v>95</v>
      </c>
      <c r="S72" s="7"/>
      <c r="T72" s="7"/>
      <c r="U72" s="7">
        <f>R72+T72</f>
        <v>95</v>
      </c>
      <c r="W72" s="7">
        <f>E72*0.1+G72*0.1+I72*0.1+O72*0.2+R72*0.2</f>
        <v>62.6</v>
      </c>
      <c r="X72" s="21">
        <f>W72/0.7+K72+T72</f>
        <v>89.4285714285714</v>
      </c>
    </row>
    <row r="73" ht="15.6" hidden="1" spans="1:24">
      <c r="A73" s="6">
        <v>114</v>
      </c>
      <c r="B73" s="39" t="s">
        <v>677</v>
      </c>
      <c r="C73" s="29" t="s">
        <v>11</v>
      </c>
      <c r="D73" s="6">
        <v>14.5</v>
      </c>
      <c r="E73" s="40">
        <f>LOOKUP(D73,{0,-4,-3,-2,-1,0,1,2.4,3.8,5.2,6.6,8,9.4,10.8,12.2,13.6,15,17.2,19.4,21.5,23.6},{0,10,20,30,40,50,60,62,64,66,68,70,72,74,76,78,80,85,90,95,100})</f>
        <v>78</v>
      </c>
      <c r="F73" s="6">
        <v>250</v>
      </c>
      <c r="G73" s="40">
        <f>LOOKUP(F73,{0,170,175,180,185,190,195,199,203,207,211,215,219,223,227,231,235,243,250,255,260},{0,10,20,30,40,50,60,62,64,66,68,70,72,74,76,78,80,85,90,95,100})</f>
        <v>90</v>
      </c>
      <c r="H73" s="6">
        <v>5</v>
      </c>
      <c r="I73" s="40">
        <f>LOOKUP(H73,{0,2,3,4,5,6,7,8,9,10,11,12,13,14,15,16},{0,10,20,30,40,50,60,64,68,72,76,80,85,90,95,100})</f>
        <v>40</v>
      </c>
      <c r="J73" s="7"/>
      <c r="K73" s="7"/>
      <c r="L73" s="7">
        <f>I73+K73</f>
        <v>40</v>
      </c>
      <c r="M73" s="6">
        <v>6.9</v>
      </c>
      <c r="N73" s="43">
        <f>13-M73</f>
        <v>6.1</v>
      </c>
      <c r="O73" s="40">
        <f>LOOKUP(N73,{0,2.5,2.7,2.9,3.1,3.3,3.5,3.7,3.9,4.1,4.3,4.5,4.7,4.9,5.1,5.3,5.5,5.6,5.7,5.8,5.9},{0,10,20,30,40,50,60,62,64,66,68,70,72,74,76,78,80,85,90,95,100})</f>
        <v>100</v>
      </c>
      <c r="P73" s="6">
        <v>3.32</v>
      </c>
      <c r="Q73" s="6">
        <f>10-P73</f>
        <v>6.68</v>
      </c>
      <c r="R73" s="40">
        <f>LOOKUP(Q73,{0,3.75,3.95,4.55,4.75,4.95,5.55,5.6,5.65,5.7,5.75,5.8,5.85,5.9,5.95,6,6.45,6.53,6.6,6.65,6.7},{0,10,20,30,40,50,60,62,64,66,68,70,72,74,76,78,80,85,90,95,100})</f>
        <v>95</v>
      </c>
      <c r="S73" s="7"/>
      <c r="T73" s="7"/>
      <c r="U73" s="7">
        <f>R73+T73</f>
        <v>95</v>
      </c>
      <c r="W73" s="7">
        <f>E73*0.1+G73*0.1+I73*0.1+O73*0.2+R73*0.2</f>
        <v>59.8</v>
      </c>
      <c r="X73" s="21">
        <f>W73/0.7+K73+T73</f>
        <v>85.4285714285714</v>
      </c>
    </row>
    <row r="74" ht="15.6" hidden="1" spans="1:24">
      <c r="A74" s="6">
        <v>112</v>
      </c>
      <c r="B74" s="29" t="s">
        <v>587</v>
      </c>
      <c r="C74" s="29" t="s">
        <v>11</v>
      </c>
      <c r="D74" s="6">
        <v>21.2</v>
      </c>
      <c r="E74" s="40">
        <f>LOOKUP(D74,{0,-4,-3,-2,-1,0,1,2.4,3.8,5.2,6.6,8,9.4,10.8,12.2,13.6,15,17.2,19.4,21.5,23.6},{0,10,20,30,40,50,60,62,64,66,68,70,72,74,76,78,80,85,90,95,100})</f>
        <v>90</v>
      </c>
      <c r="F74" s="6">
        <v>249</v>
      </c>
      <c r="G74" s="40">
        <f>LOOKUP(F74,{0,170,175,180,185,190,195,199,203,207,211,215,219,223,227,231,235,243,250,255,260},{0,10,20,30,40,50,60,62,64,66,68,70,72,74,76,78,80,85,90,95,100})</f>
        <v>85</v>
      </c>
      <c r="H74" s="6">
        <v>8</v>
      </c>
      <c r="I74" s="40">
        <f>LOOKUP(H74,{0,2,3,4,5,6,7,8,9,10,11,12,13,14,15,16},{0,10,20,30,40,50,60,64,68,72,76,80,85,90,95,100})</f>
        <v>64</v>
      </c>
      <c r="J74" s="7"/>
      <c r="K74" s="7"/>
      <c r="L74" s="7">
        <f>I74+K74</f>
        <v>64</v>
      </c>
      <c r="M74" s="6">
        <v>6.9</v>
      </c>
      <c r="N74" s="43">
        <f>13-M74</f>
        <v>6.1</v>
      </c>
      <c r="O74" s="40">
        <f>LOOKUP(N74,{0,2.5,2.7,2.9,3.1,3.3,3.5,3.7,3.9,4.1,4.3,4.5,4.7,4.9,5.1,5.3,5.5,5.6,5.7,5.8,5.9},{0,10,20,30,40,50,60,62,64,66,68,70,72,74,76,78,80,85,90,95,100})</f>
        <v>100</v>
      </c>
      <c r="P74" s="6">
        <v>3.35</v>
      </c>
      <c r="Q74" s="6">
        <f>10-P74</f>
        <v>6.65</v>
      </c>
      <c r="R74" s="40">
        <f>LOOKUP(Q74,{0,3.75,3.95,4.55,4.75,4.95,5.55,5.6,5.65,5.7,5.75,5.8,5.85,5.9,5.95,6,6.45,6.53,6.6,6.65,6.7},{0,10,20,30,40,50,60,62,64,66,68,70,72,74,76,78,80,85,90,95,100})</f>
        <v>95</v>
      </c>
      <c r="S74" s="7"/>
      <c r="T74" s="7"/>
      <c r="U74" s="7">
        <f>R74+T74</f>
        <v>95</v>
      </c>
      <c r="W74" s="7">
        <f>E74*0.1+G74*0.1+I74*0.1+O74*0.2+R74*0.2</f>
        <v>62.9</v>
      </c>
      <c r="X74" s="21">
        <f>W74/0.7+K74+T74</f>
        <v>89.8571428571429</v>
      </c>
    </row>
    <row r="75" ht="15.6" hidden="1" spans="1:24">
      <c r="A75" s="6">
        <v>109</v>
      </c>
      <c r="B75" s="29" t="s">
        <v>430</v>
      </c>
      <c r="C75" s="29" t="s">
        <v>11</v>
      </c>
      <c r="D75" s="6">
        <v>-7</v>
      </c>
      <c r="E75" s="40">
        <v>0</v>
      </c>
      <c r="F75" s="6">
        <v>254</v>
      </c>
      <c r="G75" s="40">
        <f>LOOKUP(F75,{0,170,175,180,185,190,195,199,203,207,211,215,219,223,227,231,235,243,250,255,260},{0,10,20,30,40,50,60,62,64,66,68,70,72,74,76,78,80,85,90,95,100})</f>
        <v>90</v>
      </c>
      <c r="H75" s="6">
        <v>6</v>
      </c>
      <c r="I75" s="40">
        <f>LOOKUP(H75,{0,2,3,4,5,6,7,8,9,10,11,12,13,14,15,16},{0,10,20,30,40,50,60,64,68,72,76,80,85,90,95,100})</f>
        <v>50</v>
      </c>
      <c r="J75" s="7"/>
      <c r="K75" s="7"/>
      <c r="L75" s="7">
        <f>I75+K75</f>
        <v>50</v>
      </c>
      <c r="M75" s="6">
        <v>6.9</v>
      </c>
      <c r="N75" s="43">
        <f>13-M75</f>
        <v>6.1</v>
      </c>
      <c r="O75" s="40">
        <f>LOOKUP(N75,{0,2.5,2.7,2.9,3.1,3.3,3.5,3.7,3.9,4.1,4.3,4.5,4.7,4.9,5.1,5.3,5.5,5.6,5.7,5.8,5.9},{0,10,20,30,40,50,60,62,64,66,68,70,72,74,76,78,80,85,90,95,100})</f>
        <v>100</v>
      </c>
      <c r="P75" s="6">
        <v>3.36</v>
      </c>
      <c r="Q75" s="6">
        <f>10-P75</f>
        <v>6.64</v>
      </c>
      <c r="R75" s="40">
        <f>LOOKUP(Q75,{0,3.75,3.95,4.55,4.75,4.95,5.55,5.6,5.65,5.7,5.75,5.8,5.85,5.9,5.95,6,6.45,6.53,6.6,6.65,6.7},{0,10,20,30,40,50,60,62,64,66,68,70,72,74,76,78,80,85,90,95,100})</f>
        <v>90</v>
      </c>
      <c r="S75" s="7"/>
      <c r="T75" s="7"/>
      <c r="U75" s="7">
        <f>R75+T75</f>
        <v>90</v>
      </c>
      <c r="W75" s="7">
        <f>E75*0.1+G75*0.1+I75*0.1+O75*0.2+R75*0.2</f>
        <v>52</v>
      </c>
      <c r="X75" s="21">
        <f>W75/0.7+K75+T75</f>
        <v>74.2857142857143</v>
      </c>
    </row>
    <row r="76" ht="15.6" hidden="1" spans="1:24">
      <c r="A76" s="6">
        <v>108</v>
      </c>
      <c r="B76" s="39" t="s">
        <v>351</v>
      </c>
      <c r="C76" s="29" t="s">
        <v>11</v>
      </c>
      <c r="D76" s="6">
        <v>20</v>
      </c>
      <c r="E76" s="40">
        <f>LOOKUP(D76,{0,-4,-3,-2,-1,0,1,2.4,3.8,5.2,6.6,8,9.4,10.8,12.2,13.6,15,17.2,19.4,21.5,23.6},{0,10,20,30,40,50,60,62,64,66,68,70,72,74,76,78,80,85,90,95,100})</f>
        <v>90</v>
      </c>
      <c r="F76" s="6">
        <v>230</v>
      </c>
      <c r="G76" s="40">
        <f>LOOKUP(F76,{0,170,175,180,185,190,195,199,203,207,211,215,219,223,227,231,235,243,250,255,260},{0,10,20,30,40,50,60,62,64,66,68,70,72,74,76,78,80,85,90,95,100})</f>
        <v>76</v>
      </c>
      <c r="H76" s="6">
        <v>15</v>
      </c>
      <c r="I76" s="40">
        <f>LOOKUP(H76,{0,2,3,4,5,6,7,8,9,10,11,12,13,14,15,16},{0,10,20,30,40,50,60,64,68,72,76,80,85,90,95,100})</f>
        <v>95</v>
      </c>
      <c r="J76" s="7"/>
      <c r="K76" s="7"/>
      <c r="L76" s="7">
        <f>I76+K76</f>
        <v>95</v>
      </c>
      <c r="M76" s="6">
        <v>6.9</v>
      </c>
      <c r="N76" s="43">
        <f>13-M76</f>
        <v>6.1</v>
      </c>
      <c r="O76" s="40">
        <f>LOOKUP(N76,{0,2.5,2.7,2.9,3.1,3.3,3.5,3.7,3.9,4.1,4.3,4.5,4.7,4.9,5.1,5.3,5.5,5.6,5.7,5.8,5.9},{0,10,20,30,40,50,60,62,64,66,68,70,72,74,76,78,80,85,90,95,100})</f>
        <v>100</v>
      </c>
      <c r="P76" s="6">
        <v>3.38</v>
      </c>
      <c r="Q76" s="6">
        <f>10-P76</f>
        <v>6.62</v>
      </c>
      <c r="R76" s="40">
        <f>LOOKUP(Q76,{0,3.75,3.95,4.55,4.75,4.95,5.55,5.6,5.65,5.7,5.75,5.8,5.85,5.9,5.95,6,6.45,6.53,6.6,6.65,6.7},{0,10,20,30,40,50,60,62,64,66,68,70,72,74,76,78,80,85,90,95,100})</f>
        <v>90</v>
      </c>
      <c r="S76" s="7"/>
      <c r="T76" s="7"/>
      <c r="U76" s="7">
        <f>R76+T76</f>
        <v>90</v>
      </c>
      <c r="W76" s="7">
        <f>E76*0.1+G76*0.1+I76*0.1+O76*0.2+R76*0.2</f>
        <v>64.1</v>
      </c>
      <c r="X76" s="21">
        <f>W76/0.7+K76+T76</f>
        <v>91.5714285714286</v>
      </c>
    </row>
    <row r="77" ht="15.6" hidden="1" spans="1:24">
      <c r="A77" s="6">
        <v>111</v>
      </c>
      <c r="B77" s="29" t="s">
        <v>531</v>
      </c>
      <c r="C77" s="29" t="s">
        <v>11</v>
      </c>
      <c r="D77" s="6">
        <v>0.2</v>
      </c>
      <c r="E77" s="40">
        <f>LOOKUP(D77,{0,-4,-3,-2,-1,0,1,2.4,3.8,5.2,6.6,8,9.4,10.8,12.2,13.6,15,17.2,19.4,21.5,23.6},{0,10,20,30,40,50,60,62,64,66,68,70,72,74,76,78,80,85,90,95,100})</f>
        <v>50</v>
      </c>
      <c r="F77" s="6">
        <v>255</v>
      </c>
      <c r="G77" s="40">
        <f>LOOKUP(F77,{0,170,175,180,185,190,195,199,203,207,211,215,219,223,227,231,235,243,250,255,260},{0,10,20,30,40,50,60,62,64,66,68,70,72,74,76,78,80,85,90,95,100})</f>
        <v>95</v>
      </c>
      <c r="H77" s="6">
        <v>1</v>
      </c>
      <c r="I77" s="40">
        <f>LOOKUP(H77,{0,2,3,4,5,6,7,8,9,10,11,12,13,14,15,16},{0,10,20,30,40,50,60,64,68,72,76,80,85,90,95,100})</f>
        <v>0</v>
      </c>
      <c r="J77" s="7"/>
      <c r="K77" s="7"/>
      <c r="L77" s="7">
        <f>I77+K77</f>
        <v>0</v>
      </c>
      <c r="M77" s="6">
        <v>6.9</v>
      </c>
      <c r="N77" s="43">
        <f>13-M77</f>
        <v>6.1</v>
      </c>
      <c r="O77" s="40">
        <f>LOOKUP(N77,{0,2.5,2.7,2.9,3.1,3.3,3.5,3.7,3.9,4.1,4.3,4.5,4.7,4.9,5.1,5.3,5.5,5.6,5.7,5.8,5.9},{0,10,20,30,40,50,60,62,64,66,68,70,72,74,76,78,80,85,90,95,100})</f>
        <v>100</v>
      </c>
      <c r="P77" s="6">
        <v>3.4</v>
      </c>
      <c r="Q77" s="6">
        <f>10-P77</f>
        <v>6.6</v>
      </c>
      <c r="R77" s="40">
        <f>LOOKUP(Q77,{0,3.75,3.95,4.55,4.75,4.95,5.55,5.6,5.65,5.7,5.75,5.8,5.85,5.9,5.95,6,6.45,6.53,6.6,6.65,6.7},{0,10,20,30,40,50,60,62,64,66,68,70,72,74,76,78,80,85,90,95,100})</f>
        <v>90</v>
      </c>
      <c r="S77" s="7"/>
      <c r="T77" s="7"/>
      <c r="U77" s="7">
        <f>R77+T77</f>
        <v>90</v>
      </c>
      <c r="W77" s="7">
        <f>E77*0.1+G77*0.1+I77*0.1+O77*0.2+R77*0.2</f>
        <v>52.5</v>
      </c>
      <c r="X77" s="21">
        <f>W77/0.7+K77+T77</f>
        <v>75</v>
      </c>
    </row>
    <row r="78" ht="15.6" hidden="1" spans="1:24">
      <c r="A78" s="6">
        <v>105</v>
      </c>
      <c r="B78" s="29" t="s">
        <v>226</v>
      </c>
      <c r="C78" s="29" t="s">
        <v>11</v>
      </c>
      <c r="D78" s="6">
        <v>12.3</v>
      </c>
      <c r="E78" s="40">
        <f>LOOKUP(D78,{0,-4,-3,-2,-1,0,1,2.4,3.8,5.2,6.6,8,9.4,10.8,12.2,13.6,15,17.2,19.4,21.5,23.6},{0,10,20,30,40,50,60,62,64,66,68,70,72,74,76,78,80,85,90,95,100})</f>
        <v>76</v>
      </c>
      <c r="F78" s="6">
        <v>234</v>
      </c>
      <c r="G78" s="40">
        <f>LOOKUP(F78,{0,170,175,180,185,190,195,199,203,207,211,215,219,223,227,231,235,243,250,255,260},{0,10,20,30,40,50,60,62,64,66,68,70,72,74,76,78,80,85,90,95,100})</f>
        <v>78</v>
      </c>
      <c r="H78" s="6">
        <v>10</v>
      </c>
      <c r="I78" s="40">
        <f>LOOKUP(H78,{0,2,3,4,5,6,7,8,9,10,11,12,13,14,15,16},{0,10,20,30,40,50,60,64,68,72,76,80,85,90,95,100})</f>
        <v>72</v>
      </c>
      <c r="J78" s="7"/>
      <c r="K78" s="7"/>
      <c r="L78" s="7">
        <f>I78+K78</f>
        <v>72</v>
      </c>
      <c r="M78" s="6">
        <v>6.9</v>
      </c>
      <c r="N78" s="43">
        <f>13-M78</f>
        <v>6.1</v>
      </c>
      <c r="O78" s="40">
        <f>LOOKUP(N78,{0,2.5,2.7,2.9,3.1,3.3,3.5,3.7,3.9,4.1,4.3,4.5,4.7,4.9,5.1,5.3,5.5,5.6,5.7,5.8,5.9},{0,10,20,30,40,50,60,62,64,66,68,70,72,74,76,78,80,85,90,95,100})</f>
        <v>100</v>
      </c>
      <c r="P78" s="6">
        <v>3.45</v>
      </c>
      <c r="Q78" s="6">
        <f>10-P78</f>
        <v>6.55</v>
      </c>
      <c r="R78" s="40">
        <f>LOOKUP(Q78,{0,3.75,3.95,4.55,4.75,4.95,5.55,5.6,5.65,5.7,5.75,5.8,5.85,5.9,5.95,6,6.45,6.53,6.6,6.65,6.7},{0,10,20,30,40,50,60,62,64,66,68,70,72,74,76,78,80,85,90,95,100})</f>
        <v>85</v>
      </c>
      <c r="S78" s="7"/>
      <c r="T78" s="7"/>
      <c r="U78" s="7">
        <f>R78+T78</f>
        <v>85</v>
      </c>
      <c r="W78" s="7">
        <f>E78*0.1+G78*0.1+I78*0.1+O78*0.2+R78*0.2</f>
        <v>59.6</v>
      </c>
      <c r="X78" s="21">
        <f>W78/0.7+K78+T78</f>
        <v>85.1428571428572</v>
      </c>
    </row>
    <row r="79" ht="15.6" spans="1:24">
      <c r="A79" s="6">
        <v>109</v>
      </c>
      <c r="B79" s="29" t="s">
        <v>456</v>
      </c>
      <c r="C79" s="29" t="s">
        <v>46</v>
      </c>
      <c r="D79" s="6">
        <v>13.9</v>
      </c>
      <c r="E79" s="40">
        <f>LOOKUP(D79,{0,0.4,1.2,2,2.8,3.6,4.4,5.7,7,8.3,9.6,10.9,12.2,13.5,14.8,16.1,17.4,19.1,20.8,22.5,24.2},{0,10,20,30,40,50,60,62,64,66,68,70,72,74,76,78,80,85,90,95,100})</f>
        <v>74</v>
      </c>
      <c r="F79" s="6">
        <v>175</v>
      </c>
      <c r="G79" s="40">
        <f>LOOKUP(F79,{0,123,128,133,138,143,148,151,154,157,160,163,166,169,172,175,178,185,192,198,204},{0,10,20,30,40,50,60,62,64,66,68,70,72,74,76,78,80,85,90,95,100})</f>
        <v>78</v>
      </c>
      <c r="H79" s="6">
        <v>53</v>
      </c>
      <c r="I79" s="40">
        <f>LOOKUP(H79,{0,13,15,17,19,21,23,25,27,29,31,33,35,37,39,41,43,46,49,51,53},{0,10,20,30,40,50,60,62,64,66,68,70,72,74,76,78,80,85,90,95,100})</f>
        <v>100</v>
      </c>
      <c r="J79" s="45">
        <f>H79-53</f>
        <v>0</v>
      </c>
      <c r="K79" s="40">
        <f>LOOKUP(J79,{0,2,4,6,7,8,9,10,11,12,13},{0,1,2,3,4,5,6,7,8,9,10})</f>
        <v>0</v>
      </c>
      <c r="L79" s="7">
        <f>I79+K79</f>
        <v>100</v>
      </c>
      <c r="M79" s="6">
        <v>7.9</v>
      </c>
      <c r="N79" s="43">
        <f>13-M79</f>
        <v>5.1</v>
      </c>
      <c r="O79" s="40">
        <f>LOOKUP(N79,{0,1.4,1.6,1.8,2,2.2,2.4,2.6,2.8,3,3.2,3.4,3.6,3.8,4,4.2,4.4,4.7,5,5.1,5.2},{0,10,20,30,40,50,60,62,64,66,68,70,72,74,76,78,80,85,90,95,100})</f>
        <v>95</v>
      </c>
      <c r="P79" s="6">
        <v>3.11</v>
      </c>
      <c r="Q79" s="6">
        <f>10-P79</f>
        <v>6.89</v>
      </c>
      <c r="R79" s="40">
        <f>LOOKUP(Q79,{0,4.7,4.8,4.9,5,5.5,5.6,5.65,5.7,5.75,5.8,5.85,5.9,5.95,6,6.45,6.5,6.57,6.64,6.7,6.76},{0,10,20,30,40,50,60,62,64,66,68,70,72,74,76,78,80,85,90,95,100})</f>
        <v>100</v>
      </c>
      <c r="S79" s="48">
        <f>3.24-P79</f>
        <v>0.13</v>
      </c>
      <c r="T79" s="40">
        <f>LOOKUP(S79,{0,0.05,0.1,0.15,0.2,0.25,0.3,0.35,0.4,0.45,0.5},{0,1,2,3,4,5,6,7,8,9,10})</f>
        <v>2</v>
      </c>
      <c r="U79" s="7">
        <f>R79+T79</f>
        <v>102</v>
      </c>
      <c r="W79" s="7">
        <f>E79*0.1+G79*0.1+I79*0.1+O79*0.2+R79*0.2</f>
        <v>64.2</v>
      </c>
      <c r="X79" s="21">
        <f>W79/0.7+K79+T79</f>
        <v>93.7142857142857</v>
      </c>
    </row>
    <row r="80" ht="15.6" spans="1:24">
      <c r="A80" s="6">
        <v>102</v>
      </c>
      <c r="B80" s="29" t="s">
        <v>102</v>
      </c>
      <c r="C80" s="29" t="s">
        <v>46</v>
      </c>
      <c r="D80" s="6">
        <v>27</v>
      </c>
      <c r="E80" s="40">
        <f>LOOKUP(D80,{0,0.4,1.2,2,2.8,3.6,4.4,5.7,7,8.3,9.6,10.9,12.2,13.5,14.8,16.1,17.4,19.1,20.8,22.5,24.2},{0,10,20,30,40,50,60,62,64,66,68,70,72,74,76,78,80,85,90,95,100})</f>
        <v>100</v>
      </c>
      <c r="F80" s="6">
        <v>214</v>
      </c>
      <c r="G80" s="40">
        <f>LOOKUP(F80,{0,123,128,133,138,143,148,151,154,157,160,163,166,169,172,175,178,185,192,198,204},{0,10,20,30,40,50,60,62,64,66,68,70,72,74,76,78,80,85,90,95,100})</f>
        <v>100</v>
      </c>
      <c r="H80" s="6">
        <v>51</v>
      </c>
      <c r="I80" s="40">
        <f>LOOKUP(H80,{0,13,15,17,19,21,23,25,27,29,31,33,35,37,39,41,43,46,49,51,53},{0,10,20,30,40,50,60,62,64,66,68,70,72,74,76,78,80,85,90,95,100})</f>
        <v>95</v>
      </c>
      <c r="J80" s="45"/>
      <c r="K80" s="45"/>
      <c r="L80" s="7">
        <f>I80+K80</f>
        <v>95</v>
      </c>
      <c r="M80" s="6">
        <v>8.6</v>
      </c>
      <c r="N80" s="43">
        <f>13-M80</f>
        <v>4.4</v>
      </c>
      <c r="O80" s="40">
        <f>LOOKUP(N80,{0,1.4,1.6,1.8,2,2.2,2.4,2.6,2.8,3,3.2,3.4,3.6,3.8,4,4.2,4.4,4.7,5,5.1,5.2},{0,10,20,30,40,50,60,62,64,66,68,70,72,74,76,78,80,85,90,95,100})</f>
        <v>80</v>
      </c>
      <c r="P80" s="6">
        <v>3.23</v>
      </c>
      <c r="Q80" s="6">
        <f>10-P80</f>
        <v>6.77</v>
      </c>
      <c r="R80" s="40">
        <f>LOOKUP(Q80,{0,4.7,4.8,4.9,5,5.5,5.6,5.65,5.7,5.75,5.8,5.85,5.9,5.95,6,6.45,6.5,6.57,6.64,6.7,6.76},{0,10,20,30,40,50,60,62,64,66,68,70,72,74,76,78,80,85,90,95,100})</f>
        <v>100</v>
      </c>
      <c r="S80" s="48">
        <f>3.24-P80</f>
        <v>0.0100000000000002</v>
      </c>
      <c r="T80" s="40">
        <f>LOOKUP(S80,{0,0.05,0.1,0.15,0.2,0.25,0.3,0.35,0.4,0.45,0.5},{0,1,2,3,4,5,6,7,8,9,10})</f>
        <v>0</v>
      </c>
      <c r="U80" s="7">
        <f>R80+T80</f>
        <v>100</v>
      </c>
      <c r="W80" s="7">
        <f>E80*0.1+G80*0.1+I80*0.1+O80*0.2+R80*0.2</f>
        <v>65.5</v>
      </c>
      <c r="X80" s="21">
        <f>W80/0.7+K80+T80</f>
        <v>93.5714285714286</v>
      </c>
    </row>
    <row r="81" ht="15.6" spans="1:24">
      <c r="A81" s="6">
        <v>102</v>
      </c>
      <c r="B81" s="29" t="s">
        <v>105</v>
      </c>
      <c r="C81" s="29" t="s">
        <v>46</v>
      </c>
      <c r="D81" s="6">
        <v>15.2</v>
      </c>
      <c r="E81" s="40">
        <f>LOOKUP(D81,{0,0.4,1.2,2,2.8,3.6,4.4,5.7,7,8.3,9.6,10.9,12.2,13.5,14.8,16.1,17.4,19.1,20.8,22.5,24.2},{0,10,20,30,40,50,60,62,64,66,68,70,72,74,76,78,80,85,90,95,100})</f>
        <v>76</v>
      </c>
      <c r="F81" s="6">
        <v>210</v>
      </c>
      <c r="G81" s="40">
        <f>LOOKUP(F81,{0,123,128,133,138,143,148,151,154,157,160,163,166,169,172,175,178,185,192,198,204},{0,10,20,30,40,50,60,62,64,66,68,70,72,74,76,78,80,85,90,95,100})</f>
        <v>100</v>
      </c>
      <c r="H81" s="6">
        <v>50</v>
      </c>
      <c r="I81" s="40">
        <f>LOOKUP(H81,{0,13,15,17,19,21,23,25,27,29,31,33,35,37,39,41,43,46,49,51,53},{0,10,20,30,40,50,60,62,64,66,68,70,72,74,76,78,80,85,90,95,100})</f>
        <v>90</v>
      </c>
      <c r="J81" s="45"/>
      <c r="K81" s="45"/>
      <c r="L81" s="7">
        <f>I81+K81</f>
        <v>90</v>
      </c>
      <c r="M81" s="6">
        <v>7.9</v>
      </c>
      <c r="N81" s="43">
        <f>13-M81</f>
        <v>5.1</v>
      </c>
      <c r="O81" s="40">
        <f>LOOKUP(N81,{0,1.4,1.6,1.8,2,2.2,2.4,2.6,2.8,3,3.2,3.4,3.6,3.8,4,4.2,4.4,4.7,5,5.1,5.2},{0,10,20,30,40,50,60,62,64,66,68,70,72,74,76,78,80,85,90,95,100})</f>
        <v>95</v>
      </c>
      <c r="P81" s="6">
        <v>3.3</v>
      </c>
      <c r="Q81" s="6">
        <f>10-P81</f>
        <v>6.7</v>
      </c>
      <c r="R81" s="40">
        <f>LOOKUP(Q81,{0,4.7,4.8,4.9,5,5.5,5.6,5.65,5.7,5.75,5.8,5.85,5.9,5.95,6,6.45,6.5,6.57,6.64,6.7,6.76},{0,10,20,30,40,50,60,62,64,66,68,70,72,74,76,78,80,85,90,95,100})</f>
        <v>95</v>
      </c>
      <c r="S81" s="45"/>
      <c r="T81" s="45"/>
      <c r="U81" s="7">
        <f>R81+T81</f>
        <v>95</v>
      </c>
      <c r="W81" s="7">
        <f>E81*0.1+G81*0.1+I81*0.1+O81*0.2+R81*0.2</f>
        <v>64.6</v>
      </c>
      <c r="X81" s="21">
        <f>W81/0.7+K81+T81</f>
        <v>92.2857142857143</v>
      </c>
    </row>
    <row r="82" ht="15.6" spans="1:24">
      <c r="A82" s="6">
        <v>116</v>
      </c>
      <c r="B82" s="29" t="s">
        <v>812</v>
      </c>
      <c r="C82" s="29" t="s">
        <v>46</v>
      </c>
      <c r="D82" s="6">
        <v>21.4</v>
      </c>
      <c r="E82" s="40">
        <f>LOOKUP(D82,{0,0.4,1.2,2,2.8,3.6,4.4,5.7,7,8.3,9.6,10.9,12.2,13.5,14.8,16.1,17.4,19.1,20.8,22.5,24.2},{0,10,20,30,40,50,60,62,64,66,68,70,72,74,76,78,80,85,90,95,100})</f>
        <v>90</v>
      </c>
      <c r="F82" s="6">
        <v>201</v>
      </c>
      <c r="G82" s="40">
        <f>LOOKUP(F82,{0,123,128,133,138,143,148,151,154,157,160,163,166,169,172,175,178,185,192,198,204},{0,10,20,30,40,50,60,62,64,66,68,70,72,74,76,78,80,85,90,95,100})</f>
        <v>95</v>
      </c>
      <c r="H82" s="6">
        <v>54</v>
      </c>
      <c r="I82" s="40">
        <f>LOOKUP(H82,{0,13,15,17,19,21,23,25,27,29,31,33,35,37,39,41,43,46,49,51,53},{0,10,20,30,40,50,60,62,64,66,68,70,72,74,76,78,80,85,90,95,100})</f>
        <v>100</v>
      </c>
      <c r="J82" s="45">
        <f>H82-53</f>
        <v>1</v>
      </c>
      <c r="K82" s="40">
        <f>LOOKUP(J82,{0,2,4,6,7,8,9,10,11,12,13},{0,1,2,3,4,5,6,7,8,9,10})</f>
        <v>0</v>
      </c>
      <c r="L82" s="7">
        <f>I82+K82</f>
        <v>100</v>
      </c>
      <c r="M82" s="6">
        <v>8.1</v>
      </c>
      <c r="N82" s="43">
        <f>13-M82</f>
        <v>4.9</v>
      </c>
      <c r="O82" s="40">
        <f>LOOKUP(N82,{0,1.4,1.6,1.8,2,2.2,2.4,2.6,2.8,3,3.2,3.4,3.6,3.8,4,4.2,4.4,4.7,5,5.1,5.2},{0,10,20,30,40,50,60,62,64,66,68,70,72,74,76,78,80,85,90,95,100})</f>
        <v>85</v>
      </c>
      <c r="P82" s="6">
        <v>3.27</v>
      </c>
      <c r="Q82" s="6">
        <f>10-P82</f>
        <v>6.73</v>
      </c>
      <c r="R82" s="40">
        <f>LOOKUP(Q82,{0,4.7,4.8,4.9,5,5.5,5.6,5.65,5.7,5.75,5.8,5.85,5.9,5.95,6,6.45,6.5,6.57,6.64,6.7,6.76},{0,10,20,30,40,50,60,62,64,66,68,70,72,74,76,78,80,85,90,95,100})</f>
        <v>95</v>
      </c>
      <c r="S82" s="45"/>
      <c r="T82" s="45"/>
      <c r="U82" s="7">
        <f>R82+T82</f>
        <v>95</v>
      </c>
      <c r="W82" s="7">
        <f>E82*0.1+G82*0.1+I82*0.1+O82*0.2+R82*0.2</f>
        <v>64.5</v>
      </c>
      <c r="X82" s="21">
        <f>W82/0.7+K82+T82</f>
        <v>92.1428571428572</v>
      </c>
    </row>
    <row r="83" s="3" customFormat="1" ht="15.6" spans="1:24">
      <c r="A83" s="6">
        <v>103</v>
      </c>
      <c r="B83" s="29" t="s">
        <v>150</v>
      </c>
      <c r="C83" s="29" t="s">
        <v>46</v>
      </c>
      <c r="D83" s="6">
        <v>28</v>
      </c>
      <c r="E83" s="40">
        <f>LOOKUP(D83,{0,0.4,1.2,2,2.8,3.6,4.4,5.7,7,8.3,9.6,10.9,12.2,13.5,14.8,16.1,17.4,19.1,20.8,22.5,24.2},{0,10,20,30,40,50,60,62,64,66,68,70,72,74,76,78,80,85,90,95,100})</f>
        <v>100</v>
      </c>
      <c r="F83" s="6">
        <v>200</v>
      </c>
      <c r="G83" s="40">
        <f>LOOKUP(F83,{0,123,128,133,138,143,148,151,154,157,160,163,166,169,172,175,178,185,192,198,204},{0,10,20,30,40,50,60,62,64,66,68,70,72,74,76,78,80,85,90,95,100})</f>
        <v>95</v>
      </c>
      <c r="H83" s="6">
        <v>50</v>
      </c>
      <c r="I83" s="40">
        <f>LOOKUP(H83,{0,13,15,17,19,21,23,25,27,29,31,33,35,37,39,41,43,46,49,51,53},{0,10,20,30,40,50,60,62,64,66,68,70,72,74,76,78,80,85,90,95,100})</f>
        <v>90</v>
      </c>
      <c r="J83" s="45"/>
      <c r="K83" s="45"/>
      <c r="L83" s="7">
        <f>I83+K83</f>
        <v>90</v>
      </c>
      <c r="M83" s="6">
        <v>8.1</v>
      </c>
      <c r="N83" s="43">
        <f>13-M83</f>
        <v>4.9</v>
      </c>
      <c r="O83" s="40">
        <f>LOOKUP(N83,{0,1.4,1.6,1.8,2,2.2,2.4,2.6,2.8,3,3.2,3.4,3.6,3.8,4,4.2,4.4,4.7,5,5.1,5.2},{0,10,20,30,40,50,60,62,64,66,68,70,72,74,76,78,80,85,90,95,100})</f>
        <v>85</v>
      </c>
      <c r="P83" s="6">
        <v>3.3</v>
      </c>
      <c r="Q83" s="6">
        <f>10-P83</f>
        <v>6.7</v>
      </c>
      <c r="R83" s="40">
        <f>LOOKUP(Q83,{0,4.7,4.8,4.9,5,5.5,5.6,5.65,5.7,5.75,5.8,5.85,5.9,5.95,6,6.45,6.5,6.57,6.64,6.7,6.76},{0,10,20,30,40,50,60,62,64,66,68,70,72,74,76,78,80,85,90,95,100})</f>
        <v>95</v>
      </c>
      <c r="S83" s="45"/>
      <c r="T83" s="45"/>
      <c r="U83" s="7">
        <f>R83+T83</f>
        <v>95</v>
      </c>
      <c r="V83" s="6"/>
      <c r="W83" s="7">
        <f>E83*0.1+G83*0.1+I83*0.1+O83*0.2+R83*0.2</f>
        <v>64.5</v>
      </c>
      <c r="X83" s="21">
        <f>W83/0.7+K83+T83</f>
        <v>92.1428571428572</v>
      </c>
    </row>
    <row r="84" ht="15.6" spans="1:24">
      <c r="A84" s="6">
        <v>102</v>
      </c>
      <c r="B84" s="29" t="s">
        <v>106</v>
      </c>
      <c r="C84" s="29" t="s">
        <v>46</v>
      </c>
      <c r="D84" s="6">
        <v>17.5</v>
      </c>
      <c r="E84" s="40">
        <f>LOOKUP(D84,{0,0.4,1.2,2,2.8,3.6,4.4,5.7,7,8.3,9.6,10.9,12.2,13.5,14.8,16.1,17.4,19.1,20.8,22.5,24.2},{0,10,20,30,40,50,60,62,64,66,68,70,72,74,76,78,80,85,90,95,100})</f>
        <v>80</v>
      </c>
      <c r="F84" s="6">
        <v>176</v>
      </c>
      <c r="G84" s="40">
        <f>LOOKUP(F84,{0,123,128,133,138,143,148,151,154,157,160,163,166,169,172,175,178,185,192,198,204},{0,10,20,30,40,50,60,62,64,66,68,70,72,74,76,78,80,85,90,95,100})</f>
        <v>78</v>
      </c>
      <c r="H84" s="6">
        <v>55</v>
      </c>
      <c r="I84" s="40">
        <f>LOOKUP(H84,{0,13,15,17,19,21,23,25,27,29,31,33,35,37,39,41,43,46,49,51,53},{0,10,20,30,40,50,60,62,64,66,68,70,72,74,76,78,80,85,90,95,100})</f>
        <v>100</v>
      </c>
      <c r="J84" s="45">
        <f>H84-53</f>
        <v>2</v>
      </c>
      <c r="K84" s="40">
        <f>LOOKUP(J84,{0,2,4,6,7,8,9,10,11,12,13},{0,1,2,3,4,5,6,7,8,9,10})</f>
        <v>1</v>
      </c>
      <c r="L84" s="7">
        <f>I84+K84</f>
        <v>101</v>
      </c>
      <c r="M84" s="6">
        <v>8.7</v>
      </c>
      <c r="N84" s="43">
        <f>13-M84</f>
        <v>4.3</v>
      </c>
      <c r="O84" s="40">
        <f>LOOKUP(N84,{0,1.4,1.6,1.8,2,2.2,2.4,2.6,2.8,3,3.2,3.4,3.6,3.8,4,4.2,4.4,4.7,5,5.1,5.2},{0,10,20,30,40,50,60,62,64,66,68,70,72,74,76,78,80,85,90,95,100})</f>
        <v>78</v>
      </c>
      <c r="P84" s="6">
        <v>3.09</v>
      </c>
      <c r="Q84" s="6">
        <f>10-P84</f>
        <v>6.91</v>
      </c>
      <c r="R84" s="40">
        <f>LOOKUP(Q84,{0,4.7,4.8,4.9,5,5.5,5.6,5.65,5.7,5.75,5.8,5.85,5.9,5.95,6,6.45,6.5,6.57,6.64,6.7,6.76},{0,10,20,30,40,50,60,62,64,66,68,70,72,74,76,78,80,85,90,95,100})</f>
        <v>100</v>
      </c>
      <c r="S84" s="48">
        <f>3.24-P84</f>
        <v>0.15</v>
      </c>
      <c r="T84" s="40">
        <f>LOOKUP(S84,{0,0.05,0.1,0.15,0.2,0.25,0.3,0.35,0.4,0.45,0.5},{0,1,2,3,4,5,6,7,8,9,10})</f>
        <v>3</v>
      </c>
      <c r="U84" s="7">
        <f>R84+T84</f>
        <v>103</v>
      </c>
      <c r="W84" s="7">
        <f>E84*0.1+G84*0.1+I84*0.1+O84*0.2+R84*0.2</f>
        <v>61.4</v>
      </c>
      <c r="X84" s="21">
        <f>W84/0.7+K84+T84</f>
        <v>91.7142857142857</v>
      </c>
    </row>
    <row r="85" ht="15.6" spans="1:24">
      <c r="A85" s="6">
        <v>116</v>
      </c>
      <c r="B85" s="39" t="s">
        <v>821</v>
      </c>
      <c r="C85" s="29" t="s">
        <v>46</v>
      </c>
      <c r="D85" s="6">
        <v>26</v>
      </c>
      <c r="E85" s="40">
        <f>LOOKUP(D85,{0,0.4,1.2,2,2.8,3.6,4.4,5.7,7,8.3,9.6,10.9,12.2,13.5,14.8,16.1,17.4,19.1,20.8,22.5,24.2},{0,10,20,30,40,50,60,62,64,66,68,70,72,74,76,78,80,85,90,95,100})</f>
        <v>100</v>
      </c>
      <c r="F85" s="6">
        <v>188</v>
      </c>
      <c r="G85" s="40">
        <f>LOOKUP(F85,{0,123,128,133,138,143,148,151,154,157,160,163,166,169,172,175,178,185,192,198,204},{0,10,20,30,40,50,60,62,64,66,68,70,72,74,76,78,80,85,90,95,100})</f>
        <v>85</v>
      </c>
      <c r="H85" s="6">
        <v>50</v>
      </c>
      <c r="I85" s="40">
        <f>LOOKUP(H85,{0,13,15,17,19,21,23,25,27,29,31,33,35,37,39,41,43,46,49,51,53},{0,10,20,30,40,50,60,62,64,66,68,70,72,74,76,78,80,85,90,95,100})</f>
        <v>90</v>
      </c>
      <c r="J85" s="45"/>
      <c r="K85" s="45"/>
      <c r="L85" s="7">
        <f>I85+K85</f>
        <v>90</v>
      </c>
      <c r="M85" s="6">
        <v>8.6</v>
      </c>
      <c r="N85" s="43">
        <f>13-M85</f>
        <v>4.4</v>
      </c>
      <c r="O85" s="40">
        <f>LOOKUP(N85,{0,1.4,1.6,1.8,2,2.2,2.4,2.6,2.8,3,3.2,3.4,3.6,3.8,4,4.2,4.4,4.7,5,5.1,5.2},{0,10,20,30,40,50,60,62,64,66,68,70,72,74,76,78,80,85,90,95,100})</f>
        <v>80</v>
      </c>
      <c r="P85" s="6">
        <v>3.17</v>
      </c>
      <c r="Q85" s="6">
        <f>10-P85</f>
        <v>6.83</v>
      </c>
      <c r="R85" s="40">
        <f>LOOKUP(Q85,{0,4.7,4.8,4.9,5,5.5,5.6,5.65,5.7,5.75,5.8,5.85,5.9,5.95,6,6.45,6.5,6.57,6.64,6.7,6.76},{0,10,20,30,40,50,60,62,64,66,68,70,72,74,76,78,80,85,90,95,100})</f>
        <v>100</v>
      </c>
      <c r="S85" s="48">
        <f>3.24-P85</f>
        <v>0.0700000000000003</v>
      </c>
      <c r="T85" s="40">
        <f>LOOKUP(S85,{0,0.05,0.1,0.15,0.2,0.25,0.3,0.35,0.4,0.45,0.5},{0,1,2,3,4,5,6,7,8,9,10})</f>
        <v>1</v>
      </c>
      <c r="U85" s="7">
        <f>R85+T85</f>
        <v>101</v>
      </c>
      <c r="W85" s="7">
        <f>E85*0.1+G85*0.1+I85*0.1+O85*0.2+R85*0.2</f>
        <v>63.5</v>
      </c>
      <c r="X85" s="21">
        <f>W85/0.7+K85+T85</f>
        <v>91.7142857142857</v>
      </c>
    </row>
    <row r="86" ht="15.6" spans="1:24">
      <c r="A86" s="6">
        <v>103</v>
      </c>
      <c r="B86" s="29" t="s">
        <v>156</v>
      </c>
      <c r="C86" s="29" t="s">
        <v>46</v>
      </c>
      <c r="D86" s="6">
        <v>19</v>
      </c>
      <c r="E86" s="40">
        <f>LOOKUP(D86,{0,0.4,1.2,2,2.8,3.6,4.4,5.7,7,8.3,9.6,10.9,12.2,13.5,14.8,16.1,17.4,19.1,20.8,22.5,24.2},{0,10,20,30,40,50,60,62,64,66,68,70,72,74,76,78,80,85,90,95,100})</f>
        <v>80</v>
      </c>
      <c r="F86" s="6">
        <v>185</v>
      </c>
      <c r="G86" s="40">
        <f>LOOKUP(F86,{0,123,128,133,138,143,148,151,154,157,160,163,166,169,172,175,178,185,192,198,204},{0,10,20,30,40,50,60,62,64,66,68,70,72,74,76,78,80,85,90,95,100})</f>
        <v>85</v>
      </c>
      <c r="H86" s="6">
        <v>55</v>
      </c>
      <c r="I86" s="40">
        <f>LOOKUP(H86,{0,13,15,17,19,21,23,25,27,29,31,33,35,37,39,41,43,46,49,51,53},{0,10,20,30,40,50,60,62,64,66,68,70,72,74,76,78,80,85,90,95,100})</f>
        <v>100</v>
      </c>
      <c r="J86" s="45">
        <f>H86-53</f>
        <v>2</v>
      </c>
      <c r="K86" s="40">
        <f>LOOKUP(J86,{0,2,4,6,7,8,9,10,11,12,13},{0,1,2,3,4,5,6,7,8,9,10})</f>
        <v>1</v>
      </c>
      <c r="L86" s="7">
        <f>I86+K86</f>
        <v>101</v>
      </c>
      <c r="M86" s="6">
        <v>8</v>
      </c>
      <c r="N86" s="43">
        <f>13-M86</f>
        <v>5</v>
      </c>
      <c r="O86" s="40">
        <f>LOOKUP(N86,{0,1.4,1.6,1.8,2,2.2,2.4,2.6,2.8,3,3.2,3.4,3.6,3.8,4,4.2,4.4,4.7,5,5.1,5.2},{0,10,20,30,40,50,60,62,64,66,68,70,72,74,76,78,80,85,90,95,100})</f>
        <v>90</v>
      </c>
      <c r="P86" s="6">
        <v>3.28</v>
      </c>
      <c r="Q86" s="6">
        <f>10-P86</f>
        <v>6.72</v>
      </c>
      <c r="R86" s="40">
        <f>LOOKUP(Q86,{0,4.7,4.8,4.9,5,5.5,5.6,5.65,5.7,5.75,5.8,5.85,5.9,5.95,6,6.45,6.5,6.57,6.64,6.7,6.76},{0,10,20,30,40,50,60,62,64,66,68,70,72,74,76,78,80,85,90,95,100})</f>
        <v>95</v>
      </c>
      <c r="S86" s="45"/>
      <c r="T86" s="45"/>
      <c r="U86" s="7">
        <f>R86+T86</f>
        <v>95</v>
      </c>
      <c r="W86" s="7">
        <f>E86*0.1+G86*0.1+I86*0.1+O86*0.2+R86*0.2</f>
        <v>63.5</v>
      </c>
      <c r="X86" s="21">
        <f>W86/0.7+K86+T86</f>
        <v>91.7142857142857</v>
      </c>
    </row>
    <row r="87" ht="15.6" spans="1:24">
      <c r="A87" s="6">
        <v>102</v>
      </c>
      <c r="B87" s="29" t="s">
        <v>113</v>
      </c>
      <c r="C87" s="29" t="s">
        <v>46</v>
      </c>
      <c r="D87" s="6">
        <v>25.7</v>
      </c>
      <c r="E87" s="40">
        <f>LOOKUP(D87,{0,0.4,1.2,2,2.8,3.6,4.4,5.7,7,8.3,9.6,10.9,12.2,13.5,14.8,16.1,17.4,19.1,20.8,22.5,24.2},{0,10,20,30,40,50,60,62,64,66,68,70,72,74,76,78,80,85,90,95,100})</f>
        <v>100</v>
      </c>
      <c r="F87" s="6">
        <v>185</v>
      </c>
      <c r="G87" s="40">
        <f>LOOKUP(F87,{0,123,128,133,138,143,148,151,154,157,160,163,166,169,172,175,178,185,192,198,204},{0,10,20,30,40,50,60,62,64,66,68,70,72,74,76,78,80,85,90,95,100})</f>
        <v>85</v>
      </c>
      <c r="H87" s="6">
        <v>46</v>
      </c>
      <c r="I87" s="40">
        <f>LOOKUP(H87,{0,13,15,17,19,21,23,25,27,29,31,33,35,37,39,41,43,46,49,51,53},{0,10,20,30,40,50,60,62,64,66,68,70,72,74,76,78,80,85,90,95,100})</f>
        <v>85</v>
      </c>
      <c r="J87" s="45"/>
      <c r="K87" s="45"/>
      <c r="L87" s="7">
        <f>I87+K87</f>
        <v>85</v>
      </c>
      <c r="M87" s="6">
        <v>8</v>
      </c>
      <c r="N87" s="43">
        <f>13-M87</f>
        <v>5</v>
      </c>
      <c r="O87" s="40">
        <f>LOOKUP(N87,{0,1.4,1.6,1.8,2,2.2,2.4,2.6,2.8,3,3.2,3.4,3.6,3.8,4,4.2,4.4,4.7,5,5.1,5.2},{0,10,20,30,40,50,60,62,64,66,68,70,72,74,76,78,80,85,90,95,100})</f>
        <v>90</v>
      </c>
      <c r="P87" s="6">
        <v>3.25</v>
      </c>
      <c r="Q87" s="6">
        <f>10-P87</f>
        <v>6.75</v>
      </c>
      <c r="R87" s="40">
        <f>LOOKUP(Q87,{0,4.7,4.8,4.9,5,5.5,5.6,5.65,5.7,5.75,5.8,5.85,5.9,5.95,6,6.45,6.5,6.57,6.64,6.7,6.76},{0,10,20,30,40,50,60,62,64,66,68,70,72,74,76,78,80,85,90,95,100})</f>
        <v>95</v>
      </c>
      <c r="S87" s="45"/>
      <c r="T87" s="45"/>
      <c r="U87" s="7">
        <f>R87+T87</f>
        <v>95</v>
      </c>
      <c r="W87" s="7">
        <f>E87*0.1+G87*0.1+I87*0.1+O87*0.2+R87*0.2</f>
        <v>64</v>
      </c>
      <c r="X87" s="21">
        <f>W87/0.7+K87+T87</f>
        <v>91.4285714285714</v>
      </c>
    </row>
    <row r="88" ht="15.6" spans="1:24">
      <c r="A88" s="6">
        <v>104</v>
      </c>
      <c r="B88" s="29" t="s">
        <v>203</v>
      </c>
      <c r="C88" s="29" t="s">
        <v>46</v>
      </c>
      <c r="D88" s="6">
        <v>25.5</v>
      </c>
      <c r="E88" s="40">
        <f>LOOKUP(D88,{0,0.4,1.2,2,2.8,3.6,4.4,5.7,7,8.3,9.6,10.9,12.2,13.5,14.8,16.1,17.4,19.1,20.8,22.5,24.2},{0,10,20,30,40,50,60,62,64,66,68,70,72,74,76,78,80,85,90,95,100})</f>
        <v>100</v>
      </c>
      <c r="F88" s="6">
        <v>190</v>
      </c>
      <c r="G88" s="40">
        <f>LOOKUP(F88,{0,123,128,133,138,143,148,151,154,157,160,163,166,169,172,175,178,185,192,198,204},{0,10,20,30,40,50,60,62,64,66,68,70,72,74,76,78,80,85,90,95,100})</f>
        <v>85</v>
      </c>
      <c r="H88" s="6">
        <v>51</v>
      </c>
      <c r="I88" s="40">
        <f>LOOKUP(H88,{0,13,15,17,19,21,23,25,27,29,31,33,35,37,39,41,43,46,49,51,53},{0,10,20,30,40,50,60,62,64,66,68,70,72,74,76,78,80,85,90,95,100})</f>
        <v>95</v>
      </c>
      <c r="J88" s="45"/>
      <c r="K88" s="45"/>
      <c r="L88" s="7">
        <f>I88+K88</f>
        <v>95</v>
      </c>
      <c r="M88" s="6">
        <v>8.1</v>
      </c>
      <c r="N88" s="43">
        <f>13-M88</f>
        <v>4.9</v>
      </c>
      <c r="O88" s="40">
        <f>LOOKUP(N88,{0,1.4,1.6,1.8,2,2.2,2.4,2.6,2.8,3,3.2,3.4,3.6,3.8,4,4.2,4.4,4.7,5,5.1,5.2},{0,10,20,30,40,50,60,62,64,66,68,70,72,74,76,78,80,85,90,95,100})</f>
        <v>85</v>
      </c>
      <c r="P88" s="6">
        <v>3.25</v>
      </c>
      <c r="Q88" s="6">
        <f>10-P88</f>
        <v>6.75</v>
      </c>
      <c r="R88" s="40">
        <f>LOOKUP(Q88,{0,4.7,4.8,4.9,5,5.5,5.6,5.65,5.7,5.75,5.8,5.85,5.9,5.95,6,6.45,6.5,6.57,6.64,6.7,6.76},{0,10,20,30,40,50,60,62,64,66,68,70,72,74,76,78,80,85,90,95,100})</f>
        <v>95</v>
      </c>
      <c r="S88" s="45"/>
      <c r="T88" s="45"/>
      <c r="U88" s="7">
        <f>R88+T88</f>
        <v>95</v>
      </c>
      <c r="W88" s="7">
        <f>E88*0.1+G88*0.1+I88*0.1+O88*0.2+R88*0.2</f>
        <v>64</v>
      </c>
      <c r="X88" s="21">
        <f>W88/0.7+K88+T88</f>
        <v>91.4285714285714</v>
      </c>
    </row>
    <row r="89" ht="15.6" spans="1:24">
      <c r="A89" s="6">
        <v>102</v>
      </c>
      <c r="B89" s="29" t="s">
        <v>114</v>
      </c>
      <c r="C89" s="29" t="s">
        <v>46</v>
      </c>
      <c r="D89" s="6">
        <v>23.6</v>
      </c>
      <c r="E89" s="40">
        <f>LOOKUP(D89,{0,0.4,1.2,2,2.8,3.6,4.4,5.7,7,8.3,9.6,10.9,12.2,13.5,14.8,16.1,17.4,19.1,20.8,22.5,24.2},{0,10,20,30,40,50,60,62,64,66,68,70,72,74,76,78,80,85,90,95,100})</f>
        <v>95</v>
      </c>
      <c r="F89" s="6">
        <v>192</v>
      </c>
      <c r="G89" s="40">
        <f>LOOKUP(F89,{0,123,128,133,138,143,148,151,154,157,160,163,166,169,172,175,178,185,192,198,204},{0,10,20,30,40,50,60,62,64,66,68,70,72,74,76,78,80,85,90,95,100})</f>
        <v>90</v>
      </c>
      <c r="H89" s="6">
        <v>52</v>
      </c>
      <c r="I89" s="40">
        <f>LOOKUP(H89,{0,13,15,17,19,21,23,25,27,29,31,33,35,37,39,41,43,46,49,51,53},{0,10,20,30,40,50,60,62,64,66,68,70,72,74,76,78,80,85,90,95,100})</f>
        <v>95</v>
      </c>
      <c r="J89" s="45"/>
      <c r="K89" s="45"/>
      <c r="L89" s="7">
        <f>I89+K89</f>
        <v>95</v>
      </c>
      <c r="M89" s="6">
        <v>8.1</v>
      </c>
      <c r="N89" s="43">
        <f>13-M89</f>
        <v>4.9</v>
      </c>
      <c r="O89" s="40">
        <f>LOOKUP(N89,{0,1.4,1.6,1.8,2,2.2,2.4,2.6,2.8,3,3.2,3.4,3.6,3.8,4,4.2,4.4,4.7,5,5.1,5.2},{0,10,20,30,40,50,60,62,64,66,68,70,72,74,76,78,80,85,90,95,100})</f>
        <v>85</v>
      </c>
      <c r="P89" s="6">
        <v>3.29</v>
      </c>
      <c r="Q89" s="6">
        <f>10-P89</f>
        <v>6.71</v>
      </c>
      <c r="R89" s="40">
        <f>LOOKUP(Q89,{0,4.7,4.8,4.9,5,5.5,5.6,5.65,5.7,5.75,5.8,5.85,5.9,5.95,6,6.45,6.5,6.57,6.64,6.7,6.76},{0,10,20,30,40,50,60,62,64,66,68,70,72,74,76,78,80,85,90,95,100})</f>
        <v>95</v>
      </c>
      <c r="S89" s="45"/>
      <c r="T89" s="45"/>
      <c r="U89" s="7">
        <f>R89+T89</f>
        <v>95</v>
      </c>
      <c r="W89" s="7">
        <f>E89*0.1+G89*0.1+I89*0.1+O89*0.2+R89*0.2</f>
        <v>64</v>
      </c>
      <c r="X89" s="21">
        <f>W89/0.7+K89+T89</f>
        <v>91.4285714285714</v>
      </c>
    </row>
    <row r="90" ht="15.6" spans="1:24">
      <c r="A90" s="6">
        <v>101</v>
      </c>
      <c r="B90" s="29" t="s">
        <v>53</v>
      </c>
      <c r="C90" s="29" t="s">
        <v>46</v>
      </c>
      <c r="D90" s="6">
        <v>19</v>
      </c>
      <c r="E90" s="40">
        <f>LOOKUP(D90,{0,0.4,1.2,2,2.8,3.6,4.4,5.7,7,8.3,9.6,10.9,12.2,13.5,14.8,16.1,17.4,19.1,20.8,22.5,24.2},{0,10,20,30,40,50,60,62,64,66,68,70,72,74,76,78,80,85,90,95,100})</f>
        <v>80</v>
      </c>
      <c r="F90" s="6">
        <v>190</v>
      </c>
      <c r="G90" s="40">
        <f>LOOKUP(F90,{0,123,128,133,138,143,148,151,154,157,160,163,166,169,172,175,178,185,192,198,204},{0,10,20,30,40,50,60,62,64,66,68,70,72,74,76,78,80,85,90,95,100})</f>
        <v>85</v>
      </c>
      <c r="H90" s="6">
        <v>53</v>
      </c>
      <c r="I90" s="40">
        <f>LOOKUP(H90,{0,13,15,17,19,21,23,25,27,29,31,33,35,37,39,41,43,46,49,51,53},{0,10,20,30,40,50,60,62,64,66,68,70,72,74,76,78,80,85,90,95,100})</f>
        <v>100</v>
      </c>
      <c r="J90" s="45">
        <f>H90-53</f>
        <v>0</v>
      </c>
      <c r="K90" s="40">
        <f>LOOKUP(J90,{0,2,4,6,7,8,9,10,11,12,13},{0,1,2,3,4,5,6,7,8,9,10})</f>
        <v>0</v>
      </c>
      <c r="L90" s="7">
        <f>I90+K90</f>
        <v>100</v>
      </c>
      <c r="M90" s="6">
        <v>8.4</v>
      </c>
      <c r="N90" s="43">
        <f>13-M90</f>
        <v>4.6</v>
      </c>
      <c r="O90" s="40">
        <f>LOOKUP(N90,{0,1.4,1.6,1.8,2,2.2,2.4,2.6,2.8,3,3.2,3.4,3.6,3.8,4,4.2,4.4,4.7,5,5.1,5.2},{0,10,20,30,40,50,60,62,64,66,68,70,72,74,76,78,80,85,90,95,100})</f>
        <v>80</v>
      </c>
      <c r="P90" s="6">
        <v>3.14</v>
      </c>
      <c r="Q90" s="6">
        <f>10-P90</f>
        <v>6.86</v>
      </c>
      <c r="R90" s="40">
        <f>LOOKUP(Q90,{0,4.7,4.8,4.9,5,5.5,5.6,5.65,5.7,5.75,5.8,5.85,5.9,5.95,6,6.45,6.5,6.57,6.64,6.7,6.76},{0,10,20,30,40,50,60,62,64,66,68,70,72,74,76,78,80,85,90,95,100})</f>
        <v>100</v>
      </c>
      <c r="S90" s="48">
        <f>3.24-P90</f>
        <v>0.1</v>
      </c>
      <c r="T90" s="40">
        <f>LOOKUP(S90,{0,0.05,0.1,0.15,0.2,0.25,0.3,0.35,0.4,0.45,0.5},{0,1,2,3,4,5,6,7,8,9,10})</f>
        <v>2</v>
      </c>
      <c r="U90" s="7">
        <f>R90+T90</f>
        <v>102</v>
      </c>
      <c r="W90" s="7">
        <f>E90*0.1+G90*0.1+I90*0.1+O90*0.2+R90*0.2</f>
        <v>62.5</v>
      </c>
      <c r="X90" s="21">
        <f>W90/0.7+K90+T90</f>
        <v>91.2857142857143</v>
      </c>
    </row>
    <row r="91" ht="15.6" spans="1:24">
      <c r="A91" s="6">
        <v>115</v>
      </c>
      <c r="B91" s="29" t="s">
        <v>761</v>
      </c>
      <c r="C91" s="29" t="s">
        <v>46</v>
      </c>
      <c r="D91" s="6">
        <v>12.6</v>
      </c>
      <c r="E91" s="40">
        <f>LOOKUP(D91,{0,0.4,1.2,2,2.8,3.6,4.4,5.7,7,8.3,9.6,10.9,12.2,13.5,14.8,16.1,17.4,19.1,20.8,22.5,24.2},{0,10,20,30,40,50,60,62,64,66,68,70,72,74,76,78,80,85,90,95,100})</f>
        <v>72</v>
      </c>
      <c r="F91" s="6">
        <v>201</v>
      </c>
      <c r="G91" s="40">
        <f>LOOKUP(F91,{0,123,128,133,138,143,148,151,154,157,160,163,166,169,172,175,178,185,192,198,204},{0,10,20,30,40,50,60,62,64,66,68,70,72,74,76,78,80,85,90,95,100})</f>
        <v>95</v>
      </c>
      <c r="H91" s="6">
        <v>57</v>
      </c>
      <c r="I91" s="40">
        <f>LOOKUP(H91,{0,13,15,17,19,21,23,25,27,29,31,33,35,37,39,41,43,46,49,51,53},{0,10,20,30,40,50,60,62,64,66,68,70,72,74,76,78,80,85,90,95,100})</f>
        <v>100</v>
      </c>
      <c r="J91" s="45">
        <f>H91-53</f>
        <v>4</v>
      </c>
      <c r="K91" s="40">
        <f>LOOKUP(J91,{0,2,4,6,7,8,9,10,11,12,13},{0,1,2,3,4,5,6,7,8,9,10})</f>
        <v>2</v>
      </c>
      <c r="L91" s="7">
        <f>I91+K91</f>
        <v>102</v>
      </c>
      <c r="M91" s="6">
        <v>7.7</v>
      </c>
      <c r="N91" s="43">
        <f>13-M91</f>
        <v>5.3</v>
      </c>
      <c r="O91" s="40">
        <f>LOOKUP(N91,{0,1.4,1.6,1.8,2,2.2,2.4,2.6,2.8,3,3.2,3.4,3.6,3.8,4,4.2,4.4,4.7,5,5.1,5.2},{0,10,20,30,40,50,60,62,64,66,68,70,72,74,76,78,80,85,90,95,100})</f>
        <v>100</v>
      </c>
      <c r="P91" s="6">
        <v>3.55</v>
      </c>
      <c r="Q91" s="6">
        <f>10-P91</f>
        <v>6.45</v>
      </c>
      <c r="R91" s="40">
        <f>LOOKUP(Q91,{0,4.7,4.8,4.9,5,5.5,5.6,5.65,5.7,5.75,5.8,5.85,5.9,5.95,6,6.45,6.5,6.57,6.64,6.7,6.76},{0,10,20,30,40,50,60,62,64,66,68,70,72,74,76,78,80,85,90,95,100})</f>
        <v>78</v>
      </c>
      <c r="S91" s="45"/>
      <c r="T91" s="45"/>
      <c r="U91" s="7">
        <f>R91+T91</f>
        <v>78</v>
      </c>
      <c r="W91" s="7">
        <f>E91*0.1+G91*0.1+I91*0.1+O91*0.2+R91*0.2</f>
        <v>62.3</v>
      </c>
      <c r="X91" s="21">
        <f>W91/0.7+K91+T91</f>
        <v>91</v>
      </c>
    </row>
    <row r="92" ht="15.6" spans="1:24">
      <c r="A92" s="6">
        <v>101</v>
      </c>
      <c r="B92" s="29" t="s">
        <v>54</v>
      </c>
      <c r="C92" s="29" t="s">
        <v>46</v>
      </c>
      <c r="D92" s="6">
        <v>18.1</v>
      </c>
      <c r="E92" s="40">
        <f>LOOKUP(D92,{0,0.4,1.2,2,2.8,3.6,4.4,5.7,7,8.3,9.6,10.9,12.2,13.5,14.8,16.1,17.4,19.1,20.8,22.5,24.2},{0,10,20,30,40,50,60,62,64,66,68,70,72,74,76,78,80,85,90,95,100})</f>
        <v>80</v>
      </c>
      <c r="F92" s="6">
        <v>190</v>
      </c>
      <c r="G92" s="40">
        <f>LOOKUP(F92,{0,123,128,133,138,143,148,151,154,157,160,163,166,169,172,175,178,185,192,198,204},{0,10,20,30,40,50,60,62,64,66,68,70,72,74,76,78,80,85,90,95,100})</f>
        <v>85</v>
      </c>
      <c r="H92" s="6">
        <v>52</v>
      </c>
      <c r="I92" s="40">
        <f>LOOKUP(H92,{0,13,15,17,19,21,23,25,27,29,31,33,35,37,39,41,43,46,49,51,53},{0,10,20,30,40,50,60,62,64,66,68,70,72,74,76,78,80,85,90,95,100})</f>
        <v>95</v>
      </c>
      <c r="J92" s="45"/>
      <c r="K92" s="45"/>
      <c r="L92" s="7">
        <f>I92+K92</f>
        <v>95</v>
      </c>
      <c r="M92" s="6">
        <v>8.3</v>
      </c>
      <c r="N92" s="43">
        <f>13-M92</f>
        <v>4.7</v>
      </c>
      <c r="O92" s="40">
        <f>LOOKUP(N92,{0,1.4,1.6,1.8,2,2.2,2.4,2.6,2.8,3,3.2,3.4,3.6,3.8,4,4.2,4.4,4.7,5,5.1,5.2},{0,10,20,30,40,50,60,62,64,66,68,70,72,74,76,78,80,85,90,95,100})</f>
        <v>85</v>
      </c>
      <c r="P92" s="6">
        <v>3.18</v>
      </c>
      <c r="Q92" s="6">
        <f>10-P92</f>
        <v>6.82</v>
      </c>
      <c r="R92" s="40">
        <f>LOOKUP(Q92,{0,4.7,4.8,4.9,5,5.5,5.6,5.65,5.7,5.75,5.8,5.85,5.9,5.95,6,6.45,6.5,6.57,6.64,6.7,6.76},{0,10,20,30,40,50,60,62,64,66,68,70,72,74,76,78,80,85,90,95,100})</f>
        <v>100</v>
      </c>
      <c r="S92" s="48">
        <f>3.24-P92</f>
        <v>0.0600000000000001</v>
      </c>
      <c r="T92" s="40">
        <f>LOOKUP(S92,{0,0.05,0.1,0.15,0.2,0.25,0.3,0.35,0.4,0.45,0.5},{0,1,2,3,4,5,6,7,8,9,10})</f>
        <v>1</v>
      </c>
      <c r="U92" s="7">
        <f>R92+T92</f>
        <v>101</v>
      </c>
      <c r="W92" s="7">
        <f>E92*0.1+G92*0.1+I92*0.1+O92*0.2+R92*0.2</f>
        <v>63</v>
      </c>
      <c r="X92" s="21">
        <f>W92/0.7+K92+T92</f>
        <v>91</v>
      </c>
    </row>
    <row r="93" ht="15.6" spans="1:24">
      <c r="A93" s="6">
        <v>104</v>
      </c>
      <c r="B93" s="29" t="s">
        <v>205</v>
      </c>
      <c r="C93" s="29" t="s">
        <v>46</v>
      </c>
      <c r="D93" s="6">
        <v>26.2</v>
      </c>
      <c r="E93" s="40">
        <f>LOOKUP(D93,{0,0.4,1.2,2,2.8,3.6,4.4,5.7,7,8.3,9.6,10.9,12.2,13.5,14.8,16.1,17.4,19.1,20.8,22.5,24.2},{0,10,20,30,40,50,60,62,64,66,68,70,72,74,76,78,80,85,90,95,100})</f>
        <v>100</v>
      </c>
      <c r="F93" s="6">
        <v>180</v>
      </c>
      <c r="G93" s="40">
        <f>LOOKUP(F93,{0,123,128,133,138,143,148,151,154,157,160,163,166,169,172,175,178,185,192,198,204},{0,10,20,30,40,50,60,62,64,66,68,70,72,74,76,78,80,85,90,95,100})</f>
        <v>80</v>
      </c>
      <c r="H93" s="6">
        <v>53</v>
      </c>
      <c r="I93" s="40">
        <f>LOOKUP(H93,{0,13,15,17,19,21,23,25,27,29,31,33,35,37,39,41,43,46,49,51,53},{0,10,20,30,40,50,60,62,64,66,68,70,72,74,76,78,80,85,90,95,100})</f>
        <v>100</v>
      </c>
      <c r="J93" s="45">
        <f>H93-53</f>
        <v>0</v>
      </c>
      <c r="K93" s="40">
        <f>LOOKUP(J93,{0,2,4,6,7,8,9,10,11,12,13},{0,1,2,3,4,5,6,7,8,9,10})</f>
        <v>0</v>
      </c>
      <c r="L93" s="7">
        <f>I93+K93</f>
        <v>100</v>
      </c>
      <c r="M93" s="6">
        <v>8.7</v>
      </c>
      <c r="N93" s="43">
        <f>13-M93</f>
        <v>4.3</v>
      </c>
      <c r="O93" s="40">
        <f>LOOKUP(N93,{0,1.4,1.6,1.8,2,2.2,2.4,2.6,2.8,3,3.2,3.4,3.6,3.8,4,4.2,4.4,4.7,5,5.1,5.2},{0,10,20,30,40,50,60,62,64,66,68,70,72,74,76,78,80,85,90,95,100})</f>
        <v>78</v>
      </c>
      <c r="P93" s="6">
        <v>3.24</v>
      </c>
      <c r="Q93" s="6">
        <f>10-P93</f>
        <v>6.76</v>
      </c>
      <c r="R93" s="40">
        <f>LOOKUP(Q93,{0,4.7,4.8,4.9,5,5.5,5.6,5.65,5.7,5.75,5.8,5.85,5.9,5.95,6,6.45,6.5,6.57,6.64,6.7,6.76},{0,10,20,30,40,50,60,62,64,66,68,70,72,74,76,78,80,85,90,95,100})</f>
        <v>100</v>
      </c>
      <c r="S93" s="48">
        <f>3.24-P93</f>
        <v>0</v>
      </c>
      <c r="T93" s="40">
        <f>LOOKUP(S93,{0,0.05,0.1,0.15,0.2,0.25,0.3,0.35,0.4,0.45,0.5},{0,1,2,3,4,5,6,7,8,9,10})</f>
        <v>0</v>
      </c>
      <c r="U93" s="7">
        <f>R93+T93</f>
        <v>100</v>
      </c>
      <c r="W93" s="7">
        <f>E93*0.1+G93*0.1+I93*0.1+O93*0.2+R93*0.2</f>
        <v>63.6</v>
      </c>
      <c r="X93" s="21">
        <f>W93/0.7+K93+T93</f>
        <v>90.8571428571429</v>
      </c>
    </row>
    <row r="94" ht="15.6" hidden="1" spans="1:24">
      <c r="A94" s="6">
        <v>110</v>
      </c>
      <c r="B94" s="29" t="s">
        <v>461</v>
      </c>
      <c r="C94" s="29" t="s">
        <v>11</v>
      </c>
      <c r="D94" s="6">
        <v>7</v>
      </c>
      <c r="E94" s="40">
        <f>LOOKUP(D94,{0,-4,-3,-2,-1,0,1,2.4,3.8,5.2,6.6,8,9.4,10.8,12.2,13.6,15,17.2,19.4,21.5,23.6},{0,10,20,30,40,50,60,62,64,66,68,70,72,74,76,78,80,85,90,95,100})</f>
        <v>68</v>
      </c>
      <c r="F94" s="6">
        <v>257</v>
      </c>
      <c r="G94" s="40">
        <f>LOOKUP(F94,{0,170,175,180,185,190,195,199,203,207,211,215,219,223,227,231,235,243,250,255,260},{0,10,20,30,40,50,60,62,64,66,68,70,72,74,76,78,80,85,90,95,100})</f>
        <v>95</v>
      </c>
      <c r="H94" s="6">
        <v>17</v>
      </c>
      <c r="I94" s="40">
        <f>LOOKUP(H94,{0,2,3,4,5,6,7,8,9,10,11,12,13,14,15,16},{0,10,20,30,40,50,60,64,68,72,76,80,85,90,95,100})</f>
        <v>100</v>
      </c>
      <c r="J94" s="7">
        <f>H94-16</f>
        <v>1</v>
      </c>
      <c r="K94" s="40">
        <f>LOOKUP(J94,{0,1,2,3,4,5,6,7,8,9,10},{0,1,2,3,4,5,6,7,8,9,10})</f>
        <v>1</v>
      </c>
      <c r="L94" s="7">
        <f>I94+K94</f>
        <v>101</v>
      </c>
      <c r="M94" s="6">
        <v>6.9</v>
      </c>
      <c r="N94" s="43">
        <f>13-M94</f>
        <v>6.1</v>
      </c>
      <c r="O94" s="40">
        <f>LOOKUP(N94,{0,2.5,2.7,2.9,3.1,3.3,3.5,3.7,3.9,4.1,4.3,4.5,4.7,4.9,5.1,5.3,5.5,5.6,5.7,5.8,5.9},{0,10,20,30,40,50,60,62,64,66,68,70,72,74,76,78,80,85,90,95,100})</f>
        <v>100</v>
      </c>
      <c r="P94" s="6">
        <v>3.47</v>
      </c>
      <c r="Q94" s="6">
        <f>10-P94</f>
        <v>6.53</v>
      </c>
      <c r="R94" s="40">
        <f>LOOKUP(Q94,{0,3.75,3.95,4.55,4.75,4.95,5.55,5.6,5.65,5.7,5.75,5.8,5.85,5.9,5.95,6,6.45,6.53,6.6,6.65,6.7},{0,10,20,30,40,50,60,62,64,66,68,70,72,74,76,78,80,85,90,95,100})</f>
        <v>85</v>
      </c>
      <c r="S94" s="7"/>
      <c r="T94" s="7"/>
      <c r="U94" s="7">
        <f>R94+T94</f>
        <v>85</v>
      </c>
      <c r="W94" s="7">
        <f>E94*0.1+G94*0.1+I94*0.1+O94*0.2+R94*0.2</f>
        <v>63.3</v>
      </c>
      <c r="X94" s="21">
        <f>W94/0.7+K94+T94</f>
        <v>91.4285714285714</v>
      </c>
    </row>
    <row r="95" ht="15.6" hidden="1" spans="1:24">
      <c r="A95" s="6">
        <v>108</v>
      </c>
      <c r="B95" s="29" t="s">
        <v>370</v>
      </c>
      <c r="C95" s="29" t="s">
        <v>11</v>
      </c>
      <c r="D95" s="6">
        <v>3.5</v>
      </c>
      <c r="E95" s="40">
        <f>LOOKUP(D95,{0,-4,-3,-2,-1,0,1,2.4,3.8,5.2,6.6,8,9.4,10.8,12.2,13.6,15,17.2,19.4,21.5,23.6},{0,10,20,30,40,50,60,62,64,66,68,70,72,74,76,78,80,85,90,95,100})</f>
        <v>62</v>
      </c>
      <c r="F95" s="6">
        <v>240</v>
      </c>
      <c r="G95" s="40">
        <f>LOOKUP(F95,{0,170,175,180,185,190,195,199,203,207,211,215,219,223,227,231,235,243,250,255,260},{0,10,20,30,40,50,60,62,64,66,68,70,72,74,76,78,80,85,90,95,100})</f>
        <v>80</v>
      </c>
      <c r="H95" s="6">
        <v>11</v>
      </c>
      <c r="I95" s="40">
        <f>LOOKUP(H95,{0,2,3,4,5,6,7,8,9,10,11,12,13,14,15,16},{0,10,20,30,40,50,60,64,68,72,76,80,85,90,95,100})</f>
        <v>76</v>
      </c>
      <c r="J95" s="7"/>
      <c r="K95" s="7"/>
      <c r="L95" s="7">
        <f>I95+K95</f>
        <v>76</v>
      </c>
      <c r="M95" s="6">
        <v>6.9</v>
      </c>
      <c r="N95" s="43">
        <f>13-M95</f>
        <v>6.1</v>
      </c>
      <c r="O95" s="40">
        <f>LOOKUP(N95,{0,2.5,2.7,2.9,3.1,3.3,3.5,3.7,3.9,4.1,4.3,4.5,4.7,4.9,5.1,5.3,5.5,5.6,5.7,5.8,5.9},{0,10,20,30,40,50,60,62,64,66,68,70,72,74,76,78,80,85,90,95,100})</f>
        <v>100</v>
      </c>
      <c r="P95" s="6">
        <v>3.48</v>
      </c>
      <c r="Q95" s="6">
        <f>10-P95</f>
        <v>6.52</v>
      </c>
      <c r="R95" s="40">
        <f>LOOKUP(Q95,{0,3.75,3.95,4.55,4.75,4.95,5.55,5.6,5.65,5.7,5.75,5.8,5.85,5.9,5.95,6,6.45,6.53,6.6,6.65,6.7},{0,10,20,30,40,50,60,62,64,66,68,70,72,74,76,78,80,85,90,95,100})</f>
        <v>80</v>
      </c>
      <c r="S95" s="7"/>
      <c r="T95" s="7"/>
      <c r="U95" s="7">
        <f>R95+T95</f>
        <v>80</v>
      </c>
      <c r="W95" s="7">
        <f>E95*0.1+G95*0.1+I95*0.1+O95*0.2+R95*0.2</f>
        <v>57.8</v>
      </c>
      <c r="X95" s="21">
        <f>W95/0.7+K95+T95</f>
        <v>82.5714285714286</v>
      </c>
    </row>
    <row r="96" s="3" customFormat="1" ht="15.6" hidden="1" spans="1:24">
      <c r="A96" s="6">
        <v>101</v>
      </c>
      <c r="B96" s="39" t="s">
        <v>34</v>
      </c>
      <c r="C96" s="29" t="s">
        <v>11</v>
      </c>
      <c r="D96" s="6">
        <v>-1</v>
      </c>
      <c r="E96" s="40">
        <f>LOOKUP(D96,{0,-4,-3,-2,-1,0,1,2.4,3.8,5.2,6.6,8,9.4,10.8,12.2,13.6,15,17.2,19.4,21.5,23.6},{0,10,20,30,40,50,60,62,64,66,68,70,72,74,76,78,80,85,90,95,100})</f>
        <v>40</v>
      </c>
      <c r="F96" s="6">
        <v>215</v>
      </c>
      <c r="G96" s="40">
        <f>LOOKUP(F96,{0,170,175,180,185,190,195,199,203,207,211,215,219,223,227,231,235,243,250,255,260},{0,10,20,30,40,50,60,62,64,66,68,70,72,74,76,78,80,85,90,95,100})</f>
        <v>70</v>
      </c>
      <c r="H96" s="6">
        <v>19</v>
      </c>
      <c r="I96" s="40">
        <f>LOOKUP(H96,{0,2,3,4,5,6,7,8,9,10,11,12,13,14,15,16},{0,10,20,30,40,50,60,64,68,72,76,80,85,90,95,100})</f>
        <v>100</v>
      </c>
      <c r="J96" s="7">
        <f>H96-16</f>
        <v>3</v>
      </c>
      <c r="K96" s="40">
        <f>LOOKUP(J96,{0,1,2,3,4,5,6,7,8,9,10},{0,1,2,3,4,5,6,7,8,9,10})</f>
        <v>3</v>
      </c>
      <c r="L96" s="7">
        <f>I96+K96</f>
        <v>103</v>
      </c>
      <c r="M96" s="6">
        <v>6.9</v>
      </c>
      <c r="N96" s="43">
        <f>13-M96</f>
        <v>6.1</v>
      </c>
      <c r="O96" s="40">
        <f>LOOKUP(N96,{0,2.5,2.7,2.9,3.1,3.3,3.5,3.7,3.9,4.1,4.3,4.5,4.7,4.9,5.1,5.3,5.5,5.6,5.7,5.8,5.9},{0,10,20,30,40,50,60,62,64,66,68,70,72,74,76,78,80,85,90,95,100})</f>
        <v>100</v>
      </c>
      <c r="P96" s="6">
        <v>4.03</v>
      </c>
      <c r="Q96" s="6">
        <f>10-P96</f>
        <v>5.97</v>
      </c>
      <c r="R96" s="40">
        <f>LOOKUP(Q96,{0,3.75,3.95,4.55,4.75,4.95,5.55,5.6,5.65,5.7,5.75,5.8,5.85,5.9,5.95,6,6.45,6.53,6.6,6.65,6.7},{0,10,20,30,40,50,60,62,64,66,68,70,72,74,76,78,80,85,90,95,100})</f>
        <v>76</v>
      </c>
      <c r="S96" s="7"/>
      <c r="T96" s="7"/>
      <c r="U96" s="7">
        <f>R96+T96</f>
        <v>76</v>
      </c>
      <c r="V96" s="6"/>
      <c r="W96" s="7">
        <f>E96*0.1+G96*0.1+I96*0.1+O96*0.2+R96*0.2</f>
        <v>56.2</v>
      </c>
      <c r="X96" s="21">
        <f>W96/0.7+K96+T96</f>
        <v>83.2857142857143</v>
      </c>
    </row>
    <row r="97" ht="15.6" hidden="1" spans="1:24">
      <c r="A97" s="6">
        <v>113</v>
      </c>
      <c r="B97" s="29" t="s">
        <v>627</v>
      </c>
      <c r="C97" s="29" t="s">
        <v>11</v>
      </c>
      <c r="D97" s="6">
        <v>10.1</v>
      </c>
      <c r="E97" s="40">
        <f>LOOKUP(D97,{0,-4,-3,-2,-1,0,1,2.4,3.8,5.2,6.6,8,9.4,10.8,12.2,13.6,15,17.2,19.4,21.5,23.6},{0,10,20,30,40,50,60,62,64,66,68,70,72,74,76,78,80,85,90,95,100})</f>
        <v>72</v>
      </c>
      <c r="F97" s="6">
        <v>245</v>
      </c>
      <c r="G97" s="40">
        <f>LOOKUP(F97,{0,170,175,180,185,190,195,199,203,207,211,215,219,223,227,231,235,243,250,255,260},{0,10,20,30,40,50,60,62,64,66,68,70,72,74,76,78,80,85,90,95,100})</f>
        <v>85</v>
      </c>
      <c r="H97" s="6">
        <v>18</v>
      </c>
      <c r="I97" s="40">
        <f>LOOKUP(H97,{0,2,3,4,5,6,7,8,9,10,11,12,13,14,15,16},{0,10,20,30,40,50,60,64,68,72,76,80,85,90,95,100})</f>
        <v>100</v>
      </c>
      <c r="J97" s="7">
        <f>H97-16</f>
        <v>2</v>
      </c>
      <c r="K97" s="40">
        <f>LOOKUP(J97,{0,1,2,3,4,5,6,7,8,9,10},{0,1,2,3,4,5,6,7,8,9,10})</f>
        <v>2</v>
      </c>
      <c r="L97" s="7">
        <f>I97+K97</f>
        <v>102</v>
      </c>
      <c r="M97" s="6">
        <v>7</v>
      </c>
      <c r="N97" s="43">
        <f>13-M97</f>
        <v>6</v>
      </c>
      <c r="O97" s="40">
        <f>LOOKUP(N97,{0,2.5,2.7,2.9,3.1,3.3,3.5,3.7,3.9,4.1,4.3,4.5,4.7,4.9,5.1,5.3,5.5,5.6,5.7,5.8,5.9},{0,10,20,30,40,50,60,62,64,66,68,70,72,74,76,78,80,85,90,95,100})</f>
        <v>100</v>
      </c>
      <c r="P97" s="6">
        <v>3.02</v>
      </c>
      <c r="Q97" s="6">
        <f>10-P97</f>
        <v>6.98</v>
      </c>
      <c r="R97" s="40">
        <f>LOOKUP(Q97,{0,3.75,3.95,4.55,4.75,4.95,5.55,5.6,5.65,5.7,5.75,5.8,5.85,5.9,5.95,6,6.45,6.53,6.6,6.65,6.7},{0,10,20,30,40,50,60,62,64,66,68,70,72,74,76,78,80,85,90,95,100})</f>
        <v>100</v>
      </c>
      <c r="S97" s="7">
        <f>3.3-P97</f>
        <v>0.28</v>
      </c>
      <c r="T97" s="40">
        <f>LOOKUP(S97,{0,0.04,0.08,0.12,0.16,0.2,0.23,0.26,0.29,0.32,0.35},{0,1,2,3,4,5,6,7,8,9,10})</f>
        <v>7</v>
      </c>
      <c r="U97" s="7">
        <f>R97+T97</f>
        <v>107</v>
      </c>
      <c r="W97" s="7">
        <f>E97*0.1+G97*0.1+I97*0.1+O97*0.2+R97*0.2</f>
        <v>65.7</v>
      </c>
      <c r="X97" s="21">
        <f>W97/0.7+K97+T97</f>
        <v>102.857142857143</v>
      </c>
    </row>
    <row r="98" ht="15.6" hidden="1" spans="1:24">
      <c r="A98" s="6">
        <v>115</v>
      </c>
      <c r="B98" s="29" t="s">
        <v>738</v>
      </c>
      <c r="C98" s="29" t="s">
        <v>11</v>
      </c>
      <c r="D98" s="6">
        <v>12</v>
      </c>
      <c r="E98" s="40">
        <f>LOOKUP(D98,{0,-4,-3,-2,-1,0,1,2.4,3.8,5.2,6.6,8,9.4,10.8,12.2,13.6,15,17.2,19.4,21.5,23.6},{0,10,20,30,40,50,60,62,64,66,68,70,72,74,76,78,80,85,90,95,100})</f>
        <v>74</v>
      </c>
      <c r="F98" s="6">
        <v>262</v>
      </c>
      <c r="G98" s="40">
        <f>LOOKUP(F98,{0,170,175,180,185,190,195,199,203,207,211,215,219,223,227,231,235,243,250,255,260},{0,10,20,30,40,50,60,62,64,66,68,70,72,74,76,78,80,85,90,95,100})</f>
        <v>100</v>
      </c>
      <c r="H98" s="6">
        <v>19</v>
      </c>
      <c r="I98" s="40">
        <f>LOOKUP(H98,{0,2,3,4,5,6,7,8,9,10,11,12,13,14,15,16},{0,10,20,30,40,50,60,64,68,72,76,80,85,90,95,100})</f>
        <v>100</v>
      </c>
      <c r="J98" s="7">
        <f>H98-16</f>
        <v>3</v>
      </c>
      <c r="K98" s="40">
        <f>LOOKUP(J98,{0,1,2,3,4,5,6,7,8,9,10},{0,1,2,3,4,5,6,7,8,9,10})</f>
        <v>3</v>
      </c>
      <c r="L98" s="7">
        <f>I98+K98</f>
        <v>103</v>
      </c>
      <c r="M98" s="6">
        <v>7</v>
      </c>
      <c r="N98" s="43">
        <f>13-M98</f>
        <v>6</v>
      </c>
      <c r="O98" s="40">
        <f>LOOKUP(N98,{0,2.5,2.7,2.9,3.1,3.3,3.5,3.7,3.9,4.1,4.3,4.5,4.7,4.9,5.1,5.3,5.5,5.6,5.7,5.8,5.9},{0,10,20,30,40,50,60,62,64,66,68,70,72,74,76,78,80,85,90,95,100})</f>
        <v>100</v>
      </c>
      <c r="P98" s="6">
        <v>3.15</v>
      </c>
      <c r="Q98" s="6">
        <f>10-P98</f>
        <v>6.85</v>
      </c>
      <c r="R98" s="40">
        <f>LOOKUP(Q98,{0,3.75,3.95,4.55,4.75,4.95,5.55,5.6,5.65,5.7,5.75,5.8,5.85,5.9,5.95,6,6.45,6.53,6.6,6.65,6.7},{0,10,20,30,40,50,60,62,64,66,68,70,72,74,76,78,80,85,90,95,100})</f>
        <v>100</v>
      </c>
      <c r="S98" s="7">
        <f>3.3-P98</f>
        <v>0.15</v>
      </c>
      <c r="T98" s="40">
        <f>LOOKUP(S98,{0,0.04,0.08,0.12,0.16,0.2,0.23,0.26,0.29,0.32,0.35},{0,1,2,3,4,5,6,7,8,9,10})</f>
        <v>3</v>
      </c>
      <c r="U98" s="7">
        <f>R98+T98</f>
        <v>103</v>
      </c>
      <c r="W98" s="7">
        <f>E98*0.1+G98*0.1+I98*0.1+O98*0.2+R98*0.2</f>
        <v>67.4</v>
      </c>
      <c r="X98" s="21">
        <f>W98/0.7+K98+T98</f>
        <v>102.285714285714</v>
      </c>
    </row>
    <row r="99" ht="15.6" hidden="1" spans="1:24">
      <c r="A99" s="6">
        <v>115</v>
      </c>
      <c r="B99" s="29" t="s">
        <v>731</v>
      </c>
      <c r="C99" s="29" t="s">
        <v>11</v>
      </c>
      <c r="D99" s="6">
        <v>4.3</v>
      </c>
      <c r="E99" s="40">
        <f>LOOKUP(D99,{0,-4,-3,-2,-1,0,1,2.4,3.8,5.2,6.6,8,9.4,10.8,12.2,13.6,15,17.2,19.4,21.5,23.6},{0,10,20,30,40,50,60,62,64,66,68,70,72,74,76,78,80,85,90,95,100})</f>
        <v>64</v>
      </c>
      <c r="F99" s="6">
        <v>234</v>
      </c>
      <c r="G99" s="40">
        <f>LOOKUP(F99,{0,170,175,180,185,190,195,199,203,207,211,215,219,223,227,231,235,243,250,255,260},{0,10,20,30,40,50,60,62,64,66,68,70,72,74,76,78,80,85,90,95,100})</f>
        <v>78</v>
      </c>
      <c r="H99" s="6">
        <v>15</v>
      </c>
      <c r="I99" s="40">
        <f>LOOKUP(H99,{0,2,3,4,5,6,7,8,9,10,11,12,13,14,15,16},{0,10,20,30,40,50,60,64,68,72,76,80,85,90,95,100})</f>
        <v>95</v>
      </c>
      <c r="J99" s="7"/>
      <c r="K99" s="7"/>
      <c r="L99" s="7">
        <f>I99+K99</f>
        <v>95</v>
      </c>
      <c r="M99" s="6">
        <v>7</v>
      </c>
      <c r="N99" s="43">
        <f>13-M99</f>
        <v>6</v>
      </c>
      <c r="O99" s="40">
        <f>LOOKUP(N99,{0,2.5,2.7,2.9,3.1,3.3,3.5,3.7,3.9,4.1,4.3,4.5,4.7,4.9,5.1,5.3,5.5,5.6,5.7,5.8,5.9},{0,10,20,30,40,50,60,62,64,66,68,70,72,74,76,78,80,85,90,95,100})</f>
        <v>100</v>
      </c>
      <c r="P99" s="6">
        <v>3.15</v>
      </c>
      <c r="Q99" s="6">
        <f>10-P99</f>
        <v>6.85</v>
      </c>
      <c r="R99" s="40">
        <f>LOOKUP(Q99,{0,3.75,3.95,4.55,4.75,4.95,5.55,5.6,5.65,5.7,5.75,5.8,5.85,5.9,5.95,6,6.45,6.53,6.6,6.65,6.7},{0,10,20,30,40,50,60,62,64,66,68,70,72,74,76,78,80,85,90,95,100})</f>
        <v>100</v>
      </c>
      <c r="S99" s="7">
        <f>3.3-P99</f>
        <v>0.15</v>
      </c>
      <c r="T99" s="40">
        <f>LOOKUP(S99,{0,0.04,0.08,0.12,0.16,0.2,0.23,0.26,0.29,0.32,0.35},{0,1,2,3,4,5,6,7,8,9,10})</f>
        <v>3</v>
      </c>
      <c r="U99" s="7">
        <f>R99+T99</f>
        <v>103</v>
      </c>
      <c r="W99" s="7">
        <f>E99*0.1+G99*0.1+I99*0.1+O99*0.2+R99*0.2</f>
        <v>63.7</v>
      </c>
      <c r="X99" s="21">
        <f>W99/0.7+K99+T99</f>
        <v>94</v>
      </c>
    </row>
    <row r="100" ht="15.6" hidden="1" spans="1:24">
      <c r="A100" s="6">
        <v>114</v>
      </c>
      <c r="B100" s="29" t="s">
        <v>687</v>
      </c>
      <c r="C100" s="29" t="s">
        <v>11</v>
      </c>
      <c r="D100" s="6">
        <v>15</v>
      </c>
      <c r="E100" s="40">
        <f>LOOKUP(D100,{0,-4,-3,-2,-1,0,1,2.4,3.8,5.2,6.6,8,9.4,10.8,12.2,13.6,15,17.2,19.4,21.5,23.6},{0,10,20,30,40,50,60,62,64,66,68,70,72,74,76,78,80,85,90,95,100})</f>
        <v>80</v>
      </c>
      <c r="F100" s="6">
        <v>234</v>
      </c>
      <c r="G100" s="40">
        <f>LOOKUP(F100,{0,170,175,180,185,190,195,199,203,207,211,215,219,223,227,231,235,243,250,255,260},{0,10,20,30,40,50,60,62,64,66,68,70,72,74,76,78,80,85,90,95,100})</f>
        <v>78</v>
      </c>
      <c r="H100" s="6">
        <v>4</v>
      </c>
      <c r="I100" s="40">
        <f>LOOKUP(H100,{0,2,3,4,5,6,7,8,9,10,11,12,13,14,15,16},{0,10,20,30,40,50,60,64,68,72,76,80,85,90,95,100})</f>
        <v>30</v>
      </c>
      <c r="J100" s="7"/>
      <c r="K100" s="7"/>
      <c r="L100" s="7">
        <f>I100+K100</f>
        <v>30</v>
      </c>
      <c r="M100" s="6">
        <v>7</v>
      </c>
      <c r="N100" s="43">
        <f>13-M100</f>
        <v>6</v>
      </c>
      <c r="O100" s="40">
        <f>LOOKUP(N100,{0,2.5,2.7,2.9,3.1,3.3,3.5,3.7,3.9,4.1,4.3,4.5,4.7,4.9,5.1,5.3,5.5,5.6,5.7,5.8,5.9},{0,10,20,30,40,50,60,62,64,66,68,70,72,74,76,78,80,85,90,95,100})</f>
        <v>100</v>
      </c>
      <c r="P100" s="6">
        <v>3.17</v>
      </c>
      <c r="Q100" s="6">
        <f>10-P100</f>
        <v>6.83</v>
      </c>
      <c r="R100" s="40">
        <f>LOOKUP(Q100,{0,3.75,3.95,4.55,4.75,4.95,5.55,5.6,5.65,5.7,5.75,5.8,5.85,5.9,5.95,6,6.45,6.53,6.6,6.65,6.7},{0,10,20,30,40,50,60,62,64,66,68,70,72,74,76,78,80,85,90,95,100})</f>
        <v>100</v>
      </c>
      <c r="S100" s="7">
        <f>3.3-P100</f>
        <v>0.13</v>
      </c>
      <c r="T100" s="40">
        <f>LOOKUP(S100,{0,0.04,0.08,0.12,0.16,0.2,0.23,0.26,0.29,0.32,0.35},{0,1,2,3,4,5,6,7,8,9,10})</f>
        <v>3</v>
      </c>
      <c r="U100" s="7">
        <f>R100+T100</f>
        <v>103</v>
      </c>
      <c r="W100" s="7">
        <f>E100*0.1+G100*0.1+I100*0.1+O100*0.2+R100*0.2</f>
        <v>58.8</v>
      </c>
      <c r="X100" s="21">
        <f>W100/0.7+K100+T100</f>
        <v>87</v>
      </c>
    </row>
    <row r="101" ht="15.6" hidden="1" spans="1:24">
      <c r="A101" s="6">
        <v>107</v>
      </c>
      <c r="B101" s="29" t="s">
        <v>310</v>
      </c>
      <c r="C101" s="29" t="s">
        <v>11</v>
      </c>
      <c r="D101" s="6">
        <v>4</v>
      </c>
      <c r="E101" s="40">
        <f>LOOKUP(D101,{0,-4,-3,-2,-1,0,1,2.4,3.8,5.2,6.6,8,9.4,10.8,12.2,13.6,15,17.2,19.4,21.5,23.6},{0,10,20,30,40,50,60,62,64,66,68,70,72,74,76,78,80,85,90,95,100})</f>
        <v>64</v>
      </c>
      <c r="F101" s="6">
        <v>212</v>
      </c>
      <c r="G101" s="40">
        <f>LOOKUP(F101,{0,170,175,180,185,190,195,199,203,207,211,215,219,223,227,231,235,243,250,255,260},{0,10,20,30,40,50,60,62,64,66,68,70,72,74,76,78,80,85,90,95,100})</f>
        <v>68</v>
      </c>
      <c r="H101" s="6">
        <v>2</v>
      </c>
      <c r="I101" s="40">
        <f>LOOKUP(H101,{0,2,3,4,5,6,7,8,9,10,11,12,13,14,15,16},{0,10,20,30,40,50,60,64,68,72,76,80,85,90,95,100})</f>
        <v>10</v>
      </c>
      <c r="J101" s="7"/>
      <c r="K101" s="7"/>
      <c r="L101" s="7">
        <f>I101+K101</f>
        <v>10</v>
      </c>
      <c r="M101" s="6">
        <v>7</v>
      </c>
      <c r="N101" s="43">
        <f>13-M101</f>
        <v>6</v>
      </c>
      <c r="O101" s="40">
        <f>LOOKUP(N101,{0,2.5,2.7,2.9,3.1,3.3,3.5,3.7,3.9,4.1,4.3,4.5,4.7,4.9,5.1,5.3,5.5,5.6,5.7,5.8,5.9},{0,10,20,30,40,50,60,62,64,66,68,70,72,74,76,78,80,85,90,95,100})</f>
        <v>100</v>
      </c>
      <c r="P101" s="6">
        <v>3.19</v>
      </c>
      <c r="Q101" s="6">
        <f>10-P101</f>
        <v>6.81</v>
      </c>
      <c r="R101" s="40">
        <f>LOOKUP(Q101,{0,3.75,3.95,4.55,4.75,4.95,5.55,5.6,5.65,5.7,5.75,5.8,5.85,5.9,5.95,6,6.45,6.53,6.6,6.65,6.7},{0,10,20,30,40,50,60,62,64,66,68,70,72,74,76,78,80,85,90,95,100})</f>
        <v>100</v>
      </c>
      <c r="S101" s="7">
        <f>3.3-P101</f>
        <v>0.11</v>
      </c>
      <c r="T101" s="40">
        <f>LOOKUP(S101,{0,0.04,0.08,0.12,0.16,0.2,0.23,0.26,0.29,0.32,0.35},{0,1,2,3,4,5,6,7,8,9,10})</f>
        <v>2</v>
      </c>
      <c r="U101" s="7">
        <f>R101+T101</f>
        <v>102</v>
      </c>
      <c r="W101" s="7">
        <f>E101*0.1+G101*0.1+I101*0.1+O101*0.2+R101*0.2</f>
        <v>54.2</v>
      </c>
      <c r="X101" s="21">
        <f>W101/0.7+K101+T101</f>
        <v>79.4285714285714</v>
      </c>
    </row>
    <row r="102" ht="15.6" hidden="1" spans="1:24">
      <c r="A102" s="6">
        <v>107</v>
      </c>
      <c r="B102" s="29" t="s">
        <v>305</v>
      </c>
      <c r="C102" s="29" t="s">
        <v>11</v>
      </c>
      <c r="D102" s="6">
        <v>17.3</v>
      </c>
      <c r="E102" s="40">
        <f>LOOKUP(D102,{0,-4,-3,-2,-1,0,1,2.4,3.8,5.2,6.6,8,9.4,10.8,12.2,13.6,15,17.2,19.4,21.5,23.6},{0,10,20,30,40,50,60,62,64,66,68,70,72,74,76,78,80,85,90,95,100})</f>
        <v>85</v>
      </c>
      <c r="F102" s="6">
        <v>242</v>
      </c>
      <c r="G102" s="40">
        <f>LOOKUP(F102,{0,170,175,180,185,190,195,199,203,207,211,215,219,223,227,231,235,243,250,255,260},{0,10,20,30,40,50,60,62,64,66,68,70,72,74,76,78,80,85,90,95,100})</f>
        <v>80</v>
      </c>
      <c r="H102" s="6">
        <v>13</v>
      </c>
      <c r="I102" s="40">
        <f>LOOKUP(H102,{0,2,3,4,5,6,7,8,9,10,11,12,13,14,15,16},{0,10,20,30,40,50,60,64,68,72,76,80,85,90,95,100})</f>
        <v>85</v>
      </c>
      <c r="J102" s="7"/>
      <c r="K102" s="7"/>
      <c r="L102" s="7">
        <f>I102+K102</f>
        <v>85</v>
      </c>
      <c r="M102" s="6">
        <v>7</v>
      </c>
      <c r="N102" s="43">
        <f>13-M102</f>
        <v>6</v>
      </c>
      <c r="O102" s="40">
        <f>LOOKUP(N102,{0,2.5,2.7,2.9,3.1,3.3,3.5,3.7,3.9,4.1,4.3,4.5,4.7,4.9,5.1,5.3,5.5,5.6,5.7,5.8,5.9},{0,10,20,30,40,50,60,62,64,66,68,70,72,74,76,78,80,85,90,95,100})</f>
        <v>100</v>
      </c>
      <c r="P102" s="6">
        <v>3.2</v>
      </c>
      <c r="Q102" s="6">
        <f>10-P102</f>
        <v>6.8</v>
      </c>
      <c r="R102" s="40">
        <f>LOOKUP(Q102,{0,3.75,3.95,4.55,4.75,4.95,5.55,5.6,5.65,5.7,5.75,5.8,5.85,5.9,5.95,6,6.45,6.53,6.6,6.65,6.7},{0,10,20,30,40,50,60,62,64,66,68,70,72,74,76,78,80,85,90,95,100})</f>
        <v>100</v>
      </c>
      <c r="S102" s="7">
        <f>3.3-P102</f>
        <v>0.0999999999999996</v>
      </c>
      <c r="T102" s="40">
        <f>LOOKUP(S102,{0,0.04,0.08,0.12,0.16,0.2,0.23,0.26,0.29,0.32,0.35},{0,1,2,3,4,5,6,7,8,9,10})</f>
        <v>2</v>
      </c>
      <c r="U102" s="7">
        <f>R102+T102</f>
        <v>102</v>
      </c>
      <c r="W102" s="7">
        <f>E102*0.1+G102*0.1+I102*0.1+O102*0.2+R102*0.2</f>
        <v>65</v>
      </c>
      <c r="X102" s="21">
        <f>W102/0.7+K102+T102</f>
        <v>94.8571428571429</v>
      </c>
    </row>
    <row r="103" ht="15.6" hidden="1" spans="1:24">
      <c r="A103" s="6">
        <v>109</v>
      </c>
      <c r="B103" s="29" t="s">
        <v>422</v>
      </c>
      <c r="C103" s="29" t="s">
        <v>11</v>
      </c>
      <c r="D103" s="6">
        <v>25</v>
      </c>
      <c r="E103" s="40">
        <f>LOOKUP(D103,{0,-4,-3,-2,-1,0,1,2.4,3.8,5.2,6.6,8,9.4,10.8,12.2,13.6,15,17.2,19.4,21.5,23.6},{0,10,20,30,40,50,60,62,64,66,68,70,72,74,76,78,80,85,90,95,100})</f>
        <v>100</v>
      </c>
      <c r="F103" s="6">
        <v>250</v>
      </c>
      <c r="G103" s="40">
        <f>LOOKUP(F103,{0,170,175,180,185,190,195,199,203,207,211,215,219,223,227,231,235,243,250,255,260},{0,10,20,30,40,50,60,62,64,66,68,70,72,74,76,78,80,85,90,95,100})</f>
        <v>90</v>
      </c>
      <c r="H103" s="6">
        <v>35</v>
      </c>
      <c r="I103" s="40">
        <f>LOOKUP(H103,{0,2,3,4,5,6,7,8,9,10,11,12,13,14,15,16},{0,10,20,30,40,50,60,64,68,72,76,80,85,90,95,100})</f>
        <v>100</v>
      </c>
      <c r="J103" s="7">
        <f>H103-16</f>
        <v>19</v>
      </c>
      <c r="K103" s="40">
        <f>LOOKUP(J103,{0,1,2,3,4,5,6,7,8,9,10},{0,1,2,3,4,5,6,7,8,9,10})</f>
        <v>10</v>
      </c>
      <c r="L103" s="7">
        <f>I103+K103</f>
        <v>110</v>
      </c>
      <c r="M103" s="6">
        <v>7</v>
      </c>
      <c r="N103" s="43">
        <f>13-M103</f>
        <v>6</v>
      </c>
      <c r="O103" s="40">
        <f>LOOKUP(N103,{0,2.5,2.7,2.9,3.1,3.3,3.5,3.7,3.9,4.1,4.3,4.5,4.7,4.9,5.1,5.3,5.5,5.6,5.7,5.8,5.9},{0,10,20,30,40,50,60,62,64,66,68,70,72,74,76,78,80,85,90,95,100})</f>
        <v>100</v>
      </c>
      <c r="P103" s="6">
        <v>3.23</v>
      </c>
      <c r="Q103" s="6">
        <f>10-P103</f>
        <v>6.77</v>
      </c>
      <c r="R103" s="40">
        <f>LOOKUP(Q103,{0,3.75,3.95,4.55,4.75,4.95,5.55,5.6,5.65,5.7,5.75,5.8,5.85,5.9,5.95,6,6.45,6.53,6.6,6.65,6.7},{0,10,20,30,40,50,60,62,64,66,68,70,72,74,76,78,80,85,90,95,100})</f>
        <v>100</v>
      </c>
      <c r="S103" s="7">
        <f>3.3-P103</f>
        <v>0.0699999999999998</v>
      </c>
      <c r="T103" s="40">
        <f>LOOKUP(S103,{0,0.04,0.08,0.12,0.16,0.2,0.23,0.26,0.29,0.32,0.35},{0,1,2,3,4,5,6,7,8,9,10})</f>
        <v>1</v>
      </c>
      <c r="U103" s="7">
        <f>R103+T103</f>
        <v>101</v>
      </c>
      <c r="W103" s="7">
        <f>E103*0.1+G103*0.1+I103*0.1+O103*0.2+R103*0.2</f>
        <v>69</v>
      </c>
      <c r="X103" s="21">
        <f>W103/0.7+K103+T103</f>
        <v>109.571428571429</v>
      </c>
    </row>
    <row r="104" ht="15.6" hidden="1" spans="1:24">
      <c r="A104" s="6">
        <v>109</v>
      </c>
      <c r="B104" s="29" t="s">
        <v>423</v>
      </c>
      <c r="C104" s="29" t="s">
        <v>11</v>
      </c>
      <c r="D104" s="6">
        <v>21.8</v>
      </c>
      <c r="E104" s="40">
        <f>LOOKUP(D104,{0,-4,-3,-2,-1,0,1,2.4,3.8,5.2,6.6,8,9.4,10.8,12.2,13.6,15,17.2,19.4,21.5,23.6},{0,10,20,30,40,50,60,62,64,66,68,70,72,74,76,78,80,85,90,95,100})</f>
        <v>95</v>
      </c>
      <c r="F104" s="6">
        <v>260</v>
      </c>
      <c r="G104" s="40">
        <f>LOOKUP(F104,{0,170,175,180,185,190,195,199,203,207,211,215,219,223,227,231,235,243,250,255,260},{0,10,20,30,40,50,60,62,64,66,68,70,72,74,76,78,80,85,90,95,100})</f>
        <v>100</v>
      </c>
      <c r="H104" s="6">
        <v>26</v>
      </c>
      <c r="I104" s="40">
        <f>LOOKUP(H104,{0,2,3,4,5,6,7,8,9,10,11,12,13,14,15,16},{0,10,20,30,40,50,60,64,68,72,76,80,85,90,95,100})</f>
        <v>100</v>
      </c>
      <c r="J104" s="7">
        <f>H104-16</f>
        <v>10</v>
      </c>
      <c r="K104" s="40">
        <f>LOOKUP(J104,{0,1,2,3,4,5,6,7,8,9,10},{0,1,2,3,4,5,6,7,8,9,10})</f>
        <v>10</v>
      </c>
      <c r="L104" s="7">
        <f>I104+K104</f>
        <v>110</v>
      </c>
      <c r="M104" s="6">
        <v>7</v>
      </c>
      <c r="N104" s="43">
        <f>13-M104</f>
        <v>6</v>
      </c>
      <c r="O104" s="40">
        <f>LOOKUP(N104,{0,2.5,2.7,2.9,3.1,3.3,3.5,3.7,3.9,4.1,4.3,4.5,4.7,4.9,5.1,5.3,5.5,5.6,5.7,5.8,5.9},{0,10,20,30,40,50,60,62,64,66,68,70,72,74,76,78,80,85,90,95,100})</f>
        <v>100</v>
      </c>
      <c r="P104" s="6">
        <v>3.24</v>
      </c>
      <c r="Q104" s="6">
        <f>10-P104</f>
        <v>6.76</v>
      </c>
      <c r="R104" s="40">
        <f>LOOKUP(Q104,{0,3.75,3.95,4.55,4.75,4.95,5.55,5.6,5.65,5.7,5.75,5.8,5.85,5.9,5.95,6,6.45,6.53,6.6,6.65,6.7},{0,10,20,30,40,50,60,62,64,66,68,70,72,74,76,78,80,85,90,95,100})</f>
        <v>100</v>
      </c>
      <c r="S104" s="7">
        <f>3.3-P104</f>
        <v>0.0599999999999996</v>
      </c>
      <c r="T104" s="40">
        <f>LOOKUP(S104,{0,0.04,0.08,0.12,0.16,0.2,0.23,0.26,0.29,0.32,0.35},{0,1,2,3,4,5,6,7,8,9,10})</f>
        <v>1</v>
      </c>
      <c r="U104" s="7">
        <f>R104+T104</f>
        <v>101</v>
      </c>
      <c r="W104" s="7">
        <f>E104*0.1+G104*0.1+I104*0.1+O104*0.2+R104*0.2</f>
        <v>69.5</v>
      </c>
      <c r="X104" s="21">
        <f>W104/0.7+K104+T104</f>
        <v>110.285714285714</v>
      </c>
    </row>
    <row r="105" ht="15.6" hidden="1" spans="1:24">
      <c r="A105" s="6">
        <v>114</v>
      </c>
      <c r="B105" s="39" t="s">
        <v>690</v>
      </c>
      <c r="C105" s="29" t="s">
        <v>11</v>
      </c>
      <c r="D105" s="6">
        <v>2.4</v>
      </c>
      <c r="E105" s="40">
        <f>LOOKUP(D105,{0,-4,-3,-2,-1,0,1,2.4,3.8,5.2,6.6,8,9.4,10.8,12.2,13.6,15,17.2,19.4,21.5,23.6},{0,10,20,30,40,50,60,62,64,66,68,70,72,74,76,78,80,85,90,95,100})</f>
        <v>62</v>
      </c>
      <c r="F105" s="6">
        <v>258</v>
      </c>
      <c r="G105" s="40">
        <f>LOOKUP(F105,{0,170,175,180,185,190,195,199,203,207,211,215,219,223,227,231,235,243,250,255,260},{0,10,20,30,40,50,60,62,64,66,68,70,72,74,76,78,80,85,90,95,100})</f>
        <v>95</v>
      </c>
      <c r="H105" s="6">
        <v>11</v>
      </c>
      <c r="I105" s="40">
        <f>LOOKUP(H105,{0,2,3,4,5,6,7,8,9,10,11,12,13,14,15,16},{0,10,20,30,40,50,60,64,68,72,76,80,85,90,95,100})</f>
        <v>76</v>
      </c>
      <c r="J105" s="7"/>
      <c r="K105" s="7"/>
      <c r="L105" s="7">
        <f>I105+K105</f>
        <v>76</v>
      </c>
      <c r="M105" s="6">
        <v>7</v>
      </c>
      <c r="N105" s="43">
        <f>13-M105</f>
        <v>6</v>
      </c>
      <c r="O105" s="40">
        <f>LOOKUP(N105,{0,2.5,2.7,2.9,3.1,3.3,3.5,3.7,3.9,4.1,4.3,4.5,4.7,4.9,5.1,5.3,5.5,5.6,5.7,5.8,5.9},{0,10,20,30,40,50,60,62,64,66,68,70,72,74,76,78,80,85,90,95,100})</f>
        <v>100</v>
      </c>
      <c r="P105" s="6">
        <v>3.25</v>
      </c>
      <c r="Q105" s="6">
        <f>10-P105</f>
        <v>6.75</v>
      </c>
      <c r="R105" s="40">
        <f>LOOKUP(Q105,{0,3.75,3.95,4.55,4.75,4.95,5.55,5.6,5.65,5.7,5.75,5.8,5.85,5.9,5.95,6,6.45,6.53,6.6,6.65,6.7},{0,10,20,30,40,50,60,62,64,66,68,70,72,74,76,78,80,85,90,95,100})</f>
        <v>100</v>
      </c>
      <c r="S105" s="7">
        <f>3.3-P105</f>
        <v>0.0499999999999998</v>
      </c>
      <c r="T105" s="40">
        <f>LOOKUP(S105,{0,0.04,0.08,0.12,0.16,0.2,0.23,0.26,0.29,0.32,0.35},{0,1,2,3,4,5,6,7,8,9,10})</f>
        <v>1</v>
      </c>
      <c r="U105" s="7">
        <f>R105+T105</f>
        <v>101</v>
      </c>
      <c r="W105" s="7">
        <f>E105*0.1+G105*0.1+I105*0.1+O105*0.2+R105*0.2</f>
        <v>63.3</v>
      </c>
      <c r="X105" s="21">
        <f>W105/0.7+K105+T105</f>
        <v>91.4285714285714</v>
      </c>
    </row>
    <row r="106" s="3" customFormat="1" ht="15.6" hidden="1" spans="1:24">
      <c r="A106" s="6">
        <v>112</v>
      </c>
      <c r="B106" s="29" t="s">
        <v>583</v>
      </c>
      <c r="C106" s="29" t="s">
        <v>11</v>
      </c>
      <c r="D106" s="6">
        <v>13</v>
      </c>
      <c r="E106" s="40">
        <f>LOOKUP(D106,{0,-4,-3,-2,-1,0,1,2.4,3.8,5.2,6.6,8,9.4,10.8,12.2,13.6,15,17.2,19.4,21.5,23.6},{0,10,20,30,40,50,60,62,64,66,68,70,72,74,76,78,80,85,90,95,100})</f>
        <v>76</v>
      </c>
      <c r="F106" s="6">
        <v>252</v>
      </c>
      <c r="G106" s="40">
        <f>LOOKUP(F106,{0,170,175,180,185,190,195,199,203,207,211,215,219,223,227,231,235,243,250,255,260},{0,10,20,30,40,50,60,62,64,66,68,70,72,74,76,78,80,85,90,95,100})</f>
        <v>90</v>
      </c>
      <c r="H106" s="6">
        <v>11</v>
      </c>
      <c r="I106" s="40">
        <f>LOOKUP(H106,{0,2,3,4,5,6,7,8,9,10,11,12,13,14,15,16},{0,10,20,30,40,50,60,64,68,72,76,80,85,90,95,100})</f>
        <v>76</v>
      </c>
      <c r="J106" s="7"/>
      <c r="K106" s="7"/>
      <c r="L106" s="7">
        <f>I106+K106</f>
        <v>76</v>
      </c>
      <c r="M106" s="6">
        <v>7</v>
      </c>
      <c r="N106" s="43">
        <f>13-M106</f>
        <v>6</v>
      </c>
      <c r="O106" s="40">
        <f>LOOKUP(N106,{0,2.5,2.7,2.9,3.1,3.3,3.5,3.7,3.9,4.1,4.3,4.5,4.7,4.9,5.1,5.3,5.5,5.6,5.7,5.8,5.9},{0,10,20,30,40,50,60,62,64,66,68,70,72,74,76,78,80,85,90,95,100})</f>
        <v>100</v>
      </c>
      <c r="P106" s="6">
        <v>3.26</v>
      </c>
      <c r="Q106" s="6">
        <f>10-P106</f>
        <v>6.74</v>
      </c>
      <c r="R106" s="40">
        <f>LOOKUP(Q106,{0,3.75,3.95,4.55,4.75,4.95,5.55,5.6,5.65,5.7,5.75,5.8,5.85,5.9,5.95,6,6.45,6.53,6.6,6.65,6.7},{0,10,20,30,40,50,60,62,64,66,68,70,72,74,76,78,80,85,90,95,100})</f>
        <v>100</v>
      </c>
      <c r="S106" s="7">
        <f>3.3-P106</f>
        <v>0.04</v>
      </c>
      <c r="T106" s="40">
        <f>LOOKUP(S106,{0,0.04,0.08,0.12,0.16,0.2,0.23,0.26,0.29,0.32,0.35},{0,1,2,3,4,5,6,7,8,9,10})</f>
        <v>1</v>
      </c>
      <c r="U106" s="7">
        <f>R106+T106</f>
        <v>101</v>
      </c>
      <c r="V106" s="6"/>
      <c r="W106" s="7">
        <f>E106*0.1+G106*0.1+I106*0.1+O106*0.2+R106*0.2</f>
        <v>64.2</v>
      </c>
      <c r="X106" s="21">
        <f>W106/0.7+K106+T106</f>
        <v>92.7142857142857</v>
      </c>
    </row>
    <row r="107" ht="15.6" hidden="1" spans="1:24">
      <c r="A107" s="6">
        <v>107</v>
      </c>
      <c r="B107" s="29" t="s">
        <v>316</v>
      </c>
      <c r="C107" s="29" t="s">
        <v>11</v>
      </c>
      <c r="D107" s="6">
        <v>22</v>
      </c>
      <c r="E107" s="40">
        <f>LOOKUP(D107,{0,-4,-3,-2,-1,0,1,2.4,3.8,5.2,6.6,8,9.4,10.8,12.2,13.6,15,17.2,19.4,21.5,23.6},{0,10,20,30,40,50,60,62,64,66,68,70,72,74,76,78,80,85,90,95,100})</f>
        <v>95</v>
      </c>
      <c r="F107" s="6">
        <v>217</v>
      </c>
      <c r="G107" s="40">
        <f>LOOKUP(F107,{0,170,175,180,185,190,195,199,203,207,211,215,219,223,227,231,235,243,250,255,260},{0,10,20,30,40,50,60,62,64,66,68,70,72,74,76,78,80,85,90,95,100})</f>
        <v>70</v>
      </c>
      <c r="H107" s="6">
        <v>7</v>
      </c>
      <c r="I107" s="40">
        <f>LOOKUP(H107,{0,2,3,4,5,6,7,8,9,10,11,12,13,14,15,16},{0,10,20,30,40,50,60,64,68,72,76,80,85,90,95,100})</f>
        <v>60</v>
      </c>
      <c r="J107" s="7"/>
      <c r="K107" s="7"/>
      <c r="L107" s="7">
        <f>I107+K107</f>
        <v>60</v>
      </c>
      <c r="M107" s="6">
        <v>7</v>
      </c>
      <c r="N107" s="43">
        <f>13-M107</f>
        <v>6</v>
      </c>
      <c r="O107" s="40">
        <f>LOOKUP(N107,{0,2.5,2.7,2.9,3.1,3.3,3.5,3.7,3.9,4.1,4.3,4.5,4.7,4.9,5.1,5.3,5.5,5.6,5.7,5.8,5.9},{0,10,20,30,40,50,60,62,64,66,68,70,72,74,76,78,80,85,90,95,100})</f>
        <v>100</v>
      </c>
      <c r="P107" s="6">
        <v>3.26</v>
      </c>
      <c r="Q107" s="6">
        <f>10-P107</f>
        <v>6.74</v>
      </c>
      <c r="R107" s="40">
        <f>LOOKUP(Q107,{0,3.75,3.95,4.55,4.75,4.95,5.55,5.6,5.65,5.7,5.75,5.8,5.85,5.9,5.95,6,6.45,6.53,6.6,6.65,6.7},{0,10,20,30,40,50,60,62,64,66,68,70,72,74,76,78,80,85,90,95,100})</f>
        <v>100</v>
      </c>
      <c r="S107" s="7">
        <f>3.3-P107</f>
        <v>0.04</v>
      </c>
      <c r="T107" s="40">
        <f>LOOKUP(S107,{0,0.04,0.08,0.12,0.16,0.2,0.23,0.26,0.29,0.32,0.35},{0,1,2,3,4,5,6,7,8,9,10})</f>
        <v>1</v>
      </c>
      <c r="U107" s="7">
        <f>R107+T107</f>
        <v>101</v>
      </c>
      <c r="W107" s="7">
        <f>E107*0.1+G107*0.1+I107*0.1+O107*0.2+R107*0.2</f>
        <v>62.5</v>
      </c>
      <c r="X107" s="21">
        <f>W107/0.7+K107+T107</f>
        <v>90.2857142857143</v>
      </c>
    </row>
    <row r="108" ht="15.6" hidden="1" spans="1:24">
      <c r="A108" s="6">
        <v>112</v>
      </c>
      <c r="B108" s="29" t="s">
        <v>594</v>
      </c>
      <c r="C108" s="29" t="s">
        <v>11</v>
      </c>
      <c r="D108" s="6">
        <v>18.3</v>
      </c>
      <c r="E108" s="40">
        <f>LOOKUP(D108,{0,-4,-3,-2,-1,0,1,2.4,3.8,5.2,6.6,8,9.4,10.8,12.2,13.6,15,17.2,19.4,21.5,23.6},{0,10,20,30,40,50,60,62,64,66,68,70,72,74,76,78,80,85,90,95,100})</f>
        <v>85</v>
      </c>
      <c r="F108" s="6">
        <v>240</v>
      </c>
      <c r="G108" s="40">
        <f>LOOKUP(F108,{0,170,175,180,185,190,195,199,203,207,211,215,219,223,227,231,235,243,250,255,260},{0,10,20,30,40,50,60,62,64,66,68,70,72,74,76,78,80,85,90,95,100})</f>
        <v>80</v>
      </c>
      <c r="H108" s="6">
        <v>11</v>
      </c>
      <c r="I108" s="40">
        <f>LOOKUP(H108,{0,2,3,4,5,6,7,8,9,10,11,12,13,14,15,16},{0,10,20,30,40,50,60,64,68,72,76,80,85,90,95,100})</f>
        <v>76</v>
      </c>
      <c r="J108" s="7"/>
      <c r="K108" s="7"/>
      <c r="L108" s="7">
        <f>I108+K108</f>
        <v>76</v>
      </c>
      <c r="M108" s="6">
        <v>7</v>
      </c>
      <c r="N108" s="43">
        <f>13-M108</f>
        <v>6</v>
      </c>
      <c r="O108" s="40">
        <f>LOOKUP(N108,{0,2.5,2.7,2.9,3.1,3.3,3.5,3.7,3.9,4.1,4.3,4.5,4.7,4.9,5.1,5.3,5.5,5.6,5.7,5.8,5.9},{0,10,20,30,40,50,60,62,64,66,68,70,72,74,76,78,80,85,90,95,100})</f>
        <v>100</v>
      </c>
      <c r="P108" s="6">
        <v>3.27</v>
      </c>
      <c r="Q108" s="6">
        <f>10-P108</f>
        <v>6.73</v>
      </c>
      <c r="R108" s="40">
        <f>LOOKUP(Q108,{0,3.75,3.95,4.55,4.75,4.95,5.55,5.6,5.65,5.7,5.75,5.8,5.85,5.9,5.95,6,6.45,6.53,6.6,6.65,6.7},{0,10,20,30,40,50,60,62,64,66,68,70,72,74,76,78,80,85,90,95,100})</f>
        <v>100</v>
      </c>
      <c r="S108" s="7">
        <f>3.3-P108</f>
        <v>0.0299999999999998</v>
      </c>
      <c r="T108" s="40">
        <f>LOOKUP(S108,{0,0.04,0.08,0.12,0.16,0.2,0.23,0.26,0.29,0.32,0.35},{0,1,2,3,4,5,6,7,8,9,10})</f>
        <v>0</v>
      </c>
      <c r="U108" s="7">
        <f>R108+T108</f>
        <v>100</v>
      </c>
      <c r="W108" s="7">
        <f>E108*0.1+G108*0.1+I108*0.1+O108*0.2+R108*0.2</f>
        <v>64.1</v>
      </c>
      <c r="X108" s="21">
        <f>W108/0.7+K108+T108</f>
        <v>91.5714285714286</v>
      </c>
    </row>
    <row r="109" ht="15.6" hidden="1" spans="1:24">
      <c r="A109" s="6">
        <v>112</v>
      </c>
      <c r="B109" s="29" t="s">
        <v>577</v>
      </c>
      <c r="C109" s="29" t="s">
        <v>11</v>
      </c>
      <c r="D109" s="6">
        <v>9</v>
      </c>
      <c r="E109" s="40">
        <f>LOOKUP(D109,{0,-4,-3,-2,-1,0,1,2.4,3.8,5.2,6.6,8,9.4,10.8,12.2,13.6,15,17.2,19.4,21.5,23.6},{0,10,20,30,40,50,60,62,64,66,68,70,72,74,76,78,80,85,90,95,100})</f>
        <v>70</v>
      </c>
      <c r="F109" s="6">
        <v>266</v>
      </c>
      <c r="G109" s="40">
        <f>LOOKUP(F109,{0,170,175,180,185,190,195,199,203,207,211,215,219,223,227,231,235,243,250,255,260},{0,10,20,30,40,50,60,62,64,66,68,70,72,74,76,78,80,85,90,95,100})</f>
        <v>100</v>
      </c>
      <c r="H109" s="6">
        <v>2</v>
      </c>
      <c r="I109" s="40">
        <f>LOOKUP(H109,{0,2,3,4,5,6,7,8,9,10,11,12,13,14,15,16},{0,10,20,30,40,50,60,64,68,72,76,80,85,90,95,100})</f>
        <v>10</v>
      </c>
      <c r="J109" s="7"/>
      <c r="K109" s="7"/>
      <c r="L109" s="7">
        <f>I109+K109</f>
        <v>10</v>
      </c>
      <c r="M109" s="6">
        <v>7</v>
      </c>
      <c r="N109" s="43">
        <f>13-M109</f>
        <v>6</v>
      </c>
      <c r="O109" s="40">
        <f>LOOKUP(N109,{0,2.5,2.7,2.9,3.1,3.3,3.5,3.7,3.9,4.1,4.3,4.5,4.7,4.9,5.1,5.3,5.5,5.6,5.7,5.8,5.9},{0,10,20,30,40,50,60,62,64,66,68,70,72,74,76,78,80,85,90,95,100})</f>
        <v>100</v>
      </c>
      <c r="P109" s="6">
        <v>3.27</v>
      </c>
      <c r="Q109" s="6">
        <f>10-P109</f>
        <v>6.73</v>
      </c>
      <c r="R109" s="40">
        <f>LOOKUP(Q109,{0,3.75,3.95,4.55,4.75,4.95,5.55,5.6,5.65,5.7,5.75,5.8,5.85,5.9,5.95,6,6.45,6.53,6.6,6.65,6.7},{0,10,20,30,40,50,60,62,64,66,68,70,72,74,76,78,80,85,90,95,100})</f>
        <v>100</v>
      </c>
      <c r="S109" s="7">
        <f>3.3-P109</f>
        <v>0.0299999999999998</v>
      </c>
      <c r="T109" s="40">
        <f>LOOKUP(S109,{0,0.04,0.08,0.12,0.16,0.2,0.23,0.26,0.29,0.32,0.35},{0,1,2,3,4,5,6,7,8,9,10})</f>
        <v>0</v>
      </c>
      <c r="U109" s="7">
        <f>R109+T109</f>
        <v>100</v>
      </c>
      <c r="W109" s="7">
        <f>E109*0.1+G109*0.1+I109*0.1+O109*0.2+R109*0.2</f>
        <v>58</v>
      </c>
      <c r="X109" s="21">
        <f>W109/0.7+K109+T109</f>
        <v>82.8571428571429</v>
      </c>
    </row>
    <row r="110" ht="15.6" hidden="1" spans="1:24">
      <c r="A110" s="6">
        <v>112</v>
      </c>
      <c r="B110" s="29" t="s">
        <v>580</v>
      </c>
      <c r="C110" s="29" t="s">
        <v>11</v>
      </c>
      <c r="D110" s="6">
        <v>4</v>
      </c>
      <c r="E110" s="40">
        <f>LOOKUP(D110,{0,-4,-3,-2,-1,0,1,2.4,3.8,5.2,6.6,8,9.4,10.8,12.2,13.6,15,17.2,19.4,21.5,23.6},{0,10,20,30,40,50,60,62,64,66,68,70,72,74,76,78,80,85,90,95,100})</f>
        <v>64</v>
      </c>
      <c r="F110" s="6">
        <v>245</v>
      </c>
      <c r="G110" s="40">
        <f>LOOKUP(F110,{0,170,175,180,185,190,195,199,203,207,211,215,219,223,227,231,235,243,250,255,260},{0,10,20,30,40,50,60,62,64,66,68,70,72,74,76,78,80,85,90,95,100})</f>
        <v>85</v>
      </c>
      <c r="H110" s="6">
        <v>28</v>
      </c>
      <c r="I110" s="40">
        <f>LOOKUP(H110,{0,2,3,4,5,6,7,8,9,10,11,12,13,14,15,16},{0,10,20,30,40,50,60,64,68,72,76,80,85,90,95,100})</f>
        <v>100</v>
      </c>
      <c r="J110" s="7">
        <f>H110-16</f>
        <v>12</v>
      </c>
      <c r="K110" s="40">
        <f>LOOKUP(J110,{0,1,2,3,4,5,6,7,8,9,10},{0,1,2,3,4,5,6,7,8,9,10})</f>
        <v>10</v>
      </c>
      <c r="L110" s="7">
        <f>I110+K110</f>
        <v>110</v>
      </c>
      <c r="M110" s="6">
        <v>7</v>
      </c>
      <c r="N110" s="43">
        <f>13-M110</f>
        <v>6</v>
      </c>
      <c r="O110" s="40">
        <f>LOOKUP(N110,{0,2.5,2.7,2.9,3.1,3.3,3.5,3.7,3.9,4.1,4.3,4.5,4.7,4.9,5.1,5.3,5.5,5.6,5.7,5.8,5.9},{0,10,20,30,40,50,60,62,64,66,68,70,72,74,76,78,80,85,90,95,100})</f>
        <v>100</v>
      </c>
      <c r="P110" s="6">
        <v>3.28</v>
      </c>
      <c r="Q110" s="6">
        <f>10-P110</f>
        <v>6.72</v>
      </c>
      <c r="R110" s="40">
        <f>LOOKUP(Q110,{0,3.75,3.95,4.55,4.75,4.95,5.55,5.6,5.65,5.7,5.75,5.8,5.85,5.9,5.95,6,6.45,6.53,6.6,6.65,6.7},{0,10,20,30,40,50,60,62,64,66,68,70,72,74,76,78,80,85,90,95,100})</f>
        <v>100</v>
      </c>
      <c r="S110" s="7">
        <f>3.3-P110</f>
        <v>0.02</v>
      </c>
      <c r="T110" s="40">
        <f>LOOKUP(S110,{0,0.04,0.08,0.12,0.16,0.2,0.23,0.26,0.29,0.32,0.35},{0,1,2,3,4,5,6,7,8,9,10})</f>
        <v>0</v>
      </c>
      <c r="U110" s="7">
        <f>R110+T110</f>
        <v>100</v>
      </c>
      <c r="W110" s="7">
        <f>E110*0.1+G110*0.1+I110*0.1+O110*0.2+R110*0.2</f>
        <v>64.9</v>
      </c>
      <c r="X110" s="21">
        <f>W110/0.7+K110+T110</f>
        <v>102.714285714286</v>
      </c>
    </row>
    <row r="111" ht="15.6" hidden="1" spans="1:24">
      <c r="A111" s="6">
        <v>102</v>
      </c>
      <c r="B111" s="29" t="s">
        <v>90</v>
      </c>
      <c r="C111" s="29" t="s">
        <v>11</v>
      </c>
      <c r="D111" s="6">
        <v>14</v>
      </c>
      <c r="E111" s="40">
        <f>LOOKUP(D111,{0,-4,-3,-2,-1,0,1,2.4,3.8,5.2,6.6,8,9.4,10.8,12.2,13.6,15,17.2,19.4,21.5,23.6},{0,10,20,30,40,50,60,62,64,66,68,70,72,74,76,78,80,85,90,95,100})</f>
        <v>78</v>
      </c>
      <c r="F111" s="6">
        <v>267</v>
      </c>
      <c r="G111" s="40">
        <f>LOOKUP(F111,{0,170,175,180,185,190,195,199,203,207,211,215,219,223,227,231,235,243,250,255,260},{0,10,20,30,40,50,60,62,64,66,68,70,72,74,76,78,80,85,90,95,100})</f>
        <v>100</v>
      </c>
      <c r="H111" s="6">
        <v>26</v>
      </c>
      <c r="I111" s="40">
        <f>LOOKUP(H111,{0,2,3,4,5,6,7,8,9,10,11,12,13,14,15,16},{0,10,20,30,40,50,60,64,68,72,76,80,85,90,95,100})</f>
        <v>100</v>
      </c>
      <c r="J111" s="7">
        <f>H111-16</f>
        <v>10</v>
      </c>
      <c r="K111" s="40">
        <f>LOOKUP(J111,{0,1,2,3,4,5,6,7,8,9,10},{0,1,2,3,4,5,6,7,8,9,10})</f>
        <v>10</v>
      </c>
      <c r="L111" s="7">
        <f>I111+K111</f>
        <v>110</v>
      </c>
      <c r="M111" s="6">
        <v>7</v>
      </c>
      <c r="N111" s="43">
        <f>13-M111</f>
        <v>6</v>
      </c>
      <c r="O111" s="40">
        <f>LOOKUP(N111,{0,2.5,2.7,2.9,3.1,3.3,3.5,3.7,3.9,4.1,4.3,4.5,4.7,4.9,5.1,5.3,5.5,5.6,5.7,5.8,5.9},{0,10,20,30,40,50,60,62,64,66,68,70,72,74,76,78,80,85,90,95,100})</f>
        <v>100</v>
      </c>
      <c r="P111" s="6">
        <v>3.28</v>
      </c>
      <c r="Q111" s="6">
        <f>10-P111</f>
        <v>6.72</v>
      </c>
      <c r="R111" s="40">
        <f>LOOKUP(Q111,{0,3.75,3.95,4.55,4.75,4.95,5.55,5.6,5.65,5.7,5.75,5.8,5.85,5.9,5.95,6,6.45,6.53,6.6,6.65,6.7},{0,10,20,30,40,50,60,62,64,66,68,70,72,74,76,78,80,85,90,95,100})</f>
        <v>100</v>
      </c>
      <c r="S111" s="7">
        <f>3.3-P111</f>
        <v>0.02</v>
      </c>
      <c r="T111" s="40">
        <f>LOOKUP(S111,{0,0.04,0.08,0.12,0.16,0.2,0.23,0.26,0.29,0.32,0.35},{0,1,2,3,4,5,6,7,8,9,10})</f>
        <v>0</v>
      </c>
      <c r="U111" s="7">
        <f>R111+T111</f>
        <v>100</v>
      </c>
      <c r="W111" s="7">
        <f>E111*0.1+G111*0.1+I111*0.1+O111*0.2+R111*0.2</f>
        <v>67.8</v>
      </c>
      <c r="X111" s="21">
        <f>W111/0.7+K111+T111</f>
        <v>106.857142857143</v>
      </c>
    </row>
    <row r="112" ht="15.6" hidden="1" spans="1:24">
      <c r="A112" s="6">
        <v>116</v>
      </c>
      <c r="B112" s="39" t="s">
        <v>794</v>
      </c>
      <c r="C112" s="29" t="s">
        <v>11</v>
      </c>
      <c r="D112" s="6">
        <v>3.6</v>
      </c>
      <c r="E112" s="40">
        <f>LOOKUP(D112,{0,-4,-3,-2,-1,0,1,2.4,3.8,5.2,6.6,8,9.4,10.8,12.2,13.6,15,17.2,19.4,21.5,23.6},{0,10,20,30,40,50,60,62,64,66,68,70,72,74,76,78,80,85,90,95,100})</f>
        <v>62</v>
      </c>
      <c r="F112" s="6">
        <v>235</v>
      </c>
      <c r="G112" s="40">
        <f>LOOKUP(F112,{0,170,175,180,185,190,195,199,203,207,211,215,219,223,227,231,235,243,250,255,260},{0,10,20,30,40,50,60,62,64,66,68,70,72,74,76,78,80,85,90,95,100})</f>
        <v>80</v>
      </c>
      <c r="H112" s="6">
        <v>16</v>
      </c>
      <c r="I112" s="40">
        <f>LOOKUP(H112,{0,2,3,4,5,6,7,8,9,10,11,12,13,14,15,16},{0,10,20,30,40,50,60,64,68,72,76,80,85,90,95,100})</f>
        <v>100</v>
      </c>
      <c r="J112" s="7">
        <f>H112-16</f>
        <v>0</v>
      </c>
      <c r="K112" s="40">
        <f>LOOKUP(J112,{0,1,2,3,4,5,6,7,8,9,10},{0,1,2,3,4,5,6,7,8,9,10})</f>
        <v>0</v>
      </c>
      <c r="L112" s="7">
        <f>I112+K112</f>
        <v>100</v>
      </c>
      <c r="M112" s="6">
        <v>7</v>
      </c>
      <c r="N112" s="43">
        <f>13-M112</f>
        <v>6</v>
      </c>
      <c r="O112" s="40">
        <f>LOOKUP(N112,{0,2.5,2.7,2.9,3.1,3.3,3.5,3.7,3.9,4.1,4.3,4.5,4.7,4.9,5.1,5.3,5.5,5.6,5.7,5.8,5.9},{0,10,20,30,40,50,60,62,64,66,68,70,72,74,76,78,80,85,90,95,100})</f>
        <v>100</v>
      </c>
      <c r="P112" s="6">
        <v>3.31</v>
      </c>
      <c r="Q112" s="6">
        <f>10-P112</f>
        <v>6.69</v>
      </c>
      <c r="R112" s="40">
        <f>LOOKUP(Q112,{0,3.75,3.95,4.55,4.75,4.95,5.55,5.6,5.65,5.7,5.75,5.8,5.85,5.9,5.95,6,6.45,6.53,6.6,6.65,6.7},{0,10,20,30,40,50,60,62,64,66,68,70,72,74,76,78,80,85,90,95,100})</f>
        <v>95</v>
      </c>
      <c r="S112" s="7"/>
      <c r="T112" s="7"/>
      <c r="U112" s="7">
        <f>R112+T112</f>
        <v>95</v>
      </c>
      <c r="W112" s="7">
        <f>E112*0.1+G112*0.1+I112*0.1+O112*0.2+R112*0.2</f>
        <v>63.2</v>
      </c>
      <c r="X112" s="21">
        <f>W112/0.7+K112+T112</f>
        <v>90.2857142857143</v>
      </c>
    </row>
    <row r="113" ht="15.6" hidden="1" spans="1:24">
      <c r="A113" s="6">
        <v>101</v>
      </c>
      <c r="B113" s="29" t="s">
        <v>42</v>
      </c>
      <c r="C113" s="29" t="s">
        <v>11</v>
      </c>
      <c r="D113" s="6">
        <v>11</v>
      </c>
      <c r="E113" s="40">
        <f>LOOKUP(D113,{0,-4,-3,-2,-1,0,1,2.4,3.8,5.2,6.6,8,9.4,10.8,12.2,13.6,15,17.2,19.4,21.5,23.6},{0,10,20,30,40,50,60,62,64,66,68,70,72,74,76,78,80,85,90,95,100})</f>
        <v>74</v>
      </c>
      <c r="F113" s="6">
        <v>255</v>
      </c>
      <c r="G113" s="40">
        <f>LOOKUP(F113,{0,170,175,180,185,190,195,199,203,207,211,215,219,223,227,231,235,243,250,255,260},{0,10,20,30,40,50,60,62,64,66,68,70,72,74,76,78,80,85,90,95,100})</f>
        <v>95</v>
      </c>
      <c r="H113" s="6">
        <v>14</v>
      </c>
      <c r="I113" s="40">
        <f>LOOKUP(H113,{0,2,3,4,5,6,7,8,9,10,11,12,13,14,15,16},{0,10,20,30,40,50,60,64,68,72,76,80,85,90,95,100})</f>
        <v>90</v>
      </c>
      <c r="J113" s="7"/>
      <c r="K113" s="7"/>
      <c r="L113" s="7">
        <f>I113+K113</f>
        <v>90</v>
      </c>
      <c r="M113" s="6">
        <v>7</v>
      </c>
      <c r="N113" s="43">
        <f>13-M113</f>
        <v>6</v>
      </c>
      <c r="O113" s="40">
        <f>LOOKUP(N113,{0,2.5,2.7,2.9,3.1,3.3,3.5,3.7,3.9,4.1,4.3,4.5,4.7,4.9,5.1,5.3,5.5,5.6,5.7,5.8,5.9},{0,10,20,30,40,50,60,62,64,66,68,70,72,74,76,78,80,85,90,95,100})</f>
        <v>100</v>
      </c>
      <c r="P113" s="6">
        <v>3.31</v>
      </c>
      <c r="Q113" s="6">
        <f>10-P113</f>
        <v>6.69</v>
      </c>
      <c r="R113" s="40">
        <f>LOOKUP(Q113,{0,3.75,3.95,4.55,4.75,4.95,5.55,5.6,5.65,5.7,5.75,5.8,5.85,5.9,5.95,6,6.45,6.53,6.6,6.65,6.7},{0,10,20,30,40,50,60,62,64,66,68,70,72,74,76,78,80,85,90,95,100})</f>
        <v>95</v>
      </c>
      <c r="S113" s="7"/>
      <c r="T113" s="7"/>
      <c r="U113" s="7">
        <f>R113+T113</f>
        <v>95</v>
      </c>
      <c r="W113" s="7">
        <f>E113*0.1+G113*0.1+I113*0.1+O113*0.2+R113*0.2</f>
        <v>64.9</v>
      </c>
      <c r="X113" s="21">
        <f>W113/0.7+K113+T113</f>
        <v>92.7142857142857</v>
      </c>
    </row>
    <row r="114" ht="15.6" hidden="1" spans="1:24">
      <c r="A114" s="6">
        <v>103</v>
      </c>
      <c r="B114" s="39" t="s">
        <v>117</v>
      </c>
      <c r="C114" s="29" t="s">
        <v>11</v>
      </c>
      <c r="D114" s="6">
        <v>16</v>
      </c>
      <c r="E114" s="40">
        <f>LOOKUP(D114,{0,-4,-3,-2,-1,0,1,2.4,3.8,5.2,6.6,8,9.4,10.8,12.2,13.6,15,17.2,19.4,21.5,23.6},{0,10,20,30,40,50,60,62,64,66,68,70,72,74,76,78,80,85,90,95,100})</f>
        <v>80</v>
      </c>
      <c r="F114" s="6">
        <v>236</v>
      </c>
      <c r="G114" s="40">
        <f>LOOKUP(F114,{0,170,175,180,185,190,195,199,203,207,211,215,219,223,227,231,235,243,250,255,260},{0,10,20,30,40,50,60,62,64,66,68,70,72,74,76,78,80,85,90,95,100})</f>
        <v>80</v>
      </c>
      <c r="H114" s="6">
        <v>17</v>
      </c>
      <c r="I114" s="40">
        <f>LOOKUP(H114,{0,2,3,4,5,6,7,8,9,10,11,12,13,14,15,16},{0,10,20,30,40,50,60,64,68,72,76,80,85,90,95,100})</f>
        <v>100</v>
      </c>
      <c r="J114" s="7">
        <f>H114-16</f>
        <v>1</v>
      </c>
      <c r="K114" s="40">
        <f>LOOKUP(J114,{0,1,2,3,4,5,6,7,8,9,10},{0,1,2,3,4,5,6,7,8,9,10})</f>
        <v>1</v>
      </c>
      <c r="L114" s="7">
        <f>I114+K114</f>
        <v>101</v>
      </c>
      <c r="M114" s="6">
        <v>7</v>
      </c>
      <c r="N114" s="43">
        <f>13-M114</f>
        <v>6</v>
      </c>
      <c r="O114" s="40">
        <f>LOOKUP(N114,{0,2.5,2.7,2.9,3.1,3.3,3.5,3.7,3.9,4.1,4.3,4.5,4.7,4.9,5.1,5.3,5.5,5.6,5.7,5.8,5.9},{0,10,20,30,40,50,60,62,64,66,68,70,72,74,76,78,80,85,90,95,100})</f>
        <v>100</v>
      </c>
      <c r="P114" s="6">
        <v>3.32</v>
      </c>
      <c r="Q114" s="6">
        <f>10-P114</f>
        <v>6.68</v>
      </c>
      <c r="R114" s="40">
        <f>LOOKUP(Q114,{0,3.75,3.95,4.55,4.75,4.95,5.55,5.6,5.65,5.7,5.75,5.8,5.85,5.9,5.95,6,6.45,6.53,6.6,6.65,6.7},{0,10,20,30,40,50,60,62,64,66,68,70,72,74,76,78,80,85,90,95,100})</f>
        <v>95</v>
      </c>
      <c r="S114" s="7"/>
      <c r="T114" s="7"/>
      <c r="U114" s="7">
        <f>R114+T114</f>
        <v>95</v>
      </c>
      <c r="W114" s="7">
        <f>E114*0.1+G114*0.1+I114*0.1+O114*0.2+R114*0.2</f>
        <v>65</v>
      </c>
      <c r="X114" s="21">
        <f>W114/0.7+K114+T114</f>
        <v>93.8571428571429</v>
      </c>
    </row>
    <row r="115" ht="15.6" hidden="1" spans="1:24">
      <c r="A115" s="6">
        <v>106</v>
      </c>
      <c r="B115" s="29" t="s">
        <v>262</v>
      </c>
      <c r="C115" s="29" t="s">
        <v>11</v>
      </c>
      <c r="D115" s="6">
        <v>17.7</v>
      </c>
      <c r="E115" s="40">
        <f>LOOKUP(D115,{0,-4,-3,-2,-1,0,1,2.4,3.8,5.2,6.6,8,9.4,10.8,12.2,13.6,15,17.2,19.4,21.5,23.6},{0,10,20,30,40,50,60,62,64,66,68,70,72,74,76,78,80,85,90,95,100})</f>
        <v>85</v>
      </c>
      <c r="F115" s="6">
        <v>274</v>
      </c>
      <c r="G115" s="40">
        <f>LOOKUP(F115,{0,170,175,180,185,190,195,199,203,207,211,215,219,223,227,231,235,243,250,255,260},{0,10,20,30,40,50,60,62,64,66,68,70,72,74,76,78,80,85,90,95,100})</f>
        <v>100</v>
      </c>
      <c r="H115" s="6">
        <v>5</v>
      </c>
      <c r="I115" s="40">
        <f>LOOKUP(H115,{0,2,3,4,5,6,7,8,9,10,11,12,13,14,15,16},{0,10,20,30,40,50,60,64,68,72,76,80,85,90,95,100})</f>
        <v>40</v>
      </c>
      <c r="J115" s="7"/>
      <c r="K115" s="7"/>
      <c r="L115" s="7">
        <f>I115+K115</f>
        <v>40</v>
      </c>
      <c r="M115" s="6">
        <v>7</v>
      </c>
      <c r="N115" s="43">
        <f>13-M115</f>
        <v>6</v>
      </c>
      <c r="O115" s="40">
        <f>LOOKUP(N115,{0,2.5,2.7,2.9,3.1,3.3,3.5,3.7,3.9,4.1,4.3,4.5,4.7,4.9,5.1,5.3,5.5,5.6,5.7,5.8,5.9},{0,10,20,30,40,50,60,62,64,66,68,70,72,74,76,78,80,85,90,95,100})</f>
        <v>100</v>
      </c>
      <c r="P115" s="6">
        <v>3.32</v>
      </c>
      <c r="Q115" s="6">
        <f>10-P115</f>
        <v>6.68</v>
      </c>
      <c r="R115" s="40">
        <f>LOOKUP(Q115,{0,3.75,3.95,4.55,4.75,4.95,5.55,5.6,5.65,5.7,5.75,5.8,5.85,5.9,5.95,6,6.45,6.53,6.6,6.65,6.7},{0,10,20,30,40,50,60,62,64,66,68,70,72,74,76,78,80,85,90,95,100})</f>
        <v>95</v>
      </c>
      <c r="S115" s="7"/>
      <c r="T115" s="7"/>
      <c r="U115" s="7">
        <f>R115+T115</f>
        <v>95</v>
      </c>
      <c r="W115" s="7">
        <f>E115*0.1+G115*0.1+I115*0.1+O115*0.2+R115*0.2</f>
        <v>61.5</v>
      </c>
      <c r="X115" s="21">
        <f>W115/0.7+K115+T115</f>
        <v>87.8571428571429</v>
      </c>
    </row>
    <row r="116" ht="15.6" hidden="1" spans="1:24">
      <c r="A116" s="6">
        <v>106</v>
      </c>
      <c r="B116" s="29" t="s">
        <v>260</v>
      </c>
      <c r="C116" s="29" t="s">
        <v>11</v>
      </c>
      <c r="D116" s="6">
        <v>12</v>
      </c>
      <c r="E116" s="40">
        <f>LOOKUP(D116,{0,-4,-3,-2,-1,0,1,2.4,3.8,5.2,6.6,8,9.4,10.8,12.2,13.6,15,17.2,19.4,21.5,23.6},{0,10,20,30,40,50,60,62,64,66,68,70,72,74,76,78,80,85,90,95,100})</f>
        <v>74</v>
      </c>
      <c r="F116" s="6">
        <v>230</v>
      </c>
      <c r="G116" s="40">
        <f>LOOKUP(F116,{0,170,175,180,185,190,195,199,203,207,211,215,219,223,227,231,235,243,250,255,260},{0,10,20,30,40,50,60,62,64,66,68,70,72,74,76,78,80,85,90,95,100})</f>
        <v>76</v>
      </c>
      <c r="H116" s="6">
        <v>20</v>
      </c>
      <c r="I116" s="40">
        <f>LOOKUP(H116,{0,2,3,4,5,6,7,8,9,10,11,12,13,14,15,16},{0,10,20,30,40,50,60,64,68,72,76,80,85,90,95,100})</f>
        <v>100</v>
      </c>
      <c r="J116" s="7">
        <f>H116-16</f>
        <v>4</v>
      </c>
      <c r="K116" s="40">
        <f>LOOKUP(J116,{0,1,2,3,4,5,6,7,8,9,10},{0,1,2,3,4,5,6,7,8,9,10})</f>
        <v>4</v>
      </c>
      <c r="L116" s="7">
        <f>I116+K116</f>
        <v>104</v>
      </c>
      <c r="M116" s="6">
        <v>7</v>
      </c>
      <c r="N116" s="43">
        <f>13-M116</f>
        <v>6</v>
      </c>
      <c r="O116" s="40">
        <f>LOOKUP(N116,{0,2.5,2.7,2.9,3.1,3.3,3.5,3.7,3.9,4.1,4.3,4.5,4.7,4.9,5.1,5.3,5.5,5.6,5.7,5.8,5.9},{0,10,20,30,40,50,60,62,64,66,68,70,72,74,76,78,80,85,90,95,100})</f>
        <v>100</v>
      </c>
      <c r="P116" s="6">
        <v>3.33</v>
      </c>
      <c r="Q116" s="6">
        <f>10-P116</f>
        <v>6.67</v>
      </c>
      <c r="R116" s="40">
        <f>LOOKUP(Q116,{0,3.75,3.95,4.55,4.75,4.95,5.55,5.6,5.65,5.7,5.75,5.8,5.85,5.9,5.95,6,6.45,6.53,6.6,6.65,6.7},{0,10,20,30,40,50,60,62,64,66,68,70,72,74,76,78,80,85,90,95,100})</f>
        <v>95</v>
      </c>
      <c r="S116" s="7"/>
      <c r="T116" s="7"/>
      <c r="U116" s="7">
        <f>R116+T116</f>
        <v>95</v>
      </c>
      <c r="W116" s="7">
        <f>E116*0.1+G116*0.1+I116*0.1+O116*0.2+R116*0.2</f>
        <v>64</v>
      </c>
      <c r="X116" s="21">
        <f>W116/0.7+K116+T116</f>
        <v>95.4285714285714</v>
      </c>
    </row>
    <row r="117" ht="15.6" hidden="1" spans="1:24">
      <c r="A117" s="6">
        <v>106</v>
      </c>
      <c r="B117" s="39" t="s">
        <v>244</v>
      </c>
      <c r="C117" s="29" t="s">
        <v>11</v>
      </c>
      <c r="D117" s="6">
        <v>5.5</v>
      </c>
      <c r="E117" s="40">
        <f>LOOKUP(D117,{0,-4,-3,-2,-1,0,1,2.4,3.8,5.2,6.6,8,9.4,10.8,12.2,13.6,15,17.2,19.4,21.5,23.6},{0,10,20,30,40,50,60,62,64,66,68,70,72,74,76,78,80,85,90,95,100})</f>
        <v>66</v>
      </c>
      <c r="F117" s="6">
        <v>220</v>
      </c>
      <c r="G117" s="40">
        <f>LOOKUP(F117,{0,170,175,180,185,190,195,199,203,207,211,215,219,223,227,231,235,243,250,255,260},{0,10,20,30,40,50,60,62,64,66,68,70,72,74,76,78,80,85,90,95,100})</f>
        <v>72</v>
      </c>
      <c r="H117" s="6">
        <v>3</v>
      </c>
      <c r="I117" s="40">
        <f>LOOKUP(H117,{0,2,3,4,5,6,7,8,9,10,11,12,13,14,15,16},{0,10,20,30,40,50,60,64,68,72,76,80,85,90,95,100})</f>
        <v>20</v>
      </c>
      <c r="J117" s="7"/>
      <c r="K117" s="7"/>
      <c r="L117" s="7">
        <f>I117+K117</f>
        <v>20</v>
      </c>
      <c r="M117" s="6">
        <v>7</v>
      </c>
      <c r="N117" s="43">
        <f>13-M117</f>
        <v>6</v>
      </c>
      <c r="O117" s="40">
        <f>LOOKUP(N117,{0,2.5,2.7,2.9,3.1,3.3,3.5,3.7,3.9,4.1,4.3,4.5,4.7,4.9,5.1,5.3,5.5,5.6,5.7,5.8,5.9},{0,10,20,30,40,50,60,62,64,66,68,70,72,74,76,78,80,85,90,95,100})</f>
        <v>100</v>
      </c>
      <c r="P117" s="6">
        <v>3.34</v>
      </c>
      <c r="Q117" s="6">
        <f>10-P117</f>
        <v>6.66</v>
      </c>
      <c r="R117" s="40">
        <f>LOOKUP(Q117,{0,3.75,3.95,4.55,4.75,4.95,5.55,5.6,5.65,5.7,5.75,5.8,5.85,5.9,5.95,6,6.45,6.53,6.6,6.65,6.7},{0,10,20,30,40,50,60,62,64,66,68,70,72,74,76,78,80,85,90,95,100})</f>
        <v>95</v>
      </c>
      <c r="S117" s="7"/>
      <c r="T117" s="7"/>
      <c r="U117" s="7">
        <f>R117+T117</f>
        <v>95</v>
      </c>
      <c r="W117" s="7">
        <f>E117*0.1+G117*0.1+I117*0.1+O117*0.2+R117*0.2</f>
        <v>54.8</v>
      </c>
      <c r="X117" s="21">
        <f>W117/0.7+K117+T117</f>
        <v>78.2857142857143</v>
      </c>
    </row>
    <row r="118" s="3" customFormat="1" ht="15.6" hidden="1" spans="1:24">
      <c r="A118" s="6">
        <v>102</v>
      </c>
      <c r="B118" s="29" t="s">
        <v>85</v>
      </c>
      <c r="C118" s="29" t="s">
        <v>11</v>
      </c>
      <c r="D118" s="6">
        <v>17</v>
      </c>
      <c r="E118" s="40">
        <f>LOOKUP(D118,{0,-4,-3,-2,-1,0,1,2.4,3.8,5.2,6.6,8,9.4,10.8,12.2,13.6,15,17.2,19.4,21.5,23.6},{0,10,20,30,40,50,60,62,64,66,68,70,72,74,76,78,80,85,90,95,100})</f>
        <v>80</v>
      </c>
      <c r="F118" s="6">
        <v>258</v>
      </c>
      <c r="G118" s="40">
        <f>LOOKUP(F118,{0,170,175,180,185,190,195,199,203,207,211,215,219,223,227,231,235,243,250,255,260},{0,10,20,30,40,50,60,62,64,66,68,70,72,74,76,78,80,85,90,95,100})</f>
        <v>95</v>
      </c>
      <c r="H118" s="6">
        <v>7</v>
      </c>
      <c r="I118" s="40">
        <f>LOOKUP(H118,{0,2,3,4,5,6,7,8,9,10,11,12,13,14,15,16},{0,10,20,30,40,50,60,64,68,72,76,80,85,90,95,100})</f>
        <v>60</v>
      </c>
      <c r="J118" s="7"/>
      <c r="K118" s="7"/>
      <c r="L118" s="7">
        <f>I118+K118</f>
        <v>60</v>
      </c>
      <c r="M118" s="6">
        <v>7</v>
      </c>
      <c r="N118" s="43">
        <f>13-M118</f>
        <v>6</v>
      </c>
      <c r="O118" s="40">
        <f>LOOKUP(N118,{0,2.5,2.7,2.9,3.1,3.3,3.5,3.7,3.9,4.1,4.3,4.5,4.7,4.9,5.1,5.3,5.5,5.6,5.7,5.8,5.9},{0,10,20,30,40,50,60,62,64,66,68,70,72,74,76,78,80,85,90,95,100})</f>
        <v>100</v>
      </c>
      <c r="P118" s="6">
        <v>3.35</v>
      </c>
      <c r="Q118" s="6">
        <f>10-P118</f>
        <v>6.65</v>
      </c>
      <c r="R118" s="40">
        <f>LOOKUP(Q118,{0,3.75,3.95,4.55,4.75,4.95,5.55,5.6,5.65,5.7,5.75,5.8,5.85,5.9,5.95,6,6.45,6.53,6.6,6.65,6.7},{0,10,20,30,40,50,60,62,64,66,68,70,72,74,76,78,80,85,90,95,100})</f>
        <v>95</v>
      </c>
      <c r="S118" s="7"/>
      <c r="T118" s="7"/>
      <c r="U118" s="7">
        <f>R118+T118</f>
        <v>95</v>
      </c>
      <c r="V118" s="6"/>
      <c r="W118" s="7">
        <f>E118*0.1+G118*0.1+I118*0.1+O118*0.2+R118*0.2</f>
        <v>62.5</v>
      </c>
      <c r="X118" s="21">
        <f>W118/0.7+K118+T118</f>
        <v>89.2857142857143</v>
      </c>
    </row>
    <row r="119" ht="15.6" hidden="1" spans="1:24">
      <c r="A119" s="6">
        <v>101</v>
      </c>
      <c r="B119" s="29" t="s">
        <v>28</v>
      </c>
      <c r="C119" s="29" t="s">
        <v>11</v>
      </c>
      <c r="D119" s="6">
        <v>17.5</v>
      </c>
      <c r="E119" s="40">
        <f>LOOKUP(D119,{0,-4,-3,-2,-1,0,1,2.4,3.8,5.2,6.6,8,9.4,10.8,12.2,13.6,15,17.2,19.4,21.5,23.6},{0,10,20,30,40,50,60,62,64,66,68,70,72,74,76,78,80,85,90,95,100})</f>
        <v>85</v>
      </c>
      <c r="F119" s="6">
        <v>269</v>
      </c>
      <c r="G119" s="40">
        <f>LOOKUP(F119,{0,170,175,180,185,190,195,199,203,207,211,215,219,223,227,231,235,243,250,255,260},{0,10,20,30,40,50,60,62,64,66,68,70,72,74,76,78,80,85,90,95,100})</f>
        <v>100</v>
      </c>
      <c r="H119" s="6">
        <v>9</v>
      </c>
      <c r="I119" s="40">
        <f>LOOKUP(H119,{0,2,3,4,5,6,7,8,9,10,11,12,13,14,15,16},{0,10,20,30,40,50,60,64,68,72,76,80,85,90,95,100})</f>
        <v>68</v>
      </c>
      <c r="J119" s="7"/>
      <c r="K119" s="7"/>
      <c r="L119" s="7">
        <f>I119+K119</f>
        <v>68</v>
      </c>
      <c r="M119" s="6">
        <v>7</v>
      </c>
      <c r="N119" s="43">
        <f>13-M119</f>
        <v>6</v>
      </c>
      <c r="O119" s="40">
        <f>LOOKUP(N119,{0,2.5,2.7,2.9,3.1,3.3,3.5,3.7,3.9,4.1,4.3,4.5,4.7,4.9,5.1,5.3,5.5,5.6,5.7,5.8,5.9},{0,10,20,30,40,50,60,62,64,66,68,70,72,74,76,78,80,85,90,95,100})</f>
        <v>100</v>
      </c>
      <c r="P119" s="6">
        <v>3.36</v>
      </c>
      <c r="Q119" s="6">
        <f>10-P119</f>
        <v>6.64</v>
      </c>
      <c r="R119" s="40">
        <f>LOOKUP(Q119,{0,3.75,3.95,4.55,4.75,4.95,5.55,5.6,5.65,5.7,5.75,5.8,5.85,5.9,5.95,6,6.45,6.53,6.6,6.65,6.7},{0,10,20,30,40,50,60,62,64,66,68,70,72,74,76,78,80,85,90,95,100})</f>
        <v>90</v>
      </c>
      <c r="S119" s="7"/>
      <c r="T119" s="7"/>
      <c r="U119" s="7">
        <f>R119+T119</f>
        <v>90</v>
      </c>
      <c r="W119" s="7">
        <f>E119*0.1+G119*0.1+I119*0.1+O119*0.2+R119*0.2</f>
        <v>63.3</v>
      </c>
      <c r="X119" s="21">
        <f>W119/0.7+K119+T119</f>
        <v>90.4285714285714</v>
      </c>
    </row>
    <row r="120" ht="15.6" hidden="1" spans="1:24">
      <c r="A120" s="6">
        <v>103</v>
      </c>
      <c r="B120" s="39" t="s">
        <v>128</v>
      </c>
      <c r="C120" s="29" t="s">
        <v>11</v>
      </c>
      <c r="D120" s="6">
        <v>24</v>
      </c>
      <c r="E120" s="40">
        <f>LOOKUP(D120,{0,-4,-3,-2,-1,0,1,2.4,3.8,5.2,6.6,8,9.4,10.8,12.2,13.6,15,17.2,19.4,21.5,23.6},{0,10,20,30,40,50,60,62,64,66,68,70,72,74,76,78,80,85,90,95,100})</f>
        <v>100</v>
      </c>
      <c r="F120" s="6">
        <v>263</v>
      </c>
      <c r="G120" s="40">
        <f>LOOKUP(F120,{0,170,175,180,185,190,195,199,203,207,211,215,219,223,227,231,235,243,250,255,260},{0,10,20,30,40,50,60,62,64,66,68,70,72,74,76,78,80,85,90,95,100})</f>
        <v>100</v>
      </c>
      <c r="H120" s="6">
        <v>24</v>
      </c>
      <c r="I120" s="40">
        <f>LOOKUP(H120,{0,2,3,4,5,6,7,8,9,10,11,12,13,14,15,16},{0,10,20,30,40,50,60,64,68,72,76,80,85,90,95,100})</f>
        <v>100</v>
      </c>
      <c r="J120" s="7">
        <f>H120-16</f>
        <v>8</v>
      </c>
      <c r="K120" s="40">
        <f>LOOKUP(J120,{0,1,2,3,4,5,6,7,8,9,10},{0,1,2,3,4,5,6,7,8,9,10})</f>
        <v>8</v>
      </c>
      <c r="L120" s="7">
        <f>I120+K120</f>
        <v>108</v>
      </c>
      <c r="M120" s="6">
        <v>7</v>
      </c>
      <c r="N120" s="43">
        <f>13-M120</f>
        <v>6</v>
      </c>
      <c r="O120" s="40">
        <f>LOOKUP(N120,{0,2.5,2.7,2.9,3.1,3.3,3.5,3.7,3.9,4.1,4.3,4.5,4.7,4.9,5.1,5.3,5.5,5.6,5.7,5.8,5.9},{0,10,20,30,40,50,60,62,64,66,68,70,72,74,76,78,80,85,90,95,100})</f>
        <v>100</v>
      </c>
      <c r="P120" s="6">
        <v>3.37</v>
      </c>
      <c r="Q120" s="6">
        <f>10-P120</f>
        <v>6.63</v>
      </c>
      <c r="R120" s="40">
        <f>LOOKUP(Q120,{0,3.75,3.95,4.55,4.75,4.95,5.55,5.6,5.65,5.7,5.75,5.8,5.85,5.9,5.95,6,6.45,6.53,6.6,6.65,6.7},{0,10,20,30,40,50,60,62,64,66,68,70,72,74,76,78,80,85,90,95,100})</f>
        <v>90</v>
      </c>
      <c r="S120" s="7"/>
      <c r="T120" s="7"/>
      <c r="U120" s="7">
        <f>R120+T120</f>
        <v>90</v>
      </c>
      <c r="W120" s="7">
        <f>E120*0.1+G120*0.1+I120*0.1+O120*0.2+R120*0.2</f>
        <v>68</v>
      </c>
      <c r="X120" s="21">
        <f>W120/0.7+K120+T120</f>
        <v>105.142857142857</v>
      </c>
    </row>
    <row r="121" ht="15.6" hidden="1" spans="1:24">
      <c r="A121" s="6">
        <v>106</v>
      </c>
      <c r="B121" s="29" t="s">
        <v>245</v>
      </c>
      <c r="C121" s="29" t="s">
        <v>11</v>
      </c>
      <c r="D121" s="6">
        <v>9.2</v>
      </c>
      <c r="E121" s="40">
        <f>LOOKUP(D121,{0,-4,-3,-2,-1,0,1,2.4,3.8,5.2,6.6,8,9.4,10.8,12.2,13.6,15,17.2,19.4,21.5,23.6},{0,10,20,30,40,50,60,62,64,66,68,70,72,74,76,78,80,85,90,95,100})</f>
        <v>70</v>
      </c>
      <c r="F121" s="6">
        <v>220</v>
      </c>
      <c r="G121" s="40">
        <f>LOOKUP(F121,{0,170,175,180,185,190,195,199,203,207,211,215,219,223,227,231,235,243,250,255,260},{0,10,20,30,40,50,60,62,64,66,68,70,72,74,76,78,80,85,90,95,100})</f>
        <v>72</v>
      </c>
      <c r="H121" s="6">
        <v>17</v>
      </c>
      <c r="I121" s="40">
        <f>LOOKUP(H121,{0,2,3,4,5,6,7,8,9,10,11,12,13,14,15,16},{0,10,20,30,40,50,60,64,68,72,76,80,85,90,95,100})</f>
        <v>100</v>
      </c>
      <c r="J121" s="7">
        <f>H121-16</f>
        <v>1</v>
      </c>
      <c r="K121" s="40">
        <f>LOOKUP(J121,{0,1,2,3,4,5,6,7,8,9,10},{0,1,2,3,4,5,6,7,8,9,10})</f>
        <v>1</v>
      </c>
      <c r="L121" s="7">
        <f>I121+K121</f>
        <v>101</v>
      </c>
      <c r="M121" s="6">
        <v>7</v>
      </c>
      <c r="N121" s="43">
        <f>13-M121</f>
        <v>6</v>
      </c>
      <c r="O121" s="40">
        <f>LOOKUP(N121,{0,2.5,2.7,2.9,3.1,3.3,3.5,3.7,3.9,4.1,4.3,4.5,4.7,4.9,5.1,5.3,5.5,5.6,5.7,5.8,5.9},{0,10,20,30,40,50,60,62,64,66,68,70,72,74,76,78,80,85,90,95,100})</f>
        <v>100</v>
      </c>
      <c r="P121" s="6">
        <v>3.37</v>
      </c>
      <c r="Q121" s="6">
        <f>10-P121</f>
        <v>6.63</v>
      </c>
      <c r="R121" s="40">
        <f>LOOKUP(Q121,{0,3.75,3.95,4.55,4.75,4.95,5.55,5.6,5.65,5.7,5.75,5.8,5.85,5.9,5.95,6,6.45,6.53,6.6,6.65,6.7},{0,10,20,30,40,50,60,62,64,66,68,70,72,74,76,78,80,85,90,95,100})</f>
        <v>90</v>
      </c>
      <c r="S121" s="7"/>
      <c r="T121" s="7"/>
      <c r="U121" s="7">
        <f>R121+T121</f>
        <v>90</v>
      </c>
      <c r="W121" s="7">
        <f>E121*0.1+G121*0.1+I121*0.1+O121*0.2+R121*0.2</f>
        <v>62.2</v>
      </c>
      <c r="X121" s="21">
        <f>W121/0.7+K121+T121</f>
        <v>89.8571428571429</v>
      </c>
    </row>
    <row r="122" ht="15.6" spans="1:24">
      <c r="A122" s="6">
        <v>111</v>
      </c>
      <c r="B122" s="29" t="s">
        <v>566</v>
      </c>
      <c r="C122" s="29" t="s">
        <v>46</v>
      </c>
      <c r="D122" s="6">
        <v>20.5</v>
      </c>
      <c r="E122" s="40">
        <f>LOOKUP(D122,{0,0.4,1.2,2,2.8,3.6,4.4,5.7,7,8.3,9.6,10.9,12.2,13.5,14.8,16.1,17.4,19.1,20.8,22.5,24.2},{0,10,20,30,40,50,60,62,64,66,68,70,72,74,76,78,80,85,90,95,100})</f>
        <v>85</v>
      </c>
      <c r="F122" s="6">
        <v>193</v>
      </c>
      <c r="G122" s="40">
        <f>LOOKUP(F122,{0,123,128,133,138,143,148,151,154,157,160,163,166,169,172,175,178,185,192,198,204},{0,10,20,30,40,50,60,62,64,66,68,70,72,74,76,78,80,85,90,95,100})</f>
        <v>90</v>
      </c>
      <c r="H122" s="6">
        <v>54</v>
      </c>
      <c r="I122" s="40">
        <f>LOOKUP(H122,{0,13,15,17,19,21,23,25,27,29,31,33,35,37,39,41,43,46,49,51,53},{0,10,20,30,40,50,60,62,64,66,68,70,72,74,76,78,80,85,90,95,100})</f>
        <v>100</v>
      </c>
      <c r="J122" s="45">
        <f>H122-53</f>
        <v>1</v>
      </c>
      <c r="K122" s="40">
        <f>LOOKUP(J122,{0,2,4,6,7,8,9,10,11,12,13},{0,1,2,3,4,5,6,7,8,9,10})</f>
        <v>0</v>
      </c>
      <c r="L122" s="7">
        <f>I122+K122</f>
        <v>100</v>
      </c>
      <c r="M122" s="6">
        <v>8.2</v>
      </c>
      <c r="N122" s="43">
        <f>13-M122</f>
        <v>4.8</v>
      </c>
      <c r="O122" s="40">
        <f>LOOKUP(N122,{0,1.4,1.6,1.8,2,2.2,2.4,2.6,2.8,3,3.2,3.4,3.6,3.8,4,4.2,4.4,4.7,5,5.1,5.2},{0,10,20,30,40,50,60,62,64,66,68,70,72,74,76,78,80,85,90,95,100})</f>
        <v>85</v>
      </c>
      <c r="P122" s="6">
        <v>3.27</v>
      </c>
      <c r="Q122" s="6">
        <f>10-P122</f>
        <v>6.73</v>
      </c>
      <c r="R122" s="40">
        <f>LOOKUP(Q122,{0,4.7,4.8,4.9,5,5.5,5.6,5.65,5.7,5.75,5.8,5.85,5.9,5.95,6,6.45,6.5,6.57,6.64,6.7,6.76},{0,10,20,30,40,50,60,62,64,66,68,70,72,74,76,78,80,85,90,95,100})</f>
        <v>95</v>
      </c>
      <c r="S122" s="45"/>
      <c r="T122" s="45"/>
      <c r="U122" s="7">
        <f>R122+T122</f>
        <v>95</v>
      </c>
      <c r="W122" s="7">
        <f>E122*0.1+G122*0.1+I122*0.1+O122*0.2+R122*0.2</f>
        <v>63.5</v>
      </c>
      <c r="X122" s="21">
        <f>W122/0.7+K122+T122</f>
        <v>90.7142857142857</v>
      </c>
    </row>
    <row r="123" ht="15.6" spans="1:24">
      <c r="A123" s="6">
        <v>102</v>
      </c>
      <c r="B123" s="39" t="s">
        <v>109</v>
      </c>
      <c r="C123" s="29" t="s">
        <v>46</v>
      </c>
      <c r="D123" s="6">
        <v>22</v>
      </c>
      <c r="E123" s="40">
        <f>LOOKUP(D123,{0,0.4,1.2,2,2.8,3.6,4.4,5.7,7,8.3,9.6,10.9,12.2,13.5,14.8,16.1,17.4,19.1,20.8,22.5,24.2},{0,10,20,30,40,50,60,62,64,66,68,70,72,74,76,78,80,85,90,95,100})</f>
        <v>90</v>
      </c>
      <c r="F123" s="6">
        <v>200</v>
      </c>
      <c r="G123" s="40">
        <f>LOOKUP(F123,{0,123,128,133,138,143,148,151,154,157,160,163,166,169,172,175,178,185,192,198,204},{0,10,20,30,40,50,60,62,64,66,68,70,72,74,76,78,80,85,90,95,100})</f>
        <v>95</v>
      </c>
      <c r="H123" s="6">
        <v>44</v>
      </c>
      <c r="I123" s="40">
        <f>LOOKUP(H123,{0,13,15,17,19,21,23,25,27,29,31,33,35,37,39,41,43,46,49,51,53},{0,10,20,30,40,50,60,62,64,66,68,70,72,74,76,78,80,85,90,95,100})</f>
        <v>80</v>
      </c>
      <c r="J123" s="45"/>
      <c r="K123" s="45"/>
      <c r="L123" s="7">
        <f>I123+K123</f>
        <v>80</v>
      </c>
      <c r="M123" s="6">
        <v>7.9</v>
      </c>
      <c r="N123" s="43">
        <f>13-M123</f>
        <v>5.1</v>
      </c>
      <c r="O123" s="40">
        <f>LOOKUP(N123,{0,1.4,1.6,1.8,2,2.2,2.4,2.6,2.8,3,3.2,3.4,3.6,3.8,4,4.2,4.4,4.7,5,5.1,5.2},{0,10,20,30,40,50,60,62,64,66,68,70,72,74,76,78,80,85,90,95,100})</f>
        <v>95</v>
      </c>
      <c r="P123" s="6">
        <v>3.31</v>
      </c>
      <c r="Q123" s="6">
        <f>10-P123</f>
        <v>6.69</v>
      </c>
      <c r="R123" s="40">
        <f>LOOKUP(Q123,{0,4.7,4.8,4.9,5,5.5,5.6,5.65,5.7,5.75,5.8,5.85,5.9,5.95,6,6.45,6.5,6.57,6.64,6.7,6.76},{0,10,20,30,40,50,60,62,64,66,68,70,72,74,76,78,80,85,90,95,100})</f>
        <v>90</v>
      </c>
      <c r="S123" s="45"/>
      <c r="T123" s="45"/>
      <c r="U123" s="7">
        <f>R123+T123</f>
        <v>90</v>
      </c>
      <c r="W123" s="7">
        <f>E123*0.1+G123*0.1+I123*0.1+O123*0.2+R123*0.2</f>
        <v>63.5</v>
      </c>
      <c r="X123" s="21">
        <f>W123/0.7+K123+T123</f>
        <v>90.7142857142857</v>
      </c>
    </row>
    <row r="124" ht="15.6" spans="1:24">
      <c r="A124" s="6">
        <v>111</v>
      </c>
      <c r="B124" s="29" t="s">
        <v>562</v>
      </c>
      <c r="C124" s="29" t="s">
        <v>46</v>
      </c>
      <c r="D124" s="6">
        <v>37.5</v>
      </c>
      <c r="E124" s="40">
        <f>LOOKUP(D124,{0,0.4,1.2,2,2.8,3.6,4.4,5.7,7,8.3,9.6,10.9,12.2,13.5,14.8,16.1,17.4,19.1,20.8,22.5,24.2},{0,10,20,30,40,50,60,62,64,66,68,70,72,74,76,78,80,85,90,95,100})</f>
        <v>100</v>
      </c>
      <c r="F124" s="6">
        <v>200</v>
      </c>
      <c r="G124" s="40">
        <f>LOOKUP(F124,{0,123,128,133,138,143,148,151,154,157,160,163,166,169,172,175,178,185,192,198,204},{0,10,20,30,40,50,60,62,64,66,68,70,72,74,76,78,80,85,90,95,100})</f>
        <v>95</v>
      </c>
      <c r="H124" s="6">
        <v>49</v>
      </c>
      <c r="I124" s="40">
        <f>LOOKUP(H124,{0,13,15,17,19,21,23,25,27,29,31,33,35,37,39,41,43,46,49,51,53},{0,10,20,30,40,50,60,62,64,66,68,70,72,74,76,78,80,85,90,95,100})</f>
        <v>90</v>
      </c>
      <c r="J124" s="45"/>
      <c r="K124" s="45"/>
      <c r="L124" s="7">
        <f>I124+K124</f>
        <v>90</v>
      </c>
      <c r="M124" s="6">
        <v>8.2</v>
      </c>
      <c r="N124" s="43">
        <f>13-M124</f>
        <v>4.8</v>
      </c>
      <c r="O124" s="40">
        <f>LOOKUP(N124,{0,1.4,1.6,1.8,2,2.2,2.4,2.6,2.8,3,3.2,3.4,3.6,3.8,4,4.2,4.4,4.7,5,5.1,5.2},{0,10,20,30,40,50,60,62,64,66,68,70,72,74,76,78,80,85,90,95,100})</f>
        <v>85</v>
      </c>
      <c r="P124" s="6">
        <v>3.35</v>
      </c>
      <c r="Q124" s="6">
        <f>10-P124</f>
        <v>6.65</v>
      </c>
      <c r="R124" s="40">
        <f>LOOKUP(Q124,{0,4.7,4.8,4.9,5,5.5,5.6,5.65,5.7,5.75,5.8,5.85,5.9,5.95,6,6.45,6.5,6.57,6.64,6.7,6.76},{0,10,20,30,40,50,60,62,64,66,68,70,72,74,76,78,80,85,90,95,100})</f>
        <v>90</v>
      </c>
      <c r="S124" s="45"/>
      <c r="T124" s="45"/>
      <c r="U124" s="7">
        <f>R124+T124</f>
        <v>90</v>
      </c>
      <c r="W124" s="7">
        <f>E124*0.1+G124*0.1+I124*0.1+O124*0.2+R124*0.2</f>
        <v>63.5</v>
      </c>
      <c r="X124" s="21">
        <f>W124/0.7+K124+T124</f>
        <v>90.7142857142857</v>
      </c>
    </row>
    <row r="125" ht="15.6" spans="1:24">
      <c r="A125" s="6">
        <v>112</v>
      </c>
      <c r="B125" s="29" t="s">
        <v>605</v>
      </c>
      <c r="C125" s="29" t="s">
        <v>46</v>
      </c>
      <c r="D125" s="6">
        <v>13</v>
      </c>
      <c r="E125" s="40">
        <f>LOOKUP(D125,{0,0.4,1.2,2,2.8,3.6,4.4,5.7,7,8.3,9.6,10.9,12.2,13.5,14.8,16.1,17.4,19.1,20.8,22.5,24.2},{0,10,20,30,40,50,60,62,64,66,68,70,72,74,76,78,80,85,90,95,100})</f>
        <v>72</v>
      </c>
      <c r="F125" s="6">
        <v>175</v>
      </c>
      <c r="G125" s="40">
        <f>LOOKUP(F125,{0,123,128,133,138,143,148,151,154,157,160,163,166,169,172,175,178,185,192,198,204},{0,10,20,30,40,50,60,62,64,66,68,70,72,74,76,78,80,85,90,95,100})</f>
        <v>78</v>
      </c>
      <c r="H125" s="6">
        <v>53</v>
      </c>
      <c r="I125" s="40">
        <f>LOOKUP(H125,{0,13,15,17,19,21,23,25,27,29,31,33,35,37,39,41,43,46,49,51,53},{0,10,20,30,40,50,60,62,64,66,68,70,72,74,76,78,80,85,90,95,100})</f>
        <v>100</v>
      </c>
      <c r="J125" s="45">
        <f>H125-53</f>
        <v>0</v>
      </c>
      <c r="K125" s="40">
        <f>LOOKUP(J125,{0,2,4,6,7,8,9,10,11,12,13},{0,1,2,3,4,5,6,7,8,9,10})</f>
        <v>0</v>
      </c>
      <c r="L125" s="7">
        <f>I125+K125</f>
        <v>100</v>
      </c>
      <c r="M125" s="6">
        <v>8.2</v>
      </c>
      <c r="N125" s="43">
        <f>13-M125</f>
        <v>4.8</v>
      </c>
      <c r="O125" s="40">
        <f>LOOKUP(N125,{0,1.4,1.6,1.8,2,2.2,2.4,2.6,2.8,3,3.2,3.4,3.6,3.8,4,4.2,4.4,4.7,5,5.1,5.2},{0,10,20,30,40,50,60,62,64,66,68,70,72,74,76,78,80,85,90,95,100})</f>
        <v>85</v>
      </c>
      <c r="P125" s="6">
        <v>3.11</v>
      </c>
      <c r="Q125" s="6">
        <f>10-P125</f>
        <v>6.89</v>
      </c>
      <c r="R125" s="40">
        <f>LOOKUP(Q125,{0,4.7,4.8,4.9,5,5.5,5.6,5.65,5.7,5.75,5.8,5.85,5.9,5.95,6,6.45,6.5,6.57,6.64,6.7,6.76},{0,10,20,30,40,50,60,62,64,66,68,70,72,74,76,78,80,85,90,95,100})</f>
        <v>100</v>
      </c>
      <c r="S125" s="48">
        <f>3.24-P125</f>
        <v>0.13</v>
      </c>
      <c r="T125" s="40">
        <f>LOOKUP(S125,{0,0.05,0.1,0.15,0.2,0.25,0.3,0.35,0.4,0.45,0.5},{0,1,2,3,4,5,6,7,8,9,10})</f>
        <v>2</v>
      </c>
      <c r="U125" s="7">
        <f>R125+T125</f>
        <v>102</v>
      </c>
      <c r="W125" s="7">
        <f>E125*0.1+G125*0.1+I125*0.1+O125*0.2+R125*0.2</f>
        <v>62</v>
      </c>
      <c r="X125" s="21">
        <f>W125/0.7+K125+T125</f>
        <v>90.5714285714286</v>
      </c>
    </row>
    <row r="126" ht="15.6" spans="1:24">
      <c r="A126" s="6">
        <v>114</v>
      </c>
      <c r="B126" s="29" t="s">
        <v>706</v>
      </c>
      <c r="C126" s="29" t="s">
        <v>46</v>
      </c>
      <c r="D126" s="6">
        <v>13.4</v>
      </c>
      <c r="E126" s="40">
        <f>LOOKUP(D126,{0,0.4,1.2,2,2.8,3.6,4.4,5.7,7,8.3,9.6,10.9,12.2,13.5,14.8,16.1,17.4,19.1,20.8,22.5,24.2},{0,10,20,30,40,50,60,62,64,66,68,70,72,74,76,78,80,85,90,95,100})</f>
        <v>72</v>
      </c>
      <c r="F126" s="6">
        <v>203</v>
      </c>
      <c r="G126" s="40">
        <f>LOOKUP(F126,{0,123,128,133,138,143,148,151,154,157,160,163,166,169,172,175,178,185,192,198,204},{0,10,20,30,40,50,60,62,64,66,68,70,72,74,76,78,80,85,90,95,100})</f>
        <v>95</v>
      </c>
      <c r="H126" s="6">
        <v>56</v>
      </c>
      <c r="I126" s="40">
        <f>LOOKUP(H126,{0,13,15,17,19,21,23,25,27,29,31,33,35,37,39,41,43,46,49,51,53},{0,10,20,30,40,50,60,62,64,66,68,70,72,74,76,78,80,85,90,95,100})</f>
        <v>100</v>
      </c>
      <c r="J126" s="45">
        <f>H126-53</f>
        <v>3</v>
      </c>
      <c r="K126" s="40">
        <f>LOOKUP(J126,{0,2,4,6,7,8,9,10,11,12,13},{0,1,2,3,4,5,6,7,8,9,10})</f>
        <v>1</v>
      </c>
      <c r="L126" s="7">
        <f>I126+K126</f>
        <v>101</v>
      </c>
      <c r="M126" s="6">
        <v>8.6</v>
      </c>
      <c r="N126" s="43">
        <f>13-M126</f>
        <v>4.4</v>
      </c>
      <c r="O126" s="40">
        <f>LOOKUP(N126,{0,1.4,1.6,1.8,2,2.2,2.4,2.6,2.8,3,3.2,3.4,3.6,3.8,4,4.2,4.4,4.7,5,5.1,5.2},{0,10,20,30,40,50,60,62,64,66,68,70,72,74,76,78,80,85,90,95,100})</f>
        <v>80</v>
      </c>
      <c r="P126" s="6">
        <v>3.2</v>
      </c>
      <c r="Q126" s="6">
        <f>10-P126</f>
        <v>6.8</v>
      </c>
      <c r="R126" s="40">
        <f>LOOKUP(Q126,{0,4.7,4.8,4.9,5,5.5,5.6,5.65,5.7,5.75,5.8,5.85,5.9,5.95,6,6.45,6.5,6.57,6.64,6.7,6.76},{0,10,20,30,40,50,60,62,64,66,68,70,72,74,76,78,80,85,90,95,100})</f>
        <v>100</v>
      </c>
      <c r="S126" s="48">
        <f>3.24-P126</f>
        <v>0.04</v>
      </c>
      <c r="T126" s="40">
        <f>LOOKUP(S126,{0,0.05,0.1,0.15,0.2,0.25,0.3,0.35,0.4,0.45,0.5},{0,1,2,3,4,5,6,7,8,9,10})</f>
        <v>0</v>
      </c>
      <c r="U126" s="7">
        <f>R126+T126</f>
        <v>100</v>
      </c>
      <c r="W126" s="7">
        <f>E126*0.1+G126*0.1+I126*0.1+O126*0.2+R126*0.2</f>
        <v>62.7</v>
      </c>
      <c r="X126" s="21">
        <f>W126/0.7+K126+T126</f>
        <v>90.5714285714286</v>
      </c>
    </row>
    <row r="127" ht="15.6" spans="1:24">
      <c r="A127" s="6">
        <v>103</v>
      </c>
      <c r="B127" s="39" t="s">
        <v>158</v>
      </c>
      <c r="C127" s="29" t="s">
        <v>46</v>
      </c>
      <c r="D127" s="6">
        <v>12.5</v>
      </c>
      <c r="E127" s="40">
        <f>LOOKUP(D127,{0,0.4,1.2,2,2.8,3.6,4.4,5.7,7,8.3,9.6,10.9,12.2,13.5,14.8,16.1,17.4,19.1,20.8,22.5,24.2},{0,10,20,30,40,50,60,62,64,66,68,70,72,74,76,78,80,85,90,95,100})</f>
        <v>72</v>
      </c>
      <c r="F127" s="6">
        <v>200</v>
      </c>
      <c r="G127" s="40">
        <f>LOOKUP(F127,{0,123,128,133,138,143,148,151,154,157,160,163,166,169,172,175,178,185,192,198,204},{0,10,20,30,40,50,60,62,64,66,68,70,72,74,76,78,80,85,90,95,100})</f>
        <v>95</v>
      </c>
      <c r="H127" s="6">
        <v>55</v>
      </c>
      <c r="I127" s="40">
        <f>LOOKUP(H127,{0,13,15,17,19,21,23,25,27,29,31,33,35,37,39,41,43,46,49,51,53},{0,10,20,30,40,50,60,62,64,66,68,70,72,74,76,78,80,85,90,95,100})</f>
        <v>100</v>
      </c>
      <c r="J127" s="45">
        <f>H127-53</f>
        <v>2</v>
      </c>
      <c r="K127" s="40">
        <f>LOOKUP(J127,{0,2,4,6,7,8,9,10,11,12,13},{0,1,2,3,4,5,6,7,8,9,10})</f>
        <v>1</v>
      </c>
      <c r="L127" s="7">
        <f>I127+K127</f>
        <v>101</v>
      </c>
      <c r="M127" s="6">
        <v>8.3</v>
      </c>
      <c r="N127" s="43">
        <f>13-M127</f>
        <v>4.7</v>
      </c>
      <c r="O127" s="40">
        <f>LOOKUP(N127,{0,1.4,1.6,1.8,2,2.2,2.4,2.6,2.8,3,3.2,3.4,3.6,3.8,4,4.2,4.4,4.7,5,5.1,5.2},{0,10,20,30,40,50,60,62,64,66,68,70,72,74,76,78,80,85,90,95,100})</f>
        <v>85</v>
      </c>
      <c r="P127" s="6">
        <v>3.27</v>
      </c>
      <c r="Q127" s="6">
        <f>10-P127</f>
        <v>6.73</v>
      </c>
      <c r="R127" s="40">
        <f>LOOKUP(Q127,{0,4.7,4.8,4.9,5,5.5,5.6,5.65,5.7,5.75,5.8,5.85,5.9,5.95,6,6.45,6.5,6.57,6.64,6.7,6.76},{0,10,20,30,40,50,60,62,64,66,68,70,72,74,76,78,80,85,90,95,100})</f>
        <v>95</v>
      </c>
      <c r="S127" s="45"/>
      <c r="T127" s="45"/>
      <c r="U127" s="7">
        <f>R127+T127</f>
        <v>95</v>
      </c>
      <c r="W127" s="7">
        <f>E127*0.1+G127*0.1+I127*0.1+O127*0.2+R127*0.2</f>
        <v>62.7</v>
      </c>
      <c r="X127" s="21">
        <f>W127/0.7+K127+T127</f>
        <v>90.5714285714286</v>
      </c>
    </row>
    <row r="128" ht="15.6" spans="1:24">
      <c r="A128" s="6">
        <v>110</v>
      </c>
      <c r="B128" s="39" t="s">
        <v>504</v>
      </c>
      <c r="C128" s="29" t="s">
        <v>46</v>
      </c>
      <c r="D128" s="6">
        <v>30</v>
      </c>
      <c r="E128" s="40">
        <f>LOOKUP(D128,{0,0.4,1.2,2,2.8,3.6,4.4,5.7,7,8.3,9.6,10.9,12.2,13.5,14.8,16.1,17.4,19.1,20.8,22.5,24.2},{0,10,20,30,40,50,60,62,64,66,68,70,72,74,76,78,80,85,90,95,100})</f>
        <v>100</v>
      </c>
      <c r="F128" s="6">
        <v>208</v>
      </c>
      <c r="G128" s="40">
        <f>LOOKUP(F128,{0,123,128,133,138,143,148,151,154,157,160,163,166,169,172,175,178,185,192,198,204},{0,10,20,30,40,50,60,62,64,66,68,70,72,74,76,78,80,85,90,95,100})</f>
        <v>100</v>
      </c>
      <c r="H128" s="6">
        <v>38</v>
      </c>
      <c r="I128" s="40">
        <f>LOOKUP(H128,{0,13,15,17,19,21,23,25,27,29,31,33,35,37,39,41,43,46,49,51,53},{0,10,20,30,40,50,60,62,64,66,68,70,72,74,76,78,80,85,90,95,100})</f>
        <v>74</v>
      </c>
      <c r="J128" s="45"/>
      <c r="K128" s="45"/>
      <c r="L128" s="7">
        <f>I128+K128</f>
        <v>74</v>
      </c>
      <c r="M128" s="6">
        <v>9</v>
      </c>
      <c r="N128" s="43">
        <f>13-M128</f>
        <v>4</v>
      </c>
      <c r="O128" s="40">
        <f>LOOKUP(N128,{0,1.4,1.6,1.8,2,2.2,2.4,2.6,2.8,3,3.2,3.4,3.6,3.8,4,4.2,4.4,4.7,5,5.1,5.2},{0,10,20,30,40,50,60,62,64,66,68,70,72,74,76,78,80,85,90,95,100})</f>
        <v>76</v>
      </c>
      <c r="P128" s="6">
        <v>3.19</v>
      </c>
      <c r="Q128" s="6">
        <f>10-P128</f>
        <v>6.81</v>
      </c>
      <c r="R128" s="40">
        <f>LOOKUP(Q128,{0,4.7,4.8,4.9,5,5.5,5.6,5.65,5.7,5.75,5.8,5.85,5.9,5.95,6,6.45,6.5,6.57,6.64,6.7,6.76},{0,10,20,30,40,50,60,62,64,66,68,70,72,74,76,78,80,85,90,95,100})</f>
        <v>100</v>
      </c>
      <c r="S128" s="48">
        <f>3.24-P128</f>
        <v>0.0500000000000003</v>
      </c>
      <c r="T128" s="40">
        <f>LOOKUP(S128,{0,0.05,0.1,0.15,0.2,0.25,0.3,0.35,0.4,0.45,0.5},{0,1,2,3,4,5,6,7,8,9,10})</f>
        <v>1</v>
      </c>
      <c r="U128" s="7">
        <f>R128+T128</f>
        <v>101</v>
      </c>
      <c r="W128" s="7">
        <f>E128*0.1+G128*0.1+I128*0.1+O128*0.2+R128*0.2</f>
        <v>62.6</v>
      </c>
      <c r="X128" s="21">
        <f>W128/0.7+K128+T128</f>
        <v>90.4285714285714</v>
      </c>
    </row>
    <row r="129" ht="15.6" spans="1:24">
      <c r="A129" s="6">
        <v>114</v>
      </c>
      <c r="B129" s="29" t="s">
        <v>721</v>
      </c>
      <c r="C129" s="29" t="s">
        <v>46</v>
      </c>
      <c r="D129" s="6">
        <v>24.8</v>
      </c>
      <c r="E129" s="40">
        <f>LOOKUP(D129,{0,0.4,1.2,2,2.8,3.6,4.4,5.7,7,8.3,9.6,10.9,12.2,13.5,14.8,16.1,17.4,19.1,20.8,22.5,24.2},{0,10,20,30,40,50,60,62,64,66,68,70,72,74,76,78,80,85,90,95,100})</f>
        <v>100</v>
      </c>
      <c r="F129" s="6">
        <v>188</v>
      </c>
      <c r="G129" s="40">
        <f>LOOKUP(F129,{0,123,128,133,138,143,148,151,154,157,160,163,166,169,172,175,178,185,192,198,204},{0,10,20,30,40,50,60,62,64,66,68,70,72,74,76,78,80,85,90,95,100})</f>
        <v>85</v>
      </c>
      <c r="H129" s="6">
        <v>41</v>
      </c>
      <c r="I129" s="40">
        <f>LOOKUP(H129,{0,13,15,17,19,21,23,25,27,29,31,33,35,37,39,41,43,46,49,51,53},{0,10,20,30,40,50,60,62,64,66,68,70,72,74,76,78,80,85,90,95,100})</f>
        <v>78</v>
      </c>
      <c r="J129" s="45"/>
      <c r="K129" s="45"/>
      <c r="L129" s="7">
        <f>I129+K129</f>
        <v>78</v>
      </c>
      <c r="M129" s="6">
        <v>8.3</v>
      </c>
      <c r="N129" s="43">
        <f>13-M129</f>
        <v>4.7</v>
      </c>
      <c r="O129" s="40">
        <f>LOOKUP(N129,{0,1.4,1.6,1.8,2,2.2,2.4,2.6,2.8,3,3.2,3.4,3.6,3.8,4,4.2,4.4,4.7,5,5.1,5.2},{0,10,20,30,40,50,60,62,64,66,68,70,72,74,76,78,80,85,90,95,100})</f>
        <v>85</v>
      </c>
      <c r="P129" s="6">
        <v>3.21</v>
      </c>
      <c r="Q129" s="6">
        <f>10-P129</f>
        <v>6.79</v>
      </c>
      <c r="R129" s="40">
        <f>LOOKUP(Q129,{0,4.7,4.8,4.9,5,5.5,5.6,5.65,5.7,5.75,5.8,5.85,5.9,5.95,6,6.45,6.5,6.57,6.64,6.7,6.76},{0,10,20,30,40,50,60,62,64,66,68,70,72,74,76,78,80,85,90,95,100})</f>
        <v>100</v>
      </c>
      <c r="S129" s="48">
        <f>3.24-P129</f>
        <v>0.0300000000000002</v>
      </c>
      <c r="T129" s="40">
        <f>LOOKUP(S129,{0,0.05,0.1,0.15,0.2,0.25,0.3,0.35,0.4,0.45,0.5},{0,1,2,3,4,5,6,7,8,9,10})</f>
        <v>0</v>
      </c>
      <c r="U129" s="7">
        <f>R129+T129</f>
        <v>100</v>
      </c>
      <c r="W129" s="7">
        <f>E129*0.1+G129*0.1+I129*0.1+O129*0.2+R129*0.2</f>
        <v>63.3</v>
      </c>
      <c r="X129" s="21">
        <f>W129/0.7+K129+T129</f>
        <v>90.4285714285714</v>
      </c>
    </row>
    <row r="130" s="3" customFormat="1" ht="15.6" spans="1:24">
      <c r="A130" s="6">
        <v>101</v>
      </c>
      <c r="B130" s="29" t="s">
        <v>59</v>
      </c>
      <c r="C130" s="29" t="s">
        <v>46</v>
      </c>
      <c r="D130" s="6">
        <v>17</v>
      </c>
      <c r="E130" s="40">
        <f>LOOKUP(D130,{0,0.4,1.2,2,2.8,3.6,4.4,5.7,7,8.3,9.6,10.9,12.2,13.5,14.8,16.1,17.4,19.1,20.8,22.5,24.2},{0,10,20,30,40,50,60,62,64,66,68,70,72,74,76,78,80,85,90,95,100})</f>
        <v>78</v>
      </c>
      <c r="F130" s="6">
        <v>200</v>
      </c>
      <c r="G130" s="40">
        <f>LOOKUP(F130,{0,123,128,133,138,143,148,151,154,157,160,163,166,169,172,175,178,185,192,198,204},{0,10,20,30,40,50,60,62,64,66,68,70,72,74,76,78,80,85,90,95,100})</f>
        <v>95</v>
      </c>
      <c r="H130" s="6">
        <v>50</v>
      </c>
      <c r="I130" s="40">
        <f>LOOKUP(H130,{0,13,15,17,19,21,23,25,27,29,31,33,35,37,39,41,43,46,49,51,53},{0,10,20,30,40,50,60,62,64,66,68,70,72,74,76,78,80,85,90,95,100})</f>
        <v>90</v>
      </c>
      <c r="J130" s="45"/>
      <c r="K130" s="45"/>
      <c r="L130" s="7">
        <f>I130+K130</f>
        <v>90</v>
      </c>
      <c r="M130" s="6">
        <v>8.5</v>
      </c>
      <c r="N130" s="43">
        <f>13-M130</f>
        <v>4.5</v>
      </c>
      <c r="O130" s="40">
        <f>LOOKUP(N130,{0,1.4,1.6,1.8,2,2.2,2.4,2.6,2.8,3,3.2,3.4,3.6,3.8,4,4.2,4.4,4.7,5,5.1,5.2},{0,10,20,30,40,50,60,62,64,66,68,70,72,74,76,78,80,85,90,95,100})</f>
        <v>80</v>
      </c>
      <c r="P130" s="6">
        <v>3.19</v>
      </c>
      <c r="Q130" s="6">
        <f>10-P130</f>
        <v>6.81</v>
      </c>
      <c r="R130" s="40">
        <f>LOOKUP(Q130,{0,4.7,4.8,4.9,5,5.5,5.6,5.65,5.7,5.75,5.8,5.85,5.9,5.95,6,6.45,6.5,6.57,6.64,6.7,6.76},{0,10,20,30,40,50,60,62,64,66,68,70,72,74,76,78,80,85,90,95,100})</f>
        <v>100</v>
      </c>
      <c r="S130" s="48">
        <f>3.24-P130</f>
        <v>0.0500000000000003</v>
      </c>
      <c r="T130" s="40">
        <f>LOOKUP(S130,{0,0.05,0.1,0.15,0.2,0.25,0.3,0.35,0.4,0.45,0.5},{0,1,2,3,4,5,6,7,8,9,10})</f>
        <v>1</v>
      </c>
      <c r="U130" s="7">
        <f>R130+T130</f>
        <v>101</v>
      </c>
      <c r="V130" s="6"/>
      <c r="W130" s="7">
        <f>E130*0.1+G130*0.1+I130*0.1+O130*0.2+R130*0.2</f>
        <v>62.3</v>
      </c>
      <c r="X130" s="21">
        <f>W130/0.7+K130+T130</f>
        <v>90</v>
      </c>
    </row>
    <row r="131" ht="15.6" spans="1:24">
      <c r="A131" s="6">
        <v>101</v>
      </c>
      <c r="B131" s="29" t="s">
        <v>60</v>
      </c>
      <c r="C131" s="29" t="s">
        <v>46</v>
      </c>
      <c r="D131" s="6">
        <v>27.1</v>
      </c>
      <c r="E131" s="40">
        <f>LOOKUP(D131,{0,0.4,1.2,2,2.8,3.6,4.4,5.7,7,8.3,9.6,10.9,12.2,13.5,14.8,16.1,17.4,19.1,20.8,22.5,24.2},{0,10,20,30,40,50,60,62,64,66,68,70,72,74,76,78,80,85,90,95,100})</f>
        <v>100</v>
      </c>
      <c r="F131" s="6">
        <v>184</v>
      </c>
      <c r="G131" s="40">
        <f>LOOKUP(F131,{0,123,128,133,138,143,148,151,154,157,160,163,166,169,172,175,178,185,192,198,204},{0,10,20,30,40,50,60,62,64,66,68,70,72,74,76,78,80,85,90,95,100})</f>
        <v>80</v>
      </c>
      <c r="H131" s="6">
        <v>43</v>
      </c>
      <c r="I131" s="40">
        <f>LOOKUP(H131,{0,13,15,17,19,21,23,25,27,29,31,33,35,37,39,41,43,46,49,51,53},{0,10,20,30,40,50,60,62,64,66,68,70,72,74,76,78,80,85,90,95,100})</f>
        <v>80</v>
      </c>
      <c r="J131" s="45"/>
      <c r="K131" s="45"/>
      <c r="L131" s="7">
        <f>I131+K131</f>
        <v>80</v>
      </c>
      <c r="M131" s="6">
        <v>8.2</v>
      </c>
      <c r="N131" s="43">
        <f>13-M131</f>
        <v>4.8</v>
      </c>
      <c r="O131" s="40">
        <f>LOOKUP(N131,{0,1.4,1.6,1.8,2,2.2,2.4,2.6,2.8,3,3.2,3.4,3.6,3.8,4,4.2,4.4,4.7,5,5.1,5.2},{0,10,20,30,40,50,60,62,64,66,68,70,72,74,76,78,80,85,90,95,100})</f>
        <v>85</v>
      </c>
      <c r="P131" s="6">
        <v>3.2</v>
      </c>
      <c r="Q131" s="6">
        <f>10-P131</f>
        <v>6.8</v>
      </c>
      <c r="R131" s="40">
        <f>LOOKUP(Q131,{0,4.7,4.8,4.9,5,5.5,5.6,5.65,5.7,5.75,5.8,5.85,5.9,5.95,6,6.45,6.5,6.57,6.64,6.7,6.76},{0,10,20,30,40,50,60,62,64,66,68,70,72,74,76,78,80,85,90,95,100})</f>
        <v>100</v>
      </c>
      <c r="S131" s="48">
        <f>3.24-P131</f>
        <v>0.04</v>
      </c>
      <c r="T131" s="40">
        <f>LOOKUP(S131,{0,0.05,0.1,0.15,0.2,0.25,0.3,0.35,0.4,0.45,0.5},{0,1,2,3,4,5,6,7,8,9,10})</f>
        <v>0</v>
      </c>
      <c r="U131" s="7">
        <f>R131+T131</f>
        <v>100</v>
      </c>
      <c r="W131" s="7">
        <f>E131*0.1+G131*0.1+I131*0.1+O131*0.2+R131*0.2</f>
        <v>63</v>
      </c>
      <c r="X131" s="21">
        <f>W131/0.7+K131+T131</f>
        <v>90</v>
      </c>
    </row>
    <row r="132" ht="15.6" spans="1:24">
      <c r="A132" s="6">
        <v>101</v>
      </c>
      <c r="B132" s="29" t="s">
        <v>61</v>
      </c>
      <c r="C132" s="29" t="s">
        <v>46</v>
      </c>
      <c r="D132" s="6">
        <v>18.9</v>
      </c>
      <c r="E132" s="40">
        <f>LOOKUP(D132,{0,0.4,1.2,2,2.8,3.6,4.4,5.7,7,8.3,9.6,10.9,12.2,13.5,14.8,16.1,17.4,19.1,20.8,22.5,24.2},{0,10,20,30,40,50,60,62,64,66,68,70,72,74,76,78,80,85,90,95,100})</f>
        <v>80</v>
      </c>
      <c r="F132" s="6">
        <v>178</v>
      </c>
      <c r="G132" s="40">
        <f>LOOKUP(F132,{0,123,128,133,138,143,148,151,154,157,160,163,166,169,172,175,178,185,192,198,204},{0,10,20,30,40,50,60,62,64,66,68,70,72,74,76,78,80,85,90,95,100})</f>
        <v>80</v>
      </c>
      <c r="H132" s="6">
        <v>54</v>
      </c>
      <c r="I132" s="40">
        <f>LOOKUP(H132,{0,13,15,17,19,21,23,25,27,29,31,33,35,37,39,41,43,46,49,51,53},{0,10,20,30,40,50,60,62,64,66,68,70,72,74,76,78,80,85,90,95,100})</f>
        <v>100</v>
      </c>
      <c r="J132" s="45">
        <f>H132-53</f>
        <v>1</v>
      </c>
      <c r="K132" s="40">
        <f>LOOKUP(J132,{0,2,4,6,7,8,9,10,11,12,13},{0,1,2,3,4,5,6,7,8,9,10})</f>
        <v>0</v>
      </c>
      <c r="L132" s="7">
        <f>I132+K132</f>
        <v>100</v>
      </c>
      <c r="M132" s="6">
        <v>8.6</v>
      </c>
      <c r="N132" s="43">
        <f>13-M132</f>
        <v>4.4</v>
      </c>
      <c r="O132" s="40">
        <f>LOOKUP(N132,{0,1.4,1.6,1.8,2,2.2,2.4,2.6,2.8,3,3.2,3.4,3.6,3.8,4,4.2,4.4,4.7,5,5.1,5.2},{0,10,20,30,40,50,60,62,64,66,68,70,72,74,76,78,80,85,90,95,100})</f>
        <v>80</v>
      </c>
      <c r="P132" s="6">
        <v>3.19</v>
      </c>
      <c r="Q132" s="6">
        <f>10-P132</f>
        <v>6.81</v>
      </c>
      <c r="R132" s="40">
        <f>LOOKUP(Q132,{0,4.7,4.8,4.9,5,5.5,5.6,5.65,5.7,5.75,5.8,5.85,5.9,5.95,6,6.45,6.5,6.57,6.64,6.7,6.76},{0,10,20,30,40,50,60,62,64,66,68,70,72,74,76,78,80,85,90,95,100})</f>
        <v>100</v>
      </c>
      <c r="S132" s="48">
        <f>3.24-P132</f>
        <v>0.0500000000000003</v>
      </c>
      <c r="T132" s="40">
        <f>LOOKUP(S132,{0,0.05,0.1,0.15,0.2,0.25,0.3,0.35,0.4,0.45,0.5},{0,1,2,3,4,5,6,7,8,9,10})</f>
        <v>1</v>
      </c>
      <c r="U132" s="7">
        <f>R132+T132</f>
        <v>101</v>
      </c>
      <c r="W132" s="7">
        <f>E132*0.1+G132*0.1+I132*0.1+O132*0.2+R132*0.2</f>
        <v>62</v>
      </c>
      <c r="X132" s="21">
        <f>W132/0.7+K132+T132</f>
        <v>89.5714285714286</v>
      </c>
    </row>
    <row r="133" ht="15.6" spans="1:24">
      <c r="A133" s="6">
        <v>101</v>
      </c>
      <c r="B133" s="29" t="s">
        <v>51</v>
      </c>
      <c r="C133" s="29" t="s">
        <v>46</v>
      </c>
      <c r="D133" s="6">
        <v>17.6</v>
      </c>
      <c r="E133" s="40">
        <f>LOOKUP(D133,{0,0.4,1.2,2,2.8,3.6,4.4,5.7,7,8.3,9.6,10.9,12.2,13.5,14.8,16.1,17.4,19.1,20.8,22.5,24.2},{0,10,20,30,40,50,60,62,64,66,68,70,72,74,76,78,80,85,90,95,100})</f>
        <v>80</v>
      </c>
      <c r="F133" s="6">
        <v>212</v>
      </c>
      <c r="G133" s="40">
        <f>LOOKUP(F133,{0,123,128,133,138,143,148,151,154,157,160,163,166,169,172,175,178,185,192,198,204},{0,10,20,30,40,50,60,62,64,66,68,70,72,74,76,78,80,85,90,95,100})</f>
        <v>100</v>
      </c>
      <c r="H133" s="6">
        <v>55</v>
      </c>
      <c r="I133" s="40">
        <f>LOOKUP(H133,{0,13,15,17,19,21,23,25,27,29,31,33,35,37,39,41,43,46,49,51,53},{0,10,20,30,40,50,60,62,64,66,68,70,72,74,76,78,80,85,90,95,100})</f>
        <v>100</v>
      </c>
      <c r="J133" s="45">
        <f>H133-53</f>
        <v>2</v>
      </c>
      <c r="K133" s="40">
        <f>LOOKUP(J133,{0,2,4,6,7,8,9,10,11,12,13},{0,1,2,3,4,5,6,7,8,9,10})</f>
        <v>1</v>
      </c>
      <c r="L133" s="7">
        <f>I133+K133</f>
        <v>101</v>
      </c>
      <c r="M133" s="6">
        <v>8.18</v>
      </c>
      <c r="N133" s="43">
        <f>13-M133</f>
        <v>4.82</v>
      </c>
      <c r="O133" s="40">
        <f>LOOKUP(N133,{0,1.4,1.6,1.8,2,2.2,2.4,2.6,2.8,3,3.2,3.4,3.6,3.8,4,4.2,4.4,4.7,5,5.1,5.2},{0,10,20,30,40,50,60,62,64,66,68,70,72,74,76,78,80,85,90,95,100})</f>
        <v>85</v>
      </c>
      <c r="P133" s="6">
        <v>3.38</v>
      </c>
      <c r="Q133" s="6">
        <f>10-P133</f>
        <v>6.62</v>
      </c>
      <c r="R133" s="40">
        <f>LOOKUP(Q133,{0,4.7,4.8,4.9,5,5.5,5.6,5.65,5.7,5.75,5.8,5.85,5.9,5.95,6,6.45,6.5,6.57,6.64,6.7,6.76},{0,10,20,30,40,50,60,62,64,66,68,70,72,74,76,78,80,85,90,95,100})</f>
        <v>85</v>
      </c>
      <c r="S133" s="45"/>
      <c r="T133" s="45"/>
      <c r="U133" s="7">
        <f>R133+T133</f>
        <v>85</v>
      </c>
      <c r="W133" s="7">
        <f>E133*0.1+G133*0.1+I133*0.1+O133*0.2+R133*0.2</f>
        <v>62</v>
      </c>
      <c r="X133" s="21">
        <f>W133/0.7+K133+T133</f>
        <v>89.5714285714286</v>
      </c>
    </row>
    <row r="134" ht="15.6" spans="1:24">
      <c r="A134" s="6">
        <v>108</v>
      </c>
      <c r="B134" s="29" t="s">
        <v>390</v>
      </c>
      <c r="C134" s="29" t="s">
        <v>46</v>
      </c>
      <c r="D134" s="6">
        <v>8.5</v>
      </c>
      <c r="E134" s="40">
        <f>LOOKUP(D134,{0,0.4,1.2,2,2.8,3.6,4.4,5.7,7,8.3,9.6,10.9,12.2,13.5,14.8,16.1,17.4,19.1,20.8,22.5,24.2},{0,10,20,30,40,50,60,62,64,66,68,70,72,74,76,78,80,85,90,95,100})</f>
        <v>66</v>
      </c>
      <c r="F134" s="6">
        <v>200</v>
      </c>
      <c r="G134" s="40">
        <f>LOOKUP(F134,{0,123,128,133,138,143,148,151,154,157,160,163,166,169,172,175,178,185,192,198,204},{0,10,20,30,40,50,60,62,64,66,68,70,72,74,76,78,80,85,90,95,100})</f>
        <v>95</v>
      </c>
      <c r="H134" s="6">
        <v>52</v>
      </c>
      <c r="I134" s="40">
        <f>LOOKUP(H134,{0,13,15,17,19,21,23,25,27,29,31,33,35,37,39,41,43,46,49,51,53},{0,10,20,30,40,50,60,62,64,66,68,70,72,74,76,78,80,85,90,95,100})</f>
        <v>95</v>
      </c>
      <c r="J134" s="45"/>
      <c r="K134" s="45"/>
      <c r="L134" s="7">
        <f>I134+K134</f>
        <v>95</v>
      </c>
      <c r="M134" s="6">
        <v>8.3</v>
      </c>
      <c r="N134" s="43">
        <f>13-M134</f>
        <v>4.7</v>
      </c>
      <c r="O134" s="40">
        <f>LOOKUP(N134,{0,1.4,1.6,1.8,2,2.2,2.4,2.6,2.8,3,3.2,3.4,3.6,3.8,4,4.2,4.4,4.7,5,5.1,5.2},{0,10,20,30,40,50,60,62,64,66,68,70,72,74,76,78,80,85,90,95,100})</f>
        <v>85</v>
      </c>
      <c r="P134" s="6">
        <v>3.22</v>
      </c>
      <c r="Q134" s="6">
        <f>10-P134</f>
        <v>6.78</v>
      </c>
      <c r="R134" s="40">
        <f>LOOKUP(Q134,{0,4.7,4.8,4.9,5,5.5,5.6,5.65,5.7,5.75,5.8,5.85,5.9,5.95,6,6.45,6.5,6.57,6.64,6.7,6.76},{0,10,20,30,40,50,60,62,64,66,68,70,72,74,76,78,80,85,90,95,100})</f>
        <v>100</v>
      </c>
      <c r="S134" s="48">
        <f>3.24-P134</f>
        <v>0.02</v>
      </c>
      <c r="T134" s="40">
        <f>LOOKUP(S134,{0,0.05,0.1,0.15,0.2,0.25,0.3,0.35,0.4,0.45,0.5},{0,1,2,3,4,5,6,7,8,9,10})</f>
        <v>0</v>
      </c>
      <c r="U134" s="7">
        <f>R134+T134</f>
        <v>100</v>
      </c>
      <c r="W134" s="7">
        <f>E134*0.1+G134*0.1+I134*0.1+O134*0.2+R134*0.2</f>
        <v>62.6</v>
      </c>
      <c r="X134" s="21">
        <f>W134/0.7+K134+T134</f>
        <v>89.4285714285714</v>
      </c>
    </row>
    <row r="135" ht="15.6" spans="1:24">
      <c r="A135" s="6">
        <v>114</v>
      </c>
      <c r="B135" s="29" t="s">
        <v>709</v>
      </c>
      <c r="C135" s="29" t="s">
        <v>46</v>
      </c>
      <c r="D135" s="6">
        <v>20.1</v>
      </c>
      <c r="E135" s="40">
        <f>LOOKUP(D135,{0,0.4,1.2,2,2.8,3.6,4.4,5.7,7,8.3,9.6,10.9,12.2,13.5,14.8,16.1,17.4,19.1,20.8,22.5,24.2},{0,10,20,30,40,50,60,62,64,66,68,70,72,74,76,78,80,85,90,95,100})</f>
        <v>85</v>
      </c>
      <c r="F135" s="6">
        <v>181</v>
      </c>
      <c r="G135" s="40">
        <f>LOOKUP(F135,{0,123,128,133,138,143,148,151,154,157,160,163,166,169,172,175,178,185,192,198,204},{0,10,20,30,40,50,60,62,64,66,68,70,72,74,76,78,80,85,90,95,100})</f>
        <v>80</v>
      </c>
      <c r="H135" s="6">
        <v>45</v>
      </c>
      <c r="I135" s="40">
        <f>LOOKUP(H135,{0,13,15,17,19,21,23,25,27,29,31,33,35,37,39,41,43,46,49,51,53},{0,10,20,30,40,50,60,62,64,66,68,70,72,74,76,78,80,85,90,95,100})</f>
        <v>80</v>
      </c>
      <c r="J135" s="45"/>
      <c r="K135" s="45"/>
      <c r="L135" s="7">
        <f>I135+K135</f>
        <v>80</v>
      </c>
      <c r="M135" s="6">
        <v>8</v>
      </c>
      <c r="N135" s="43">
        <f>13-M135</f>
        <v>5</v>
      </c>
      <c r="O135" s="40">
        <f>LOOKUP(N135,{0,1.4,1.6,1.8,2,2.2,2.4,2.6,2.8,3,3.2,3.4,3.6,3.8,4,4.2,4.4,4.7,5,5.1,5.2},{0,10,20,30,40,50,60,62,64,66,68,70,72,74,76,78,80,85,90,95,100})</f>
        <v>90</v>
      </c>
      <c r="P135" s="6">
        <v>3.2</v>
      </c>
      <c r="Q135" s="6">
        <f>10-P135</f>
        <v>6.8</v>
      </c>
      <c r="R135" s="40">
        <f>LOOKUP(Q135,{0,4.7,4.8,4.9,5,5.5,5.6,5.65,5.7,5.75,5.8,5.85,5.9,5.95,6,6.45,6.5,6.57,6.64,6.7,6.76},{0,10,20,30,40,50,60,62,64,66,68,70,72,74,76,78,80,85,90,95,100})</f>
        <v>100</v>
      </c>
      <c r="S135" s="48">
        <f>3.24-P135</f>
        <v>0.04</v>
      </c>
      <c r="T135" s="40">
        <f>LOOKUP(S135,{0,0.05,0.1,0.15,0.2,0.25,0.3,0.35,0.4,0.45,0.5},{0,1,2,3,4,5,6,7,8,9,10})</f>
        <v>0</v>
      </c>
      <c r="U135" s="7">
        <f>R135+T135</f>
        <v>100</v>
      </c>
      <c r="W135" s="7">
        <f>E135*0.1+G135*0.1+I135*0.1+O135*0.2+R135*0.2</f>
        <v>62.5</v>
      </c>
      <c r="X135" s="21">
        <f>W135/0.7+K135+T135</f>
        <v>89.2857142857143</v>
      </c>
    </row>
    <row r="136" ht="15.6" spans="1:24">
      <c r="A136" s="6">
        <v>104</v>
      </c>
      <c r="B136" s="29" t="s">
        <v>210</v>
      </c>
      <c r="C136" s="29" t="s">
        <v>46</v>
      </c>
      <c r="D136" s="6">
        <v>28.3</v>
      </c>
      <c r="E136" s="40">
        <f>LOOKUP(D136,{0,0.4,1.2,2,2.8,3.6,4.4,5.7,7,8.3,9.6,10.9,12.2,13.5,14.8,16.1,17.4,19.1,20.8,22.5,24.2},{0,10,20,30,40,50,60,62,64,66,68,70,72,74,76,78,80,85,90,95,100})</f>
        <v>100</v>
      </c>
      <c r="F136" s="6">
        <v>192</v>
      </c>
      <c r="G136" s="40">
        <f>LOOKUP(F136,{0,123,128,133,138,143,148,151,154,157,160,163,166,169,172,175,178,185,192,198,204},{0,10,20,30,40,50,60,62,64,66,68,70,72,74,76,78,80,85,90,95,100})</f>
        <v>90</v>
      </c>
      <c r="H136" s="6">
        <v>46</v>
      </c>
      <c r="I136" s="40">
        <f>LOOKUP(H136,{0,13,15,17,19,21,23,25,27,29,31,33,35,37,39,41,43,46,49,51,53},{0,10,20,30,40,50,60,62,64,66,68,70,72,74,76,78,80,85,90,95,100})</f>
        <v>85</v>
      </c>
      <c r="J136" s="45"/>
      <c r="K136" s="45"/>
      <c r="L136" s="7">
        <f>I136+K136</f>
        <v>85</v>
      </c>
      <c r="M136" s="6">
        <v>8.1</v>
      </c>
      <c r="N136" s="43">
        <f>13-M136</f>
        <v>4.9</v>
      </c>
      <c r="O136" s="40">
        <f>LOOKUP(N136,{0,1.4,1.6,1.8,2,2.2,2.4,2.6,2.8,3,3.2,3.4,3.6,3.8,4,4.2,4.4,4.7,5,5.1,5.2},{0,10,20,30,40,50,60,62,64,66,68,70,72,74,76,78,80,85,90,95,100})</f>
        <v>85</v>
      </c>
      <c r="P136" s="6">
        <v>3.36</v>
      </c>
      <c r="Q136" s="6">
        <f>10-P136</f>
        <v>6.64</v>
      </c>
      <c r="R136" s="40">
        <f>LOOKUP(Q136,{0,4.7,4.8,4.9,5,5.5,5.6,5.65,5.7,5.75,5.8,5.85,5.9,5.95,6,6.45,6.5,6.57,6.64,6.7,6.76},{0,10,20,30,40,50,60,62,64,66,68,70,72,74,76,78,80,85,90,95,100})</f>
        <v>90</v>
      </c>
      <c r="S136" s="45"/>
      <c r="T136" s="45"/>
      <c r="U136" s="7">
        <f>R136+T136</f>
        <v>90</v>
      </c>
      <c r="W136" s="7">
        <f>E136*0.1+G136*0.1+I136*0.1+O136*0.2+R136*0.2</f>
        <v>62.5</v>
      </c>
      <c r="X136" s="21">
        <f>W136/0.7+K136+T136</f>
        <v>89.2857142857143</v>
      </c>
    </row>
    <row r="137" ht="15.6" spans="1:24">
      <c r="A137" s="6">
        <v>112</v>
      </c>
      <c r="B137" s="29" t="s">
        <v>615</v>
      </c>
      <c r="C137" s="29" t="s">
        <v>46</v>
      </c>
      <c r="D137" s="6">
        <v>14</v>
      </c>
      <c r="E137" s="40">
        <f>LOOKUP(D137,{0,0.4,1.2,2,2.8,3.6,4.4,5.7,7,8.3,9.6,10.9,12.2,13.5,14.8,16.1,17.4,19.1,20.8,22.5,24.2},{0,10,20,30,40,50,60,62,64,66,68,70,72,74,76,78,80,85,90,95,100})</f>
        <v>74</v>
      </c>
      <c r="F137" s="6">
        <v>200</v>
      </c>
      <c r="G137" s="40">
        <f>LOOKUP(F137,{0,123,128,133,138,143,148,151,154,157,160,163,166,169,172,175,178,185,192,198,204},{0,10,20,30,40,50,60,62,64,66,68,70,72,74,76,78,80,85,90,95,100})</f>
        <v>95</v>
      </c>
      <c r="H137" s="6">
        <v>46</v>
      </c>
      <c r="I137" s="40">
        <f>LOOKUP(H137,{0,13,15,17,19,21,23,25,27,29,31,33,35,37,39,41,43,46,49,51,53},{0,10,20,30,40,50,60,62,64,66,68,70,72,74,76,78,80,85,90,95,100})</f>
        <v>85</v>
      </c>
      <c r="J137" s="45"/>
      <c r="K137" s="45"/>
      <c r="L137" s="7">
        <f>I137+K137</f>
        <v>85</v>
      </c>
      <c r="M137" s="6">
        <v>7.8</v>
      </c>
      <c r="N137" s="43">
        <f>13-M137</f>
        <v>5.2</v>
      </c>
      <c r="O137" s="40">
        <f>LOOKUP(N137,{0,1.4,1.6,1.8,2,2.2,2.4,2.6,2.8,3,3.2,3.4,3.6,3.8,4,4.2,4.4,4.7,5,5.1,5.2},{0,10,20,30,40,50,60,62,64,66,68,70,72,74,76,78,80,85,90,95,100})</f>
        <v>100</v>
      </c>
      <c r="P137" s="6">
        <v>3.39</v>
      </c>
      <c r="Q137" s="6">
        <f>10-P137</f>
        <v>6.61</v>
      </c>
      <c r="R137" s="40">
        <f>LOOKUP(Q137,{0,4.7,4.8,4.9,5,5.5,5.6,5.65,5.7,5.75,5.8,5.85,5.9,5.95,6,6.45,6.5,6.57,6.64,6.7,6.76},{0,10,20,30,40,50,60,62,64,66,68,70,72,74,76,78,80,85,90,95,100})</f>
        <v>85</v>
      </c>
      <c r="S137" s="45"/>
      <c r="T137" s="45"/>
      <c r="U137" s="7">
        <f>R137+T137</f>
        <v>85</v>
      </c>
      <c r="W137" s="7">
        <f>E137*0.1+G137*0.1+I137*0.1+O137*0.2+R137*0.2</f>
        <v>62.4</v>
      </c>
      <c r="X137" s="21">
        <f>W137/0.7+K137+T137</f>
        <v>89.1428571428572</v>
      </c>
    </row>
    <row r="138" ht="15.6" spans="1:24">
      <c r="A138" s="6">
        <v>101</v>
      </c>
      <c r="B138" s="29" t="s">
        <v>58</v>
      </c>
      <c r="C138" s="29" t="s">
        <v>46</v>
      </c>
      <c r="D138" s="6">
        <v>17</v>
      </c>
      <c r="E138" s="40">
        <f>LOOKUP(D138,{0,0.4,1.2,2,2.8,3.6,4.4,5.7,7,8.3,9.6,10.9,12.2,13.5,14.8,16.1,17.4,19.1,20.8,22.5,24.2},{0,10,20,30,40,50,60,62,64,66,68,70,72,74,76,78,80,85,90,95,100})</f>
        <v>78</v>
      </c>
      <c r="F138" s="6">
        <v>200</v>
      </c>
      <c r="G138" s="40">
        <f>LOOKUP(F138,{0,123,128,133,138,143,148,151,154,157,160,163,166,169,172,175,178,185,192,198,204},{0,10,20,30,40,50,60,62,64,66,68,70,72,74,76,78,80,85,90,95,100})</f>
        <v>95</v>
      </c>
      <c r="H138" s="6">
        <v>43</v>
      </c>
      <c r="I138" s="40">
        <f>LOOKUP(H138,{0,13,15,17,19,21,23,25,27,29,31,33,35,37,39,41,43,46,49,51,53},{0,10,20,30,40,50,60,62,64,66,68,70,72,74,76,78,80,85,90,95,100})</f>
        <v>80</v>
      </c>
      <c r="J138" s="45"/>
      <c r="K138" s="45"/>
      <c r="L138" s="7">
        <f>I138+K138</f>
        <v>80</v>
      </c>
      <c r="M138" s="6">
        <v>8</v>
      </c>
      <c r="N138" s="43">
        <f>13-M138</f>
        <v>5</v>
      </c>
      <c r="O138" s="40">
        <f>LOOKUP(N138,{0,1.4,1.6,1.8,2,2.2,2.4,2.6,2.8,3,3.2,3.4,3.6,3.8,4,4.2,4.4,4.7,5,5.1,5.2},{0,10,20,30,40,50,60,62,64,66,68,70,72,74,76,78,80,85,90,95,100})</f>
        <v>90</v>
      </c>
      <c r="P138" s="6">
        <v>3.29</v>
      </c>
      <c r="Q138" s="6">
        <f>10-P138</f>
        <v>6.71</v>
      </c>
      <c r="R138" s="40">
        <f>LOOKUP(Q138,{0,4.7,4.8,4.9,5,5.5,5.6,5.65,5.7,5.75,5.8,5.85,5.9,5.95,6,6.45,6.5,6.57,6.64,6.7,6.76},{0,10,20,30,40,50,60,62,64,66,68,70,72,74,76,78,80,85,90,95,100})</f>
        <v>95</v>
      </c>
      <c r="S138" s="45"/>
      <c r="T138" s="45"/>
      <c r="U138" s="7">
        <f>R138+T138</f>
        <v>95</v>
      </c>
      <c r="W138" s="7">
        <f>E138*0.1+G138*0.1+I138*0.1+O138*0.2+R138*0.2</f>
        <v>62.3</v>
      </c>
      <c r="X138" s="21">
        <f>W138/0.7+K138+T138</f>
        <v>89</v>
      </c>
    </row>
    <row r="139" ht="15.6" spans="1:24">
      <c r="A139" s="6">
        <v>115</v>
      </c>
      <c r="B139" s="29" t="s">
        <v>755</v>
      </c>
      <c r="C139" s="29" t="s">
        <v>46</v>
      </c>
      <c r="D139" s="6">
        <v>15.5</v>
      </c>
      <c r="E139" s="40">
        <f>LOOKUP(D139,{0,0.4,1.2,2,2.8,3.6,4.4,5.7,7,8.3,9.6,10.9,12.2,13.5,14.8,16.1,17.4,19.1,20.8,22.5,24.2},{0,10,20,30,40,50,60,62,64,66,68,70,72,74,76,78,80,85,90,95,100})</f>
        <v>76</v>
      </c>
      <c r="F139" s="6">
        <v>197</v>
      </c>
      <c r="G139" s="40">
        <f>LOOKUP(F139,{0,123,128,133,138,143,148,151,154,157,160,163,166,169,172,175,178,185,192,198,204},{0,10,20,30,40,50,60,62,64,66,68,70,72,74,76,78,80,85,90,95,100})</f>
        <v>90</v>
      </c>
      <c r="H139" s="6">
        <v>47</v>
      </c>
      <c r="I139" s="40">
        <f>LOOKUP(H139,{0,13,15,17,19,21,23,25,27,29,31,33,35,37,39,41,43,46,49,51,53},{0,10,20,30,40,50,60,62,64,66,68,70,72,74,76,78,80,85,90,95,100})</f>
        <v>85</v>
      </c>
      <c r="J139" s="45"/>
      <c r="K139" s="45"/>
      <c r="L139" s="7">
        <f>I139+K139</f>
        <v>85</v>
      </c>
      <c r="M139" s="6">
        <v>8.1</v>
      </c>
      <c r="N139" s="43">
        <f>13-M139</f>
        <v>4.9</v>
      </c>
      <c r="O139" s="40">
        <f>LOOKUP(N139,{0,1.4,1.6,1.8,2,2.2,2.4,2.6,2.8,3,3.2,3.4,3.6,3.8,4,4.2,4.4,4.7,5,5.1,5.2},{0,10,20,30,40,50,60,62,64,66,68,70,72,74,76,78,80,85,90,95,100})</f>
        <v>85</v>
      </c>
      <c r="P139" s="6">
        <v>3.21</v>
      </c>
      <c r="Q139" s="6">
        <f>10-P139</f>
        <v>6.79</v>
      </c>
      <c r="R139" s="40">
        <f>LOOKUP(Q139,{0,4.7,4.8,4.9,5,5.5,5.6,5.65,5.7,5.75,5.8,5.85,5.9,5.95,6,6.45,6.5,6.57,6.64,6.7,6.76},{0,10,20,30,40,50,60,62,64,66,68,70,72,74,76,78,80,85,90,95,100})</f>
        <v>100</v>
      </c>
      <c r="S139" s="48">
        <f>3.24-P139</f>
        <v>0.0300000000000002</v>
      </c>
      <c r="T139" s="40">
        <f>LOOKUP(S139,{0,0.05,0.1,0.15,0.2,0.25,0.3,0.35,0.4,0.45,0.5},{0,1,2,3,4,5,6,7,8,9,10})</f>
        <v>0</v>
      </c>
      <c r="U139" s="7">
        <f>R139+T139</f>
        <v>100</v>
      </c>
      <c r="W139" s="7">
        <f>E139*0.1+G139*0.1+I139*0.1+O139*0.2+R139*0.2</f>
        <v>62.1</v>
      </c>
      <c r="X139" s="21">
        <f>W139/0.7+K139+T139</f>
        <v>88.7142857142857</v>
      </c>
    </row>
    <row r="140" ht="15.6" hidden="1" spans="1:24">
      <c r="A140" s="6">
        <v>110</v>
      </c>
      <c r="B140" s="29" t="s">
        <v>465</v>
      </c>
      <c r="C140" s="29" t="s">
        <v>11</v>
      </c>
      <c r="D140" s="6">
        <v>18.5</v>
      </c>
      <c r="E140" s="40">
        <f>LOOKUP(D140,{0,-4,-3,-2,-1,0,1,2.4,3.8,5.2,6.6,8,9.4,10.8,12.2,13.6,15,17.2,19.4,21.5,23.6},{0,10,20,30,40,50,60,62,64,66,68,70,72,74,76,78,80,85,90,95,100})</f>
        <v>85</v>
      </c>
      <c r="F140" s="6">
        <v>246</v>
      </c>
      <c r="G140" s="40">
        <f>LOOKUP(F140,{0,170,175,180,185,190,195,199,203,207,211,215,219,223,227,231,235,243,250,255,260},{0,10,20,30,40,50,60,62,64,66,68,70,72,74,76,78,80,85,90,95,100})</f>
        <v>85</v>
      </c>
      <c r="H140" s="6">
        <v>11</v>
      </c>
      <c r="I140" s="40">
        <f>LOOKUP(H140,{0,2,3,4,5,6,7,8,9,10,11,12,13,14,15,16},{0,10,20,30,40,50,60,64,68,72,76,80,85,90,95,100})</f>
        <v>76</v>
      </c>
      <c r="J140" s="7"/>
      <c r="K140" s="7"/>
      <c r="L140" s="7">
        <f>I140+K140</f>
        <v>76</v>
      </c>
      <c r="M140" s="6">
        <v>7</v>
      </c>
      <c r="N140" s="43">
        <f>13-M140</f>
        <v>6</v>
      </c>
      <c r="O140" s="40">
        <f>LOOKUP(N140,{0,2.5,2.7,2.9,3.1,3.3,3.5,3.7,3.9,4.1,4.3,4.5,4.7,4.9,5.1,5.3,5.5,5.6,5.7,5.8,5.9},{0,10,20,30,40,50,60,62,64,66,68,70,72,74,76,78,80,85,90,95,100})</f>
        <v>100</v>
      </c>
      <c r="P140" s="6">
        <v>3.37</v>
      </c>
      <c r="Q140" s="6">
        <f>10-P140</f>
        <v>6.63</v>
      </c>
      <c r="R140" s="40">
        <f>LOOKUP(Q140,{0,3.75,3.95,4.55,4.75,4.95,5.55,5.6,5.65,5.7,5.75,5.8,5.85,5.9,5.95,6,6.45,6.53,6.6,6.65,6.7},{0,10,20,30,40,50,60,62,64,66,68,70,72,74,76,78,80,85,90,95,100})</f>
        <v>90</v>
      </c>
      <c r="S140" s="7"/>
      <c r="T140" s="7"/>
      <c r="U140" s="7">
        <f>R140+T140</f>
        <v>90</v>
      </c>
      <c r="W140" s="7">
        <f>E140*0.1+G140*0.1+I140*0.1+O140*0.2+R140*0.2</f>
        <v>62.6</v>
      </c>
      <c r="X140" s="21">
        <f>W140/0.7+K140+T140</f>
        <v>89.4285714285714</v>
      </c>
    </row>
    <row r="141" s="3" customFormat="1" ht="15.6" hidden="1" spans="1:24">
      <c r="A141" s="6">
        <v>106</v>
      </c>
      <c r="B141" s="39" t="s">
        <v>267</v>
      </c>
      <c r="C141" s="29" t="s">
        <v>11</v>
      </c>
      <c r="D141" s="6">
        <v>15</v>
      </c>
      <c r="E141" s="40">
        <f>LOOKUP(D141,{0,-4,-3,-2,-1,0,1,2.4,3.8,5.2,6.6,8,9.4,10.8,12.2,13.6,15,17.2,19.4,21.5,23.6},{0,10,20,30,40,50,60,62,64,66,68,70,72,74,76,78,80,85,90,95,100})</f>
        <v>80</v>
      </c>
      <c r="F141" s="6">
        <v>236</v>
      </c>
      <c r="G141" s="40">
        <f>LOOKUP(F141,{0,170,175,180,185,190,195,199,203,207,211,215,219,223,227,231,235,243,250,255,260},{0,10,20,30,40,50,60,62,64,66,68,70,72,74,76,78,80,85,90,95,100})</f>
        <v>80</v>
      </c>
      <c r="H141" s="6">
        <v>1</v>
      </c>
      <c r="I141" s="40">
        <f>LOOKUP(H141,{0,2,3,4,5,6,7,8,9,10,11,12,13,14,15,16},{0,10,20,30,40,50,60,64,68,72,76,80,85,90,95,100})</f>
        <v>0</v>
      </c>
      <c r="J141" s="7"/>
      <c r="K141" s="7"/>
      <c r="L141" s="7">
        <f>I141+K141</f>
        <v>0</v>
      </c>
      <c r="M141" s="6">
        <v>7</v>
      </c>
      <c r="N141" s="43">
        <f>13-M141</f>
        <v>6</v>
      </c>
      <c r="O141" s="40">
        <f>LOOKUP(N141,{0,2.5,2.7,2.9,3.1,3.3,3.5,3.7,3.9,4.1,4.3,4.5,4.7,4.9,5.1,5.3,5.5,5.6,5.7,5.8,5.9},{0,10,20,30,40,50,60,62,64,66,68,70,72,74,76,78,80,85,90,95,100})</f>
        <v>100</v>
      </c>
      <c r="P141" s="6">
        <v>3.37</v>
      </c>
      <c r="Q141" s="6">
        <f>10-P141</f>
        <v>6.63</v>
      </c>
      <c r="R141" s="40">
        <f>LOOKUP(Q141,{0,3.75,3.95,4.55,4.75,4.95,5.55,5.6,5.65,5.7,5.75,5.8,5.85,5.9,5.95,6,6.45,6.53,6.6,6.65,6.7},{0,10,20,30,40,50,60,62,64,66,68,70,72,74,76,78,80,85,90,95,100})</f>
        <v>90</v>
      </c>
      <c r="S141" s="7"/>
      <c r="T141" s="7"/>
      <c r="U141" s="7">
        <f>R141+T141</f>
        <v>90</v>
      </c>
      <c r="V141" s="6"/>
      <c r="W141" s="7">
        <f>E141*0.1+G141*0.1+I141*0.1+O141*0.2+R141*0.2</f>
        <v>54</v>
      </c>
      <c r="X141" s="21">
        <f>W141/0.7+K141+T141</f>
        <v>77.1428571428572</v>
      </c>
    </row>
    <row r="142" ht="15.6" hidden="1" spans="1:24">
      <c r="A142" s="6">
        <v>101</v>
      </c>
      <c r="B142" s="29" t="s">
        <v>38</v>
      </c>
      <c r="C142" s="29" t="s">
        <v>11</v>
      </c>
      <c r="D142" s="6">
        <v>3.5</v>
      </c>
      <c r="E142" s="40">
        <f>LOOKUP(D142,{0,-4,-3,-2,-1,0,1,2.4,3.8,5.2,6.6,8,9.4,10.8,12.2,13.6,15,17.2,19.4,21.5,23.6},{0,10,20,30,40,50,60,62,64,66,68,70,72,74,76,78,80,85,90,95,100})</f>
        <v>62</v>
      </c>
      <c r="F142" s="6">
        <v>240</v>
      </c>
      <c r="G142" s="40">
        <f>LOOKUP(F142,{0,170,175,180,185,190,195,199,203,207,211,215,219,223,227,231,235,243,250,255,260},{0,10,20,30,40,50,60,62,64,66,68,70,72,74,76,78,80,85,90,95,100})</f>
        <v>80</v>
      </c>
      <c r="H142" s="6">
        <v>9</v>
      </c>
      <c r="I142" s="40">
        <f>LOOKUP(H142,{0,2,3,4,5,6,7,8,9,10,11,12,13,14,15,16},{0,10,20,30,40,50,60,64,68,72,76,80,85,90,95,100})</f>
        <v>68</v>
      </c>
      <c r="J142" s="7"/>
      <c r="K142" s="7"/>
      <c r="L142" s="7">
        <f>I142+K142</f>
        <v>68</v>
      </c>
      <c r="M142" s="6">
        <v>7</v>
      </c>
      <c r="N142" s="43">
        <f>13-M142</f>
        <v>6</v>
      </c>
      <c r="O142" s="40">
        <f>LOOKUP(N142,{0,2.5,2.7,2.9,3.1,3.3,3.5,3.7,3.9,4.1,4.3,4.5,4.7,4.9,5.1,5.3,5.5,5.6,5.7,5.8,5.9},{0,10,20,30,40,50,60,62,64,66,68,70,72,74,76,78,80,85,90,95,100})</f>
        <v>100</v>
      </c>
      <c r="P142" s="6">
        <v>3.38</v>
      </c>
      <c r="Q142" s="6">
        <f>10-P142</f>
        <v>6.62</v>
      </c>
      <c r="R142" s="40">
        <f>LOOKUP(Q142,{0,3.75,3.95,4.55,4.75,4.95,5.55,5.6,5.65,5.7,5.75,5.8,5.85,5.9,5.95,6,6.45,6.53,6.6,6.65,6.7},{0,10,20,30,40,50,60,62,64,66,68,70,72,74,76,78,80,85,90,95,100})</f>
        <v>90</v>
      </c>
      <c r="S142" s="7"/>
      <c r="T142" s="7"/>
      <c r="U142" s="7">
        <f>R142+T142</f>
        <v>90</v>
      </c>
      <c r="W142" s="7">
        <f>E142*0.1+G142*0.1+I142*0.1+O142*0.2+R142*0.2</f>
        <v>59</v>
      </c>
      <c r="X142" s="21">
        <f>W142/0.7+K142+T142</f>
        <v>84.2857142857143</v>
      </c>
    </row>
    <row r="143" ht="15.6" hidden="1" spans="1:24">
      <c r="A143" s="6">
        <v>113</v>
      </c>
      <c r="B143" s="29" t="s">
        <v>642</v>
      </c>
      <c r="C143" s="29" t="s">
        <v>11</v>
      </c>
      <c r="D143" s="6">
        <v>3</v>
      </c>
      <c r="E143" s="40">
        <f>LOOKUP(D143,{0,-4,-3,-2,-1,0,1,2.4,3.8,5.2,6.6,8,9.4,10.8,12.2,13.6,15,17.2,19.4,21.5,23.6},{0,10,20,30,40,50,60,62,64,66,68,70,72,74,76,78,80,85,90,95,100})</f>
        <v>62</v>
      </c>
      <c r="F143" s="6">
        <v>247</v>
      </c>
      <c r="G143" s="40">
        <f>LOOKUP(F143,{0,170,175,180,185,190,195,199,203,207,211,215,219,223,227,231,235,243,250,255,260},{0,10,20,30,40,50,60,62,64,66,68,70,72,74,76,78,80,85,90,95,100})</f>
        <v>85</v>
      </c>
      <c r="H143" s="6">
        <v>11</v>
      </c>
      <c r="I143" s="40">
        <f>LOOKUP(H143,{0,2,3,4,5,6,7,8,9,10,11,12,13,14,15,16},{0,10,20,30,40,50,60,64,68,72,76,80,85,90,95,100})</f>
        <v>76</v>
      </c>
      <c r="J143" s="7"/>
      <c r="K143" s="7"/>
      <c r="L143" s="7">
        <f>I143+K143</f>
        <v>76</v>
      </c>
      <c r="M143" s="6">
        <v>7</v>
      </c>
      <c r="N143" s="43">
        <f>13-M143</f>
        <v>6</v>
      </c>
      <c r="O143" s="40">
        <f>LOOKUP(N143,{0,2.5,2.7,2.9,3.1,3.3,3.5,3.7,3.9,4.1,4.3,4.5,4.7,4.9,5.1,5.3,5.5,5.6,5.7,5.8,5.9},{0,10,20,30,40,50,60,62,64,66,68,70,72,74,76,78,80,85,90,95,100})</f>
        <v>100</v>
      </c>
      <c r="P143" s="6">
        <v>3.4</v>
      </c>
      <c r="Q143" s="6">
        <f>10-P143</f>
        <v>6.6</v>
      </c>
      <c r="R143" s="40">
        <f>LOOKUP(Q143,{0,3.75,3.95,4.55,4.75,4.95,5.55,5.6,5.65,5.7,5.75,5.8,5.85,5.9,5.95,6,6.45,6.53,6.6,6.65,6.7},{0,10,20,30,40,50,60,62,64,66,68,70,72,74,76,78,80,85,90,95,100})</f>
        <v>90</v>
      </c>
      <c r="S143" s="7"/>
      <c r="T143" s="7"/>
      <c r="U143" s="7">
        <f>R143+T143</f>
        <v>90</v>
      </c>
      <c r="W143" s="7">
        <f>E143*0.1+G143*0.1+I143*0.1+O143*0.2+R143*0.2</f>
        <v>60.3</v>
      </c>
      <c r="X143" s="21">
        <f>W143/0.7+K143+T143</f>
        <v>86.1428571428571</v>
      </c>
    </row>
    <row r="144" ht="15.6" hidden="1" spans="1:24">
      <c r="A144" s="6">
        <v>106</v>
      </c>
      <c r="B144" s="29" t="s">
        <v>247</v>
      </c>
      <c r="C144" s="29" t="s">
        <v>11</v>
      </c>
      <c r="D144" s="6">
        <v>6.9</v>
      </c>
      <c r="E144" s="40">
        <f>LOOKUP(D144,{0,-4,-3,-2,-1,0,1,2.4,3.8,5.2,6.6,8,9.4,10.8,12.2,13.6,15,17.2,19.4,21.5,23.6},{0,10,20,30,40,50,60,62,64,66,68,70,72,74,76,78,80,85,90,95,100})</f>
        <v>68</v>
      </c>
      <c r="F144" s="6">
        <v>200</v>
      </c>
      <c r="G144" s="40">
        <f>LOOKUP(F144,{0,170,175,180,185,190,195,199,203,207,211,215,219,223,227,231,235,243,250,255,260},{0,10,20,30,40,50,60,62,64,66,68,70,72,74,76,78,80,85,90,95,100})</f>
        <v>62</v>
      </c>
      <c r="H144" s="6">
        <v>4</v>
      </c>
      <c r="I144" s="40">
        <f>LOOKUP(H144,{0,2,3,4,5,6,7,8,9,10,11,12,13,14,15,16},{0,10,20,30,40,50,60,64,68,72,76,80,85,90,95,100})</f>
        <v>30</v>
      </c>
      <c r="J144" s="7"/>
      <c r="K144" s="7"/>
      <c r="L144" s="7">
        <f>I144+K144</f>
        <v>30</v>
      </c>
      <c r="M144" s="6">
        <v>7</v>
      </c>
      <c r="N144" s="43">
        <f>13-M144</f>
        <v>6</v>
      </c>
      <c r="O144" s="40">
        <f>LOOKUP(N144,{0,2.5,2.7,2.9,3.1,3.3,3.5,3.7,3.9,4.1,4.3,4.5,4.7,4.9,5.1,5.3,5.5,5.6,5.7,5.8,5.9},{0,10,20,30,40,50,60,62,64,66,68,70,72,74,76,78,80,85,90,95,100})</f>
        <v>100</v>
      </c>
      <c r="P144" s="6">
        <v>3.4</v>
      </c>
      <c r="Q144" s="6">
        <f>10-P144</f>
        <v>6.6</v>
      </c>
      <c r="R144" s="40">
        <f>LOOKUP(Q144,{0,3.75,3.95,4.55,4.75,4.95,5.55,5.6,5.65,5.7,5.75,5.8,5.85,5.9,5.95,6,6.45,6.53,6.6,6.65,6.7},{0,10,20,30,40,50,60,62,64,66,68,70,72,74,76,78,80,85,90,95,100})</f>
        <v>90</v>
      </c>
      <c r="S144" s="7"/>
      <c r="T144" s="7"/>
      <c r="U144" s="7">
        <f>R144+T144</f>
        <v>90</v>
      </c>
      <c r="W144" s="7">
        <f>E144*0.1+G144*0.1+I144*0.1+O144*0.2+R144*0.2</f>
        <v>54</v>
      </c>
      <c r="X144" s="21">
        <f>W144/0.7+K144+T144</f>
        <v>77.1428571428572</v>
      </c>
    </row>
    <row r="145" ht="15.6" hidden="1" spans="1:24">
      <c r="A145" s="6">
        <v>116</v>
      </c>
      <c r="B145" s="29" t="s">
        <v>801</v>
      </c>
      <c r="C145" s="29" t="s">
        <v>11</v>
      </c>
      <c r="D145" s="6">
        <v>6.8</v>
      </c>
      <c r="E145" s="40">
        <f>LOOKUP(D145,{0,-4,-3,-2,-1,0,1,2.4,3.8,5.2,6.6,8,9.4,10.8,12.2,13.6,15,17.2,19.4,21.5,23.6},{0,10,20,30,40,50,60,62,64,66,68,70,72,74,76,78,80,85,90,95,100})</f>
        <v>68</v>
      </c>
      <c r="F145" s="6">
        <v>257</v>
      </c>
      <c r="G145" s="40">
        <f>LOOKUP(F145,{0,170,175,180,185,190,195,199,203,207,211,215,219,223,227,231,235,243,250,255,260},{0,10,20,30,40,50,60,62,64,66,68,70,72,74,76,78,80,85,90,95,100})</f>
        <v>95</v>
      </c>
      <c r="H145" s="6">
        <v>26</v>
      </c>
      <c r="I145" s="40">
        <f>LOOKUP(H145,{0,2,3,4,5,6,7,8,9,10,11,12,13,14,15,16},{0,10,20,30,40,50,60,64,68,72,76,80,85,90,95,100})</f>
        <v>100</v>
      </c>
      <c r="J145" s="7">
        <f>H145-16</f>
        <v>10</v>
      </c>
      <c r="K145" s="40">
        <f>LOOKUP(J145,{0,1,2,3,4,5,6,7,8,9,10},{0,1,2,3,4,5,6,7,8,9,10})</f>
        <v>10</v>
      </c>
      <c r="L145" s="7">
        <f>I145+K145</f>
        <v>110</v>
      </c>
      <c r="M145" s="6">
        <v>7</v>
      </c>
      <c r="N145" s="43">
        <f>13-M145</f>
        <v>6</v>
      </c>
      <c r="O145" s="40">
        <f>LOOKUP(N145,{0,2.5,2.7,2.9,3.1,3.3,3.5,3.7,3.9,4.1,4.3,4.5,4.7,4.9,5.1,5.3,5.5,5.6,5.7,5.8,5.9},{0,10,20,30,40,50,60,62,64,66,68,70,72,74,76,78,80,85,90,95,100})</f>
        <v>100</v>
      </c>
      <c r="P145" s="6">
        <v>3.41</v>
      </c>
      <c r="Q145" s="6">
        <f>10-P145</f>
        <v>6.59</v>
      </c>
      <c r="R145" s="40">
        <f>LOOKUP(Q145,{0,3.75,3.95,4.55,4.75,4.95,5.55,5.6,5.65,5.7,5.75,5.8,5.85,5.9,5.95,6,6.45,6.53,6.6,6.65,6.7},{0,10,20,30,40,50,60,62,64,66,68,70,72,74,76,78,80,85,90,95,100})</f>
        <v>85</v>
      </c>
      <c r="S145" s="7"/>
      <c r="T145" s="7"/>
      <c r="U145" s="7">
        <f>R145+T145</f>
        <v>85</v>
      </c>
      <c r="W145" s="7">
        <f>E145*0.1+G145*0.1+I145*0.1+O145*0.2+R145*0.2</f>
        <v>63.3</v>
      </c>
      <c r="X145" s="21">
        <f>W145/0.7+K145+T145</f>
        <v>100.428571428571</v>
      </c>
    </row>
    <row r="146" ht="15.6" hidden="1" spans="1:24">
      <c r="A146" s="6">
        <v>104</v>
      </c>
      <c r="B146" s="29" t="s">
        <v>191</v>
      </c>
      <c r="C146" s="29" t="s">
        <v>11</v>
      </c>
      <c r="D146" s="6">
        <v>6.5</v>
      </c>
      <c r="E146" s="40">
        <f>LOOKUP(D146,{0,-4,-3,-2,-1,0,1,2.4,3.8,5.2,6.6,8,9.4,10.8,12.2,13.6,15,17.2,19.4,21.5,23.6},{0,10,20,30,40,50,60,62,64,66,68,70,72,74,76,78,80,85,90,95,100})</f>
        <v>66</v>
      </c>
      <c r="F146" s="6">
        <v>213</v>
      </c>
      <c r="G146" s="40">
        <f>LOOKUP(F146,{0,170,175,180,185,190,195,199,203,207,211,215,219,223,227,231,235,243,250,255,260},{0,10,20,30,40,50,60,62,64,66,68,70,72,74,76,78,80,85,90,95,100})</f>
        <v>68</v>
      </c>
      <c r="H146" s="6">
        <v>2</v>
      </c>
      <c r="I146" s="40">
        <f>LOOKUP(H146,{0,2,3,4,5,6,7,8,9,10,11,12,13,14,15,16},{0,10,20,30,40,50,60,64,68,72,76,80,85,90,95,100})</f>
        <v>10</v>
      </c>
      <c r="J146" s="7"/>
      <c r="K146" s="7"/>
      <c r="L146" s="7">
        <f>I146+K146</f>
        <v>10</v>
      </c>
      <c r="M146" s="6">
        <v>7</v>
      </c>
      <c r="N146" s="43">
        <f>13-M146</f>
        <v>6</v>
      </c>
      <c r="O146" s="40">
        <f>LOOKUP(N146,{0,2.5,2.7,2.9,3.1,3.3,3.5,3.7,3.9,4.1,4.3,4.5,4.7,4.9,5.1,5.3,5.5,5.6,5.7,5.8,5.9},{0,10,20,30,40,50,60,62,64,66,68,70,72,74,76,78,80,85,90,95,100})</f>
        <v>100</v>
      </c>
      <c r="P146" s="6">
        <v>3.42</v>
      </c>
      <c r="Q146" s="6">
        <f>10-P146</f>
        <v>6.58</v>
      </c>
      <c r="R146" s="40">
        <f>LOOKUP(Q146,{0,3.75,3.95,4.55,4.75,4.95,5.55,5.6,5.65,5.7,5.75,5.8,5.85,5.9,5.95,6,6.45,6.53,6.6,6.65,6.7},{0,10,20,30,40,50,60,62,64,66,68,70,72,74,76,78,80,85,90,95,100})</f>
        <v>85</v>
      </c>
      <c r="S146" s="7"/>
      <c r="T146" s="7"/>
      <c r="U146" s="7">
        <f>R146+T146</f>
        <v>85</v>
      </c>
      <c r="W146" s="7">
        <f>E146*0.1+G146*0.1+I146*0.1+O146*0.2+R146*0.2</f>
        <v>51.4</v>
      </c>
      <c r="X146" s="21">
        <f>W146/0.7+K146+T146</f>
        <v>73.4285714285714</v>
      </c>
    </row>
    <row r="147" ht="15.6" hidden="1" spans="1:24">
      <c r="A147" s="6">
        <v>102</v>
      </c>
      <c r="B147" s="29" t="s">
        <v>86</v>
      </c>
      <c r="C147" s="29" t="s">
        <v>11</v>
      </c>
      <c r="D147" s="6">
        <v>15.6</v>
      </c>
      <c r="E147" s="40">
        <f>LOOKUP(D147,{0,-4,-3,-2,-1,0,1,2.4,3.8,5.2,6.6,8,9.4,10.8,12.2,13.6,15,17.2,19.4,21.5,23.6},{0,10,20,30,40,50,60,62,64,66,68,70,72,74,76,78,80,85,90,95,100})</f>
        <v>80</v>
      </c>
      <c r="F147" s="6">
        <v>232</v>
      </c>
      <c r="G147" s="40">
        <f>LOOKUP(F147,{0,170,175,180,185,190,195,199,203,207,211,215,219,223,227,231,235,243,250,255,260},{0,10,20,30,40,50,60,62,64,66,68,70,72,74,76,78,80,85,90,95,100})</f>
        <v>78</v>
      </c>
      <c r="H147" s="6">
        <v>7</v>
      </c>
      <c r="I147" s="40">
        <f>LOOKUP(H147,{0,2,3,4,5,6,7,8,9,10,11,12,13,14,15,16},{0,10,20,30,40,50,60,64,68,72,76,80,85,90,95,100})</f>
        <v>60</v>
      </c>
      <c r="J147" s="7"/>
      <c r="K147" s="7"/>
      <c r="L147" s="7">
        <f>I147+K147</f>
        <v>60</v>
      </c>
      <c r="M147" s="6">
        <v>7</v>
      </c>
      <c r="N147" s="43">
        <f>13-M147</f>
        <v>6</v>
      </c>
      <c r="O147" s="40">
        <f>LOOKUP(N147,{0,2.5,2.7,2.9,3.1,3.3,3.5,3.7,3.9,4.1,4.3,4.5,4.7,4.9,5.1,5.3,5.5,5.6,5.7,5.8,5.9},{0,10,20,30,40,50,60,62,64,66,68,70,72,74,76,78,80,85,90,95,100})</f>
        <v>100</v>
      </c>
      <c r="P147" s="6">
        <v>3.46</v>
      </c>
      <c r="Q147" s="6">
        <f>10-P147</f>
        <v>6.54</v>
      </c>
      <c r="R147" s="40">
        <f>LOOKUP(Q147,{0,3.75,3.95,4.55,4.75,4.95,5.55,5.6,5.65,5.7,5.75,5.8,5.85,5.9,5.95,6,6.45,6.53,6.6,6.65,6.7},{0,10,20,30,40,50,60,62,64,66,68,70,72,74,76,78,80,85,90,95,100})</f>
        <v>85</v>
      </c>
      <c r="S147" s="7"/>
      <c r="T147" s="7"/>
      <c r="U147" s="7">
        <f>R147+T147</f>
        <v>85</v>
      </c>
      <c r="W147" s="7">
        <f>E147*0.1+G147*0.1+I147*0.1+O147*0.2+R147*0.2</f>
        <v>58.8</v>
      </c>
      <c r="X147" s="21">
        <f>W147/0.7+K147+T147</f>
        <v>84</v>
      </c>
    </row>
    <row r="148" ht="15.6" hidden="1" spans="1:24">
      <c r="A148" s="6">
        <v>110</v>
      </c>
      <c r="B148" s="29" t="s">
        <v>463</v>
      </c>
      <c r="C148" s="29" t="s">
        <v>11</v>
      </c>
      <c r="D148" s="6">
        <v>11.5</v>
      </c>
      <c r="E148" s="40">
        <f>LOOKUP(D148,{0,-4,-3,-2,-1,0,1,2.4,3.8,5.2,6.6,8,9.4,10.8,12.2,13.6,15,17.2,19.4,21.5,23.6},{0,10,20,30,40,50,60,62,64,66,68,70,72,74,76,78,80,85,90,95,100})</f>
        <v>74</v>
      </c>
      <c r="F148" s="6">
        <v>243</v>
      </c>
      <c r="G148" s="40">
        <f>LOOKUP(F148,{0,170,175,180,185,190,195,199,203,207,211,215,219,223,227,231,235,243,250,255,260},{0,10,20,30,40,50,60,62,64,66,68,70,72,74,76,78,80,85,90,95,100})</f>
        <v>85</v>
      </c>
      <c r="H148" s="6">
        <v>26</v>
      </c>
      <c r="I148" s="40">
        <f>LOOKUP(H148,{0,2,3,4,5,6,7,8,9,10,11,12,13,14,15,16},{0,10,20,30,40,50,60,64,68,72,76,80,85,90,95,100})</f>
        <v>100</v>
      </c>
      <c r="J148" s="7">
        <f>H148-16</f>
        <v>10</v>
      </c>
      <c r="K148" s="40">
        <f>LOOKUP(J148,{0,1,2,3,4,5,6,7,8,9,10},{0,1,2,3,4,5,6,7,8,9,10})</f>
        <v>10</v>
      </c>
      <c r="L148" s="7">
        <f>I148+K148</f>
        <v>110</v>
      </c>
      <c r="M148" s="6">
        <v>7</v>
      </c>
      <c r="N148" s="43">
        <f>13-M148</f>
        <v>6</v>
      </c>
      <c r="O148" s="40">
        <f>LOOKUP(N148,{0,2.5,2.7,2.9,3.1,3.3,3.5,3.7,3.9,4.1,4.3,4.5,4.7,4.9,5.1,5.3,5.5,5.6,5.7,5.8,5.9},{0,10,20,30,40,50,60,62,64,66,68,70,72,74,76,78,80,85,90,95,100})</f>
        <v>100</v>
      </c>
      <c r="P148" s="6">
        <v>3.53</v>
      </c>
      <c r="Q148" s="6">
        <f>10-P148</f>
        <v>6.47</v>
      </c>
      <c r="R148" s="40">
        <f>LOOKUP(Q148,{0,3.75,3.95,4.55,4.75,4.95,5.55,5.6,5.65,5.7,5.75,5.8,5.85,5.9,5.95,6,6.45,6.53,6.6,6.65,6.7},{0,10,20,30,40,50,60,62,64,66,68,70,72,74,76,78,80,85,90,95,100})</f>
        <v>80</v>
      </c>
      <c r="S148" s="7"/>
      <c r="T148" s="7"/>
      <c r="U148" s="7">
        <f>R148+T148</f>
        <v>80</v>
      </c>
      <c r="W148" s="7">
        <f>E148*0.1+G148*0.1+I148*0.1+O148*0.2+R148*0.2</f>
        <v>61.9</v>
      </c>
      <c r="X148" s="21">
        <f>W148/0.7+K148+T148</f>
        <v>98.4285714285714</v>
      </c>
    </row>
    <row r="149" ht="15.6" hidden="1" spans="1:24">
      <c r="A149" s="6">
        <v>107</v>
      </c>
      <c r="B149" s="29" t="s">
        <v>327</v>
      </c>
      <c r="C149" s="29" t="s">
        <v>11</v>
      </c>
      <c r="D149" s="6">
        <v>-7.5</v>
      </c>
      <c r="E149" s="40">
        <v>0</v>
      </c>
      <c r="F149" s="6">
        <v>246</v>
      </c>
      <c r="G149" s="40">
        <f>LOOKUP(F149,{0,170,175,180,185,190,195,199,203,207,211,215,219,223,227,231,235,243,250,255,260},{0,10,20,30,40,50,60,62,64,66,68,70,72,74,76,78,80,85,90,95,100})</f>
        <v>85</v>
      </c>
      <c r="H149" s="6">
        <v>20</v>
      </c>
      <c r="I149" s="40">
        <f>LOOKUP(H149,{0,2,3,4,5,6,7,8,9,10,11,12,13,14,15,16},{0,10,20,30,40,50,60,64,68,72,76,80,85,90,95,100})</f>
        <v>100</v>
      </c>
      <c r="J149" s="7">
        <f>H149-16</f>
        <v>4</v>
      </c>
      <c r="K149" s="40">
        <f>LOOKUP(J149,{0,1,2,3,4,5,6,7,8,9,10},{0,1,2,3,4,5,6,7,8,9,10})</f>
        <v>4</v>
      </c>
      <c r="L149" s="7">
        <f>I149+K149</f>
        <v>104</v>
      </c>
      <c r="M149" s="6">
        <v>7</v>
      </c>
      <c r="N149" s="43">
        <f>13-M149</f>
        <v>6</v>
      </c>
      <c r="O149" s="40">
        <f>LOOKUP(N149,{0,2.5,2.7,2.9,3.1,3.3,3.5,3.7,3.9,4.1,4.3,4.5,4.7,4.9,5.1,5.3,5.5,5.6,5.7,5.8,5.9},{0,10,20,30,40,50,60,62,64,66,68,70,72,74,76,78,80,85,90,95,100})</f>
        <v>100</v>
      </c>
      <c r="P149" s="6">
        <v>3.53</v>
      </c>
      <c r="Q149" s="6">
        <f>10-P149</f>
        <v>6.47</v>
      </c>
      <c r="R149" s="40">
        <f>LOOKUP(Q149,{0,3.75,3.95,4.55,4.75,4.95,5.55,5.6,5.65,5.7,5.75,5.8,5.85,5.9,5.95,6,6.45,6.53,6.6,6.65,6.7},{0,10,20,30,40,50,60,62,64,66,68,70,72,74,76,78,80,85,90,95,100})</f>
        <v>80</v>
      </c>
      <c r="S149" s="7"/>
      <c r="T149" s="7"/>
      <c r="U149" s="7">
        <f>R149+T149</f>
        <v>80</v>
      </c>
      <c r="W149" s="7">
        <f>E149*0.1+G149*0.1+I149*0.1+O149*0.2+R149*0.2</f>
        <v>54.5</v>
      </c>
      <c r="X149" s="21">
        <f>W149/0.7+K149+T149</f>
        <v>81.8571428571429</v>
      </c>
    </row>
    <row r="150" ht="15.6" hidden="1" spans="1:24">
      <c r="A150" s="52">
        <v>114</v>
      </c>
      <c r="B150" s="29" t="s">
        <v>679</v>
      </c>
      <c r="C150" s="29" t="s">
        <v>11</v>
      </c>
      <c r="D150" s="52">
        <v>7</v>
      </c>
      <c r="E150" s="40">
        <f>LOOKUP(D150,{0,-4,-3,-2,-1,0,1,2.4,3.8,5.2,6.6,8,9.4,10.8,12.2,13.6,15,17.2,19.4,21.5,23.6},{0,10,20,30,40,50,60,62,64,66,68,70,72,74,76,78,80,85,90,95,100})</f>
        <v>68</v>
      </c>
      <c r="F150" s="52">
        <v>250</v>
      </c>
      <c r="G150" s="40">
        <f>LOOKUP(F150,{0,170,175,180,185,190,195,199,203,207,211,215,219,223,227,231,235,243,250,255,260},{0,10,20,30,40,50,60,62,64,66,68,70,72,74,76,78,80,85,90,95,100})</f>
        <v>90</v>
      </c>
      <c r="H150" s="52">
        <v>11</v>
      </c>
      <c r="I150" s="40">
        <f>LOOKUP(H150,{0,2,3,4,5,6,7,8,9,10,11,12,13,14,15,16},{0,10,20,30,40,50,60,64,68,72,76,80,85,90,95,100})</f>
        <v>76</v>
      </c>
      <c r="J150" s="34"/>
      <c r="K150" s="34"/>
      <c r="L150" s="7">
        <f>I150+K150</f>
        <v>76</v>
      </c>
      <c r="M150" s="52">
        <v>7</v>
      </c>
      <c r="N150" s="43">
        <f>13-M150</f>
        <v>6</v>
      </c>
      <c r="O150" s="40">
        <f>LOOKUP(N150,{0,2.5,2.7,2.9,3.1,3.3,3.5,3.7,3.9,4.1,4.3,4.5,4.7,4.9,5.1,5.3,5.5,5.6,5.7,5.8,5.9},{0,10,20,30,40,50,60,62,64,66,68,70,72,74,76,78,80,85,90,95,100})</f>
        <v>100</v>
      </c>
      <c r="P150" s="52">
        <v>3.59</v>
      </c>
      <c r="Q150" s="6">
        <f>10-P150</f>
        <v>6.41</v>
      </c>
      <c r="R150" s="40">
        <f>LOOKUP(Q150,{0,3.75,3.95,4.55,4.75,4.95,5.55,5.6,5.65,5.7,5.75,5.8,5.85,5.9,5.95,6,6.45,6.53,6.6,6.65,6.7},{0,10,20,30,40,50,60,62,64,66,68,70,72,74,76,78,80,85,90,95,100})</f>
        <v>78</v>
      </c>
      <c r="S150" s="34"/>
      <c r="T150" s="34"/>
      <c r="U150" s="7">
        <f>R150+T150</f>
        <v>78</v>
      </c>
      <c r="V150" s="52"/>
      <c r="W150" s="7">
        <f>E150*0.1+G150*0.1+I150*0.1+O150*0.2+R150*0.2</f>
        <v>59</v>
      </c>
      <c r="X150" s="21">
        <f>W150/0.7+K150+T150</f>
        <v>84.2857142857143</v>
      </c>
    </row>
    <row r="151" ht="15.6" hidden="1" spans="1:24">
      <c r="A151" s="6">
        <v>116</v>
      </c>
      <c r="B151" s="29" t="s">
        <v>795</v>
      </c>
      <c r="C151" s="29" t="s">
        <v>11</v>
      </c>
      <c r="D151" s="6">
        <v>2.5</v>
      </c>
      <c r="E151" s="40">
        <f>LOOKUP(D151,{0,-4,-3,-2,-1,0,1,2.4,3.8,5.2,6.6,8,9.4,10.8,12.2,13.6,15,17.2,19.4,21.5,23.6},{0,10,20,30,40,50,60,62,64,66,68,70,72,74,76,78,80,85,90,95,100})</f>
        <v>62</v>
      </c>
      <c r="F151" s="6">
        <v>240</v>
      </c>
      <c r="G151" s="40">
        <f>LOOKUP(F151,{0,170,175,180,185,190,195,199,203,207,211,215,219,223,227,231,235,243,250,255,260},{0,10,20,30,40,50,60,62,64,66,68,70,72,74,76,78,80,85,90,95,100})</f>
        <v>80</v>
      </c>
      <c r="H151" s="6">
        <v>28</v>
      </c>
      <c r="I151" s="40">
        <f>LOOKUP(H151,{0,2,3,4,5,6,7,8,9,10,11,12,13,14,15,16},{0,10,20,30,40,50,60,64,68,72,76,80,85,90,95,100})</f>
        <v>100</v>
      </c>
      <c r="J151" s="7">
        <f>H151-16</f>
        <v>12</v>
      </c>
      <c r="K151" s="40">
        <f>LOOKUP(J151,{0,1,2,3,4,5,6,7,8,9,10},{0,1,2,3,4,5,6,7,8,9,10})</f>
        <v>10</v>
      </c>
      <c r="L151" s="7">
        <f>I151+K151</f>
        <v>110</v>
      </c>
      <c r="M151" s="6">
        <v>7</v>
      </c>
      <c r="N151" s="43">
        <f>13-M151</f>
        <v>6</v>
      </c>
      <c r="O151" s="40">
        <f>LOOKUP(N151,{0,2.5,2.7,2.9,3.1,3.3,3.5,3.7,3.9,4.1,4.3,4.5,4.7,4.9,5.1,5.3,5.5,5.6,5.7,5.8,5.9},{0,10,20,30,40,50,60,62,64,66,68,70,72,74,76,78,80,85,90,95,100})</f>
        <v>100</v>
      </c>
      <c r="P151" s="6">
        <v>4.02</v>
      </c>
      <c r="Q151" s="6">
        <f>10-P151</f>
        <v>5.98</v>
      </c>
      <c r="R151" s="40">
        <f>LOOKUP(Q151,{0,3.75,3.95,4.55,4.75,4.95,5.55,5.6,5.65,5.7,5.75,5.8,5.85,5.9,5.95,6,6.45,6.53,6.6,6.65,6.7},{0,10,20,30,40,50,60,62,64,66,68,70,72,74,76,78,80,85,90,95,100})</f>
        <v>76</v>
      </c>
      <c r="S151" s="7"/>
      <c r="T151" s="7"/>
      <c r="U151" s="7">
        <f>R151+T151</f>
        <v>76</v>
      </c>
      <c r="W151" s="7">
        <f>E151*0.1+G151*0.1+I151*0.1+O151*0.2+R151*0.2</f>
        <v>59.4</v>
      </c>
      <c r="X151" s="21">
        <f>W151/0.7+K151+T151</f>
        <v>94.8571428571429</v>
      </c>
    </row>
    <row r="152" ht="15.6" hidden="1" spans="1:24">
      <c r="A152" s="6">
        <v>110</v>
      </c>
      <c r="B152" s="29" t="s">
        <v>467</v>
      </c>
      <c r="C152" s="29" t="s">
        <v>11</v>
      </c>
      <c r="D152" s="6">
        <v>20.2</v>
      </c>
      <c r="E152" s="40">
        <f>LOOKUP(D152,{0,-4,-3,-2,-1,0,1,2.4,3.8,5.2,6.6,8,9.4,10.8,12.2,13.6,15,17.2,19.4,21.5,23.6},{0,10,20,30,40,50,60,62,64,66,68,70,72,74,76,78,80,85,90,95,100})</f>
        <v>90</v>
      </c>
      <c r="F152" s="6">
        <v>252</v>
      </c>
      <c r="G152" s="40">
        <f>LOOKUP(F152,{0,170,175,180,185,190,195,199,203,207,211,215,219,223,227,231,235,243,250,255,260},{0,10,20,30,40,50,60,62,64,66,68,70,72,74,76,78,80,85,90,95,100})</f>
        <v>90</v>
      </c>
      <c r="H152" s="6">
        <v>25</v>
      </c>
      <c r="I152" s="40">
        <f>LOOKUP(H152,{0,2,3,4,5,6,7,8,9,10,11,12,13,14,15,16},{0,10,20,30,40,50,60,64,68,72,76,80,85,90,95,100})</f>
        <v>100</v>
      </c>
      <c r="J152" s="7">
        <f>H152-16</f>
        <v>9</v>
      </c>
      <c r="K152" s="40">
        <f>LOOKUP(J152,{0,1,2,3,4,5,6,7,8,9,10},{0,1,2,3,4,5,6,7,8,9,10})</f>
        <v>9</v>
      </c>
      <c r="L152" s="7">
        <f>I152+K152</f>
        <v>109</v>
      </c>
      <c r="M152" s="6">
        <v>7</v>
      </c>
      <c r="N152" s="43">
        <f>13-M152</f>
        <v>6</v>
      </c>
      <c r="O152" s="40">
        <f>LOOKUP(N152,{0,2.5,2.7,2.9,3.1,3.3,3.5,3.7,3.9,4.1,4.3,4.5,4.7,4.9,5.1,5.3,5.5,5.6,5.7,5.8,5.9},{0,10,20,30,40,50,60,62,64,66,68,70,72,74,76,78,80,85,90,95,100})</f>
        <v>100</v>
      </c>
      <c r="P152" s="6">
        <v>4.03</v>
      </c>
      <c r="Q152" s="6">
        <f>10-P152</f>
        <v>5.97</v>
      </c>
      <c r="R152" s="40">
        <f>LOOKUP(Q152,{0,3.75,3.95,4.55,4.75,4.95,5.55,5.6,5.65,5.7,5.75,5.8,5.85,5.9,5.95,6,6.45,6.53,6.6,6.65,6.7},{0,10,20,30,40,50,60,62,64,66,68,70,72,74,76,78,80,85,90,95,100})</f>
        <v>76</v>
      </c>
      <c r="S152" s="7"/>
      <c r="T152" s="7"/>
      <c r="U152" s="7">
        <f>R152+T152</f>
        <v>76</v>
      </c>
      <c r="W152" s="7">
        <f>E152*0.1+G152*0.1+I152*0.1+O152*0.2+R152*0.2</f>
        <v>63.2</v>
      </c>
      <c r="X152" s="21">
        <f>W152/0.7+K152+T152</f>
        <v>99.2857142857143</v>
      </c>
    </row>
    <row r="153" s="3" customFormat="1" ht="15.6" hidden="1" spans="1:24">
      <c r="A153" s="6">
        <v>102</v>
      </c>
      <c r="B153" s="29" t="s">
        <v>98</v>
      </c>
      <c r="C153" s="29" t="s">
        <v>11</v>
      </c>
      <c r="D153" s="6">
        <v>10</v>
      </c>
      <c r="E153" s="40">
        <f>LOOKUP(D153,{0,-4,-3,-2,-1,0,1,2.4,3.8,5.2,6.6,8,9.4,10.8,12.2,13.6,15,17.2,19.4,21.5,23.6},{0,10,20,30,40,50,60,62,64,66,68,70,72,74,76,78,80,85,90,95,100})</f>
        <v>72</v>
      </c>
      <c r="F153" s="6">
        <v>209</v>
      </c>
      <c r="G153" s="40">
        <f>LOOKUP(F153,{0,170,175,180,185,190,195,199,203,207,211,215,219,223,227,231,235,243,250,255,260},{0,10,20,30,40,50,60,62,64,66,68,70,72,74,76,78,80,85,90,95,100})</f>
        <v>66</v>
      </c>
      <c r="H153" s="6">
        <v>16</v>
      </c>
      <c r="I153" s="40">
        <f>LOOKUP(H153,{0,2,3,4,5,6,7,8,9,10,11,12,13,14,15,16},{0,10,20,30,40,50,60,64,68,72,76,80,85,90,95,100})</f>
        <v>100</v>
      </c>
      <c r="J153" s="7">
        <f>H153-16</f>
        <v>0</v>
      </c>
      <c r="K153" s="40">
        <f>LOOKUP(J153,{0,1,2,3,4,5,6,7,8,9,10},{0,1,2,3,4,5,6,7,8,9,10})</f>
        <v>0</v>
      </c>
      <c r="L153" s="7">
        <f>I153+K153</f>
        <v>100</v>
      </c>
      <c r="M153" s="6">
        <v>7</v>
      </c>
      <c r="N153" s="43">
        <f>13-M153</f>
        <v>6</v>
      </c>
      <c r="O153" s="40">
        <f>LOOKUP(N153,{0,2.5,2.7,2.9,3.1,3.3,3.5,3.7,3.9,4.1,4.3,4.5,4.7,4.9,5.1,5.3,5.5,5.6,5.7,5.8,5.9},{0,10,20,30,40,50,60,62,64,66,68,70,72,74,76,78,80,85,90,95,100})</f>
        <v>100</v>
      </c>
      <c r="P153" s="6">
        <v>4.03</v>
      </c>
      <c r="Q153" s="6">
        <f>10-P153</f>
        <v>5.97</v>
      </c>
      <c r="R153" s="40">
        <f>LOOKUP(Q153,{0,3.75,3.95,4.55,4.75,4.95,5.55,5.6,5.65,5.7,5.75,5.8,5.85,5.9,5.95,6,6.45,6.53,6.6,6.65,6.7},{0,10,20,30,40,50,60,62,64,66,68,70,72,74,76,78,80,85,90,95,100})</f>
        <v>76</v>
      </c>
      <c r="S153" s="7"/>
      <c r="T153" s="7"/>
      <c r="U153" s="7">
        <f>R153+T153</f>
        <v>76</v>
      </c>
      <c r="V153" s="6"/>
      <c r="W153" s="7">
        <f>E153*0.1+G153*0.1+I153*0.1+O153*0.2+R153*0.2</f>
        <v>59</v>
      </c>
      <c r="X153" s="21">
        <f>W153/0.7+K153+T153</f>
        <v>84.2857142857143</v>
      </c>
    </row>
    <row r="154" ht="15.6" hidden="1" spans="1:24">
      <c r="A154" s="6">
        <v>111</v>
      </c>
      <c r="B154" s="29" t="s">
        <v>536</v>
      </c>
      <c r="C154" s="29" t="s">
        <v>11</v>
      </c>
      <c r="D154" s="6">
        <v>2.1</v>
      </c>
      <c r="E154" s="40">
        <f>LOOKUP(D154,{0,-4,-3,-2,-1,0,1,2.4,3.8,5.2,6.6,8,9.4,10.8,12.2,13.6,15,17.2,19.4,21.5,23.6},{0,10,20,30,40,50,60,62,64,66,68,70,72,74,76,78,80,85,90,95,100})</f>
        <v>60</v>
      </c>
      <c r="F154" s="6">
        <v>253</v>
      </c>
      <c r="G154" s="40">
        <f>LOOKUP(F154,{0,170,175,180,185,190,195,199,203,207,211,215,219,223,227,231,235,243,250,255,260},{0,10,20,30,40,50,60,62,64,66,68,70,72,74,76,78,80,85,90,95,100})</f>
        <v>90</v>
      </c>
      <c r="H154" s="6">
        <v>15</v>
      </c>
      <c r="I154" s="40">
        <f>LOOKUP(H154,{0,2,3,4,5,6,7,8,9,10,11,12,13,14,15,16},{0,10,20,30,40,50,60,64,68,72,76,80,85,90,95,100})</f>
        <v>95</v>
      </c>
      <c r="J154" s="7"/>
      <c r="K154" s="7"/>
      <c r="L154" s="7">
        <f>I154+K154</f>
        <v>95</v>
      </c>
      <c r="M154" s="6">
        <v>7</v>
      </c>
      <c r="N154" s="43">
        <f>13-M154</f>
        <v>6</v>
      </c>
      <c r="O154" s="40">
        <f>LOOKUP(N154,{0,2.5,2.7,2.9,3.1,3.3,3.5,3.7,3.9,4.1,4.3,4.5,4.7,4.9,5.1,5.3,5.5,5.6,5.7,5.8,5.9},{0,10,20,30,40,50,60,62,64,66,68,70,72,74,76,78,80,85,90,95,100})</f>
        <v>100</v>
      </c>
      <c r="P154" s="6">
        <v>4.06</v>
      </c>
      <c r="Q154" s="6">
        <f>10-P154</f>
        <v>5.94</v>
      </c>
      <c r="R154" s="40">
        <f>LOOKUP(Q154,{0,3.75,3.95,4.55,4.75,4.95,5.55,5.6,5.65,5.7,5.75,5.8,5.85,5.9,5.95,6,6.45,6.53,6.6,6.65,6.7},{0,10,20,30,40,50,60,62,64,66,68,70,72,74,76,78,80,85,90,95,100})</f>
        <v>74</v>
      </c>
      <c r="S154" s="7"/>
      <c r="T154" s="7"/>
      <c r="U154" s="7">
        <f>R154+T154</f>
        <v>74</v>
      </c>
      <c r="W154" s="7">
        <f>E154*0.1+G154*0.1+I154*0.1+O154*0.2+R154*0.2</f>
        <v>59.3</v>
      </c>
      <c r="X154" s="21">
        <f>W154/0.7+K154+T154</f>
        <v>84.7142857142857</v>
      </c>
    </row>
    <row r="155" ht="15.6" hidden="1" spans="1:24">
      <c r="A155" s="6">
        <v>115</v>
      </c>
      <c r="B155" s="29" t="s">
        <v>745</v>
      </c>
      <c r="C155" s="29" t="s">
        <v>11</v>
      </c>
      <c r="D155" s="6">
        <v>19.2</v>
      </c>
      <c r="E155" s="40">
        <f>LOOKUP(D155,{0,-4,-3,-2,-1,0,1,2.4,3.8,5.2,6.6,8,9.4,10.8,12.2,13.6,15,17.2,19.4,21.5,23.6},{0,10,20,30,40,50,60,62,64,66,68,70,72,74,76,78,80,85,90,95,100})</f>
        <v>85</v>
      </c>
      <c r="F155" s="6">
        <v>205</v>
      </c>
      <c r="G155" s="40">
        <f>LOOKUP(F155,{0,170,175,180,185,190,195,199,203,207,211,215,219,223,227,231,235,243,250,255,260},{0,10,20,30,40,50,60,62,64,66,68,70,72,74,76,78,80,85,90,95,100})</f>
        <v>64</v>
      </c>
      <c r="H155" s="6">
        <v>6</v>
      </c>
      <c r="I155" s="40">
        <f>LOOKUP(H155,{0,2,3,4,5,6,7,8,9,10,11,12,13,14,15,16},{0,10,20,30,40,50,60,64,68,72,76,80,85,90,95,100})</f>
        <v>50</v>
      </c>
      <c r="J155" s="7"/>
      <c r="K155" s="7"/>
      <c r="L155" s="7">
        <f>I155+K155</f>
        <v>50</v>
      </c>
      <c r="M155" s="6">
        <v>7</v>
      </c>
      <c r="N155" s="43">
        <f>13-M155</f>
        <v>6</v>
      </c>
      <c r="O155" s="40">
        <f>LOOKUP(N155,{0,2.5,2.7,2.9,3.1,3.3,3.5,3.7,3.9,4.1,4.3,4.5,4.7,4.9,5.1,5.3,5.5,5.6,5.7,5.8,5.9},{0,10,20,30,40,50,60,62,64,66,68,70,72,74,76,78,80,85,90,95,100})</f>
        <v>100</v>
      </c>
      <c r="P155" s="6">
        <v>4.06</v>
      </c>
      <c r="Q155" s="6">
        <f>10-P155</f>
        <v>5.94</v>
      </c>
      <c r="R155" s="40">
        <f>LOOKUP(Q155,{0,3.75,3.95,4.55,4.75,4.95,5.55,5.6,5.65,5.7,5.75,5.8,5.85,5.9,5.95,6,6.45,6.53,6.6,6.65,6.7},{0,10,20,30,40,50,60,62,64,66,68,70,72,74,76,78,80,85,90,95,100})</f>
        <v>74</v>
      </c>
      <c r="S155" s="7"/>
      <c r="T155" s="7"/>
      <c r="U155" s="7">
        <f>R155+T155</f>
        <v>74</v>
      </c>
      <c r="W155" s="7">
        <f>E155*0.1+G155*0.1+I155*0.1+O155*0.2+R155*0.2</f>
        <v>54.7</v>
      </c>
      <c r="X155" s="21">
        <f>W155/0.7+K155+T155</f>
        <v>78.1428571428572</v>
      </c>
    </row>
    <row r="156" ht="15.6" hidden="1" spans="1:24">
      <c r="A156" s="6">
        <v>111</v>
      </c>
      <c r="B156" s="6" t="s">
        <v>540</v>
      </c>
      <c r="C156" s="30" t="s">
        <v>11</v>
      </c>
      <c r="D156" s="6">
        <v>10</v>
      </c>
      <c r="E156" s="40">
        <f>LOOKUP(D156,{0,-4,-3,-2,-1,0,1,2.4,3.8,5.2,6.6,8,9.4,10.8,12.2,13.6,15,17.2,19.4,21.5,23.6},{0,10,20,30,40,50,60,62,64,66,68,70,72,74,76,78,80,85,90,95,100})</f>
        <v>72</v>
      </c>
      <c r="F156" s="6">
        <v>241</v>
      </c>
      <c r="G156" s="40">
        <f>LOOKUP(F156,{0,170,175,180,185,190,195,199,203,207,211,215,219,223,227,231,235,243,250,255,260},{0,10,20,30,40,50,60,62,64,66,68,70,72,74,76,78,80,85,90,95,100})</f>
        <v>80</v>
      </c>
      <c r="H156" s="6">
        <v>16</v>
      </c>
      <c r="I156" s="40">
        <f>LOOKUP(H156,{0,2,3,4,5,6,7,8,9,10,11,12,13,14,15,16},{0,10,20,30,40,50,60,64,68,72,76,80,85,90,95,100})</f>
        <v>100</v>
      </c>
      <c r="J156" s="7">
        <f>H156-16</f>
        <v>0</v>
      </c>
      <c r="K156" s="40">
        <f>LOOKUP(J156,{0,1,2,3,4,5,6,7,8,9,10},{0,1,2,3,4,5,6,7,8,9,10})</f>
        <v>0</v>
      </c>
      <c r="L156" s="7">
        <f>I156+K156</f>
        <v>100</v>
      </c>
      <c r="M156" s="6">
        <v>7</v>
      </c>
      <c r="N156" s="43">
        <f>13-M156</f>
        <v>6</v>
      </c>
      <c r="O156" s="40">
        <f>LOOKUP(N156,{0,2.5,2.7,2.9,3.1,3.3,3.5,3.7,3.9,4.1,4.3,4.5,4.7,4.9,5.1,5.3,5.5,5.6,5.7,5.8,5.9},{0,10,20,30,40,50,60,62,64,66,68,70,72,74,76,78,80,85,90,95,100})</f>
        <v>100</v>
      </c>
      <c r="P156" s="6">
        <v>4.1</v>
      </c>
      <c r="Q156" s="6">
        <f>10-P156</f>
        <v>5.9</v>
      </c>
      <c r="R156" s="40">
        <f>LOOKUP(Q156,{0,3.75,3.95,4.55,4.75,4.95,5.55,5.6,5.65,5.7,5.75,5.8,5.85,5.9,5.95,6,6.45,6.53,6.6,6.65,6.7},{0,10,20,30,40,50,60,62,64,66,68,70,72,74,76,78,80,85,90,95,100})</f>
        <v>74</v>
      </c>
      <c r="S156" s="7"/>
      <c r="T156" s="7"/>
      <c r="U156" s="7">
        <f>R156+T156</f>
        <v>74</v>
      </c>
      <c r="W156" s="7">
        <f>E156*0.1+G156*0.1+I156*0.1+O156*0.2+R156*0.2</f>
        <v>60</v>
      </c>
      <c r="X156" s="21">
        <f>W156/0.7+K156+T156</f>
        <v>85.7142857142857</v>
      </c>
    </row>
    <row r="157" ht="15.6" hidden="1" spans="1:24">
      <c r="A157" s="6">
        <v>101</v>
      </c>
      <c r="B157" s="29" t="s">
        <v>25</v>
      </c>
      <c r="C157" s="29" t="s">
        <v>11</v>
      </c>
      <c r="D157" s="6">
        <v>13</v>
      </c>
      <c r="E157" s="40">
        <f>LOOKUP(D157,{0,-4,-3,-2,-1,0,1,2.4,3.8,5.2,6.6,8,9.4,10.8,12.2,13.6,15,17.2,19.4,21.5,23.6},{0,10,20,30,40,50,60,62,64,66,68,70,72,74,76,78,80,85,90,95,100})</f>
        <v>76</v>
      </c>
      <c r="F157" s="6">
        <v>257</v>
      </c>
      <c r="G157" s="40">
        <f>LOOKUP(F157,{0,170,175,180,185,190,195,199,203,207,211,215,219,223,227,231,235,243,250,255,260},{0,10,20,30,40,50,60,62,64,66,68,70,72,74,76,78,80,85,90,95,100})</f>
        <v>95</v>
      </c>
      <c r="H157" s="6">
        <v>11</v>
      </c>
      <c r="I157" s="40">
        <f>LOOKUP(H157,{0,2,3,4,5,6,7,8,9,10,11,12,13,14,15,16},{0,10,20,30,40,50,60,64,68,72,76,80,85,90,95,100})</f>
        <v>76</v>
      </c>
      <c r="J157" s="7"/>
      <c r="K157" s="7"/>
      <c r="L157" s="7">
        <f>I157+K157</f>
        <v>76</v>
      </c>
      <c r="M157" s="6">
        <v>7</v>
      </c>
      <c r="N157" s="43">
        <f>13-M157</f>
        <v>6</v>
      </c>
      <c r="O157" s="40">
        <f>LOOKUP(N157,{0,2.5,2.7,2.9,3.1,3.3,3.5,3.7,3.9,4.1,4.3,4.5,4.7,4.9,5.1,5.3,5.5,5.6,5.7,5.8,5.9},{0,10,20,30,40,50,60,62,64,66,68,70,72,74,76,78,80,85,90,95,100})</f>
        <v>100</v>
      </c>
      <c r="R157" s="40"/>
      <c r="S157" s="7"/>
      <c r="T157" s="40"/>
      <c r="U157" s="7"/>
      <c r="V157" s="6" t="s">
        <v>26</v>
      </c>
      <c r="W157" s="7">
        <f>E157*0.1+G157*0.1+I157*0.1+O157*0.2+R157*0.2</f>
        <v>44.7</v>
      </c>
      <c r="X157" s="21">
        <f>W157/0.7+K157+T157</f>
        <v>63.8571428571429</v>
      </c>
    </row>
    <row r="158" ht="15.6" hidden="1" spans="1:24">
      <c r="A158" s="6">
        <v>105</v>
      </c>
      <c r="B158" s="29" t="s">
        <v>221</v>
      </c>
      <c r="C158" s="29" t="s">
        <v>11</v>
      </c>
      <c r="D158" s="6"/>
      <c r="E158" s="40"/>
      <c r="F158" s="6"/>
      <c r="G158" s="40"/>
      <c r="H158" s="6"/>
      <c r="I158" s="40"/>
      <c r="J158" s="7"/>
      <c r="K158" s="7"/>
      <c r="L158" s="7"/>
      <c r="M158" s="6">
        <v>7</v>
      </c>
      <c r="N158" s="43">
        <f>13-M158</f>
        <v>6</v>
      </c>
      <c r="O158" s="40">
        <f>LOOKUP(N158,{0,2.5,2.7,2.9,3.1,3.3,3.5,3.7,3.9,4.1,4.3,4.5,4.7,4.9,5.1,5.3,5.5,5.6,5.7,5.8,5.9},{0,10,20,30,40,50,60,62,64,66,68,70,72,74,76,78,80,85,90,95,100})</f>
        <v>100</v>
      </c>
      <c r="R158" s="40"/>
      <c r="S158" s="7"/>
      <c r="T158" s="40"/>
      <c r="U158" s="7"/>
      <c r="V158" s="6" t="s">
        <v>222</v>
      </c>
      <c r="W158" s="7">
        <f>E158*0.1+G158*0.1+I158*0.1+O158*0.2+R158*0.2</f>
        <v>20</v>
      </c>
      <c r="X158" s="21">
        <v>50</v>
      </c>
    </row>
    <row r="159" ht="15.6" hidden="1" spans="1:24">
      <c r="A159" s="6">
        <v>115</v>
      </c>
      <c r="B159" s="39" t="s">
        <v>729</v>
      </c>
      <c r="C159" s="29" t="s">
        <v>11</v>
      </c>
      <c r="D159" s="6">
        <v>20.9</v>
      </c>
      <c r="E159" s="40">
        <f>LOOKUP(D159,{0,-4,-3,-2,-1,0,1,2.4,3.8,5.2,6.6,8,9.4,10.8,12.2,13.6,15,17.2,19.4,21.5,23.6},{0,10,20,30,40,50,60,62,64,66,68,70,72,74,76,78,80,85,90,95,100})</f>
        <v>90</v>
      </c>
      <c r="F159" s="6">
        <v>256</v>
      </c>
      <c r="G159" s="40">
        <f>LOOKUP(F159,{0,170,175,180,185,190,195,199,203,207,211,215,219,223,227,231,235,243,250,255,260},{0,10,20,30,40,50,60,62,64,66,68,70,72,74,76,78,80,85,90,95,100})</f>
        <v>95</v>
      </c>
      <c r="H159" s="6">
        <v>26</v>
      </c>
      <c r="I159" s="40">
        <f>LOOKUP(H159,{0,2,3,4,5,6,7,8,9,10,11,12,13,14,15,16},{0,10,20,30,40,50,60,64,68,72,76,80,85,90,95,100})</f>
        <v>100</v>
      </c>
      <c r="J159" s="7">
        <f>H159-16</f>
        <v>10</v>
      </c>
      <c r="K159" s="40">
        <f>LOOKUP(J159,{0,1,2,3,4,5,6,7,8,9,10},{0,1,2,3,4,5,6,7,8,9,10})</f>
        <v>10</v>
      </c>
      <c r="L159" s="7">
        <f>I159+K159</f>
        <v>110</v>
      </c>
      <c r="M159" s="6">
        <v>7.1</v>
      </c>
      <c r="N159" s="43">
        <f>13-M159</f>
        <v>5.9</v>
      </c>
      <c r="O159" s="40">
        <f>LOOKUP(N159,{0,2.5,2.7,2.9,3.1,3.3,3.5,3.7,3.9,4.1,4.3,4.5,4.7,4.9,5.1,5.3,5.5,5.6,5.7,5.8,5.9},{0,10,20,30,40,50,60,62,64,66,68,70,72,74,76,78,80,85,90,95,100})</f>
        <v>100</v>
      </c>
      <c r="P159" s="6">
        <v>3.1</v>
      </c>
      <c r="Q159" s="6">
        <f>10-P159</f>
        <v>6.9</v>
      </c>
      <c r="R159" s="40">
        <f>LOOKUP(Q159,{0,3.75,3.95,4.55,4.75,4.95,5.55,5.6,5.65,5.7,5.75,5.8,5.85,5.9,5.95,6,6.45,6.53,6.6,6.65,6.7},{0,10,20,30,40,50,60,62,64,66,68,70,72,74,76,78,80,85,90,95,100})</f>
        <v>100</v>
      </c>
      <c r="S159" s="7">
        <f>3.3-P159</f>
        <v>0.2</v>
      </c>
      <c r="T159" s="40">
        <f>LOOKUP(S159,{0,0.04,0.08,0.12,0.16,0.2,0.23,0.26,0.29,0.32,0.35},{0,1,2,3,4,5,6,7,8,9,10})</f>
        <v>4</v>
      </c>
      <c r="U159" s="7">
        <f>R159+T159</f>
        <v>104</v>
      </c>
      <c r="W159" s="7">
        <f>E159*0.1+G159*0.1+I159*0.1+O159*0.2+R159*0.2</f>
        <v>68.5</v>
      </c>
      <c r="X159" s="21">
        <f>W159/0.7+K159+T159</f>
        <v>111.857142857143</v>
      </c>
    </row>
    <row r="160" ht="15.6" hidden="1" spans="1:24">
      <c r="A160" s="6">
        <v>101</v>
      </c>
      <c r="B160" s="29" t="s">
        <v>43</v>
      </c>
      <c r="C160" s="29" t="s">
        <v>11</v>
      </c>
      <c r="D160" s="6">
        <v>12</v>
      </c>
      <c r="E160" s="40">
        <f>LOOKUP(D160,{0,-4,-3,-2,-1,0,1,2.4,3.8,5.2,6.6,8,9.4,10.8,12.2,13.6,15,17.2,19.4,21.5,23.6},{0,10,20,30,40,50,60,62,64,66,68,70,72,74,76,78,80,85,90,95,100})</f>
        <v>74</v>
      </c>
      <c r="F160" s="6">
        <v>230</v>
      </c>
      <c r="G160" s="40">
        <f>LOOKUP(F160,{0,170,175,180,185,190,195,199,203,207,211,215,219,223,227,231,235,243,250,255,260},{0,10,20,30,40,50,60,62,64,66,68,70,72,74,76,78,80,85,90,95,100})</f>
        <v>76</v>
      </c>
      <c r="H160" s="6">
        <v>17</v>
      </c>
      <c r="I160" s="40">
        <f>LOOKUP(H160,{0,2,3,4,5,6,7,8,9,10,11,12,13,14,15,16},{0,10,20,30,40,50,60,64,68,72,76,80,85,90,95,100})</f>
        <v>100</v>
      </c>
      <c r="J160" s="7">
        <f>H160-16</f>
        <v>1</v>
      </c>
      <c r="K160" s="40">
        <f>LOOKUP(J160,{0,1,2,3,4,5,6,7,8,9,10},{0,1,2,3,4,5,6,7,8,9,10})</f>
        <v>1</v>
      </c>
      <c r="L160" s="7">
        <f>I160+K160</f>
        <v>101</v>
      </c>
      <c r="M160" s="6">
        <v>7.1</v>
      </c>
      <c r="N160" s="43">
        <f>13-M160</f>
        <v>5.9</v>
      </c>
      <c r="O160" s="40">
        <f>LOOKUP(N160,{0,2.5,2.7,2.9,3.1,3.3,3.5,3.7,3.9,4.1,4.3,4.5,4.7,4.9,5.1,5.3,5.5,5.6,5.7,5.8,5.9},{0,10,20,30,40,50,60,62,64,66,68,70,72,74,76,78,80,85,90,95,100})</f>
        <v>100</v>
      </c>
      <c r="P160" s="6">
        <v>3.21</v>
      </c>
      <c r="Q160" s="6">
        <f>10-P160</f>
        <v>6.79</v>
      </c>
      <c r="R160" s="40">
        <f>LOOKUP(Q160,{0,3.75,3.95,4.55,4.75,4.95,5.55,5.6,5.65,5.7,5.75,5.8,5.85,5.9,5.95,6,6.45,6.53,6.6,6.65,6.7},{0,10,20,30,40,50,60,62,64,66,68,70,72,74,76,78,80,85,90,95,100})</f>
        <v>100</v>
      </c>
      <c r="S160" s="7">
        <f>3.3-P160</f>
        <v>0.0899999999999999</v>
      </c>
      <c r="T160" s="40">
        <f>LOOKUP(S160,{0,0.04,0.08,0.12,0.16,0.2,0.23,0.26,0.29,0.32,0.35},{0,1,2,3,4,5,6,7,8,9,10})</f>
        <v>2</v>
      </c>
      <c r="U160" s="7">
        <f>R160+T160</f>
        <v>102</v>
      </c>
      <c r="W160" s="7">
        <f>E160*0.1+G160*0.1+I160*0.1+O160*0.2+R160*0.2</f>
        <v>65</v>
      </c>
      <c r="X160" s="21">
        <f>W160/0.7+K160+T160</f>
        <v>95.8571428571429</v>
      </c>
    </row>
    <row r="161" ht="15.6" hidden="1" spans="1:24">
      <c r="A161" s="6">
        <v>116</v>
      </c>
      <c r="B161" s="29" t="s">
        <v>803</v>
      </c>
      <c r="C161" s="29" t="s">
        <v>11</v>
      </c>
      <c r="D161" s="6">
        <v>4</v>
      </c>
      <c r="E161" s="40">
        <f>LOOKUP(D161,{0,-4,-3,-2,-1,0,1,2.4,3.8,5.2,6.6,8,9.4,10.8,12.2,13.6,15,17.2,19.4,21.5,23.6},{0,10,20,30,40,50,60,62,64,66,68,70,72,74,76,78,80,85,90,95,100})</f>
        <v>64</v>
      </c>
      <c r="F161" s="6">
        <v>251</v>
      </c>
      <c r="G161" s="40">
        <f>LOOKUP(F161,{0,170,175,180,185,190,195,199,203,207,211,215,219,223,227,231,235,243,250,255,260},{0,10,20,30,40,50,60,62,64,66,68,70,72,74,76,78,80,85,90,95,100})</f>
        <v>90</v>
      </c>
      <c r="H161" s="6">
        <v>19</v>
      </c>
      <c r="I161" s="40">
        <f>LOOKUP(H161,{0,2,3,4,5,6,7,8,9,10,11,12,13,14,15,16},{0,10,20,30,40,50,60,64,68,72,76,80,85,90,95,100})</f>
        <v>100</v>
      </c>
      <c r="J161" s="7">
        <f>H161-16</f>
        <v>3</v>
      </c>
      <c r="K161" s="40">
        <f>LOOKUP(J161,{0,1,2,3,4,5,6,7,8,9,10},{0,1,2,3,4,5,6,7,8,9,10})</f>
        <v>3</v>
      </c>
      <c r="L161" s="7">
        <f>I161+K161</f>
        <v>103</v>
      </c>
      <c r="M161" s="6">
        <v>7.1</v>
      </c>
      <c r="N161" s="43">
        <f>13-M161</f>
        <v>5.9</v>
      </c>
      <c r="O161" s="40">
        <f>LOOKUP(N161,{0,2.5,2.7,2.9,3.1,3.3,3.5,3.7,3.9,4.1,4.3,4.5,4.7,4.9,5.1,5.3,5.5,5.6,5.7,5.8,5.9},{0,10,20,30,40,50,60,62,64,66,68,70,72,74,76,78,80,85,90,95,100})</f>
        <v>100</v>
      </c>
      <c r="P161" s="6">
        <v>3.23</v>
      </c>
      <c r="Q161" s="6">
        <f>10-P161</f>
        <v>6.77</v>
      </c>
      <c r="R161" s="40">
        <f>LOOKUP(Q161,{0,3.75,3.95,4.55,4.75,4.95,5.55,5.6,5.65,5.7,5.75,5.8,5.85,5.9,5.95,6,6.45,6.53,6.6,6.65,6.7},{0,10,20,30,40,50,60,62,64,66,68,70,72,74,76,78,80,85,90,95,100})</f>
        <v>100</v>
      </c>
      <c r="S161" s="7">
        <f>3.3-P161</f>
        <v>0.0699999999999998</v>
      </c>
      <c r="T161" s="40">
        <f>LOOKUP(S161,{0,0.04,0.08,0.12,0.16,0.2,0.23,0.26,0.29,0.32,0.35},{0,1,2,3,4,5,6,7,8,9,10})</f>
        <v>1</v>
      </c>
      <c r="U161" s="7">
        <f>R161+T161</f>
        <v>101</v>
      </c>
      <c r="W161" s="7">
        <f>E161*0.1+G161*0.1+I161*0.1+O161*0.2+R161*0.2</f>
        <v>65.4</v>
      </c>
      <c r="X161" s="21">
        <f>W161/0.7+K161+T161</f>
        <v>97.4285714285714</v>
      </c>
    </row>
    <row r="162" ht="15.6" hidden="1" spans="1:24">
      <c r="A162" s="6">
        <v>115</v>
      </c>
      <c r="B162" s="29" t="s">
        <v>747</v>
      </c>
      <c r="C162" s="29" t="s">
        <v>11</v>
      </c>
      <c r="D162" s="6">
        <v>13.5</v>
      </c>
      <c r="E162" s="40">
        <f>LOOKUP(D162,{0,-4,-3,-2,-1,0,1,2.4,3.8,5.2,6.6,8,9.4,10.8,12.2,13.6,15,17.2,19.4,21.5,23.6},{0,10,20,30,40,50,60,62,64,66,68,70,72,74,76,78,80,85,90,95,100})</f>
        <v>76</v>
      </c>
      <c r="F162" s="6">
        <v>248</v>
      </c>
      <c r="G162" s="40">
        <f>LOOKUP(F162,{0,170,175,180,185,190,195,199,203,207,211,215,219,223,227,231,235,243,250,255,260},{0,10,20,30,40,50,60,62,64,66,68,70,72,74,76,78,80,85,90,95,100})</f>
        <v>85</v>
      </c>
      <c r="H162" s="6">
        <v>2</v>
      </c>
      <c r="I162" s="40">
        <f>LOOKUP(H162,{0,2,3,4,5,6,7,8,9,10,11,12,13,14,15,16},{0,10,20,30,40,50,60,64,68,72,76,80,85,90,95,100})</f>
        <v>10</v>
      </c>
      <c r="J162" s="7"/>
      <c r="K162" s="7"/>
      <c r="L162" s="7">
        <f>I162+K162</f>
        <v>10</v>
      </c>
      <c r="M162" s="6">
        <v>7.1</v>
      </c>
      <c r="N162" s="43">
        <f>13-M162</f>
        <v>5.9</v>
      </c>
      <c r="O162" s="40">
        <f>LOOKUP(N162,{0,2.5,2.7,2.9,3.1,3.3,3.5,3.7,3.9,4.1,4.3,4.5,4.7,4.9,5.1,5.3,5.5,5.6,5.7,5.8,5.9},{0,10,20,30,40,50,60,62,64,66,68,70,72,74,76,78,80,85,90,95,100})</f>
        <v>100</v>
      </c>
      <c r="P162" s="6">
        <v>3.23</v>
      </c>
      <c r="Q162" s="6">
        <f>10-P162</f>
        <v>6.77</v>
      </c>
      <c r="R162" s="40">
        <f>LOOKUP(Q162,{0,3.75,3.95,4.55,4.75,4.95,5.55,5.6,5.65,5.7,5.75,5.8,5.85,5.9,5.95,6,6.45,6.53,6.6,6.65,6.7},{0,10,20,30,40,50,60,62,64,66,68,70,72,74,76,78,80,85,90,95,100})</f>
        <v>100</v>
      </c>
      <c r="S162" s="7">
        <f>3.3-P162</f>
        <v>0.0699999999999998</v>
      </c>
      <c r="T162" s="40">
        <f>LOOKUP(S162,{0,0.04,0.08,0.12,0.16,0.2,0.23,0.26,0.29,0.32,0.35},{0,1,2,3,4,5,6,7,8,9,10})</f>
        <v>1</v>
      </c>
      <c r="U162" s="7">
        <f>R162+T162</f>
        <v>101</v>
      </c>
      <c r="W162" s="7">
        <f>E162*0.1+G162*0.1+I162*0.1+O162*0.2+R162*0.2</f>
        <v>57.1</v>
      </c>
      <c r="X162" s="21">
        <f>W162/0.7+K162+T162</f>
        <v>82.5714285714286</v>
      </c>
    </row>
    <row r="163" ht="15.6" hidden="1" spans="1:24">
      <c r="A163" s="52">
        <v>113</v>
      </c>
      <c r="B163" s="29" t="s">
        <v>628</v>
      </c>
      <c r="C163" s="29" t="s">
        <v>11</v>
      </c>
      <c r="D163" s="52">
        <v>9.5</v>
      </c>
      <c r="E163" s="40">
        <f>LOOKUP(D163,{0,-4,-3,-2,-1,0,1,2.4,3.8,5.2,6.6,8,9.4,10.8,12.2,13.6,15,17.2,19.4,21.5,23.6},{0,10,20,30,40,50,60,62,64,66,68,70,72,74,76,78,80,85,90,95,100})</f>
        <v>72</v>
      </c>
      <c r="F163" s="52">
        <v>221</v>
      </c>
      <c r="G163" s="40">
        <f>LOOKUP(F163,{0,170,175,180,185,190,195,199,203,207,211,215,219,223,227,231,235,243,250,255,260},{0,10,20,30,40,50,60,62,64,66,68,70,72,74,76,78,80,85,90,95,100})</f>
        <v>72</v>
      </c>
      <c r="H163" s="52">
        <v>9</v>
      </c>
      <c r="I163" s="40">
        <f>LOOKUP(H163,{0,2,3,4,5,6,7,8,9,10,11,12,13,14,15,16},{0,10,20,30,40,50,60,64,68,72,76,80,85,90,95,100})</f>
        <v>68</v>
      </c>
      <c r="J163" s="34"/>
      <c r="K163" s="34"/>
      <c r="L163" s="7">
        <f>I163+K163</f>
        <v>68</v>
      </c>
      <c r="M163" s="52">
        <v>7.1</v>
      </c>
      <c r="N163" s="43">
        <f>13-M163</f>
        <v>5.9</v>
      </c>
      <c r="O163" s="40">
        <f>LOOKUP(N163,{0,2.5,2.7,2.9,3.1,3.3,3.5,3.7,3.9,4.1,4.3,4.5,4.7,4.9,5.1,5.3,5.5,5.6,5.7,5.8,5.9},{0,10,20,30,40,50,60,62,64,66,68,70,72,74,76,78,80,85,90,95,100})</f>
        <v>100</v>
      </c>
      <c r="P163" s="52">
        <v>3.24</v>
      </c>
      <c r="Q163" s="6">
        <f>10-P163</f>
        <v>6.76</v>
      </c>
      <c r="R163" s="40">
        <f>LOOKUP(Q163,{0,3.75,3.95,4.55,4.75,4.95,5.55,5.6,5.65,5.7,5.75,5.8,5.85,5.9,5.95,6,6.45,6.53,6.6,6.65,6.7},{0,10,20,30,40,50,60,62,64,66,68,70,72,74,76,78,80,85,90,95,100})</f>
        <v>100</v>
      </c>
      <c r="S163" s="7">
        <f>3.3-P163</f>
        <v>0.0599999999999996</v>
      </c>
      <c r="T163" s="40">
        <f>LOOKUP(S163,{0,0.04,0.08,0.12,0.16,0.2,0.23,0.26,0.29,0.32,0.35},{0,1,2,3,4,5,6,7,8,9,10})</f>
        <v>1</v>
      </c>
      <c r="U163" s="7">
        <f>R163+T163</f>
        <v>101</v>
      </c>
      <c r="V163" s="52"/>
      <c r="W163" s="7">
        <f>E163*0.1+G163*0.1+I163*0.1+O163*0.2+R163*0.2</f>
        <v>61.2</v>
      </c>
      <c r="X163" s="21">
        <f>W163/0.7+K163+T163</f>
        <v>88.4285714285714</v>
      </c>
    </row>
    <row r="164" ht="15.6" hidden="1" spans="1:24">
      <c r="A164" s="6">
        <v>108</v>
      </c>
      <c r="B164" s="29" t="s">
        <v>364</v>
      </c>
      <c r="C164" s="29" t="s">
        <v>11</v>
      </c>
      <c r="D164" s="6">
        <v>0.2</v>
      </c>
      <c r="E164" s="40">
        <f>LOOKUP(D164,{0,-4,-3,-2,-1,0,1,2.4,3.8,5.2,6.6,8,9.4,10.8,12.2,13.6,15,17.2,19.4,21.5,23.6},{0,10,20,30,40,50,60,62,64,66,68,70,72,74,76,78,80,85,90,95,100})</f>
        <v>50</v>
      </c>
      <c r="F164" s="6">
        <v>206</v>
      </c>
      <c r="G164" s="40">
        <f>LOOKUP(F164,{0,170,175,180,185,190,195,199,203,207,211,215,219,223,227,231,235,243,250,255,260},{0,10,20,30,40,50,60,62,64,66,68,70,72,74,76,78,80,85,90,95,100})</f>
        <v>64</v>
      </c>
      <c r="H164" s="6">
        <v>4</v>
      </c>
      <c r="I164" s="40">
        <f>LOOKUP(H164,{0,2,3,4,5,6,7,8,9,10,11,12,13,14,15,16},{0,10,20,30,40,50,60,64,68,72,76,80,85,90,95,100})</f>
        <v>30</v>
      </c>
      <c r="J164" s="7"/>
      <c r="K164" s="7"/>
      <c r="L164" s="7">
        <f>I164+K164</f>
        <v>30</v>
      </c>
      <c r="M164" s="6">
        <v>7.1</v>
      </c>
      <c r="N164" s="43">
        <f>13-M164</f>
        <v>5.9</v>
      </c>
      <c r="O164" s="40">
        <f>LOOKUP(N164,{0,2.5,2.7,2.9,3.1,3.3,3.5,3.7,3.9,4.1,4.3,4.5,4.7,4.9,5.1,5.3,5.5,5.6,5.7,5.8,5.9},{0,10,20,30,40,50,60,62,64,66,68,70,72,74,76,78,80,85,90,95,100})</f>
        <v>100</v>
      </c>
      <c r="P164" s="6">
        <v>3.27</v>
      </c>
      <c r="Q164" s="6">
        <f>10-P164</f>
        <v>6.73</v>
      </c>
      <c r="R164" s="40">
        <f>LOOKUP(Q164,{0,3.75,3.95,4.55,4.75,4.95,5.55,5.6,5.65,5.7,5.75,5.8,5.85,5.9,5.95,6,6.45,6.53,6.6,6.65,6.7},{0,10,20,30,40,50,60,62,64,66,68,70,72,74,76,78,80,85,90,95,100})</f>
        <v>100</v>
      </c>
      <c r="S164" s="7">
        <f>3.3-P164</f>
        <v>0.0299999999999998</v>
      </c>
      <c r="T164" s="40">
        <f>LOOKUP(S164,{0,0.04,0.08,0.12,0.16,0.2,0.23,0.26,0.29,0.32,0.35},{0,1,2,3,4,5,6,7,8,9,10})</f>
        <v>0</v>
      </c>
      <c r="U164" s="7">
        <f>R164+T164</f>
        <v>100</v>
      </c>
      <c r="W164" s="7">
        <f>E164*0.1+G164*0.1+I164*0.1+O164*0.2+R164*0.2</f>
        <v>54.4</v>
      </c>
      <c r="X164" s="21">
        <f>W164/0.7+K164+T164</f>
        <v>77.7142857142857</v>
      </c>
    </row>
    <row r="165" s="3" customFormat="1" ht="15.6" hidden="1" spans="1:24">
      <c r="A165" s="6">
        <v>104</v>
      </c>
      <c r="B165" s="29" t="s">
        <v>197</v>
      </c>
      <c r="C165" s="29" t="s">
        <v>11</v>
      </c>
      <c r="D165" s="6">
        <v>14.5</v>
      </c>
      <c r="E165" s="40">
        <f>LOOKUP(D165,{0,-4,-3,-2,-1,0,1,2.4,3.8,5.2,6.6,8,9.4,10.8,12.2,13.6,15,17.2,19.4,21.5,23.6},{0,10,20,30,40,50,60,62,64,66,68,70,72,74,76,78,80,85,90,95,100})</f>
        <v>78</v>
      </c>
      <c r="F165" s="6">
        <v>207</v>
      </c>
      <c r="G165" s="40">
        <f>LOOKUP(F165,{0,170,175,180,185,190,195,199,203,207,211,215,219,223,227,231,235,243,250,255,260},{0,10,20,30,40,50,60,62,64,66,68,70,72,74,76,78,80,85,90,95,100})</f>
        <v>66</v>
      </c>
      <c r="H165" s="6">
        <v>26</v>
      </c>
      <c r="I165" s="40">
        <f>LOOKUP(H165,{0,2,3,4,5,6,7,8,9,10,11,12,13,14,15,16},{0,10,20,30,40,50,60,64,68,72,76,80,85,90,95,100})</f>
        <v>100</v>
      </c>
      <c r="J165" s="7">
        <f>H165-16</f>
        <v>10</v>
      </c>
      <c r="K165" s="40">
        <f>LOOKUP(J165,{0,1,2,3,4,5,6,7,8,9,10},{0,1,2,3,4,5,6,7,8,9,10})</f>
        <v>10</v>
      </c>
      <c r="L165" s="7">
        <f>I165+K165</f>
        <v>110</v>
      </c>
      <c r="M165" s="6">
        <v>7.1</v>
      </c>
      <c r="N165" s="43">
        <f>13-M165</f>
        <v>5.9</v>
      </c>
      <c r="O165" s="40">
        <f>LOOKUP(N165,{0,2.5,2.7,2.9,3.1,3.3,3.5,3.7,3.9,4.1,4.3,4.5,4.7,4.9,5.1,5.3,5.5,5.6,5.7,5.8,5.9},{0,10,20,30,40,50,60,62,64,66,68,70,72,74,76,78,80,85,90,95,100})</f>
        <v>100</v>
      </c>
      <c r="P165" s="6">
        <v>3.29</v>
      </c>
      <c r="Q165" s="6">
        <f>10-P165</f>
        <v>6.71</v>
      </c>
      <c r="R165" s="40">
        <f>LOOKUP(Q165,{0,3.75,3.95,4.55,4.75,4.95,5.55,5.6,5.65,5.7,5.75,5.8,5.85,5.9,5.95,6,6.45,6.53,6.6,6.65,6.7},{0,10,20,30,40,50,60,62,64,66,68,70,72,74,76,78,80,85,90,95,100})</f>
        <v>100</v>
      </c>
      <c r="S165" s="7">
        <f>3.3-P165</f>
        <v>0.00999999999999979</v>
      </c>
      <c r="T165" s="40">
        <f>LOOKUP(S165,{0,0.04,0.08,0.12,0.16,0.2,0.23,0.26,0.29,0.32,0.35},{0,1,2,3,4,5,6,7,8,9,10})</f>
        <v>0</v>
      </c>
      <c r="U165" s="7">
        <f>R165+T165</f>
        <v>100</v>
      </c>
      <c r="V165" s="6"/>
      <c r="W165" s="7">
        <f>E165*0.1+G165*0.1+I165*0.1+O165*0.2+R165*0.2</f>
        <v>64.4</v>
      </c>
      <c r="X165" s="21">
        <f>W165/0.7+K165+T165</f>
        <v>102</v>
      </c>
    </row>
    <row r="166" ht="15.6" hidden="1" spans="1:24">
      <c r="A166" s="6">
        <v>115</v>
      </c>
      <c r="B166" s="29" t="s">
        <v>750</v>
      </c>
      <c r="C166" s="29" t="s">
        <v>11</v>
      </c>
      <c r="D166" s="6">
        <v>13.5</v>
      </c>
      <c r="E166" s="40">
        <f>LOOKUP(D166,{0,-4,-3,-2,-1,0,1,2.4,3.8,5.2,6.6,8,9.4,10.8,12.2,13.6,15,17.2,19.4,21.5,23.6},{0,10,20,30,40,50,60,62,64,66,68,70,72,74,76,78,80,85,90,95,100})</f>
        <v>76</v>
      </c>
      <c r="F166" s="6">
        <v>230</v>
      </c>
      <c r="G166" s="40">
        <f>LOOKUP(F166,{0,170,175,180,185,190,195,199,203,207,211,215,219,223,227,231,235,243,250,255,260},{0,10,20,30,40,50,60,62,64,66,68,70,72,74,76,78,80,85,90,95,100})</f>
        <v>76</v>
      </c>
      <c r="H166" s="6">
        <v>6</v>
      </c>
      <c r="I166" s="40">
        <f>LOOKUP(H166,{0,2,3,4,5,6,7,8,9,10,11,12,13,14,15,16},{0,10,20,30,40,50,60,64,68,72,76,80,85,90,95,100})</f>
        <v>50</v>
      </c>
      <c r="J166" s="7"/>
      <c r="K166" s="7"/>
      <c r="L166" s="7">
        <f>I166+K166</f>
        <v>50</v>
      </c>
      <c r="M166" s="6">
        <v>7.1</v>
      </c>
      <c r="N166" s="43">
        <f>13-M166</f>
        <v>5.9</v>
      </c>
      <c r="O166" s="40">
        <f>LOOKUP(N166,{0,2.5,2.7,2.9,3.1,3.3,3.5,3.7,3.9,4.1,4.3,4.5,4.7,4.9,5.1,5.3,5.5,5.6,5.7,5.8,5.9},{0,10,20,30,40,50,60,62,64,66,68,70,72,74,76,78,80,85,90,95,100})</f>
        <v>100</v>
      </c>
      <c r="P166" s="6">
        <v>3.31</v>
      </c>
      <c r="Q166" s="6">
        <f>10-P166</f>
        <v>6.69</v>
      </c>
      <c r="R166" s="40">
        <f>LOOKUP(Q166,{0,3.75,3.95,4.55,4.75,4.95,5.55,5.6,5.65,5.7,5.75,5.8,5.85,5.9,5.95,6,6.45,6.53,6.6,6.65,6.7},{0,10,20,30,40,50,60,62,64,66,68,70,72,74,76,78,80,85,90,95,100})</f>
        <v>95</v>
      </c>
      <c r="S166" s="7"/>
      <c r="T166" s="7"/>
      <c r="U166" s="7">
        <f>R166+T166</f>
        <v>95</v>
      </c>
      <c r="W166" s="7">
        <f>E166*0.1+G166*0.1+I166*0.1+O166*0.2+R166*0.2</f>
        <v>59.2</v>
      </c>
      <c r="X166" s="21">
        <f>W166/0.7+K166+T166</f>
        <v>84.5714285714286</v>
      </c>
    </row>
    <row r="167" ht="15.6" hidden="1" spans="1:24">
      <c r="A167" s="6">
        <v>103</v>
      </c>
      <c r="B167" s="39" t="s">
        <v>138</v>
      </c>
      <c r="C167" s="29" t="s">
        <v>11</v>
      </c>
      <c r="D167" s="6">
        <v>-1</v>
      </c>
      <c r="E167" s="40">
        <f>LOOKUP(D167,{0,-4,-3,-2,-1,0,1,2.4,3.8,5.2,6.6,8,9.4,10.8,12.2,13.6,15,17.2,19.4,21.5,23.6},{0,10,20,30,40,50,60,62,64,66,68,70,72,74,76,78,80,85,90,95,100})</f>
        <v>40</v>
      </c>
      <c r="F167" s="6">
        <v>233</v>
      </c>
      <c r="G167" s="40">
        <f>LOOKUP(F167,{0,170,175,180,185,190,195,199,203,207,211,215,219,223,227,231,235,243,250,255,260},{0,10,20,30,40,50,60,62,64,66,68,70,72,74,76,78,80,85,90,95,100})</f>
        <v>78</v>
      </c>
      <c r="H167" s="6">
        <v>10</v>
      </c>
      <c r="I167" s="40">
        <f>LOOKUP(H167,{0,2,3,4,5,6,7,8,9,10,11,12,13,14,15,16},{0,10,20,30,40,50,60,64,68,72,76,80,85,90,95,100})</f>
        <v>72</v>
      </c>
      <c r="J167" s="7"/>
      <c r="K167" s="7"/>
      <c r="L167" s="7">
        <f>I167+K167</f>
        <v>72</v>
      </c>
      <c r="M167" s="6">
        <v>7.1</v>
      </c>
      <c r="N167" s="43">
        <f>13-M167</f>
        <v>5.9</v>
      </c>
      <c r="O167" s="40">
        <f>LOOKUP(N167,{0,2.5,2.7,2.9,3.1,3.3,3.5,3.7,3.9,4.1,4.3,4.5,4.7,4.9,5.1,5.3,5.5,5.6,5.7,5.8,5.9},{0,10,20,30,40,50,60,62,64,66,68,70,72,74,76,78,80,85,90,95,100})</f>
        <v>100</v>
      </c>
      <c r="P167" s="6">
        <v>3.33</v>
      </c>
      <c r="Q167" s="6">
        <f>10-P167</f>
        <v>6.67</v>
      </c>
      <c r="R167" s="40">
        <f>LOOKUP(Q167,{0,3.75,3.95,4.55,4.75,4.95,5.55,5.6,5.65,5.7,5.75,5.8,5.85,5.9,5.95,6,6.45,6.53,6.6,6.65,6.7},{0,10,20,30,40,50,60,62,64,66,68,70,72,74,76,78,80,85,90,95,100})</f>
        <v>95</v>
      </c>
      <c r="S167" s="7"/>
      <c r="T167" s="7"/>
      <c r="U167" s="7">
        <f>R167+T167</f>
        <v>95</v>
      </c>
      <c r="W167" s="7">
        <f>E167*0.1+G167*0.1+I167*0.1+O167*0.2+R167*0.2</f>
        <v>58</v>
      </c>
      <c r="X167" s="21">
        <f>W167/0.7+K167+T167</f>
        <v>82.8571428571429</v>
      </c>
    </row>
    <row r="168" ht="15.6" spans="1:24">
      <c r="A168" s="6">
        <v>115</v>
      </c>
      <c r="B168" s="29" t="s">
        <v>756</v>
      </c>
      <c r="C168" s="29" t="s">
        <v>46</v>
      </c>
      <c r="D168" s="6">
        <v>25.5</v>
      </c>
      <c r="E168" s="40">
        <f>LOOKUP(D168,{0,0.4,1.2,2,2.8,3.6,4.4,5.7,7,8.3,9.6,10.9,12.2,13.5,14.8,16.1,17.4,19.1,20.8,22.5,24.2},{0,10,20,30,40,50,60,62,64,66,68,70,72,74,76,78,80,85,90,95,100})</f>
        <v>100</v>
      </c>
      <c r="F168" s="6">
        <v>190</v>
      </c>
      <c r="G168" s="40">
        <f>LOOKUP(F168,{0,123,128,133,138,143,148,151,154,157,160,163,166,169,172,175,178,185,192,198,204},{0,10,20,30,40,50,60,62,64,66,68,70,72,74,76,78,80,85,90,95,100})</f>
        <v>85</v>
      </c>
      <c r="H168" s="6">
        <v>54</v>
      </c>
      <c r="I168" s="40">
        <f>LOOKUP(H168,{0,13,15,17,19,21,23,25,27,29,31,33,35,37,39,41,43,46,49,51,53},{0,10,20,30,40,50,60,62,64,66,68,70,72,74,76,78,80,85,90,95,100})</f>
        <v>100</v>
      </c>
      <c r="J168" s="45">
        <f>H168-53</f>
        <v>1</v>
      </c>
      <c r="K168" s="40">
        <f>LOOKUP(J168,{0,2,4,6,7,8,9,10,11,12,13},{0,1,2,3,4,5,6,7,8,9,10})</f>
        <v>0</v>
      </c>
      <c r="L168" s="7">
        <f>I168+K168</f>
        <v>100</v>
      </c>
      <c r="M168" s="6">
        <v>8.7</v>
      </c>
      <c r="N168" s="43">
        <f>13-M168</f>
        <v>4.3</v>
      </c>
      <c r="O168" s="40">
        <f>LOOKUP(N168,{0,1.4,1.6,1.8,2,2.2,2.4,2.6,2.8,3,3.2,3.4,3.6,3.8,4,4.2,4.4,4.7,5,5.1,5.2},{0,10,20,30,40,50,60,62,64,66,68,70,72,74,76,78,80,85,90,95,100})</f>
        <v>78</v>
      </c>
      <c r="P168" s="6">
        <v>3.35</v>
      </c>
      <c r="Q168" s="6">
        <f>10-P168</f>
        <v>6.65</v>
      </c>
      <c r="R168" s="40">
        <f>LOOKUP(Q168,{0,4.7,4.8,4.9,5,5.5,5.6,5.65,5.7,5.75,5.8,5.85,5.9,5.95,6,6.45,6.5,6.57,6.64,6.7,6.76},{0,10,20,30,40,50,60,62,64,66,68,70,72,74,76,78,80,85,90,95,100})</f>
        <v>90</v>
      </c>
      <c r="S168" s="45"/>
      <c r="T168" s="45"/>
      <c r="U168" s="7">
        <f>R168+T168</f>
        <v>90</v>
      </c>
      <c r="W168" s="7">
        <f>E168*0.1+G168*0.1+I168*0.1+O168*0.2+R168*0.2</f>
        <v>62.1</v>
      </c>
      <c r="X168" s="21">
        <f>W168/0.7+K168+T168</f>
        <v>88.7142857142857</v>
      </c>
    </row>
    <row r="169" ht="15.6" spans="1:24">
      <c r="A169" s="6">
        <v>111</v>
      </c>
      <c r="B169" s="29" t="s">
        <v>560</v>
      </c>
      <c r="C169" s="29" t="s">
        <v>46</v>
      </c>
      <c r="D169" s="6">
        <v>22</v>
      </c>
      <c r="E169" s="40">
        <f>LOOKUP(D169,{0,0.4,1.2,2,2.8,3.6,4.4,5.7,7,8.3,9.6,10.9,12.2,13.5,14.8,16.1,17.4,19.1,20.8,22.5,24.2},{0,10,20,30,40,50,60,62,64,66,68,70,72,74,76,78,80,85,90,95,100})</f>
        <v>90</v>
      </c>
      <c r="F169" s="6">
        <v>185</v>
      </c>
      <c r="G169" s="40">
        <f>LOOKUP(F169,{0,123,128,133,138,143,148,151,154,157,160,163,166,169,172,175,178,185,192,198,204},{0,10,20,30,40,50,60,62,64,66,68,70,72,74,76,78,80,85,90,95,100})</f>
        <v>85</v>
      </c>
      <c r="H169" s="6">
        <v>52</v>
      </c>
      <c r="I169" s="40">
        <f>LOOKUP(H169,{0,13,15,17,19,21,23,25,27,29,31,33,35,37,39,41,43,46,49,51,53},{0,10,20,30,40,50,60,62,64,66,68,70,72,74,76,78,80,85,90,95,100})</f>
        <v>95</v>
      </c>
      <c r="J169" s="45"/>
      <c r="K169" s="45"/>
      <c r="L169" s="7">
        <f>I169+K169</f>
        <v>95</v>
      </c>
      <c r="M169" s="6">
        <v>8</v>
      </c>
      <c r="N169" s="43">
        <f>13-M169</f>
        <v>5</v>
      </c>
      <c r="O169" s="40">
        <f>LOOKUP(N169,{0,1.4,1.6,1.8,2,2.2,2.4,2.6,2.8,3,3.2,3.4,3.6,3.8,4,4.2,4.4,4.7,5,5.1,5.2},{0,10,20,30,40,50,60,62,64,66,68,70,72,74,76,78,80,85,90,95,100})</f>
        <v>90</v>
      </c>
      <c r="P169" s="6">
        <v>3.43</v>
      </c>
      <c r="Q169" s="6">
        <f>10-P169</f>
        <v>6.57</v>
      </c>
      <c r="R169" s="40">
        <f>LOOKUP(Q169,{0,4.7,4.8,4.9,5,5.5,5.6,5.65,5.7,5.75,5.8,5.85,5.9,5.95,6,6.45,6.5,6.57,6.64,6.7,6.76},{0,10,20,30,40,50,60,62,64,66,68,70,72,74,76,78,80,85,90,95,100})</f>
        <v>85</v>
      </c>
      <c r="S169" s="45"/>
      <c r="T169" s="45"/>
      <c r="U169" s="7">
        <f>R169+T169</f>
        <v>85</v>
      </c>
      <c r="W169" s="7">
        <f>E169*0.1+G169*0.1+I169*0.1+O169*0.2+R169*0.2</f>
        <v>62</v>
      </c>
      <c r="X169" s="21">
        <f>W169/0.7+K169+T169</f>
        <v>88.5714285714286</v>
      </c>
    </row>
    <row r="170" ht="15.6" spans="1:24">
      <c r="A170" s="6">
        <v>109</v>
      </c>
      <c r="B170" s="29" t="s">
        <v>446</v>
      </c>
      <c r="C170" s="29" t="s">
        <v>46</v>
      </c>
      <c r="D170" s="6">
        <v>7</v>
      </c>
      <c r="E170" s="40">
        <f>LOOKUP(D170,{0,0.4,1.2,2,2.8,3.6,4.4,5.7,7,8.3,9.6,10.9,12.2,13.5,14.8,16.1,17.4,19.1,20.8,22.5,24.2},{0,10,20,30,40,50,60,62,64,66,68,70,72,74,76,78,80,85,90,95,100})</f>
        <v>64</v>
      </c>
      <c r="F170" s="6">
        <v>192</v>
      </c>
      <c r="G170" s="40">
        <f>LOOKUP(F170,{0,123,128,133,138,143,148,151,154,157,160,163,166,169,172,175,178,185,192,198,204},{0,10,20,30,40,50,60,62,64,66,68,70,72,74,76,78,80,85,90,95,100})</f>
        <v>90</v>
      </c>
      <c r="H170" s="6">
        <v>50</v>
      </c>
      <c r="I170" s="40">
        <f>LOOKUP(H170,{0,13,15,17,19,21,23,25,27,29,31,33,35,37,39,41,43,46,49,51,53},{0,10,20,30,40,50,60,62,64,66,68,70,72,74,76,78,80,85,90,95,100})</f>
        <v>90</v>
      </c>
      <c r="J170" s="45"/>
      <c r="K170" s="45"/>
      <c r="L170" s="7">
        <f>I170+K170</f>
        <v>90</v>
      </c>
      <c r="M170" s="6">
        <v>8.4</v>
      </c>
      <c r="N170" s="43">
        <f>13-M170</f>
        <v>4.6</v>
      </c>
      <c r="O170" s="40">
        <f>LOOKUP(N170,{0,1.4,1.6,1.8,2,2.2,2.4,2.6,2.8,3,3.2,3.4,3.6,3.8,4,4.2,4.4,4.7,5,5.1,5.2},{0,10,20,30,40,50,60,62,64,66,68,70,72,74,76,78,80,85,90,95,100})</f>
        <v>80</v>
      </c>
      <c r="P170" s="6">
        <v>3.12</v>
      </c>
      <c r="Q170" s="6">
        <f>10-P170</f>
        <v>6.88</v>
      </c>
      <c r="R170" s="40">
        <f>LOOKUP(Q170,{0,4.7,4.8,4.9,5,5.5,5.6,5.65,5.7,5.75,5.8,5.85,5.9,5.95,6,6.45,6.5,6.57,6.64,6.7,6.76},{0,10,20,30,40,50,60,62,64,66,68,70,72,74,76,78,80,85,90,95,100})</f>
        <v>100</v>
      </c>
      <c r="S170" s="48">
        <f>3.24-P170</f>
        <v>0.12</v>
      </c>
      <c r="T170" s="40">
        <f>LOOKUP(S170,{0,0.05,0.1,0.15,0.2,0.25,0.3,0.35,0.4,0.45,0.5},{0,1,2,3,4,5,6,7,8,9,10})</f>
        <v>2</v>
      </c>
      <c r="U170" s="7">
        <f>R170+T170</f>
        <v>102</v>
      </c>
      <c r="W170" s="7">
        <f>E170*0.1+G170*0.1+I170*0.1+O170*0.2+R170*0.2</f>
        <v>60.4</v>
      </c>
      <c r="X170" s="21">
        <f>W170/0.7+K170+T170</f>
        <v>88.2857142857143</v>
      </c>
    </row>
    <row r="171" ht="15.6" spans="1:24">
      <c r="A171" s="6">
        <v>102</v>
      </c>
      <c r="B171" s="29" t="s">
        <v>101</v>
      </c>
      <c r="C171" s="29" t="s">
        <v>46</v>
      </c>
      <c r="D171" s="6">
        <v>16</v>
      </c>
      <c r="E171" s="40">
        <f>LOOKUP(D171,{0,0.4,1.2,2,2.8,3.6,4.4,5.7,7,8.3,9.6,10.9,12.2,13.5,14.8,16.1,17.4,19.1,20.8,22.5,24.2},{0,10,20,30,40,50,60,62,64,66,68,70,72,74,76,78,80,85,90,95,100})</f>
        <v>76</v>
      </c>
      <c r="F171" s="6">
        <v>185</v>
      </c>
      <c r="G171" s="40">
        <f>LOOKUP(F171,{0,123,128,133,138,143,148,151,154,157,160,163,166,169,172,175,178,185,192,198,204},{0,10,20,30,40,50,60,62,64,66,68,70,72,74,76,78,80,85,90,95,100})</f>
        <v>85</v>
      </c>
      <c r="H171" s="6">
        <v>49</v>
      </c>
      <c r="I171" s="40">
        <f>LOOKUP(H171,{0,13,15,17,19,21,23,25,27,29,31,33,35,37,39,41,43,46,49,51,53},{0,10,20,30,40,50,60,62,64,66,68,70,72,74,76,78,80,85,90,95,100})</f>
        <v>90</v>
      </c>
      <c r="J171" s="45"/>
      <c r="K171" s="45"/>
      <c r="L171" s="7">
        <f>I171+K171</f>
        <v>90</v>
      </c>
      <c r="M171" s="6">
        <v>8.4</v>
      </c>
      <c r="N171" s="43">
        <f>13-M171</f>
        <v>4.6</v>
      </c>
      <c r="O171" s="40">
        <f>LOOKUP(N171,{0,1.4,1.6,1.8,2,2.2,2.4,2.6,2.8,3,3.2,3.4,3.6,3.8,4,4.2,4.4,4.7,5,5.1,5.2},{0,10,20,30,40,50,60,62,64,66,68,70,72,74,76,78,80,85,90,95,100})</f>
        <v>80</v>
      </c>
      <c r="P171" s="6">
        <v>3.15</v>
      </c>
      <c r="Q171" s="6">
        <f>10-P171</f>
        <v>6.85</v>
      </c>
      <c r="R171" s="40">
        <f>LOOKUP(Q171,{0,4.7,4.8,4.9,5,5.5,5.6,5.65,5.7,5.75,5.8,5.85,5.9,5.95,6,6.45,6.5,6.57,6.64,6.7,6.76},{0,10,20,30,40,50,60,62,64,66,68,70,72,74,76,78,80,85,90,95,100})</f>
        <v>100</v>
      </c>
      <c r="S171" s="48">
        <f>3.24-P171</f>
        <v>0.0900000000000003</v>
      </c>
      <c r="T171" s="40">
        <f>LOOKUP(S171,{0,0.05,0.1,0.15,0.2,0.25,0.3,0.35,0.4,0.45,0.5},{0,1,2,3,4,5,6,7,8,9,10})</f>
        <v>1</v>
      </c>
      <c r="U171" s="7">
        <f>R171+T171</f>
        <v>101</v>
      </c>
      <c r="W171" s="7">
        <f>E171*0.1+G171*0.1+I171*0.1+O171*0.2+R171*0.2</f>
        <v>61.1</v>
      </c>
      <c r="X171" s="21">
        <f>W171/0.7+K171+T171</f>
        <v>88.2857142857143</v>
      </c>
    </row>
    <row r="172" ht="15.6" spans="1:24">
      <c r="A172" s="6">
        <v>114</v>
      </c>
      <c r="B172" s="29" t="s">
        <v>713</v>
      </c>
      <c r="C172" s="29" t="s">
        <v>46</v>
      </c>
      <c r="D172" s="6">
        <v>16</v>
      </c>
      <c r="E172" s="40">
        <f>LOOKUP(D172,{0,0.4,1.2,2,2.8,3.6,4.4,5.7,7,8.3,9.6,10.9,12.2,13.5,14.8,16.1,17.4,19.1,20.8,22.5,24.2},{0,10,20,30,40,50,60,62,64,66,68,70,72,74,76,78,80,85,90,95,100})</f>
        <v>76</v>
      </c>
      <c r="F172" s="6">
        <v>168</v>
      </c>
      <c r="G172" s="40">
        <f>LOOKUP(F172,{0,123,128,133,138,143,148,151,154,157,160,163,166,169,172,175,178,185,192,198,204},{0,10,20,30,40,50,60,62,64,66,68,70,72,74,76,78,80,85,90,95,100})</f>
        <v>72</v>
      </c>
      <c r="H172" s="6">
        <v>53</v>
      </c>
      <c r="I172" s="40">
        <f>LOOKUP(H172,{0,13,15,17,19,21,23,25,27,29,31,33,35,37,39,41,43,46,49,51,53},{0,10,20,30,40,50,60,62,64,66,68,70,72,74,76,78,80,85,90,95,100})</f>
        <v>100</v>
      </c>
      <c r="J172" s="45">
        <f>H172-53</f>
        <v>0</v>
      </c>
      <c r="K172" s="40">
        <f>LOOKUP(J172,{0,2,4,6,7,8,9,10,11,12,13},{0,1,2,3,4,5,6,7,8,9,10})</f>
        <v>0</v>
      </c>
      <c r="L172" s="7">
        <f>I172+K172</f>
        <v>100</v>
      </c>
      <c r="M172" s="6">
        <v>8.6</v>
      </c>
      <c r="N172" s="43">
        <f>13-M172</f>
        <v>4.4</v>
      </c>
      <c r="O172" s="40">
        <f>LOOKUP(N172,{0,1.4,1.6,1.8,2,2.2,2.4,2.6,2.8,3,3.2,3.4,3.6,3.8,4,4.2,4.4,4.7,5,5.1,5.2},{0,10,20,30,40,50,60,62,64,66,68,70,72,74,76,78,80,85,90,95,100})</f>
        <v>80</v>
      </c>
      <c r="P172" s="6">
        <v>3.17</v>
      </c>
      <c r="Q172" s="6">
        <f>10-P172</f>
        <v>6.83</v>
      </c>
      <c r="R172" s="40">
        <f>LOOKUP(Q172,{0,4.7,4.8,4.9,5,5.5,5.6,5.65,5.7,5.75,5.8,5.85,5.9,5.95,6,6.45,6.5,6.57,6.64,6.7,6.76},{0,10,20,30,40,50,60,62,64,66,68,70,72,74,76,78,80,85,90,95,100})</f>
        <v>100</v>
      </c>
      <c r="S172" s="48">
        <f>3.24-P172</f>
        <v>0.0700000000000003</v>
      </c>
      <c r="T172" s="40">
        <f>LOOKUP(S172,{0,0.05,0.1,0.15,0.2,0.25,0.3,0.35,0.4,0.45,0.5},{0,1,2,3,4,5,6,7,8,9,10})</f>
        <v>1</v>
      </c>
      <c r="U172" s="7">
        <f>R172+T172</f>
        <v>101</v>
      </c>
      <c r="W172" s="7">
        <f>E172*0.1+G172*0.1+I172*0.1+O172*0.2+R172*0.2</f>
        <v>60.8</v>
      </c>
      <c r="X172" s="21">
        <f>W172/0.7+K172+T172</f>
        <v>87.8571428571429</v>
      </c>
    </row>
    <row r="173" ht="15.6" spans="1:24">
      <c r="A173" s="6">
        <v>115</v>
      </c>
      <c r="B173" s="29" t="s">
        <v>775</v>
      </c>
      <c r="C173" s="29" t="s">
        <v>46</v>
      </c>
      <c r="D173" s="6">
        <v>12</v>
      </c>
      <c r="E173" s="40">
        <f>LOOKUP(D173,{0,0.4,1.2,2,2.8,3.6,4.4,5.7,7,8.3,9.6,10.9,12.2,13.5,14.8,16.1,17.4,19.1,20.8,22.5,24.2},{0,10,20,30,40,50,60,62,64,66,68,70,72,74,76,78,80,85,90,95,100})</f>
        <v>70</v>
      </c>
      <c r="F173" s="6">
        <v>185</v>
      </c>
      <c r="G173" s="40">
        <f>LOOKUP(F173,{0,123,128,133,138,143,148,151,154,157,160,163,166,169,172,175,178,185,192,198,204},{0,10,20,30,40,50,60,62,64,66,68,70,72,74,76,78,80,85,90,95,100})</f>
        <v>85</v>
      </c>
      <c r="H173" s="6">
        <v>53</v>
      </c>
      <c r="I173" s="40">
        <f>LOOKUP(H173,{0,13,15,17,19,21,23,25,27,29,31,33,35,37,39,41,43,46,49,51,53},{0,10,20,30,40,50,60,62,64,66,68,70,72,74,76,78,80,85,90,95,100})</f>
        <v>100</v>
      </c>
      <c r="J173" s="45">
        <f>H173-53</f>
        <v>0</v>
      </c>
      <c r="K173" s="40">
        <f>LOOKUP(J173,{0,2,4,6,7,8,9,10,11,12,13},{0,1,2,3,4,5,6,7,8,9,10})</f>
        <v>0</v>
      </c>
      <c r="L173" s="7">
        <f>I173+K173</f>
        <v>100</v>
      </c>
      <c r="M173" s="6">
        <v>8.1</v>
      </c>
      <c r="N173" s="43">
        <f>13-M173</f>
        <v>4.9</v>
      </c>
      <c r="O173" s="40">
        <f>LOOKUP(N173,{0,1.4,1.6,1.8,2,2.2,2.4,2.6,2.8,3,3.2,3.4,3.6,3.8,4,4.2,4.4,4.7,5,5.1,5.2},{0,10,20,30,40,50,60,62,64,66,68,70,72,74,76,78,80,85,90,95,100})</f>
        <v>85</v>
      </c>
      <c r="P173" s="6">
        <v>3.25</v>
      </c>
      <c r="Q173" s="6">
        <f>10-P173</f>
        <v>6.75</v>
      </c>
      <c r="R173" s="40">
        <f>LOOKUP(Q173,{0,4.7,4.8,4.9,5,5.5,5.6,5.65,5.7,5.75,5.8,5.85,5.9,5.95,6,6.45,6.5,6.57,6.64,6.7,6.76},{0,10,20,30,40,50,60,62,64,66,68,70,72,74,76,78,80,85,90,95,100})</f>
        <v>95</v>
      </c>
      <c r="S173" s="45"/>
      <c r="T173" s="45"/>
      <c r="U173" s="7">
        <f>R173+T173</f>
        <v>95</v>
      </c>
      <c r="W173" s="7">
        <f>E173*0.1+G173*0.1+I173*0.1+O173*0.2+R173*0.2</f>
        <v>61.5</v>
      </c>
      <c r="X173" s="21">
        <f>W173/0.7+K173+T173</f>
        <v>87.8571428571429</v>
      </c>
    </row>
    <row r="174" ht="15.6" spans="1:24">
      <c r="A174" s="6">
        <v>106</v>
      </c>
      <c r="B174" s="29" t="s">
        <v>280</v>
      </c>
      <c r="C174" s="29" t="s">
        <v>46</v>
      </c>
      <c r="D174" s="6">
        <v>22</v>
      </c>
      <c r="E174" s="40">
        <f>LOOKUP(D174,{0,0.4,1.2,2,2.8,3.6,4.4,5.7,7,8.3,9.6,10.9,12.2,13.5,14.8,16.1,17.4,19.1,20.8,22.5,24.2},{0,10,20,30,40,50,60,62,64,66,68,70,72,74,76,78,80,85,90,95,100})</f>
        <v>90</v>
      </c>
      <c r="F174" s="6">
        <v>202</v>
      </c>
      <c r="G174" s="40">
        <f>LOOKUP(F174,{0,123,128,133,138,143,148,151,154,157,160,163,166,169,172,175,178,185,192,198,204},{0,10,20,30,40,50,60,62,64,66,68,70,72,74,76,78,80,85,90,95,100})</f>
        <v>95</v>
      </c>
      <c r="H174" s="6">
        <v>50</v>
      </c>
      <c r="I174" s="40">
        <f>LOOKUP(H174,{0,13,15,17,19,21,23,25,27,29,31,33,35,37,39,41,43,46,49,51,53},{0,10,20,30,40,50,60,62,64,66,68,70,72,74,76,78,80,85,90,95,100})</f>
        <v>90</v>
      </c>
      <c r="J174" s="45"/>
      <c r="K174" s="45"/>
      <c r="L174" s="7">
        <f>I174+K174</f>
        <v>90</v>
      </c>
      <c r="M174" s="6">
        <v>8.4</v>
      </c>
      <c r="N174" s="43">
        <f>13-M174</f>
        <v>4.6</v>
      </c>
      <c r="O174" s="40">
        <f>LOOKUP(N174,{0,1.4,1.6,1.8,2,2.2,2.4,2.6,2.8,3,3.2,3.4,3.6,3.8,4,4.2,4.4,4.7,5,5.1,5.2},{0,10,20,30,40,50,60,62,64,66,68,70,72,74,76,78,80,85,90,95,100})</f>
        <v>80</v>
      </c>
      <c r="P174" s="6">
        <v>3.33</v>
      </c>
      <c r="Q174" s="6">
        <f>10-P174</f>
        <v>6.67</v>
      </c>
      <c r="R174" s="40">
        <f>LOOKUP(Q174,{0,4.7,4.8,4.9,5,5.5,5.6,5.65,5.7,5.75,5.8,5.85,5.9,5.95,6,6.45,6.5,6.57,6.64,6.7,6.76},{0,10,20,30,40,50,60,62,64,66,68,70,72,74,76,78,80,85,90,95,100})</f>
        <v>90</v>
      </c>
      <c r="S174" s="45"/>
      <c r="T174" s="45"/>
      <c r="U174" s="7">
        <f>R174+T174</f>
        <v>90</v>
      </c>
      <c r="W174" s="7">
        <f>E174*0.1+G174*0.1+I174*0.1+O174*0.2+R174*0.2</f>
        <v>61.5</v>
      </c>
      <c r="X174" s="21">
        <f>W174/0.7+K174+T174</f>
        <v>87.8571428571429</v>
      </c>
    </row>
    <row r="175" ht="15.6" spans="1:24">
      <c r="A175" s="6">
        <v>113</v>
      </c>
      <c r="B175" s="29" t="s">
        <v>654</v>
      </c>
      <c r="C175" s="29" t="s">
        <v>46</v>
      </c>
      <c r="D175" s="6">
        <v>21</v>
      </c>
      <c r="E175" s="40">
        <f>LOOKUP(D175,{0,0.4,1.2,2,2.8,3.6,4.4,5.7,7,8.3,9.6,10.9,12.2,13.5,14.8,16.1,17.4,19.1,20.8,22.5,24.2},{0,10,20,30,40,50,60,62,64,66,68,70,72,74,76,78,80,85,90,95,100})</f>
        <v>90</v>
      </c>
      <c r="F175" s="6">
        <v>187</v>
      </c>
      <c r="G175" s="40">
        <f>LOOKUP(F175,{0,123,128,133,138,143,148,151,154,157,160,163,166,169,172,175,178,185,192,198,204},{0,10,20,30,40,50,60,62,64,66,68,70,72,74,76,78,80,85,90,95,100})</f>
        <v>85</v>
      </c>
      <c r="H175" s="6">
        <v>53</v>
      </c>
      <c r="I175" s="40">
        <f>LOOKUP(H175,{0,13,15,17,19,21,23,25,27,29,31,33,35,37,39,41,43,46,49,51,53},{0,10,20,30,40,50,60,62,64,66,68,70,72,74,76,78,80,85,90,95,100})</f>
        <v>100</v>
      </c>
      <c r="J175" s="45">
        <f>H175-53</f>
        <v>0</v>
      </c>
      <c r="K175" s="40">
        <f>LOOKUP(J175,{0,2,4,6,7,8,9,10,11,12,13},{0,1,2,3,4,5,6,7,8,9,10})</f>
        <v>0</v>
      </c>
      <c r="L175" s="7">
        <f>I175+K175</f>
        <v>100</v>
      </c>
      <c r="M175" s="6">
        <v>8.5</v>
      </c>
      <c r="N175" s="43">
        <f>13-M175</f>
        <v>4.5</v>
      </c>
      <c r="O175" s="40">
        <f>LOOKUP(N175,{0,1.4,1.6,1.8,2,2.2,2.4,2.6,2.8,3,3.2,3.4,3.6,3.8,4,4.2,4.4,4.7,5,5.1,5.2},{0,10,20,30,40,50,60,62,64,66,68,70,72,74,76,78,80,85,90,95,100})</f>
        <v>80</v>
      </c>
      <c r="P175" s="6">
        <v>3.36</v>
      </c>
      <c r="Q175" s="6">
        <f>10-P175</f>
        <v>6.64</v>
      </c>
      <c r="R175" s="40">
        <f>LOOKUP(Q175,{0,4.7,4.8,4.9,5,5.5,5.6,5.65,5.7,5.75,5.8,5.85,5.9,5.95,6,6.45,6.5,6.57,6.64,6.7,6.76},{0,10,20,30,40,50,60,62,64,66,68,70,72,74,76,78,80,85,90,95,100})</f>
        <v>90</v>
      </c>
      <c r="S175" s="45"/>
      <c r="T175" s="45"/>
      <c r="U175" s="7">
        <f>R175+T175</f>
        <v>90</v>
      </c>
      <c r="W175" s="7">
        <f>E175*0.1+G175*0.1+I175*0.1+O175*0.2+R175*0.2</f>
        <v>61.5</v>
      </c>
      <c r="X175" s="21">
        <f>W175/0.7+K175+T175</f>
        <v>87.8571428571429</v>
      </c>
    </row>
    <row r="176" s="3" customFormat="1" ht="15.6" spans="1:24">
      <c r="A176" s="6">
        <v>116</v>
      </c>
      <c r="B176" s="29" t="s">
        <v>829</v>
      </c>
      <c r="C176" s="29" t="s">
        <v>46</v>
      </c>
      <c r="D176" s="6">
        <v>18</v>
      </c>
      <c r="E176" s="40">
        <f>LOOKUP(D176,{0,0.4,1.2,2,2.8,3.6,4.4,5.7,7,8.3,9.6,10.9,12.2,13.5,14.8,16.1,17.4,19.1,20.8,22.5,24.2},{0,10,20,30,40,50,60,62,64,66,68,70,72,74,76,78,80,85,90,95,100})</f>
        <v>80</v>
      </c>
      <c r="F176" s="6">
        <v>170</v>
      </c>
      <c r="G176" s="40">
        <f>LOOKUP(F176,{0,123,128,133,138,143,148,151,154,157,160,163,166,169,172,175,178,185,192,198,204},{0,10,20,30,40,50,60,62,64,66,68,70,72,74,76,78,80,85,90,95,100})</f>
        <v>74</v>
      </c>
      <c r="H176" s="6">
        <v>53</v>
      </c>
      <c r="I176" s="40">
        <f>LOOKUP(H176,{0,13,15,17,19,21,23,25,27,29,31,33,35,37,39,41,43,46,49,51,53},{0,10,20,30,40,50,60,62,64,66,68,70,72,74,76,78,80,85,90,95,100})</f>
        <v>100</v>
      </c>
      <c r="J176" s="45">
        <f>H176-53</f>
        <v>0</v>
      </c>
      <c r="K176" s="40">
        <f>LOOKUP(J176,{0,2,4,6,7,8,9,10,11,12,13},{0,1,2,3,4,5,6,7,8,9,10})</f>
        <v>0</v>
      </c>
      <c r="L176" s="7">
        <f>I176+K176</f>
        <v>100</v>
      </c>
      <c r="M176" s="6">
        <v>8.3</v>
      </c>
      <c r="N176" s="43">
        <f>13-M176</f>
        <v>4.7</v>
      </c>
      <c r="O176" s="40">
        <f>LOOKUP(N176,{0,1.4,1.6,1.8,2,2.2,2.4,2.6,2.8,3,3.2,3.4,3.6,3.8,4,4.2,4.4,4.7,5,5.1,5.2},{0,10,20,30,40,50,60,62,64,66,68,70,72,74,76,78,80,85,90,95,100})</f>
        <v>85</v>
      </c>
      <c r="P176" s="6">
        <v>3.29</v>
      </c>
      <c r="Q176" s="6">
        <f>10-P176</f>
        <v>6.71</v>
      </c>
      <c r="R176" s="40">
        <f>LOOKUP(Q176,{0,4.7,4.8,4.9,5,5.5,5.6,5.65,5.7,5.75,5.8,5.85,5.9,5.95,6,6.45,6.5,6.57,6.64,6.7,6.76},{0,10,20,30,40,50,60,62,64,66,68,70,72,74,76,78,80,85,90,95,100})</f>
        <v>95</v>
      </c>
      <c r="S176" s="45"/>
      <c r="T176" s="45"/>
      <c r="U176" s="7">
        <f>R176+T176</f>
        <v>95</v>
      </c>
      <c r="V176" s="6"/>
      <c r="W176" s="7">
        <f>E176*0.1+G176*0.1+I176*0.1+O176*0.2+R176*0.2</f>
        <v>61.4</v>
      </c>
      <c r="X176" s="21">
        <f>W176/0.7+K176+T176</f>
        <v>87.7142857142857</v>
      </c>
    </row>
    <row r="177" ht="15.6" spans="1:24">
      <c r="A177" s="6">
        <v>114</v>
      </c>
      <c r="B177" s="29" t="s">
        <v>710</v>
      </c>
      <c r="C177" s="29" t="s">
        <v>46</v>
      </c>
      <c r="D177" s="6">
        <v>13</v>
      </c>
      <c r="E177" s="40">
        <f>LOOKUP(D177,{0,0.4,1.2,2,2.8,3.6,4.4,5.7,7,8.3,9.6,10.9,12.2,13.5,14.8,16.1,17.4,19.1,20.8,22.5,24.2},{0,10,20,30,40,50,60,62,64,66,68,70,72,74,76,78,80,85,90,95,100})</f>
        <v>72</v>
      </c>
      <c r="F177" s="6">
        <v>181</v>
      </c>
      <c r="G177" s="40">
        <f>LOOKUP(F177,{0,123,128,133,138,143,148,151,154,157,160,163,166,169,172,175,178,185,192,198,204},{0,10,20,30,40,50,60,62,64,66,68,70,72,74,76,78,80,85,90,95,100})</f>
        <v>80</v>
      </c>
      <c r="H177" s="6">
        <v>53</v>
      </c>
      <c r="I177" s="40">
        <f>LOOKUP(H177,{0,13,15,17,19,21,23,25,27,29,31,33,35,37,39,41,43,46,49,51,53},{0,10,20,30,40,50,60,62,64,66,68,70,72,74,76,78,80,85,90,95,100})</f>
        <v>100</v>
      </c>
      <c r="J177" s="45">
        <f>H177-53</f>
        <v>0</v>
      </c>
      <c r="K177" s="40">
        <f>LOOKUP(J177,{0,2,4,6,7,8,9,10,11,12,13},{0,1,2,3,4,5,6,7,8,9,10})</f>
        <v>0</v>
      </c>
      <c r="L177" s="7">
        <f>I177+K177</f>
        <v>100</v>
      </c>
      <c r="M177" s="6">
        <v>8.4</v>
      </c>
      <c r="N177" s="43">
        <f>13-M177</f>
        <v>4.6</v>
      </c>
      <c r="O177" s="40">
        <f>LOOKUP(N177,{0,1.4,1.6,1.8,2,2.2,2.4,2.6,2.8,3,3.2,3.4,3.6,3.8,4,4.2,4.4,4.7,5,5.1,5.2},{0,10,20,30,40,50,60,62,64,66,68,70,72,74,76,78,80,85,90,95,100})</f>
        <v>80</v>
      </c>
      <c r="P177" s="6">
        <v>3.2</v>
      </c>
      <c r="Q177" s="6">
        <f>10-P177</f>
        <v>6.8</v>
      </c>
      <c r="R177" s="40">
        <f>LOOKUP(Q177,{0,4.7,4.8,4.9,5,5.5,5.6,5.65,5.7,5.75,5.8,5.85,5.9,5.95,6,6.45,6.5,6.57,6.64,6.7,6.76},{0,10,20,30,40,50,60,62,64,66,68,70,72,74,76,78,80,85,90,95,100})</f>
        <v>100</v>
      </c>
      <c r="S177" s="48">
        <f>3.24-P177</f>
        <v>0.04</v>
      </c>
      <c r="T177" s="40">
        <f>LOOKUP(S177,{0,0.05,0.1,0.15,0.2,0.25,0.3,0.35,0.4,0.45,0.5},{0,1,2,3,4,5,6,7,8,9,10})</f>
        <v>0</v>
      </c>
      <c r="U177" s="7">
        <f>R177+T177</f>
        <v>100</v>
      </c>
      <c r="W177" s="7">
        <f>E177*0.1+G177*0.1+I177*0.1+O177*0.2+R177*0.2</f>
        <v>61.2</v>
      </c>
      <c r="X177" s="21">
        <f>W177/0.7+K177+T177</f>
        <v>87.4285714285714</v>
      </c>
    </row>
    <row r="178" ht="15.6" spans="1:24">
      <c r="A178" s="6">
        <v>109</v>
      </c>
      <c r="B178" s="39" t="s">
        <v>436</v>
      </c>
      <c r="C178" s="29" t="s">
        <v>46</v>
      </c>
      <c r="D178" s="6">
        <v>15</v>
      </c>
      <c r="E178" s="40">
        <f>LOOKUP(D178,{0,0.4,1.2,2,2.8,3.6,4.4,5.7,7,8.3,9.6,10.9,12.2,13.5,14.8,16.1,17.4,19.1,20.8,22.5,24.2},{0,10,20,30,40,50,60,62,64,66,68,70,72,74,76,78,80,85,90,95,100})</f>
        <v>76</v>
      </c>
      <c r="F178" s="6">
        <v>183</v>
      </c>
      <c r="G178" s="40">
        <f>LOOKUP(F178,{0,123,128,133,138,143,148,151,154,157,160,163,166,169,172,175,178,185,192,198,204},{0,10,20,30,40,50,60,62,64,66,68,70,72,74,76,78,80,85,90,95,100})</f>
        <v>80</v>
      </c>
      <c r="H178" s="6">
        <v>53</v>
      </c>
      <c r="I178" s="40">
        <f>LOOKUP(H178,{0,13,15,17,19,21,23,25,27,29,31,33,35,37,39,41,43,46,49,51,53},{0,10,20,30,40,50,60,62,64,66,68,70,72,74,76,78,80,85,90,95,100})</f>
        <v>100</v>
      </c>
      <c r="J178" s="45">
        <f>H178-53</f>
        <v>0</v>
      </c>
      <c r="K178" s="40">
        <f>LOOKUP(J178,{0,2,4,6,7,8,9,10,11,12,13},{0,1,2,3,4,5,6,7,8,9,10})</f>
        <v>0</v>
      </c>
      <c r="L178" s="7">
        <f>I178+K178</f>
        <v>100</v>
      </c>
      <c r="M178" s="6">
        <v>8.8</v>
      </c>
      <c r="N178" s="43">
        <f>13-M178</f>
        <v>4.2</v>
      </c>
      <c r="O178" s="40">
        <f>LOOKUP(N178,{0,1.4,1.6,1.8,2,2.2,2.4,2.6,2.8,3,3.2,3.4,3.6,3.8,4,4.2,4.4,4.7,5,5.1,5.2},{0,10,20,30,40,50,60,62,64,66,68,70,72,74,76,78,80,85,90,95,100})</f>
        <v>78</v>
      </c>
      <c r="P178" s="6">
        <v>3.22</v>
      </c>
      <c r="Q178" s="6">
        <f>10-P178</f>
        <v>6.78</v>
      </c>
      <c r="R178" s="40">
        <f>LOOKUP(Q178,{0,4.7,4.8,4.9,5,5.5,5.6,5.65,5.7,5.75,5.8,5.85,5.9,5.95,6,6.45,6.5,6.57,6.64,6.7,6.76},{0,10,20,30,40,50,60,62,64,66,68,70,72,74,76,78,80,85,90,95,100})</f>
        <v>100</v>
      </c>
      <c r="S178" s="48">
        <f>3.24-P178</f>
        <v>0.02</v>
      </c>
      <c r="T178" s="40">
        <f>LOOKUP(S178,{0,0.05,0.1,0.15,0.2,0.25,0.3,0.35,0.4,0.45,0.5},{0,1,2,3,4,5,6,7,8,9,10})</f>
        <v>0</v>
      </c>
      <c r="U178" s="7">
        <f>R178+T178</f>
        <v>100</v>
      </c>
      <c r="W178" s="7">
        <f>E178*0.1+G178*0.1+I178*0.1+O178*0.2+R178*0.2</f>
        <v>61.2</v>
      </c>
      <c r="X178" s="21">
        <f>W178/0.7+K178+T178</f>
        <v>87.4285714285714</v>
      </c>
    </row>
    <row r="179" ht="15.6" spans="1:24">
      <c r="A179" s="6">
        <v>116</v>
      </c>
      <c r="B179" s="39" t="s">
        <v>807</v>
      </c>
      <c r="C179" s="29" t="s">
        <v>46</v>
      </c>
      <c r="D179" s="6">
        <v>25.1</v>
      </c>
      <c r="E179" s="40">
        <f>LOOKUP(D179,{0,0.4,1.2,2,2.8,3.6,4.4,5.7,7,8.3,9.6,10.9,12.2,13.5,14.8,16.1,17.4,19.1,20.8,22.5,24.2},{0,10,20,30,40,50,60,62,64,66,68,70,72,74,76,78,80,85,90,95,100})</f>
        <v>100</v>
      </c>
      <c r="F179" s="6">
        <v>173</v>
      </c>
      <c r="G179" s="40">
        <f>LOOKUP(F179,{0,123,128,133,138,143,148,151,154,157,160,163,166,169,172,175,178,185,192,198,204},{0,10,20,30,40,50,60,62,64,66,68,70,72,74,76,78,80,85,90,95,100})</f>
        <v>76</v>
      </c>
      <c r="H179" s="6">
        <v>44</v>
      </c>
      <c r="I179" s="40">
        <f>LOOKUP(H179,{0,13,15,17,19,21,23,25,27,29,31,33,35,37,39,41,43,46,49,51,53},{0,10,20,30,40,50,60,62,64,66,68,70,72,74,76,78,80,85,90,95,100})</f>
        <v>80</v>
      </c>
      <c r="J179" s="45"/>
      <c r="K179" s="45"/>
      <c r="L179" s="7">
        <f>I179+K179</f>
        <v>80</v>
      </c>
      <c r="M179" s="6">
        <v>8.8</v>
      </c>
      <c r="N179" s="43">
        <f>13-M179</f>
        <v>4.2</v>
      </c>
      <c r="O179" s="40">
        <f>LOOKUP(N179,{0,1.4,1.6,1.8,2,2.2,2.4,2.6,2.8,3,3.2,3.4,3.6,3.8,4,4.2,4.4,4.7,5,5.1,5.2},{0,10,20,30,40,50,60,62,64,66,68,70,72,74,76,78,80,85,90,95,100})</f>
        <v>78</v>
      </c>
      <c r="P179" s="6">
        <v>3.22</v>
      </c>
      <c r="Q179" s="6">
        <f>10-P179</f>
        <v>6.78</v>
      </c>
      <c r="R179" s="40">
        <f>LOOKUP(Q179,{0,4.7,4.8,4.9,5,5.5,5.6,5.65,5.7,5.75,5.8,5.85,5.9,5.95,6,6.45,6.5,6.57,6.64,6.7,6.76},{0,10,20,30,40,50,60,62,64,66,68,70,72,74,76,78,80,85,90,95,100})</f>
        <v>100</v>
      </c>
      <c r="S179" s="48">
        <f>3.24-P179</f>
        <v>0.02</v>
      </c>
      <c r="T179" s="40">
        <f>LOOKUP(S179,{0,0.05,0.1,0.15,0.2,0.25,0.3,0.35,0.4,0.45,0.5},{0,1,2,3,4,5,6,7,8,9,10})</f>
        <v>0</v>
      </c>
      <c r="U179" s="7">
        <f>R179+T179</f>
        <v>100</v>
      </c>
      <c r="W179" s="7">
        <f>E179*0.1+G179*0.1+I179*0.1+O179*0.2+R179*0.2</f>
        <v>61.2</v>
      </c>
      <c r="X179" s="21">
        <f>W179/0.7+K179+T179</f>
        <v>87.4285714285714</v>
      </c>
    </row>
    <row r="180" ht="15.6" spans="1:24">
      <c r="A180" s="6">
        <v>110</v>
      </c>
      <c r="B180" s="29" t="s">
        <v>505</v>
      </c>
      <c r="C180" s="29" t="s">
        <v>46</v>
      </c>
      <c r="D180" s="6">
        <v>24</v>
      </c>
      <c r="E180" s="40">
        <f>LOOKUP(D180,{0,0.4,1.2,2,2.8,3.6,4.4,5.7,7,8.3,9.6,10.9,12.2,13.5,14.8,16.1,17.4,19.1,20.8,22.5,24.2},{0,10,20,30,40,50,60,62,64,66,68,70,72,74,76,78,80,85,90,95,100})</f>
        <v>95</v>
      </c>
      <c r="F180" s="6">
        <v>196</v>
      </c>
      <c r="G180" s="40">
        <f>LOOKUP(F180,{0,123,128,133,138,143,148,151,154,157,160,163,166,169,172,175,178,185,192,198,204},{0,10,20,30,40,50,60,62,64,66,68,70,72,74,76,78,80,85,90,95,100})</f>
        <v>90</v>
      </c>
      <c r="H180" s="6">
        <v>33</v>
      </c>
      <c r="I180" s="40">
        <f>LOOKUP(H180,{0,13,15,17,19,21,23,25,27,29,31,33,35,37,39,41,43,46,49,51,53},{0,10,20,30,40,50,60,62,64,66,68,70,72,74,76,78,80,85,90,95,100})</f>
        <v>70</v>
      </c>
      <c r="J180" s="45"/>
      <c r="K180" s="45"/>
      <c r="L180" s="7">
        <f>I180+K180</f>
        <v>70</v>
      </c>
      <c r="M180" s="6">
        <v>8.8</v>
      </c>
      <c r="N180" s="43">
        <f>13-M180</f>
        <v>4.2</v>
      </c>
      <c r="O180" s="40">
        <f>LOOKUP(N180,{0,1.4,1.6,1.8,2,2.2,2.4,2.6,2.8,3,3.2,3.4,3.6,3.8,4,4.2,4.4,4.7,5,5.1,5.2},{0,10,20,30,40,50,60,62,64,66,68,70,72,74,76,78,80,85,90,95,100})</f>
        <v>78</v>
      </c>
      <c r="P180" s="6">
        <v>3.23</v>
      </c>
      <c r="Q180" s="6">
        <f>10-P180</f>
        <v>6.77</v>
      </c>
      <c r="R180" s="40">
        <f>LOOKUP(Q180,{0,4.7,4.8,4.9,5,5.5,5.6,5.65,5.7,5.75,5.8,5.85,5.9,5.95,6,6.45,6.5,6.57,6.64,6.7,6.76},{0,10,20,30,40,50,60,62,64,66,68,70,72,74,76,78,80,85,90,95,100})</f>
        <v>100</v>
      </c>
      <c r="S180" s="48">
        <f>3.24-P180</f>
        <v>0.0100000000000002</v>
      </c>
      <c r="T180" s="40">
        <f>LOOKUP(S180,{0,0.05,0.1,0.15,0.2,0.25,0.3,0.35,0.4,0.45,0.5},{0,1,2,3,4,5,6,7,8,9,10})</f>
        <v>0</v>
      </c>
      <c r="U180" s="7">
        <f>R180+T180</f>
        <v>100</v>
      </c>
      <c r="W180" s="7">
        <f>E180*0.1+G180*0.1+I180*0.1+O180*0.2+R180*0.2</f>
        <v>61.1</v>
      </c>
      <c r="X180" s="21">
        <f>W180/0.7+K180+T180</f>
        <v>87.2857142857143</v>
      </c>
    </row>
    <row r="181" ht="15.6" spans="1:24">
      <c r="A181" s="6">
        <v>106</v>
      </c>
      <c r="B181" s="30" t="s">
        <v>296</v>
      </c>
      <c r="C181" s="30" t="s">
        <v>46</v>
      </c>
      <c r="D181" s="6">
        <v>28</v>
      </c>
      <c r="E181" s="40">
        <f>LOOKUP(D181,{0,0.4,1.2,2,2.8,3.6,4.4,5.7,7,8.3,9.6,10.9,12.2,13.5,14.8,16.1,17.4,19.1,20.8,22.5,24.2},{0,10,20,30,40,50,60,62,64,66,68,70,72,74,76,78,80,85,90,95,100})</f>
        <v>100</v>
      </c>
      <c r="F181" s="6">
        <v>202</v>
      </c>
      <c r="G181" s="40">
        <f>LOOKUP(F181,{0,123,128,133,138,143,148,151,154,157,160,163,166,169,172,175,178,185,192,198,204},{0,10,20,30,40,50,60,62,64,66,68,70,72,74,76,78,80,85,90,95,100})</f>
        <v>95</v>
      </c>
      <c r="H181" s="6">
        <v>43</v>
      </c>
      <c r="I181" s="40">
        <f>LOOKUP(H181,{0,13,15,17,19,21,23,25,27,29,31,33,35,37,39,41,43,46,49,51,53},{0,10,20,30,40,50,60,62,64,66,68,70,72,74,76,78,80,85,90,95,100})</f>
        <v>80</v>
      </c>
      <c r="J181" s="45"/>
      <c r="K181" s="45"/>
      <c r="L181" s="7">
        <f>I181+K181</f>
        <v>80</v>
      </c>
      <c r="M181" s="6">
        <v>8.7</v>
      </c>
      <c r="N181" s="43">
        <f>13-M181</f>
        <v>4.3</v>
      </c>
      <c r="O181" s="40">
        <f>LOOKUP(N181,{0,1.4,1.6,1.8,2,2.2,2.4,2.6,2.8,3,3.2,3.4,3.6,3.8,4,4.2,4.4,4.7,5,5.1,5.2},{0,10,20,30,40,50,60,62,64,66,68,70,72,74,76,78,80,85,90,95,100})</f>
        <v>78</v>
      </c>
      <c r="P181" s="6">
        <v>3.32</v>
      </c>
      <c r="Q181" s="6">
        <f>10-P181</f>
        <v>6.68</v>
      </c>
      <c r="R181" s="40">
        <f>LOOKUP(Q181,{0,4.7,4.8,4.9,5,5.5,5.6,5.65,5.7,5.75,5.8,5.85,5.9,5.95,6,6.45,6.5,6.57,6.64,6.7,6.76},{0,10,20,30,40,50,60,62,64,66,68,70,72,74,76,78,80,85,90,95,100})</f>
        <v>90</v>
      </c>
      <c r="S181" s="45"/>
      <c r="T181" s="45"/>
      <c r="U181" s="7">
        <f>R181+T181</f>
        <v>90</v>
      </c>
      <c r="W181" s="7">
        <f>E181*0.1+G181*0.1+I181*0.1+O181*0.2+R181*0.2</f>
        <v>61.1</v>
      </c>
      <c r="X181" s="21">
        <f>W181/0.7+K181+T181</f>
        <v>87.2857142857143</v>
      </c>
    </row>
    <row r="182" ht="15.6" spans="1:24">
      <c r="A182" s="6">
        <v>116</v>
      </c>
      <c r="B182" s="29" t="s">
        <v>816</v>
      </c>
      <c r="C182" s="29" t="s">
        <v>46</v>
      </c>
      <c r="D182" s="6">
        <v>23</v>
      </c>
      <c r="E182" s="40">
        <f>LOOKUP(D182,{0,0.4,1.2,2,2.8,3.6,4.4,5.7,7,8.3,9.6,10.9,12.2,13.5,14.8,16.1,17.4,19.1,20.8,22.5,24.2},{0,10,20,30,40,50,60,62,64,66,68,70,72,74,76,78,80,85,90,95,100})</f>
        <v>95</v>
      </c>
      <c r="F182" s="6">
        <v>184</v>
      </c>
      <c r="G182" s="40">
        <f>LOOKUP(F182,{0,123,128,133,138,143,148,151,154,157,160,163,166,169,172,175,178,185,192,198,204},{0,10,20,30,40,50,60,62,64,66,68,70,72,74,76,78,80,85,90,95,100})</f>
        <v>80</v>
      </c>
      <c r="H182" s="6">
        <v>40</v>
      </c>
      <c r="I182" s="40">
        <f>LOOKUP(H182,{0,13,15,17,19,21,23,25,27,29,31,33,35,37,39,41,43,46,49,51,53},{0,10,20,30,40,50,60,62,64,66,68,70,72,74,76,78,80,85,90,95,100})</f>
        <v>76</v>
      </c>
      <c r="J182" s="45"/>
      <c r="K182" s="45"/>
      <c r="L182" s="7">
        <f>I182+K182</f>
        <v>76</v>
      </c>
      <c r="M182" s="6">
        <v>8</v>
      </c>
      <c r="N182" s="43">
        <f>13-M182</f>
        <v>5</v>
      </c>
      <c r="O182" s="40">
        <f>LOOKUP(N182,{0,1.4,1.6,1.8,2,2.2,2.4,2.6,2.8,3,3.2,3.4,3.6,3.8,4,4.2,4.4,4.7,5,5.1,5.2},{0,10,20,30,40,50,60,62,64,66,68,70,72,74,76,78,80,85,90,95,100})</f>
        <v>90</v>
      </c>
      <c r="P182" s="6">
        <v>3.33</v>
      </c>
      <c r="Q182" s="6">
        <f>10-P182</f>
        <v>6.67</v>
      </c>
      <c r="R182" s="40">
        <f>LOOKUP(Q182,{0,4.7,4.8,4.9,5,5.5,5.6,5.65,5.7,5.75,5.8,5.85,5.9,5.95,6,6.45,6.5,6.57,6.64,6.7,6.76},{0,10,20,30,40,50,60,62,64,66,68,70,72,74,76,78,80,85,90,95,100})</f>
        <v>90</v>
      </c>
      <c r="S182" s="45"/>
      <c r="T182" s="45"/>
      <c r="U182" s="7">
        <f>R182+T182</f>
        <v>90</v>
      </c>
      <c r="W182" s="7">
        <f>E182*0.1+G182*0.1+I182*0.1+O182*0.2+R182*0.2</f>
        <v>61.1</v>
      </c>
      <c r="X182" s="21">
        <f>W182/0.7+K182+T182</f>
        <v>87.2857142857143</v>
      </c>
    </row>
    <row r="183" ht="15.6" spans="1:24">
      <c r="A183" s="6">
        <v>115</v>
      </c>
      <c r="B183" s="29" t="s">
        <v>759</v>
      </c>
      <c r="C183" s="29" t="s">
        <v>46</v>
      </c>
      <c r="D183" s="6">
        <v>22.3</v>
      </c>
      <c r="E183" s="40">
        <f>LOOKUP(D183,{0,0.4,1.2,2,2.8,3.6,4.4,5.7,7,8.3,9.6,10.9,12.2,13.5,14.8,16.1,17.4,19.1,20.8,22.5,24.2},{0,10,20,30,40,50,60,62,64,66,68,70,72,74,76,78,80,85,90,95,100})</f>
        <v>90</v>
      </c>
      <c r="F183" s="6">
        <v>181</v>
      </c>
      <c r="G183" s="40">
        <f>LOOKUP(F183,{0,123,128,133,138,143,148,151,154,157,160,163,166,169,172,175,178,185,192,198,204},{0,10,20,30,40,50,60,62,64,66,68,70,72,74,76,78,80,85,90,95,100})</f>
        <v>80</v>
      </c>
      <c r="H183" s="6">
        <v>43</v>
      </c>
      <c r="I183" s="40">
        <f>LOOKUP(H183,{0,13,15,17,19,21,23,25,27,29,31,33,35,37,39,41,43,46,49,51,53},{0,10,20,30,40,50,60,62,64,66,68,70,72,74,76,78,80,85,90,95,100})</f>
        <v>80</v>
      </c>
      <c r="J183" s="45"/>
      <c r="K183" s="45"/>
      <c r="L183" s="7">
        <f>I183+K183</f>
        <v>80</v>
      </c>
      <c r="M183" s="6">
        <v>8.4</v>
      </c>
      <c r="N183" s="43">
        <f>13-M183</f>
        <v>4.6</v>
      </c>
      <c r="O183" s="40">
        <f>LOOKUP(N183,{0,1.4,1.6,1.8,2,2.2,2.4,2.6,2.8,3,3.2,3.4,3.6,3.8,4,4.2,4.4,4.7,5,5.1,5.2},{0,10,20,30,40,50,60,62,64,66,68,70,72,74,76,78,80,85,90,95,100})</f>
        <v>80</v>
      </c>
      <c r="P183" s="6">
        <v>3.2</v>
      </c>
      <c r="Q183" s="6">
        <f>10-P183</f>
        <v>6.8</v>
      </c>
      <c r="R183" s="40">
        <f>LOOKUP(Q183,{0,4.7,4.8,4.9,5,5.5,5.6,5.65,5.7,5.75,5.8,5.85,5.9,5.95,6,6.45,6.5,6.57,6.64,6.7,6.76},{0,10,20,30,40,50,60,62,64,66,68,70,72,74,76,78,80,85,90,95,100})</f>
        <v>100</v>
      </c>
      <c r="S183" s="48">
        <f>3.24-P183</f>
        <v>0.04</v>
      </c>
      <c r="T183" s="40">
        <f>LOOKUP(S183,{0,0.05,0.1,0.15,0.2,0.25,0.3,0.35,0.4,0.45,0.5},{0,1,2,3,4,5,6,7,8,9,10})</f>
        <v>0</v>
      </c>
      <c r="U183" s="7">
        <f>R183+T183</f>
        <v>100</v>
      </c>
      <c r="W183" s="7">
        <f>E183*0.1+G183*0.1+I183*0.1+O183*0.2+R183*0.2</f>
        <v>61</v>
      </c>
      <c r="X183" s="21">
        <f>W183/0.7+K183+T183</f>
        <v>87.1428571428572</v>
      </c>
    </row>
    <row r="184" ht="15.6" spans="1:24">
      <c r="A184" s="6">
        <v>116</v>
      </c>
      <c r="B184" s="29" t="s">
        <v>828</v>
      </c>
      <c r="C184" s="29" t="s">
        <v>46</v>
      </c>
      <c r="D184" s="6">
        <v>26.2</v>
      </c>
      <c r="E184" s="40">
        <f>LOOKUP(D184,{0,0.4,1.2,2,2.8,3.6,4.4,5.7,7,8.3,9.6,10.9,12.2,13.5,14.8,16.1,17.4,19.1,20.8,22.5,24.2},{0,10,20,30,40,50,60,62,64,66,68,70,72,74,76,78,80,85,90,95,100})</f>
        <v>100</v>
      </c>
      <c r="F184" s="6">
        <v>180</v>
      </c>
      <c r="G184" s="40">
        <f>LOOKUP(F184,{0,123,128,133,138,143,148,151,154,157,160,163,166,169,172,175,178,185,192,198,204},{0,10,20,30,40,50,60,62,64,66,68,70,72,74,76,78,80,85,90,95,100})</f>
        <v>80</v>
      </c>
      <c r="H184" s="6">
        <v>50</v>
      </c>
      <c r="I184" s="40">
        <f>LOOKUP(H184,{0,13,15,17,19,21,23,25,27,29,31,33,35,37,39,41,43,46,49,51,53},{0,10,20,30,40,50,60,62,64,66,68,70,72,74,76,78,80,85,90,95,100})</f>
        <v>90</v>
      </c>
      <c r="J184" s="45"/>
      <c r="K184" s="45"/>
      <c r="L184" s="7">
        <f>I184+K184</f>
        <v>90</v>
      </c>
      <c r="M184" s="6">
        <v>8.4</v>
      </c>
      <c r="N184" s="43">
        <f>13-M184</f>
        <v>4.6</v>
      </c>
      <c r="O184" s="40">
        <f>LOOKUP(N184,{0,1.4,1.6,1.8,2,2.2,2.4,2.6,2.8,3,3.2,3.4,3.6,3.8,4,4.2,4.4,4.7,5,5.1,5.2},{0,10,20,30,40,50,60,62,64,66,68,70,72,74,76,78,80,85,90,95,100})</f>
        <v>80</v>
      </c>
      <c r="P184" s="6">
        <v>3.31</v>
      </c>
      <c r="Q184" s="6">
        <f>10-P184</f>
        <v>6.69</v>
      </c>
      <c r="R184" s="40">
        <f>LOOKUP(Q184,{0,4.7,4.8,4.9,5,5.5,5.6,5.65,5.7,5.75,5.8,5.85,5.9,5.95,6,6.45,6.5,6.57,6.64,6.7,6.76},{0,10,20,30,40,50,60,62,64,66,68,70,72,74,76,78,80,85,90,95,100})</f>
        <v>90</v>
      </c>
      <c r="S184" s="45"/>
      <c r="T184" s="45"/>
      <c r="U184" s="7">
        <f>R184+T184</f>
        <v>90</v>
      </c>
      <c r="W184" s="7">
        <f>E184*0.1+G184*0.1+I184*0.1+O184*0.2+R184*0.2</f>
        <v>61</v>
      </c>
      <c r="X184" s="21">
        <f>W184/0.7+K184+T184</f>
        <v>87.1428571428572</v>
      </c>
    </row>
    <row r="185" ht="15.6" hidden="1" spans="1:24">
      <c r="A185" s="6">
        <v>116</v>
      </c>
      <c r="B185" s="29" t="s">
        <v>788</v>
      </c>
      <c r="C185" s="29" t="s">
        <v>11</v>
      </c>
      <c r="D185" s="6">
        <v>10.5</v>
      </c>
      <c r="E185" s="40">
        <f>LOOKUP(D185,{0,-4,-3,-2,-1,0,1,2.4,3.8,5.2,6.6,8,9.4,10.8,12.2,13.6,15,17.2,19.4,21.5,23.6},{0,10,20,30,40,50,60,62,64,66,68,70,72,74,76,78,80,85,90,95,100})</f>
        <v>72</v>
      </c>
      <c r="F185" s="6">
        <v>242</v>
      </c>
      <c r="G185" s="40">
        <f>LOOKUP(F185,{0,170,175,180,185,190,195,199,203,207,211,215,219,223,227,231,235,243,250,255,260},{0,10,20,30,40,50,60,62,64,66,68,70,72,74,76,78,80,85,90,95,100})</f>
        <v>80</v>
      </c>
      <c r="H185" s="6">
        <v>5</v>
      </c>
      <c r="I185" s="40">
        <f>LOOKUP(H185,{0,2,3,4,5,6,7,8,9,10,11,12,13,14,15,16},{0,10,20,30,40,50,60,64,68,72,76,80,85,90,95,100})</f>
        <v>40</v>
      </c>
      <c r="J185" s="7"/>
      <c r="K185" s="7"/>
      <c r="L185" s="7">
        <f>I185+K185</f>
        <v>40</v>
      </c>
      <c r="M185" s="6">
        <v>7.1</v>
      </c>
      <c r="N185" s="43">
        <f>13-M185</f>
        <v>5.9</v>
      </c>
      <c r="O185" s="40">
        <f>LOOKUP(N185,{0,2.5,2.7,2.9,3.1,3.3,3.5,3.7,3.9,4.1,4.3,4.5,4.7,4.9,5.1,5.3,5.5,5.6,5.7,5.8,5.9},{0,10,20,30,40,50,60,62,64,66,68,70,72,74,76,78,80,85,90,95,100})</f>
        <v>100</v>
      </c>
      <c r="P185" s="6">
        <v>3.33</v>
      </c>
      <c r="Q185" s="6">
        <f>10-P185</f>
        <v>6.67</v>
      </c>
      <c r="R185" s="40">
        <f>LOOKUP(Q185,{0,3.75,3.95,4.55,4.75,4.95,5.55,5.6,5.65,5.7,5.75,5.8,5.85,5.9,5.95,6,6.45,6.53,6.6,6.65,6.7},{0,10,20,30,40,50,60,62,64,66,68,70,72,74,76,78,80,85,90,95,100})</f>
        <v>95</v>
      </c>
      <c r="S185" s="7"/>
      <c r="T185" s="7"/>
      <c r="U185" s="7">
        <f>R185+T185</f>
        <v>95</v>
      </c>
      <c r="W185" s="7">
        <f>E185*0.1+G185*0.1+I185*0.1+O185*0.2+R185*0.2</f>
        <v>58.2</v>
      </c>
      <c r="X185" s="21">
        <f>W185/0.7+K185+T185</f>
        <v>83.1428571428572</v>
      </c>
    </row>
    <row r="186" ht="15.6" hidden="1" spans="1:24">
      <c r="A186" s="6">
        <v>107</v>
      </c>
      <c r="B186" s="29" t="s">
        <v>326</v>
      </c>
      <c r="C186" s="29" t="s">
        <v>11</v>
      </c>
      <c r="D186" s="6">
        <v>24</v>
      </c>
      <c r="E186" s="40">
        <f>LOOKUP(D186,{0,-4,-3,-2,-1,0,1,2.4,3.8,5.2,6.6,8,9.4,10.8,12.2,13.6,15,17.2,19.4,21.5,23.6},{0,10,20,30,40,50,60,62,64,66,68,70,72,74,76,78,80,85,90,95,100})</f>
        <v>100</v>
      </c>
      <c r="F186" s="6">
        <v>222</v>
      </c>
      <c r="G186" s="40">
        <f>LOOKUP(F186,{0,170,175,180,185,190,195,199,203,207,211,215,219,223,227,231,235,243,250,255,260},{0,10,20,30,40,50,60,62,64,66,68,70,72,74,76,78,80,85,90,95,100})</f>
        <v>72</v>
      </c>
      <c r="H186" s="6">
        <v>29</v>
      </c>
      <c r="I186" s="40">
        <f>LOOKUP(H186,{0,2,3,4,5,6,7,8,9,10,11,12,13,14,15,16},{0,10,20,30,40,50,60,64,68,72,76,80,85,90,95,100})</f>
        <v>100</v>
      </c>
      <c r="J186" s="7">
        <f>H186-16</f>
        <v>13</v>
      </c>
      <c r="K186" s="40">
        <f>LOOKUP(J186,{0,1,2,3,4,5,6,7,8,9,10},{0,1,2,3,4,5,6,7,8,9,10})</f>
        <v>10</v>
      </c>
      <c r="L186" s="7">
        <f>I186+K186</f>
        <v>110</v>
      </c>
      <c r="M186" s="6">
        <v>7.1</v>
      </c>
      <c r="N186" s="43">
        <f>13-M186</f>
        <v>5.9</v>
      </c>
      <c r="O186" s="40">
        <f>LOOKUP(N186,{0,2.5,2.7,2.9,3.1,3.3,3.5,3.7,3.9,4.1,4.3,4.5,4.7,4.9,5.1,5.3,5.5,5.6,5.7,5.8,5.9},{0,10,20,30,40,50,60,62,64,66,68,70,72,74,76,78,80,85,90,95,100})</f>
        <v>100</v>
      </c>
      <c r="P186" s="6">
        <v>3.36</v>
      </c>
      <c r="Q186" s="6">
        <f>10-P186</f>
        <v>6.64</v>
      </c>
      <c r="R186" s="40">
        <f>LOOKUP(Q186,{0,3.75,3.95,4.55,4.75,4.95,5.55,5.6,5.65,5.7,5.75,5.8,5.85,5.9,5.95,6,6.45,6.53,6.6,6.65,6.7},{0,10,20,30,40,50,60,62,64,66,68,70,72,74,76,78,80,85,90,95,100})</f>
        <v>90</v>
      </c>
      <c r="S186" s="7"/>
      <c r="T186" s="7"/>
      <c r="U186" s="7">
        <f>R186+T186</f>
        <v>90</v>
      </c>
      <c r="W186" s="7">
        <f>E186*0.1+G186*0.1+I186*0.1+O186*0.2+R186*0.2</f>
        <v>65.2</v>
      </c>
      <c r="X186" s="21">
        <f>W186/0.7+K186+T186</f>
        <v>103.142857142857</v>
      </c>
    </row>
    <row r="187" ht="15.6" hidden="1" spans="1:24">
      <c r="A187" s="6">
        <v>102</v>
      </c>
      <c r="B187" s="29" t="s">
        <v>71</v>
      </c>
      <c r="C187" s="29" t="s">
        <v>11</v>
      </c>
      <c r="D187" s="6">
        <v>7.1</v>
      </c>
      <c r="E187" s="40">
        <f>LOOKUP(D187,{0,-4,-3,-2,-1,0,1,2.4,3.8,5.2,6.6,8,9.4,10.8,12.2,13.6,15,17.2,19.4,21.5,23.6},{0,10,20,30,40,50,60,62,64,66,68,70,72,74,76,78,80,85,90,95,100})</f>
        <v>68</v>
      </c>
      <c r="F187" s="6">
        <v>205</v>
      </c>
      <c r="G187" s="40">
        <f>LOOKUP(F187,{0,170,175,180,185,190,195,199,203,207,211,215,219,223,227,231,235,243,250,255,260},{0,10,20,30,40,50,60,62,64,66,68,70,72,74,76,78,80,85,90,95,100})</f>
        <v>64</v>
      </c>
      <c r="H187" s="6">
        <v>5</v>
      </c>
      <c r="I187" s="40">
        <f>LOOKUP(H187,{0,2,3,4,5,6,7,8,9,10,11,12,13,14,15,16},{0,10,20,30,40,50,60,64,68,72,76,80,85,90,95,100})</f>
        <v>40</v>
      </c>
      <c r="J187" s="7"/>
      <c r="K187" s="7"/>
      <c r="L187" s="7">
        <f>I187+K187</f>
        <v>40</v>
      </c>
      <c r="M187" s="6">
        <v>7.1</v>
      </c>
      <c r="N187" s="43">
        <f>13-M187</f>
        <v>5.9</v>
      </c>
      <c r="O187" s="40">
        <f>LOOKUP(N187,{0,2.5,2.7,2.9,3.1,3.3,3.5,3.7,3.9,4.1,4.3,4.5,4.7,4.9,5.1,5.3,5.5,5.6,5.7,5.8,5.9},{0,10,20,30,40,50,60,62,64,66,68,70,72,74,76,78,80,85,90,95,100})</f>
        <v>100</v>
      </c>
      <c r="P187" s="6">
        <v>3.36</v>
      </c>
      <c r="Q187" s="6">
        <f>10-P187</f>
        <v>6.64</v>
      </c>
      <c r="R187" s="40">
        <f>LOOKUP(Q187,{0,3.75,3.95,4.55,4.75,4.95,5.55,5.6,5.65,5.7,5.75,5.8,5.85,5.9,5.95,6,6.45,6.53,6.6,6.65,6.7},{0,10,20,30,40,50,60,62,64,66,68,70,72,74,76,78,80,85,90,95,100})</f>
        <v>90</v>
      </c>
      <c r="S187" s="7"/>
      <c r="T187" s="7"/>
      <c r="U187" s="7">
        <f>R187+T187</f>
        <v>90</v>
      </c>
      <c r="W187" s="7">
        <f>E187*0.1+G187*0.1+I187*0.1+O187*0.2+R187*0.2</f>
        <v>55.2</v>
      </c>
      <c r="X187" s="21">
        <f>W187/0.7+K187+T187</f>
        <v>78.8571428571429</v>
      </c>
    </row>
    <row r="188" s="3" customFormat="1" ht="15.6" hidden="1" spans="1:24">
      <c r="A188" s="6">
        <v>113</v>
      </c>
      <c r="B188" s="29" t="s">
        <v>632</v>
      </c>
      <c r="C188" s="29" t="s">
        <v>11</v>
      </c>
      <c r="D188" s="6">
        <v>0.2</v>
      </c>
      <c r="E188" s="40">
        <f>LOOKUP(D188,{0,-4,-3,-2,-1,0,1,2.4,3.8,5.2,6.6,8,9.4,10.8,12.2,13.6,15,17.2,19.4,21.5,23.6},{0,10,20,30,40,50,60,62,64,66,68,70,72,74,76,78,80,85,90,95,100})</f>
        <v>50</v>
      </c>
      <c r="F188" s="6">
        <v>223</v>
      </c>
      <c r="G188" s="40">
        <f>LOOKUP(F188,{0,170,175,180,185,190,195,199,203,207,211,215,219,223,227,231,235,243,250,255,260},{0,10,20,30,40,50,60,62,64,66,68,70,72,74,76,78,80,85,90,95,100})</f>
        <v>74</v>
      </c>
      <c r="H188" s="6">
        <v>15</v>
      </c>
      <c r="I188" s="40">
        <f>LOOKUP(H188,{0,2,3,4,5,6,7,8,9,10,11,12,13,14,15,16},{0,10,20,30,40,50,60,64,68,72,76,80,85,90,95,100})</f>
        <v>95</v>
      </c>
      <c r="J188" s="7"/>
      <c r="K188" s="7"/>
      <c r="L188" s="7">
        <f>I188+K188</f>
        <v>95</v>
      </c>
      <c r="M188" s="6">
        <v>7.1</v>
      </c>
      <c r="N188" s="43">
        <f>13-M188</f>
        <v>5.9</v>
      </c>
      <c r="O188" s="40">
        <f>LOOKUP(N188,{0,2.5,2.7,2.9,3.1,3.3,3.5,3.7,3.9,4.1,4.3,4.5,4.7,4.9,5.1,5.3,5.5,5.6,5.7,5.8,5.9},{0,10,20,30,40,50,60,62,64,66,68,70,72,74,76,78,80,85,90,95,100})</f>
        <v>100</v>
      </c>
      <c r="P188" s="6">
        <v>3.37</v>
      </c>
      <c r="Q188" s="6">
        <f>10-P188</f>
        <v>6.63</v>
      </c>
      <c r="R188" s="40">
        <f>LOOKUP(Q188,{0,3.75,3.95,4.55,4.75,4.95,5.55,5.6,5.65,5.7,5.75,5.8,5.85,5.9,5.95,6,6.45,6.53,6.6,6.65,6.7},{0,10,20,30,40,50,60,62,64,66,68,70,72,74,76,78,80,85,90,95,100})</f>
        <v>90</v>
      </c>
      <c r="S188" s="7"/>
      <c r="T188" s="7"/>
      <c r="U188" s="7">
        <f>R188+T188</f>
        <v>90</v>
      </c>
      <c r="V188" s="6"/>
      <c r="W188" s="7">
        <f>E188*0.1+G188*0.1+I188*0.1+O188*0.2+R188*0.2</f>
        <v>59.9</v>
      </c>
      <c r="X188" s="21">
        <f>W188/0.7+K188+T188</f>
        <v>85.5714285714286</v>
      </c>
    </row>
    <row r="189" ht="15.6" hidden="1" spans="1:24">
      <c r="A189" s="6">
        <v>113</v>
      </c>
      <c r="B189" s="39" t="s">
        <v>636</v>
      </c>
      <c r="C189" s="29" t="s">
        <v>11</v>
      </c>
      <c r="D189" s="6">
        <v>17</v>
      </c>
      <c r="E189" s="40">
        <f>LOOKUP(D189,{0,-4,-3,-2,-1,0,1,2.4,3.8,5.2,6.6,8,9.4,10.8,12.2,13.6,15,17.2,19.4,21.5,23.6},{0,10,20,30,40,50,60,62,64,66,68,70,72,74,76,78,80,85,90,95,100})</f>
        <v>80</v>
      </c>
      <c r="F189" s="6">
        <v>250</v>
      </c>
      <c r="G189" s="40">
        <f>LOOKUP(F189,{0,170,175,180,185,190,195,199,203,207,211,215,219,223,227,231,235,243,250,255,260},{0,10,20,30,40,50,60,62,64,66,68,70,72,74,76,78,80,85,90,95,100})</f>
        <v>90</v>
      </c>
      <c r="H189" s="6">
        <v>16</v>
      </c>
      <c r="I189" s="40">
        <f>LOOKUP(H189,{0,2,3,4,5,6,7,8,9,10,11,12,13,14,15,16},{0,10,20,30,40,50,60,64,68,72,76,80,85,90,95,100})</f>
        <v>100</v>
      </c>
      <c r="J189" s="7">
        <f>H189-16</f>
        <v>0</v>
      </c>
      <c r="K189" s="40">
        <f>LOOKUP(J189,{0,1,2,3,4,5,6,7,8,9,10},{0,1,2,3,4,5,6,7,8,9,10})</f>
        <v>0</v>
      </c>
      <c r="L189" s="7">
        <f>I189+K189</f>
        <v>100</v>
      </c>
      <c r="M189" s="6">
        <v>7.1</v>
      </c>
      <c r="N189" s="43">
        <f>13-M189</f>
        <v>5.9</v>
      </c>
      <c r="O189" s="40">
        <f>LOOKUP(N189,{0,2.5,2.7,2.9,3.1,3.3,3.5,3.7,3.9,4.1,4.3,4.5,4.7,4.9,5.1,5.3,5.5,5.6,5.7,5.8,5.9},{0,10,20,30,40,50,60,62,64,66,68,70,72,74,76,78,80,85,90,95,100})</f>
        <v>100</v>
      </c>
      <c r="P189" s="6">
        <v>3.38</v>
      </c>
      <c r="Q189" s="6">
        <f>10-P189</f>
        <v>6.62</v>
      </c>
      <c r="R189" s="40">
        <f>LOOKUP(Q189,{0,3.75,3.95,4.55,4.75,4.95,5.55,5.6,5.65,5.7,5.75,5.8,5.85,5.9,5.95,6,6.45,6.53,6.6,6.65,6.7},{0,10,20,30,40,50,60,62,64,66,68,70,72,74,76,78,80,85,90,95,100})</f>
        <v>90</v>
      </c>
      <c r="S189" s="7"/>
      <c r="T189" s="7"/>
      <c r="U189" s="7">
        <f>R189+T189</f>
        <v>90</v>
      </c>
      <c r="W189" s="7">
        <f>E189*0.1+G189*0.1+I189*0.1+O189*0.2+R189*0.2</f>
        <v>65</v>
      </c>
      <c r="X189" s="21">
        <f>W189/0.7+K189+T189</f>
        <v>92.8571428571429</v>
      </c>
    </row>
    <row r="190" ht="15.6" hidden="1" spans="1:24">
      <c r="A190" s="6">
        <v>107</v>
      </c>
      <c r="B190" s="29" t="s">
        <v>307</v>
      </c>
      <c r="C190" s="29" t="s">
        <v>11</v>
      </c>
      <c r="D190" s="6">
        <v>10.5</v>
      </c>
      <c r="E190" s="40">
        <f>LOOKUP(D190,{0,-4,-3,-2,-1,0,1,2.4,3.8,5.2,6.6,8,9.4,10.8,12.2,13.6,15,17.2,19.4,21.5,23.6},{0,10,20,30,40,50,60,62,64,66,68,70,72,74,76,78,80,85,90,95,100})</f>
        <v>72</v>
      </c>
      <c r="F190" s="6">
        <v>238</v>
      </c>
      <c r="G190" s="40">
        <f>LOOKUP(F190,{0,170,175,180,185,190,195,199,203,207,211,215,219,223,227,231,235,243,250,255,260},{0,10,20,30,40,50,60,62,64,66,68,70,72,74,76,78,80,85,90,95,100})</f>
        <v>80</v>
      </c>
      <c r="H190" s="6">
        <v>16</v>
      </c>
      <c r="I190" s="40">
        <f>LOOKUP(H190,{0,2,3,4,5,6,7,8,9,10,11,12,13,14,15,16},{0,10,20,30,40,50,60,64,68,72,76,80,85,90,95,100})</f>
        <v>100</v>
      </c>
      <c r="J190" s="7">
        <f>H190-16</f>
        <v>0</v>
      </c>
      <c r="K190" s="40">
        <f>LOOKUP(J190,{0,1,2,3,4,5,6,7,8,9,10},{0,1,2,3,4,5,6,7,8,9,10})</f>
        <v>0</v>
      </c>
      <c r="L190" s="7">
        <f>I190+K190</f>
        <v>100</v>
      </c>
      <c r="M190" s="6">
        <v>7.1</v>
      </c>
      <c r="N190" s="43">
        <f>13-M190</f>
        <v>5.9</v>
      </c>
      <c r="O190" s="40">
        <f>LOOKUP(N190,{0,2.5,2.7,2.9,3.1,3.3,3.5,3.7,3.9,4.1,4.3,4.5,4.7,4.9,5.1,5.3,5.5,5.6,5.7,5.8,5.9},{0,10,20,30,40,50,60,62,64,66,68,70,72,74,76,78,80,85,90,95,100})</f>
        <v>100</v>
      </c>
      <c r="P190" s="6">
        <v>3.39</v>
      </c>
      <c r="Q190" s="6">
        <f>10-P190</f>
        <v>6.61</v>
      </c>
      <c r="R190" s="40">
        <f>LOOKUP(Q190,{0,3.75,3.95,4.55,4.75,4.95,5.55,5.6,5.65,5.7,5.75,5.8,5.85,5.9,5.95,6,6.45,6.53,6.6,6.65,6.7},{0,10,20,30,40,50,60,62,64,66,68,70,72,74,76,78,80,85,90,95,100})</f>
        <v>90</v>
      </c>
      <c r="S190" s="7"/>
      <c r="T190" s="7"/>
      <c r="U190" s="7">
        <f>R190+T190</f>
        <v>90</v>
      </c>
      <c r="W190" s="7">
        <f>E190*0.1+G190*0.1+I190*0.1+O190*0.2+R190*0.2</f>
        <v>63.2</v>
      </c>
      <c r="X190" s="21">
        <f>W190/0.7+K190+T190</f>
        <v>90.2857142857143</v>
      </c>
    </row>
    <row r="191" ht="15.6" hidden="1" spans="1:24">
      <c r="A191" s="6">
        <v>111</v>
      </c>
      <c r="B191" s="29" t="s">
        <v>520</v>
      </c>
      <c r="C191" s="29" t="s">
        <v>11</v>
      </c>
      <c r="D191" s="6">
        <v>6.7</v>
      </c>
      <c r="E191" s="40">
        <f>LOOKUP(D191,{0,-4,-3,-2,-1,0,1,2.4,3.8,5.2,6.6,8,9.4,10.8,12.2,13.6,15,17.2,19.4,21.5,23.6},{0,10,20,30,40,50,60,62,64,66,68,70,72,74,76,78,80,85,90,95,100})</f>
        <v>68</v>
      </c>
      <c r="F191" s="6">
        <v>245</v>
      </c>
      <c r="G191" s="40">
        <f>LOOKUP(F191,{0,170,175,180,185,190,195,199,203,207,211,215,219,223,227,231,235,243,250,255,260},{0,10,20,30,40,50,60,62,64,66,68,70,72,74,76,78,80,85,90,95,100})</f>
        <v>85</v>
      </c>
      <c r="H191" s="6">
        <v>14</v>
      </c>
      <c r="I191" s="40">
        <f>LOOKUP(H191,{0,2,3,4,5,6,7,8,9,10,11,12,13,14,15,16},{0,10,20,30,40,50,60,64,68,72,76,80,85,90,95,100})</f>
        <v>90</v>
      </c>
      <c r="J191" s="7"/>
      <c r="K191" s="7"/>
      <c r="L191" s="7">
        <f>I191+K191</f>
        <v>90</v>
      </c>
      <c r="M191" s="6">
        <v>7.1</v>
      </c>
      <c r="N191" s="43">
        <f>13-M191</f>
        <v>5.9</v>
      </c>
      <c r="O191" s="40">
        <f>LOOKUP(N191,{0,2.5,2.7,2.9,3.1,3.3,3.5,3.7,3.9,4.1,4.3,4.5,4.7,4.9,5.1,5.3,5.5,5.6,5.7,5.8,5.9},{0,10,20,30,40,50,60,62,64,66,68,70,72,74,76,78,80,85,90,95,100})</f>
        <v>100</v>
      </c>
      <c r="P191" s="6">
        <v>3.4</v>
      </c>
      <c r="Q191" s="6">
        <f>10-P191</f>
        <v>6.6</v>
      </c>
      <c r="R191" s="40">
        <f>LOOKUP(Q191,{0,3.75,3.95,4.55,4.75,4.95,5.55,5.6,5.65,5.7,5.75,5.8,5.85,5.9,5.95,6,6.45,6.53,6.6,6.65,6.7},{0,10,20,30,40,50,60,62,64,66,68,70,72,74,76,78,80,85,90,95,100})</f>
        <v>90</v>
      </c>
      <c r="S191" s="7"/>
      <c r="T191" s="7"/>
      <c r="U191" s="7">
        <f>R191+T191</f>
        <v>90</v>
      </c>
      <c r="W191" s="7">
        <f>E191*0.1+G191*0.1+I191*0.1+O191*0.2+R191*0.2</f>
        <v>62.3</v>
      </c>
      <c r="X191" s="21">
        <f>W191/0.7+K191+T191</f>
        <v>89</v>
      </c>
    </row>
    <row r="192" ht="15.6" hidden="1" spans="1:24">
      <c r="A192" s="6">
        <v>113</v>
      </c>
      <c r="B192" s="29" t="s">
        <v>633</v>
      </c>
      <c r="C192" s="29" t="s">
        <v>11</v>
      </c>
      <c r="D192" s="6">
        <v>7</v>
      </c>
      <c r="E192" s="40">
        <f>LOOKUP(D192,{0,-4,-3,-2,-1,0,1,2.4,3.8,5.2,6.6,8,9.4,10.8,12.2,13.6,15,17.2,19.4,21.5,23.6},{0,10,20,30,40,50,60,62,64,66,68,70,72,74,76,78,80,85,90,95,100})</f>
        <v>68</v>
      </c>
      <c r="F192" s="6">
        <v>258</v>
      </c>
      <c r="G192" s="40">
        <f>LOOKUP(F192,{0,170,175,180,185,190,195,199,203,207,211,215,219,223,227,231,235,243,250,255,260},{0,10,20,30,40,50,60,62,64,66,68,70,72,74,76,78,80,85,90,95,100})</f>
        <v>95</v>
      </c>
      <c r="H192" s="6">
        <v>0</v>
      </c>
      <c r="I192" s="40">
        <f>LOOKUP(H192,{0,2,3,4,5,6,7,8,9,10,11,12,13,14,15,16},{0,10,20,30,40,50,60,64,68,72,76,80,85,90,95,100})</f>
        <v>0</v>
      </c>
      <c r="J192" s="7"/>
      <c r="K192" s="7"/>
      <c r="L192" s="7">
        <f>I192+K192</f>
        <v>0</v>
      </c>
      <c r="M192" s="6">
        <v>7.1</v>
      </c>
      <c r="N192" s="43">
        <f>13-M192</f>
        <v>5.9</v>
      </c>
      <c r="O192" s="40">
        <f>LOOKUP(N192,{0,2.5,2.7,2.9,3.1,3.3,3.5,3.7,3.9,4.1,4.3,4.5,4.7,4.9,5.1,5.3,5.5,5.6,5.7,5.8,5.9},{0,10,20,30,40,50,60,62,64,66,68,70,72,74,76,78,80,85,90,95,100})</f>
        <v>100</v>
      </c>
      <c r="P192" s="6">
        <v>3.41</v>
      </c>
      <c r="Q192" s="6">
        <f>10-P192</f>
        <v>6.59</v>
      </c>
      <c r="R192" s="40">
        <f>LOOKUP(Q192,{0,3.75,3.95,4.55,4.75,4.95,5.55,5.6,5.65,5.7,5.75,5.8,5.85,5.9,5.95,6,6.45,6.53,6.6,6.65,6.7},{0,10,20,30,40,50,60,62,64,66,68,70,72,74,76,78,80,85,90,95,100})</f>
        <v>85</v>
      </c>
      <c r="S192" s="7"/>
      <c r="T192" s="7"/>
      <c r="U192" s="7">
        <f>R192+T192</f>
        <v>85</v>
      </c>
      <c r="W192" s="7">
        <f>E192*0.1+G192*0.1+I192*0.1+O192*0.2+R192*0.2</f>
        <v>53.3</v>
      </c>
      <c r="X192" s="21">
        <f>W192/0.7+K192+T192</f>
        <v>76.1428571428571</v>
      </c>
    </row>
    <row r="193" ht="15.6" hidden="1" spans="1:24">
      <c r="A193" s="6">
        <v>116</v>
      </c>
      <c r="B193" s="29" t="s">
        <v>799</v>
      </c>
      <c r="C193" s="29" t="s">
        <v>11</v>
      </c>
      <c r="D193" s="6">
        <v>15.5</v>
      </c>
      <c r="E193" s="40">
        <f>LOOKUP(D193,{0,-4,-3,-2,-1,0,1,2.4,3.8,5.2,6.6,8,9.4,10.8,12.2,13.6,15,17.2,19.4,21.5,23.6},{0,10,20,30,40,50,60,62,64,66,68,70,72,74,76,78,80,85,90,95,100})</f>
        <v>80</v>
      </c>
      <c r="F193" s="6">
        <v>250</v>
      </c>
      <c r="G193" s="40">
        <f>LOOKUP(F193,{0,170,175,180,185,190,195,199,203,207,211,215,219,223,227,231,235,243,250,255,260},{0,10,20,30,40,50,60,62,64,66,68,70,72,74,76,78,80,85,90,95,100})</f>
        <v>90</v>
      </c>
      <c r="H193" s="6">
        <v>35</v>
      </c>
      <c r="I193" s="40">
        <f>LOOKUP(H193,{0,2,3,4,5,6,7,8,9,10,11,12,13,14,15,16},{0,10,20,30,40,50,60,64,68,72,76,80,85,90,95,100})</f>
        <v>100</v>
      </c>
      <c r="J193" s="7">
        <f>H193-16</f>
        <v>19</v>
      </c>
      <c r="K193" s="40">
        <f>LOOKUP(J193,{0,1,2,3,4,5,6,7,8,9,10},{0,1,2,3,4,5,6,7,8,9,10})</f>
        <v>10</v>
      </c>
      <c r="L193" s="7">
        <f>I193+K193</f>
        <v>110</v>
      </c>
      <c r="M193" s="6">
        <v>7.1</v>
      </c>
      <c r="N193" s="43">
        <f>13-M193</f>
        <v>5.9</v>
      </c>
      <c r="O193" s="40">
        <f>LOOKUP(N193,{0,2.5,2.7,2.9,3.1,3.3,3.5,3.7,3.9,4.1,4.3,4.5,4.7,4.9,5.1,5.3,5.5,5.6,5.7,5.8,5.9},{0,10,20,30,40,50,60,62,64,66,68,70,72,74,76,78,80,85,90,95,100})</f>
        <v>100</v>
      </c>
      <c r="P193" s="6">
        <v>3.44</v>
      </c>
      <c r="Q193" s="6">
        <f>10-P193</f>
        <v>6.56</v>
      </c>
      <c r="R193" s="40">
        <f>LOOKUP(Q193,{0,3.75,3.95,4.55,4.75,4.95,5.55,5.6,5.65,5.7,5.75,5.8,5.85,5.9,5.95,6,6.45,6.53,6.6,6.65,6.7},{0,10,20,30,40,50,60,62,64,66,68,70,72,74,76,78,80,85,90,95,100})</f>
        <v>85</v>
      </c>
      <c r="S193" s="7"/>
      <c r="T193" s="7"/>
      <c r="U193" s="7">
        <f>R193+T193</f>
        <v>85</v>
      </c>
      <c r="W193" s="7">
        <f>E193*0.1+G193*0.1+I193*0.1+O193*0.2+R193*0.2</f>
        <v>64</v>
      </c>
      <c r="X193" s="21">
        <f>W193/0.7+K193+T193</f>
        <v>101.428571428571</v>
      </c>
    </row>
    <row r="194" ht="15.6" hidden="1" spans="1:24">
      <c r="A194" s="6">
        <v>113</v>
      </c>
      <c r="B194" s="29" t="s">
        <v>624</v>
      </c>
      <c r="C194" s="29" t="s">
        <v>11</v>
      </c>
      <c r="D194" s="6">
        <v>9.5</v>
      </c>
      <c r="E194" s="40">
        <f>LOOKUP(D194,{0,-4,-3,-2,-1,0,1,2.4,3.8,5.2,6.6,8,9.4,10.8,12.2,13.6,15,17.2,19.4,21.5,23.6},{0,10,20,30,40,50,60,62,64,66,68,70,72,74,76,78,80,85,90,95,100})</f>
        <v>72</v>
      </c>
      <c r="F194" s="6">
        <v>235</v>
      </c>
      <c r="G194" s="40">
        <f>LOOKUP(F194,{0,170,175,180,185,190,195,199,203,207,211,215,219,223,227,231,235,243,250,255,260},{0,10,20,30,40,50,60,62,64,66,68,70,72,74,76,78,80,85,90,95,100})</f>
        <v>80</v>
      </c>
      <c r="H194" s="6">
        <v>0</v>
      </c>
      <c r="I194" s="40">
        <f>LOOKUP(H194,{0,2,3,4,5,6,7,8,9,10,11,12,13,14,15,16},{0,10,20,30,40,50,60,64,68,72,76,80,85,90,95,100})</f>
        <v>0</v>
      </c>
      <c r="J194" s="7"/>
      <c r="K194" s="7"/>
      <c r="L194" s="7">
        <f>I194+K194</f>
        <v>0</v>
      </c>
      <c r="M194" s="6">
        <v>7.1</v>
      </c>
      <c r="N194" s="43">
        <f>13-M194</f>
        <v>5.9</v>
      </c>
      <c r="O194" s="40">
        <f>LOOKUP(N194,{0,2.5,2.7,2.9,3.1,3.3,3.5,3.7,3.9,4.1,4.3,4.5,4.7,4.9,5.1,5.3,5.5,5.6,5.7,5.8,5.9},{0,10,20,30,40,50,60,62,64,66,68,70,72,74,76,78,80,85,90,95,100})</f>
        <v>100</v>
      </c>
      <c r="P194" s="6">
        <v>3.44</v>
      </c>
      <c r="Q194" s="6">
        <f>10-P194</f>
        <v>6.56</v>
      </c>
      <c r="R194" s="40">
        <f>LOOKUP(Q194,{0,3.75,3.95,4.55,4.75,4.95,5.55,5.6,5.65,5.7,5.75,5.8,5.85,5.9,5.95,6,6.45,6.53,6.6,6.65,6.7},{0,10,20,30,40,50,60,62,64,66,68,70,72,74,76,78,80,85,90,95,100})</f>
        <v>85</v>
      </c>
      <c r="S194" s="7"/>
      <c r="T194" s="7"/>
      <c r="U194" s="7">
        <f>R194+T194</f>
        <v>85</v>
      </c>
      <c r="W194" s="7">
        <f>E194*0.1+G194*0.1+I194*0.1+O194*0.2+R194*0.2</f>
        <v>52.2</v>
      </c>
      <c r="X194" s="21">
        <f>W194/0.7+K194+T194</f>
        <v>74.5714285714286</v>
      </c>
    </row>
    <row r="195" ht="15.6" hidden="1" spans="1:24">
      <c r="A195" s="6">
        <v>108</v>
      </c>
      <c r="B195" s="29" t="s">
        <v>371</v>
      </c>
      <c r="C195" s="29" t="s">
        <v>11</v>
      </c>
      <c r="D195" s="6">
        <v>0</v>
      </c>
      <c r="E195" s="40">
        <f>LOOKUP(D195,{0,-4,-3,-2,-1,0,1,2.4,3.8,5.2,6.6,8,9.4,10.8,12.2,13.6,15,17.2,19.4,21.5,23.6},{0,10,20,30,40,50,60,62,64,66,68,70,72,74,76,78,80,85,90,95,100})</f>
        <v>50</v>
      </c>
      <c r="F195" s="6">
        <v>241</v>
      </c>
      <c r="G195" s="40">
        <f>LOOKUP(F195,{0,170,175,180,185,190,195,199,203,207,211,215,219,223,227,231,235,243,250,255,260},{0,10,20,30,40,50,60,62,64,66,68,70,72,74,76,78,80,85,90,95,100})</f>
        <v>80</v>
      </c>
      <c r="H195" s="6">
        <v>1</v>
      </c>
      <c r="I195" s="40">
        <f>LOOKUP(H195,{0,2,3,4,5,6,7,8,9,10,11,12,13,14,15,16},{0,10,20,30,40,50,60,64,68,72,76,80,85,90,95,100})</f>
        <v>0</v>
      </c>
      <c r="J195" s="7"/>
      <c r="K195" s="7"/>
      <c r="L195" s="7">
        <f>I195+K195</f>
        <v>0</v>
      </c>
      <c r="M195" s="6">
        <v>7.1</v>
      </c>
      <c r="N195" s="43">
        <f>13-M195</f>
        <v>5.9</v>
      </c>
      <c r="O195" s="40">
        <f>LOOKUP(N195,{0,2.5,2.7,2.9,3.1,3.3,3.5,3.7,3.9,4.1,4.3,4.5,4.7,4.9,5.1,5.3,5.5,5.6,5.7,5.8,5.9},{0,10,20,30,40,50,60,62,64,66,68,70,72,74,76,78,80,85,90,95,100})</f>
        <v>100</v>
      </c>
      <c r="P195" s="6">
        <v>3.45</v>
      </c>
      <c r="Q195" s="6">
        <f>10-P195</f>
        <v>6.55</v>
      </c>
      <c r="R195" s="40">
        <f>LOOKUP(Q195,{0,3.75,3.95,4.55,4.75,4.95,5.55,5.6,5.65,5.7,5.75,5.8,5.85,5.9,5.95,6,6.45,6.53,6.6,6.65,6.7},{0,10,20,30,40,50,60,62,64,66,68,70,72,74,76,78,80,85,90,95,100})</f>
        <v>85</v>
      </c>
      <c r="S195" s="7"/>
      <c r="T195" s="7"/>
      <c r="U195" s="7">
        <f>R195+T195</f>
        <v>85</v>
      </c>
      <c r="W195" s="7">
        <f>E195*0.1+G195*0.1+I195*0.1+O195*0.2+R195*0.2</f>
        <v>50</v>
      </c>
      <c r="X195" s="21">
        <f>W195/0.7+K195+T195</f>
        <v>71.4285714285714</v>
      </c>
    </row>
    <row r="196" ht="15.6" hidden="1" spans="1:24">
      <c r="A196" s="6">
        <v>112</v>
      </c>
      <c r="B196" s="29" t="s">
        <v>574</v>
      </c>
      <c r="C196" s="29" t="s">
        <v>11</v>
      </c>
      <c r="D196" s="6">
        <v>3.5</v>
      </c>
      <c r="E196" s="40">
        <f>LOOKUP(D196,{0,-4,-3,-2,-1,0,1,2.4,3.8,5.2,6.6,8,9.4,10.8,12.2,13.6,15,17.2,19.4,21.5,23.6},{0,10,20,30,40,50,60,62,64,66,68,70,72,74,76,78,80,85,90,95,100})</f>
        <v>62</v>
      </c>
      <c r="F196" s="6">
        <v>232</v>
      </c>
      <c r="G196" s="40">
        <f>LOOKUP(F196,{0,170,175,180,185,190,195,199,203,207,211,215,219,223,227,231,235,243,250,255,260},{0,10,20,30,40,50,60,62,64,66,68,70,72,74,76,78,80,85,90,95,100})</f>
        <v>78</v>
      </c>
      <c r="H196" s="6">
        <v>5</v>
      </c>
      <c r="I196" s="40">
        <f>LOOKUP(H196,{0,2,3,4,5,6,7,8,9,10,11,12,13,14,15,16},{0,10,20,30,40,50,60,64,68,72,76,80,85,90,95,100})</f>
        <v>40</v>
      </c>
      <c r="J196" s="7"/>
      <c r="K196" s="7"/>
      <c r="L196" s="7">
        <f>I196+K196</f>
        <v>40</v>
      </c>
      <c r="M196" s="6">
        <v>7.1</v>
      </c>
      <c r="N196" s="43">
        <f>13-M196</f>
        <v>5.9</v>
      </c>
      <c r="O196" s="40">
        <f>LOOKUP(N196,{0,2.5,2.7,2.9,3.1,3.3,3.5,3.7,3.9,4.1,4.3,4.5,4.7,4.9,5.1,5.3,5.5,5.6,5.7,5.8,5.9},{0,10,20,30,40,50,60,62,64,66,68,70,72,74,76,78,80,85,90,95,100})</f>
        <v>100</v>
      </c>
      <c r="P196" s="6">
        <v>3.46</v>
      </c>
      <c r="Q196" s="6">
        <f>10-P196</f>
        <v>6.54</v>
      </c>
      <c r="R196" s="40">
        <f>LOOKUP(Q196,{0,3.75,3.95,4.55,4.75,4.95,5.55,5.6,5.65,5.7,5.75,5.8,5.85,5.9,5.95,6,6.45,6.53,6.6,6.65,6.7},{0,10,20,30,40,50,60,62,64,66,68,70,72,74,76,78,80,85,90,95,100})</f>
        <v>85</v>
      </c>
      <c r="S196" s="7"/>
      <c r="T196" s="7"/>
      <c r="U196" s="7">
        <f>R196+T196</f>
        <v>85</v>
      </c>
      <c r="W196" s="7">
        <f>E196*0.1+G196*0.1+I196*0.1+O196*0.2+R196*0.2</f>
        <v>55</v>
      </c>
      <c r="X196" s="21">
        <f>W196/0.7+K196+T196</f>
        <v>78.5714285714286</v>
      </c>
    </row>
    <row r="197" ht="15.6" hidden="1" spans="1:24">
      <c r="A197" s="6">
        <v>102</v>
      </c>
      <c r="B197" s="29" t="s">
        <v>67</v>
      </c>
      <c r="C197" s="29" t="s">
        <v>11</v>
      </c>
      <c r="D197" s="6">
        <v>8.3</v>
      </c>
      <c r="E197" s="40">
        <f>LOOKUP(D197,{0,-4,-3,-2,-1,0,1,2.4,3.8,5.2,6.6,8,9.4,10.8,12.2,13.6,15,17.2,19.4,21.5,23.6},{0,10,20,30,40,50,60,62,64,66,68,70,72,74,76,78,80,85,90,95,100})</f>
        <v>70</v>
      </c>
      <c r="F197" s="6">
        <v>257</v>
      </c>
      <c r="G197" s="40">
        <f>LOOKUP(F197,{0,170,175,180,185,190,195,199,203,207,211,215,219,223,227,231,235,243,250,255,260},{0,10,20,30,40,50,60,62,64,66,68,70,72,74,76,78,80,85,90,95,100})</f>
        <v>95</v>
      </c>
      <c r="H197" s="6">
        <v>3</v>
      </c>
      <c r="I197" s="40">
        <f>LOOKUP(H197,{0,2,3,4,5,6,7,8,9,10,11,12,13,14,15,16},{0,10,20,30,40,50,60,64,68,72,76,80,85,90,95,100})</f>
        <v>20</v>
      </c>
      <c r="J197" s="7"/>
      <c r="K197" s="7"/>
      <c r="L197" s="7">
        <f>I197+K197</f>
        <v>20</v>
      </c>
      <c r="M197" s="6">
        <v>7.1</v>
      </c>
      <c r="N197" s="43">
        <f>13-M197</f>
        <v>5.9</v>
      </c>
      <c r="O197" s="40">
        <f>LOOKUP(N197,{0,2.5,2.7,2.9,3.1,3.3,3.5,3.7,3.9,4.1,4.3,4.5,4.7,4.9,5.1,5.3,5.5,5.6,5.7,5.8,5.9},{0,10,20,30,40,50,60,62,64,66,68,70,72,74,76,78,80,85,90,95,100})</f>
        <v>100</v>
      </c>
      <c r="P197" s="6">
        <v>3.46</v>
      </c>
      <c r="Q197" s="6">
        <f>10-P197</f>
        <v>6.54</v>
      </c>
      <c r="R197" s="40">
        <f>LOOKUP(Q197,{0,3.75,3.95,4.55,4.75,4.95,5.55,5.6,5.65,5.7,5.75,5.8,5.85,5.9,5.95,6,6.45,6.53,6.6,6.65,6.7},{0,10,20,30,40,50,60,62,64,66,68,70,72,74,76,78,80,85,90,95,100})</f>
        <v>85</v>
      </c>
      <c r="S197" s="7"/>
      <c r="T197" s="7"/>
      <c r="U197" s="7">
        <f>R197+T197</f>
        <v>85</v>
      </c>
      <c r="W197" s="7">
        <f>E197*0.1+G197*0.1+I197*0.1+O197*0.2+R197*0.2</f>
        <v>55.5</v>
      </c>
      <c r="X197" s="21">
        <f>W197/0.7+K197+T197</f>
        <v>79.2857142857143</v>
      </c>
    </row>
    <row r="198" ht="15.6" hidden="1" spans="1:24">
      <c r="A198" s="6">
        <v>103</v>
      </c>
      <c r="B198" s="29" t="s">
        <v>145</v>
      </c>
      <c r="C198" s="29" t="s">
        <v>11</v>
      </c>
      <c r="D198" s="6">
        <v>2.5</v>
      </c>
      <c r="E198" s="40">
        <f>LOOKUP(D198,{0,-4,-3,-2,-1,0,1,2.4,3.8,5.2,6.6,8,9.4,10.8,12.2,13.6,15,17.2,19.4,21.5,23.6},{0,10,20,30,40,50,60,62,64,66,68,70,72,74,76,78,80,85,90,95,100})</f>
        <v>62</v>
      </c>
      <c r="F198" s="6">
        <v>260</v>
      </c>
      <c r="G198" s="40">
        <f>LOOKUP(F198,{0,170,175,180,185,190,195,199,203,207,211,215,219,223,227,231,235,243,250,255,260},{0,10,20,30,40,50,60,62,64,66,68,70,72,74,76,78,80,85,90,95,100})</f>
        <v>100</v>
      </c>
      <c r="H198" s="6">
        <v>11</v>
      </c>
      <c r="I198" s="40">
        <f>LOOKUP(H198,{0,2,3,4,5,6,7,8,9,10,11,12,13,14,15,16},{0,10,20,30,40,50,60,64,68,72,76,80,85,90,95,100})</f>
        <v>76</v>
      </c>
      <c r="J198" s="7"/>
      <c r="K198" s="7"/>
      <c r="L198" s="7">
        <f>I198+K198</f>
        <v>76</v>
      </c>
      <c r="M198" s="6">
        <v>7.1</v>
      </c>
      <c r="N198" s="43">
        <f>13-M198</f>
        <v>5.9</v>
      </c>
      <c r="O198" s="40">
        <f>LOOKUP(N198,{0,2.5,2.7,2.9,3.1,3.3,3.5,3.7,3.9,4.1,4.3,4.5,4.7,4.9,5.1,5.3,5.5,5.6,5.7,5.8,5.9},{0,10,20,30,40,50,60,62,64,66,68,70,72,74,76,78,80,85,90,95,100})</f>
        <v>100</v>
      </c>
      <c r="P198" s="6">
        <v>3.48</v>
      </c>
      <c r="Q198" s="6">
        <f>10-P198</f>
        <v>6.52</v>
      </c>
      <c r="R198" s="40">
        <f>LOOKUP(Q198,{0,3.75,3.95,4.55,4.75,4.95,5.55,5.6,5.65,5.7,5.75,5.8,5.85,5.9,5.95,6,6.45,6.53,6.6,6.65,6.7},{0,10,20,30,40,50,60,62,64,66,68,70,72,74,76,78,80,85,90,95,100})</f>
        <v>80</v>
      </c>
      <c r="S198" s="7"/>
      <c r="T198" s="7"/>
      <c r="U198" s="7">
        <f>R198+T198</f>
        <v>80</v>
      </c>
      <c r="W198" s="7">
        <f>E198*0.1+G198*0.1+I198*0.1+O198*0.2+R198*0.2</f>
        <v>59.8</v>
      </c>
      <c r="X198" s="21">
        <f>W198/0.7+K198+T198</f>
        <v>85.4285714285714</v>
      </c>
    </row>
    <row r="199" s="3" customFormat="1" ht="15.6" hidden="1" spans="1:24">
      <c r="A199" s="6">
        <v>106</v>
      </c>
      <c r="B199" s="29" t="s">
        <v>271</v>
      </c>
      <c r="C199" s="29" t="s">
        <v>11</v>
      </c>
      <c r="D199" s="6">
        <v>8</v>
      </c>
      <c r="E199" s="40">
        <f>LOOKUP(D199,{0,-4,-3,-2,-1,0,1,2.4,3.8,5.2,6.6,8,9.4,10.8,12.2,13.6,15,17.2,19.4,21.5,23.6},{0,10,20,30,40,50,60,62,64,66,68,70,72,74,76,78,80,85,90,95,100})</f>
        <v>70</v>
      </c>
      <c r="F199" s="6">
        <v>220</v>
      </c>
      <c r="G199" s="40">
        <f>LOOKUP(F199,{0,170,175,180,185,190,195,199,203,207,211,215,219,223,227,231,235,243,250,255,260},{0,10,20,30,40,50,60,62,64,66,68,70,72,74,76,78,80,85,90,95,100})</f>
        <v>72</v>
      </c>
      <c r="H199" s="6">
        <v>0</v>
      </c>
      <c r="I199" s="40">
        <f>LOOKUP(H199,{0,2,3,4,5,6,7,8,9,10,11,12,13,14,15,16},{0,10,20,30,40,50,60,64,68,72,76,80,85,90,95,100})</f>
        <v>0</v>
      </c>
      <c r="J199" s="7"/>
      <c r="K199" s="7"/>
      <c r="L199" s="7">
        <f>I199+K199</f>
        <v>0</v>
      </c>
      <c r="M199" s="6">
        <v>7.1</v>
      </c>
      <c r="N199" s="43">
        <f>13-M199</f>
        <v>5.9</v>
      </c>
      <c r="O199" s="40">
        <f>LOOKUP(N199,{0,2.5,2.7,2.9,3.1,3.3,3.5,3.7,3.9,4.1,4.3,4.5,4.7,4.9,5.1,5.3,5.5,5.6,5.7,5.8,5.9},{0,10,20,30,40,50,60,62,64,66,68,70,72,74,76,78,80,85,90,95,100})</f>
        <v>100</v>
      </c>
      <c r="P199" s="6">
        <v>3.49</v>
      </c>
      <c r="Q199" s="6">
        <f>10-P199</f>
        <v>6.51</v>
      </c>
      <c r="R199" s="40">
        <f>LOOKUP(Q199,{0,3.75,3.95,4.55,4.75,4.95,5.55,5.6,5.65,5.7,5.75,5.8,5.85,5.9,5.95,6,6.45,6.53,6.6,6.65,6.7},{0,10,20,30,40,50,60,62,64,66,68,70,72,74,76,78,80,85,90,95,100})</f>
        <v>80</v>
      </c>
      <c r="S199" s="7"/>
      <c r="T199" s="7"/>
      <c r="U199" s="7">
        <f>R199+T199</f>
        <v>80</v>
      </c>
      <c r="V199" s="6"/>
      <c r="W199" s="7">
        <f>E199*0.1+G199*0.1+I199*0.1+O199*0.2+R199*0.2</f>
        <v>50.2</v>
      </c>
      <c r="X199" s="21">
        <f>W199/0.7+K199+T199</f>
        <v>71.7142857142857</v>
      </c>
    </row>
    <row r="200" ht="15.6" hidden="1" spans="1:24">
      <c r="A200" s="6">
        <v>110</v>
      </c>
      <c r="B200" s="29" t="s">
        <v>464</v>
      </c>
      <c r="C200" s="29" t="s">
        <v>11</v>
      </c>
      <c r="D200" s="6">
        <v>16.3</v>
      </c>
      <c r="E200" s="40">
        <f>LOOKUP(D200,{0,-4,-3,-2,-1,0,1,2.4,3.8,5.2,6.6,8,9.4,10.8,12.2,13.6,15,17.2,19.4,21.5,23.6},{0,10,20,30,40,50,60,62,64,66,68,70,72,74,76,78,80,85,90,95,100})</f>
        <v>80</v>
      </c>
      <c r="F200" s="6">
        <v>228</v>
      </c>
      <c r="G200" s="40">
        <f>LOOKUP(F200,{0,170,175,180,185,190,195,199,203,207,211,215,219,223,227,231,235,243,250,255,260},{0,10,20,30,40,50,60,62,64,66,68,70,72,74,76,78,80,85,90,95,100})</f>
        <v>76</v>
      </c>
      <c r="H200" s="6">
        <v>1</v>
      </c>
      <c r="I200" s="40">
        <f>LOOKUP(H200,{0,2,3,4,5,6,7,8,9,10,11,12,13,14,15,16},{0,10,20,30,40,50,60,64,68,72,76,80,85,90,95,100})</f>
        <v>0</v>
      </c>
      <c r="J200" s="7"/>
      <c r="K200" s="7"/>
      <c r="L200" s="7">
        <f>I200+K200</f>
        <v>0</v>
      </c>
      <c r="M200" s="6">
        <v>7.1</v>
      </c>
      <c r="N200" s="43">
        <f>13-M200</f>
        <v>5.9</v>
      </c>
      <c r="O200" s="40">
        <f>LOOKUP(N200,{0,2.5,2.7,2.9,3.1,3.3,3.5,3.7,3.9,4.1,4.3,4.5,4.7,4.9,5.1,5.3,5.5,5.6,5.7,5.8,5.9},{0,10,20,30,40,50,60,62,64,66,68,70,72,74,76,78,80,85,90,95,100})</f>
        <v>100</v>
      </c>
      <c r="P200" s="6">
        <v>3.5</v>
      </c>
      <c r="Q200" s="6">
        <f>10-P200</f>
        <v>6.5</v>
      </c>
      <c r="R200" s="40">
        <f>LOOKUP(Q200,{0,3.75,3.95,4.55,4.75,4.95,5.55,5.6,5.65,5.7,5.75,5.8,5.85,5.9,5.95,6,6.45,6.53,6.6,6.65,6.7},{0,10,20,30,40,50,60,62,64,66,68,70,72,74,76,78,80,85,90,95,100})</f>
        <v>80</v>
      </c>
      <c r="S200" s="7"/>
      <c r="T200" s="7"/>
      <c r="U200" s="7">
        <f>R200+T200</f>
        <v>80</v>
      </c>
      <c r="W200" s="7">
        <f>E200*0.1+G200*0.1+I200*0.1+O200*0.2+R200*0.2</f>
        <v>51.6</v>
      </c>
      <c r="X200" s="21">
        <f>W200/0.7+K200+T200</f>
        <v>73.7142857142857</v>
      </c>
    </row>
    <row r="201" ht="15.6" hidden="1" spans="1:24">
      <c r="A201" s="6">
        <v>114</v>
      </c>
      <c r="B201" s="29" t="s">
        <v>688</v>
      </c>
      <c r="C201" s="29" t="s">
        <v>11</v>
      </c>
      <c r="D201" s="6">
        <v>10</v>
      </c>
      <c r="E201" s="40">
        <f>LOOKUP(D201,{0,-4,-3,-2,-1,0,1,2.4,3.8,5.2,6.6,8,9.4,10.8,12.2,13.6,15,17.2,19.4,21.5,23.6},{0,10,20,30,40,50,60,62,64,66,68,70,72,74,76,78,80,85,90,95,100})</f>
        <v>72</v>
      </c>
      <c r="F201" s="6">
        <v>259</v>
      </c>
      <c r="G201" s="40">
        <f>LOOKUP(F201,{0,170,175,180,185,190,195,199,203,207,211,215,219,223,227,231,235,243,250,255,260},{0,10,20,30,40,50,60,62,64,66,68,70,72,74,76,78,80,85,90,95,100})</f>
        <v>95</v>
      </c>
      <c r="H201" s="6">
        <v>17</v>
      </c>
      <c r="I201" s="40">
        <f>LOOKUP(H201,{0,2,3,4,5,6,7,8,9,10,11,12,13,14,15,16},{0,10,20,30,40,50,60,64,68,72,76,80,85,90,95,100})</f>
        <v>100</v>
      </c>
      <c r="J201" s="7">
        <f>H201-16</f>
        <v>1</v>
      </c>
      <c r="K201" s="40">
        <f>LOOKUP(J201,{0,1,2,3,4,5,6,7,8,9,10},{0,1,2,3,4,5,6,7,8,9,10})</f>
        <v>1</v>
      </c>
      <c r="L201" s="7">
        <f>I201+K201</f>
        <v>101</v>
      </c>
      <c r="M201" s="6">
        <v>7.1</v>
      </c>
      <c r="N201" s="43">
        <f>13-M201</f>
        <v>5.9</v>
      </c>
      <c r="O201" s="40">
        <f>LOOKUP(N201,{0,2.5,2.7,2.9,3.1,3.3,3.5,3.7,3.9,4.1,4.3,4.5,4.7,4.9,5.1,5.3,5.5,5.6,5.7,5.8,5.9},{0,10,20,30,40,50,60,62,64,66,68,70,72,74,76,78,80,85,90,95,100})</f>
        <v>100</v>
      </c>
      <c r="P201" s="6">
        <v>4</v>
      </c>
      <c r="Q201" s="6">
        <f>10-P201</f>
        <v>6</v>
      </c>
      <c r="R201" s="40">
        <f>LOOKUP(Q201,{0,3.75,3.95,4.55,4.75,4.95,5.55,5.6,5.65,5.7,5.75,5.8,5.85,5.9,5.95,6,6.45,6.53,6.6,6.65,6.7},{0,10,20,30,40,50,60,62,64,66,68,70,72,74,76,78,80,85,90,95,100})</f>
        <v>78</v>
      </c>
      <c r="S201" s="7"/>
      <c r="T201" s="7"/>
      <c r="U201" s="7">
        <f>R201+T201</f>
        <v>78</v>
      </c>
      <c r="W201" s="7">
        <f>E201*0.1+G201*0.1+I201*0.1+O201*0.2+R201*0.2</f>
        <v>62.3</v>
      </c>
      <c r="X201" s="21">
        <f>W201/0.7+K201+T201</f>
        <v>90</v>
      </c>
    </row>
    <row r="202" ht="15.6" hidden="1" spans="1:24">
      <c r="A202" s="6">
        <v>109</v>
      </c>
      <c r="B202" s="29" t="s">
        <v>424</v>
      </c>
      <c r="C202" s="29" t="s">
        <v>11</v>
      </c>
      <c r="D202" s="6">
        <v>17</v>
      </c>
      <c r="E202" s="40">
        <f>LOOKUP(D202,{0,-4,-3,-2,-1,0,1,2.4,3.8,5.2,6.6,8,9.4,10.8,12.2,13.6,15,17.2,19.4,21.5,23.6},{0,10,20,30,40,50,60,62,64,66,68,70,72,74,76,78,80,85,90,95,100})</f>
        <v>80</v>
      </c>
      <c r="F202" s="6">
        <v>243</v>
      </c>
      <c r="G202" s="40">
        <f>LOOKUP(F202,{0,170,175,180,185,190,195,199,203,207,211,215,219,223,227,231,235,243,250,255,260},{0,10,20,30,40,50,60,62,64,66,68,70,72,74,76,78,80,85,90,95,100})</f>
        <v>85</v>
      </c>
      <c r="H202" s="6">
        <v>14</v>
      </c>
      <c r="I202" s="40">
        <f>LOOKUP(H202,{0,2,3,4,5,6,7,8,9,10,11,12,13,14,15,16},{0,10,20,30,40,50,60,64,68,72,76,80,85,90,95,100})</f>
        <v>90</v>
      </c>
      <c r="J202" s="7"/>
      <c r="K202" s="7"/>
      <c r="L202" s="7">
        <f>I202+K202</f>
        <v>90</v>
      </c>
      <c r="M202" s="6">
        <v>7.1</v>
      </c>
      <c r="N202" s="43">
        <f>13-M202</f>
        <v>5.9</v>
      </c>
      <c r="O202" s="40">
        <f>LOOKUP(N202,{0,2.5,2.7,2.9,3.1,3.3,3.5,3.7,3.9,4.1,4.3,4.5,4.7,4.9,5.1,5.3,5.5,5.6,5.7,5.8,5.9},{0,10,20,30,40,50,60,62,64,66,68,70,72,74,76,78,80,85,90,95,100})</f>
        <v>100</v>
      </c>
      <c r="P202" s="6">
        <v>4</v>
      </c>
      <c r="Q202" s="6">
        <f>10-P202</f>
        <v>6</v>
      </c>
      <c r="R202" s="40">
        <f>LOOKUP(Q202,{0,3.75,3.95,4.55,4.75,4.95,5.55,5.6,5.65,5.7,5.75,5.8,5.85,5.9,5.95,6,6.45,6.53,6.6,6.65,6.7},{0,10,20,30,40,50,60,62,64,66,68,70,72,74,76,78,80,85,90,95,100})</f>
        <v>78</v>
      </c>
      <c r="S202" s="7"/>
      <c r="T202" s="7"/>
      <c r="U202" s="7">
        <f>R202+T202</f>
        <v>78</v>
      </c>
      <c r="W202" s="7">
        <f>E202*0.1+G202*0.1+I202*0.1+O202*0.2+R202*0.2</f>
        <v>61.1</v>
      </c>
      <c r="X202" s="21">
        <f>W202/0.7+K202+T202</f>
        <v>87.2857142857143</v>
      </c>
    </row>
    <row r="203" ht="15.6" hidden="1" spans="1:24">
      <c r="A203" s="6">
        <v>106</v>
      </c>
      <c r="B203" s="29" t="s">
        <v>254</v>
      </c>
      <c r="C203" s="29" t="s">
        <v>11</v>
      </c>
      <c r="D203" s="6">
        <v>6.2</v>
      </c>
      <c r="E203" s="40">
        <f>LOOKUP(D203,{0,-4,-3,-2,-1,0,1,2.4,3.8,5.2,6.6,8,9.4,10.8,12.2,13.6,15,17.2,19.4,21.5,23.6},{0,10,20,30,40,50,60,62,64,66,68,70,72,74,76,78,80,85,90,95,100})</f>
        <v>66</v>
      </c>
      <c r="F203" s="6">
        <v>255</v>
      </c>
      <c r="G203" s="40">
        <f>LOOKUP(F203,{0,170,175,180,185,190,195,199,203,207,211,215,219,223,227,231,235,243,250,255,260},{0,10,20,30,40,50,60,62,64,66,68,70,72,74,76,78,80,85,90,95,100})</f>
        <v>95</v>
      </c>
      <c r="H203" s="6">
        <v>20</v>
      </c>
      <c r="I203" s="40">
        <f>LOOKUP(H203,{0,2,3,4,5,6,7,8,9,10,11,12,13,14,15,16},{0,10,20,30,40,50,60,64,68,72,76,80,85,90,95,100})</f>
        <v>100</v>
      </c>
      <c r="J203" s="7">
        <f>H203-16</f>
        <v>4</v>
      </c>
      <c r="K203" s="40">
        <f>LOOKUP(J203,{0,1,2,3,4,5,6,7,8,9,10},{0,1,2,3,4,5,6,7,8,9,10})</f>
        <v>4</v>
      </c>
      <c r="L203" s="7">
        <f>I203+K203</f>
        <v>104</v>
      </c>
      <c r="M203" s="6">
        <v>7.1</v>
      </c>
      <c r="N203" s="43">
        <f>13-M203</f>
        <v>5.9</v>
      </c>
      <c r="O203" s="40">
        <f>LOOKUP(N203,{0,2.5,2.7,2.9,3.1,3.3,3.5,3.7,3.9,4.1,4.3,4.5,4.7,4.9,5.1,5.3,5.5,5.6,5.7,5.8,5.9},{0,10,20,30,40,50,60,62,64,66,68,70,72,74,76,78,80,85,90,95,100})</f>
        <v>100</v>
      </c>
      <c r="P203" s="6">
        <v>4.01</v>
      </c>
      <c r="Q203" s="6">
        <f>10-P203</f>
        <v>5.99</v>
      </c>
      <c r="R203" s="40">
        <f>LOOKUP(Q203,{0,3.75,3.95,4.55,4.75,4.95,5.55,5.6,5.65,5.7,5.75,5.8,5.85,5.9,5.95,6,6.45,6.53,6.6,6.65,6.7},{0,10,20,30,40,50,60,62,64,66,68,70,72,74,76,78,80,85,90,95,100})</f>
        <v>76</v>
      </c>
      <c r="S203" s="7"/>
      <c r="T203" s="7"/>
      <c r="U203" s="7">
        <f>R203+T203</f>
        <v>76</v>
      </c>
      <c r="W203" s="7">
        <f>E203*0.1+G203*0.1+I203*0.1+O203*0.2+R203*0.2</f>
        <v>61.3</v>
      </c>
      <c r="X203" s="21">
        <f>W203/0.7+K203+T203</f>
        <v>91.5714285714286</v>
      </c>
    </row>
    <row r="204" ht="15.6" hidden="1" spans="1:24">
      <c r="A204" s="6">
        <v>103</v>
      </c>
      <c r="B204" s="29" t="s">
        <v>122</v>
      </c>
      <c r="C204" s="29" t="s">
        <v>11</v>
      </c>
      <c r="D204" s="6">
        <v>8.5</v>
      </c>
      <c r="E204" s="40">
        <f>LOOKUP(D204,{0,-4,-3,-2,-1,0,1,2.4,3.8,5.2,6.6,8,9.4,10.8,12.2,13.6,15,17.2,19.4,21.5,23.6},{0,10,20,30,40,50,60,62,64,66,68,70,72,74,76,78,80,85,90,95,100})</f>
        <v>70</v>
      </c>
      <c r="F204" s="6">
        <v>220</v>
      </c>
      <c r="G204" s="40">
        <f>LOOKUP(F204,{0,170,175,180,185,190,195,199,203,207,211,215,219,223,227,231,235,243,250,255,260},{0,10,20,30,40,50,60,62,64,66,68,70,72,74,76,78,80,85,90,95,100})</f>
        <v>72</v>
      </c>
      <c r="H204" s="6">
        <v>3</v>
      </c>
      <c r="I204" s="40">
        <f>LOOKUP(H204,{0,2,3,4,5,6,7,8,9,10,11,12,13,14,15,16},{0,10,20,30,40,50,60,64,68,72,76,80,85,90,95,100})</f>
        <v>20</v>
      </c>
      <c r="J204" s="7"/>
      <c r="K204" s="7"/>
      <c r="L204" s="7">
        <f>I204+K204</f>
        <v>20</v>
      </c>
      <c r="M204" s="6">
        <v>7.1</v>
      </c>
      <c r="N204" s="43">
        <f>13-M204</f>
        <v>5.9</v>
      </c>
      <c r="O204" s="40">
        <f>LOOKUP(N204,{0,2.5,2.7,2.9,3.1,3.3,3.5,3.7,3.9,4.1,4.3,4.5,4.7,4.9,5.1,5.3,5.5,5.6,5.7,5.8,5.9},{0,10,20,30,40,50,60,62,64,66,68,70,72,74,76,78,80,85,90,95,100})</f>
        <v>100</v>
      </c>
      <c r="P204" s="6">
        <v>4.01</v>
      </c>
      <c r="Q204" s="6">
        <f>10-P204</f>
        <v>5.99</v>
      </c>
      <c r="R204" s="40">
        <f>LOOKUP(Q204,{0,3.75,3.95,4.55,4.75,4.95,5.55,5.6,5.65,5.7,5.75,5.8,5.85,5.9,5.95,6,6.45,6.53,6.6,6.65,6.7},{0,10,20,30,40,50,60,62,64,66,68,70,72,74,76,78,80,85,90,95,100})</f>
        <v>76</v>
      </c>
      <c r="S204" s="7"/>
      <c r="T204" s="7"/>
      <c r="U204" s="7">
        <f>R204+T204</f>
        <v>76</v>
      </c>
      <c r="W204" s="7">
        <f>E204*0.1+G204*0.1+I204*0.1+O204*0.2+R204*0.2</f>
        <v>51.4</v>
      </c>
      <c r="X204" s="21">
        <f>W204/0.7+K204+T204</f>
        <v>73.4285714285714</v>
      </c>
    </row>
    <row r="205" ht="15.6" hidden="1" spans="1:24">
      <c r="A205" s="6">
        <v>111</v>
      </c>
      <c r="B205" s="29" t="s">
        <v>526</v>
      </c>
      <c r="C205" s="29" t="s">
        <v>11</v>
      </c>
      <c r="D205" s="6">
        <v>21.5</v>
      </c>
      <c r="E205" s="40">
        <f>LOOKUP(D205,{0,-4,-3,-2,-1,0,1,2.4,3.8,5.2,6.6,8,9.4,10.8,12.2,13.6,15,17.2,19.4,21.5,23.6},{0,10,20,30,40,50,60,62,64,66,68,70,72,74,76,78,80,85,90,95,100})</f>
        <v>95</v>
      </c>
      <c r="F205" s="6">
        <v>228</v>
      </c>
      <c r="G205" s="40">
        <f>LOOKUP(F205,{0,170,175,180,185,190,195,199,203,207,211,215,219,223,227,231,235,243,250,255,260},{0,10,20,30,40,50,60,62,64,66,68,70,72,74,76,78,80,85,90,95,100})</f>
        <v>76</v>
      </c>
      <c r="H205" s="6">
        <v>3</v>
      </c>
      <c r="I205" s="40">
        <f>LOOKUP(H205,{0,2,3,4,5,6,7,8,9,10,11,12,13,14,15,16},{0,10,20,30,40,50,60,64,68,72,76,80,85,90,95,100})</f>
        <v>20</v>
      </c>
      <c r="J205" s="7"/>
      <c r="K205" s="7"/>
      <c r="L205" s="7">
        <f>I205+K205</f>
        <v>20</v>
      </c>
      <c r="M205" s="6">
        <v>7.1</v>
      </c>
      <c r="N205" s="43">
        <f>13-M205</f>
        <v>5.9</v>
      </c>
      <c r="O205" s="40">
        <f>LOOKUP(N205,{0,2.5,2.7,2.9,3.1,3.3,3.5,3.7,3.9,4.1,4.3,4.5,4.7,4.9,5.1,5.3,5.5,5.6,5.7,5.8,5.9},{0,10,20,30,40,50,60,62,64,66,68,70,72,74,76,78,80,85,90,95,100})</f>
        <v>100</v>
      </c>
      <c r="P205" s="6">
        <v>4.11</v>
      </c>
      <c r="Q205" s="6">
        <f>10-P205</f>
        <v>5.89</v>
      </c>
      <c r="R205" s="40">
        <f>LOOKUP(Q205,{0,3.75,3.95,4.55,4.75,4.95,5.55,5.6,5.65,5.7,5.75,5.8,5.85,5.9,5.95,6,6.45,6.53,6.6,6.65,6.7},{0,10,20,30,40,50,60,62,64,66,68,70,72,74,76,78,80,85,90,95,100})</f>
        <v>72</v>
      </c>
      <c r="S205" s="7"/>
      <c r="T205" s="7"/>
      <c r="U205" s="7">
        <f>R205+T205</f>
        <v>72</v>
      </c>
      <c r="W205" s="7">
        <f>E205*0.1+G205*0.1+I205*0.1+O205*0.2+R205*0.2</f>
        <v>53.5</v>
      </c>
      <c r="X205" s="21">
        <f>W205/0.7+K205+T205</f>
        <v>76.4285714285714</v>
      </c>
    </row>
    <row r="206" ht="15.6" hidden="1" spans="1:24">
      <c r="A206" s="6">
        <v>113</v>
      </c>
      <c r="B206" s="29" t="s">
        <v>647</v>
      </c>
      <c r="C206" s="29" t="s">
        <v>11</v>
      </c>
      <c r="D206" s="6">
        <v>15</v>
      </c>
      <c r="E206" s="40">
        <f>LOOKUP(D206,{0,-4,-3,-2,-1,0,1,2.4,3.8,5.2,6.6,8,9.4,10.8,12.2,13.6,15,17.2,19.4,21.5,23.6},{0,10,20,30,40,50,60,62,64,66,68,70,72,74,76,78,80,85,90,95,100})</f>
        <v>80</v>
      </c>
      <c r="F206" s="6">
        <v>245</v>
      </c>
      <c r="G206" s="40">
        <f>LOOKUP(F206,{0,170,175,180,185,190,195,199,203,207,211,215,219,223,227,231,235,243,250,255,260},{0,10,20,30,40,50,60,62,64,66,68,70,72,74,76,78,80,85,90,95,100})</f>
        <v>85</v>
      </c>
      <c r="H206" s="6">
        <v>16</v>
      </c>
      <c r="I206" s="40">
        <f>LOOKUP(H206,{0,2,3,4,5,6,7,8,9,10,11,12,13,14,15,16},{0,10,20,30,40,50,60,64,68,72,76,80,85,90,95,100})</f>
        <v>100</v>
      </c>
      <c r="J206" s="7">
        <f>H206-16</f>
        <v>0</v>
      </c>
      <c r="K206" s="40">
        <f>LOOKUP(J206,{0,1,2,3,4,5,6,7,8,9,10},{0,1,2,3,4,5,6,7,8,9,10})</f>
        <v>0</v>
      </c>
      <c r="L206" s="7">
        <f>I206+K206</f>
        <v>100</v>
      </c>
      <c r="M206" s="6">
        <v>7.1</v>
      </c>
      <c r="N206" s="43">
        <f>13-M206</f>
        <v>5.9</v>
      </c>
      <c r="O206" s="40">
        <f>LOOKUP(N206,{0,2.5,2.7,2.9,3.1,3.3,3.5,3.7,3.9,4.1,4.3,4.5,4.7,4.9,5.1,5.3,5.5,5.6,5.7,5.8,5.9},{0,10,20,30,40,50,60,62,64,66,68,70,72,74,76,78,80,85,90,95,100})</f>
        <v>100</v>
      </c>
      <c r="R206" s="40"/>
      <c r="S206" s="7"/>
      <c r="T206" s="40"/>
      <c r="U206" s="7"/>
      <c r="W206" s="7">
        <f>E206*0.1+G206*0.1+I206*0.1+O206*0.2+R206*0.2</f>
        <v>46.5</v>
      </c>
      <c r="X206" s="21">
        <f>W206/0.7+K206+T206</f>
        <v>66.4285714285714</v>
      </c>
    </row>
    <row r="207" ht="15.6" hidden="1" spans="1:24">
      <c r="A207" s="6">
        <v>105</v>
      </c>
      <c r="B207" s="39" t="s">
        <v>232</v>
      </c>
      <c r="C207" s="29" t="s">
        <v>11</v>
      </c>
      <c r="D207" s="6"/>
      <c r="E207" s="40"/>
      <c r="F207" s="6"/>
      <c r="G207" s="40"/>
      <c r="H207" s="6"/>
      <c r="I207" s="40"/>
      <c r="J207" s="7"/>
      <c r="K207" s="7"/>
      <c r="L207" s="7"/>
      <c r="M207" s="6">
        <v>7.1</v>
      </c>
      <c r="N207" s="43">
        <f>13-M207</f>
        <v>5.9</v>
      </c>
      <c r="O207" s="40">
        <f>LOOKUP(N207,{0,2.5,2.7,2.9,3.1,3.3,3.5,3.7,3.9,4.1,4.3,4.5,4.7,4.9,5.1,5.3,5.5,5.6,5.7,5.8,5.9},{0,10,20,30,40,50,60,62,64,66,68,70,72,74,76,78,80,85,90,95,100})</f>
        <v>100</v>
      </c>
      <c r="R207" s="40"/>
      <c r="S207" s="7"/>
      <c r="T207" s="40"/>
      <c r="U207" s="7"/>
      <c r="V207" s="6" t="s">
        <v>222</v>
      </c>
      <c r="W207" s="7">
        <f>E207*0.1+G207*0.1+I207*0.1+O207*0.2+R207*0.2</f>
        <v>20</v>
      </c>
      <c r="X207" s="21">
        <v>50</v>
      </c>
    </row>
    <row r="208" ht="15.6" hidden="1" spans="1:24">
      <c r="A208" s="6">
        <v>107</v>
      </c>
      <c r="B208" s="29" t="s">
        <v>324</v>
      </c>
      <c r="C208" s="29" t="s">
        <v>11</v>
      </c>
      <c r="D208" s="6"/>
      <c r="E208" s="40"/>
      <c r="F208" s="6"/>
      <c r="G208" s="40"/>
      <c r="H208" s="6"/>
      <c r="I208" s="40"/>
      <c r="J208" s="7"/>
      <c r="K208" s="7"/>
      <c r="L208" s="7"/>
      <c r="M208" s="6">
        <v>7.1</v>
      </c>
      <c r="N208" s="43">
        <f>13-M208</f>
        <v>5.9</v>
      </c>
      <c r="O208" s="40">
        <f>LOOKUP(N208,{0,2.5,2.7,2.9,3.1,3.3,3.5,3.7,3.9,4.1,4.3,4.5,4.7,4.9,5.1,5.3,5.5,5.6,5.7,5.8,5.9},{0,10,20,30,40,50,60,62,64,66,68,70,72,74,76,78,80,85,90,95,100})</f>
        <v>100</v>
      </c>
      <c r="R208" s="40"/>
      <c r="S208" s="7"/>
      <c r="T208" s="40"/>
      <c r="U208" s="7"/>
      <c r="V208" s="6" t="s">
        <v>84</v>
      </c>
      <c r="W208" s="7">
        <f>E208*0.1+G208*0.1+I208*0.1+O208*0.2+R208*0.2</f>
        <v>20</v>
      </c>
      <c r="X208" s="21">
        <v>50</v>
      </c>
    </row>
    <row r="209" ht="15.6" hidden="1" spans="1:24">
      <c r="A209" s="6">
        <v>115</v>
      </c>
      <c r="B209" s="29" t="s">
        <v>746</v>
      </c>
      <c r="C209" s="29" t="s">
        <v>11</v>
      </c>
      <c r="D209" s="6">
        <v>17.2</v>
      </c>
      <c r="E209" s="40">
        <f>LOOKUP(D209,{0,-4,-3,-2,-1,0,1,2.4,3.8,5.2,6.6,8,9.4,10.8,12.2,13.6,15,17.2,19.4,21.5,23.6},{0,10,20,30,40,50,60,62,64,66,68,70,72,74,76,78,80,85,90,95,100})</f>
        <v>85</v>
      </c>
      <c r="F209" s="6">
        <v>216</v>
      </c>
      <c r="G209" s="40">
        <f>LOOKUP(F209,{0,170,175,180,185,190,195,199,203,207,211,215,219,223,227,231,235,243,250,255,260},{0,10,20,30,40,50,60,62,64,66,68,70,72,74,76,78,80,85,90,95,100})</f>
        <v>70</v>
      </c>
      <c r="H209" s="6">
        <v>16</v>
      </c>
      <c r="I209" s="40">
        <f>LOOKUP(H209,{0,2,3,4,5,6,7,8,9,10,11,12,13,14,15,16},{0,10,20,30,40,50,60,64,68,72,76,80,85,90,95,100})</f>
        <v>100</v>
      </c>
      <c r="J209" s="7">
        <f>H209-16</f>
        <v>0</v>
      </c>
      <c r="K209" s="40">
        <f>LOOKUP(J209,{0,1,2,3,4,5,6,7,8,9,10},{0,1,2,3,4,5,6,7,8,9,10})</f>
        <v>0</v>
      </c>
      <c r="L209" s="7">
        <f>I209+K209</f>
        <v>100</v>
      </c>
      <c r="M209" s="6">
        <v>7.2</v>
      </c>
      <c r="N209" s="43">
        <f>13-M209</f>
        <v>5.8</v>
      </c>
      <c r="O209" s="40">
        <f>LOOKUP(N209,{0,2.5,2.7,2.9,3.1,3.3,3.5,3.7,3.9,4.1,4.3,4.5,4.7,4.9,5.1,5.3,5.5,5.6,5.7,5.8,5.9},{0,10,20,30,40,50,60,62,64,66,68,70,72,74,76,78,80,85,90,95,100})</f>
        <v>95</v>
      </c>
      <c r="P209" s="6">
        <v>3.26</v>
      </c>
      <c r="Q209" s="6">
        <f>10-P209</f>
        <v>6.74</v>
      </c>
      <c r="R209" s="40">
        <f>LOOKUP(Q209,{0,3.75,3.95,4.55,4.75,4.95,5.55,5.6,5.65,5.7,5.75,5.8,5.85,5.9,5.95,6,6.45,6.53,6.6,6.65,6.7},{0,10,20,30,40,50,60,62,64,66,68,70,72,74,76,78,80,85,90,95,100})</f>
        <v>100</v>
      </c>
      <c r="S209" s="7">
        <f>3.3-P209</f>
        <v>0.04</v>
      </c>
      <c r="T209" s="40">
        <f>LOOKUP(S209,{0,0.04,0.08,0.12,0.16,0.2,0.23,0.26,0.29,0.32,0.35},{0,1,2,3,4,5,6,7,8,9,10})</f>
        <v>1</v>
      </c>
      <c r="U209" s="7">
        <f>R209+T209</f>
        <v>101</v>
      </c>
      <c r="W209" s="7">
        <f>E209*0.1+G209*0.1+I209*0.1+O209*0.2+R209*0.2</f>
        <v>64.5</v>
      </c>
      <c r="X209" s="21">
        <f>W209/0.7+K209+T209</f>
        <v>93.1428571428572</v>
      </c>
    </row>
    <row r="210" ht="15.6" hidden="1" spans="1:24">
      <c r="A210" s="6">
        <v>116</v>
      </c>
      <c r="B210" s="29" t="s">
        <v>782</v>
      </c>
      <c r="C210" s="29" t="s">
        <v>11</v>
      </c>
      <c r="D210" s="6">
        <v>11</v>
      </c>
      <c r="E210" s="40">
        <f>LOOKUP(D210,{0,-4,-3,-2,-1,0,1,2.4,3.8,5.2,6.6,8,9.4,10.8,12.2,13.6,15,17.2,19.4,21.5,23.6},{0,10,20,30,40,50,60,62,64,66,68,70,72,74,76,78,80,85,90,95,100})</f>
        <v>74</v>
      </c>
      <c r="F210" s="6">
        <v>237</v>
      </c>
      <c r="G210" s="40">
        <f>LOOKUP(F210,{0,170,175,180,185,190,195,199,203,207,211,215,219,223,227,231,235,243,250,255,260},{0,10,20,30,40,50,60,62,64,66,68,70,72,74,76,78,80,85,90,95,100})</f>
        <v>80</v>
      </c>
      <c r="H210" s="6">
        <v>10</v>
      </c>
      <c r="I210" s="40">
        <f>LOOKUP(H210,{0,2,3,4,5,6,7,8,9,10,11,12,13,14,15,16},{0,10,20,30,40,50,60,64,68,72,76,80,85,90,95,100})</f>
        <v>72</v>
      </c>
      <c r="J210" s="7"/>
      <c r="K210" s="7"/>
      <c r="L210" s="7">
        <f>I210+K210</f>
        <v>72</v>
      </c>
      <c r="M210" s="6">
        <v>7.2</v>
      </c>
      <c r="N210" s="43">
        <f>13-M210</f>
        <v>5.8</v>
      </c>
      <c r="O210" s="40">
        <f>LOOKUP(N210,{0,2.5,2.7,2.9,3.1,3.3,3.5,3.7,3.9,4.1,4.3,4.5,4.7,4.9,5.1,5.3,5.5,5.6,5.7,5.8,5.9},{0,10,20,30,40,50,60,62,64,66,68,70,72,74,76,78,80,85,90,95,100})</f>
        <v>95</v>
      </c>
      <c r="P210" s="6">
        <v>3.26</v>
      </c>
      <c r="Q210" s="6">
        <f>10-P210</f>
        <v>6.74</v>
      </c>
      <c r="R210" s="40">
        <f>LOOKUP(Q210,{0,3.75,3.95,4.55,4.75,4.95,5.55,5.6,5.65,5.7,5.75,5.8,5.85,5.9,5.95,6,6.45,6.53,6.6,6.65,6.7},{0,10,20,30,40,50,60,62,64,66,68,70,72,74,76,78,80,85,90,95,100})</f>
        <v>100</v>
      </c>
      <c r="S210" s="7">
        <f>3.3-P210</f>
        <v>0.04</v>
      </c>
      <c r="T210" s="40">
        <f>LOOKUP(S210,{0,0.04,0.08,0.12,0.16,0.2,0.23,0.26,0.29,0.32,0.35},{0,1,2,3,4,5,6,7,8,9,10})</f>
        <v>1</v>
      </c>
      <c r="U210" s="7">
        <f>R210+T210</f>
        <v>101</v>
      </c>
      <c r="W210" s="7">
        <f>E210*0.1+G210*0.1+I210*0.1+O210*0.2+R210*0.2</f>
        <v>61.6</v>
      </c>
      <c r="X210" s="21">
        <f>W210/0.7+K210+T210</f>
        <v>89</v>
      </c>
    </row>
    <row r="211" s="3" customFormat="1" ht="15.6" hidden="1" spans="1:24">
      <c r="A211" s="6">
        <v>107</v>
      </c>
      <c r="B211" s="39" t="s">
        <v>309</v>
      </c>
      <c r="C211" s="29" t="s">
        <v>11</v>
      </c>
      <c r="D211" s="6">
        <v>14.7</v>
      </c>
      <c r="E211" s="40">
        <f>LOOKUP(D211,{0,-4,-3,-2,-1,0,1,2.4,3.8,5.2,6.6,8,9.4,10.8,12.2,13.6,15,17.2,19.4,21.5,23.6},{0,10,20,30,40,50,60,62,64,66,68,70,72,74,76,78,80,85,90,95,100})</f>
        <v>78</v>
      </c>
      <c r="F211" s="6">
        <v>260</v>
      </c>
      <c r="G211" s="40">
        <f>LOOKUP(F211,{0,170,175,180,185,190,195,199,203,207,211,215,219,223,227,231,235,243,250,255,260},{0,10,20,30,40,50,60,62,64,66,68,70,72,74,76,78,80,85,90,95,100})</f>
        <v>100</v>
      </c>
      <c r="H211" s="6">
        <v>11</v>
      </c>
      <c r="I211" s="40">
        <f>LOOKUP(H211,{0,2,3,4,5,6,7,8,9,10,11,12,13,14,15,16},{0,10,20,30,40,50,60,64,68,72,76,80,85,90,95,100})</f>
        <v>76</v>
      </c>
      <c r="J211" s="7"/>
      <c r="K211" s="7"/>
      <c r="L211" s="7">
        <f>I211+K211</f>
        <v>76</v>
      </c>
      <c r="M211" s="6">
        <v>7.2</v>
      </c>
      <c r="N211" s="43">
        <f>13-M211</f>
        <v>5.8</v>
      </c>
      <c r="O211" s="40">
        <f>LOOKUP(N211,{0,2.5,2.7,2.9,3.1,3.3,3.5,3.7,3.9,4.1,4.3,4.5,4.7,4.9,5.1,5.3,5.5,5.6,5.7,5.8,5.9},{0,10,20,30,40,50,60,62,64,66,68,70,72,74,76,78,80,85,90,95,100})</f>
        <v>95</v>
      </c>
      <c r="P211" s="6">
        <v>3.27</v>
      </c>
      <c r="Q211" s="6">
        <f>10-P211</f>
        <v>6.73</v>
      </c>
      <c r="R211" s="40">
        <f>LOOKUP(Q211,{0,3.75,3.95,4.55,4.75,4.95,5.55,5.6,5.65,5.7,5.75,5.8,5.85,5.9,5.95,6,6.45,6.53,6.6,6.65,6.7},{0,10,20,30,40,50,60,62,64,66,68,70,72,74,76,78,80,85,90,95,100})</f>
        <v>100</v>
      </c>
      <c r="S211" s="7">
        <f>3.3-P211</f>
        <v>0.0299999999999998</v>
      </c>
      <c r="T211" s="40">
        <f>LOOKUP(S211,{0,0.04,0.08,0.12,0.16,0.2,0.23,0.26,0.29,0.32,0.35},{0,1,2,3,4,5,6,7,8,9,10})</f>
        <v>0</v>
      </c>
      <c r="U211" s="7">
        <f>R211+T211</f>
        <v>100</v>
      </c>
      <c r="V211" s="6"/>
      <c r="W211" s="7">
        <f>E211*0.1+G211*0.1+I211*0.1+O211*0.2+R211*0.2</f>
        <v>64.4</v>
      </c>
      <c r="X211" s="21">
        <f>W211/0.7+K211+T211</f>
        <v>92</v>
      </c>
    </row>
    <row r="212" ht="15.6" hidden="1" spans="1:24">
      <c r="A212" s="6">
        <v>102</v>
      </c>
      <c r="B212" s="29" t="s">
        <v>92</v>
      </c>
      <c r="C212" s="29" t="s">
        <v>11</v>
      </c>
      <c r="D212" s="6">
        <v>16</v>
      </c>
      <c r="E212" s="40">
        <f>LOOKUP(D212,{0,-4,-3,-2,-1,0,1,2.4,3.8,5.2,6.6,8,9.4,10.8,12.2,13.6,15,17.2,19.4,21.5,23.6},{0,10,20,30,40,50,60,62,64,66,68,70,72,74,76,78,80,85,90,95,100})</f>
        <v>80</v>
      </c>
      <c r="F212" s="6">
        <v>245</v>
      </c>
      <c r="G212" s="40">
        <f>LOOKUP(F212,{0,170,175,180,185,190,195,199,203,207,211,215,219,223,227,231,235,243,250,255,260},{0,10,20,30,40,50,60,62,64,66,68,70,72,74,76,78,80,85,90,95,100})</f>
        <v>85</v>
      </c>
      <c r="H212" s="6">
        <v>17</v>
      </c>
      <c r="I212" s="40">
        <f>LOOKUP(H212,{0,2,3,4,5,6,7,8,9,10,11,12,13,14,15,16},{0,10,20,30,40,50,60,64,68,72,76,80,85,90,95,100})</f>
        <v>100</v>
      </c>
      <c r="J212" s="7">
        <f>H212-16</f>
        <v>1</v>
      </c>
      <c r="K212" s="40">
        <f>LOOKUP(J212,{0,1,2,3,4,5,6,7,8,9,10},{0,1,2,3,4,5,6,7,8,9,10})</f>
        <v>1</v>
      </c>
      <c r="L212" s="7">
        <f>I212+K212</f>
        <v>101</v>
      </c>
      <c r="M212" s="6">
        <v>7.2</v>
      </c>
      <c r="N212" s="43">
        <f>13-M212</f>
        <v>5.8</v>
      </c>
      <c r="O212" s="40">
        <f>LOOKUP(N212,{0,2.5,2.7,2.9,3.1,3.3,3.5,3.7,3.9,4.1,4.3,4.5,4.7,4.9,5.1,5.3,5.5,5.6,5.7,5.8,5.9},{0,10,20,30,40,50,60,62,64,66,68,70,72,74,76,78,80,85,90,95,100})</f>
        <v>95</v>
      </c>
      <c r="P212" s="6">
        <v>3.28</v>
      </c>
      <c r="Q212" s="6">
        <f>10-P212</f>
        <v>6.72</v>
      </c>
      <c r="R212" s="40">
        <f>LOOKUP(Q212,{0,3.75,3.95,4.55,4.75,4.95,5.55,5.6,5.65,5.7,5.75,5.8,5.85,5.9,5.95,6,6.45,6.53,6.6,6.65,6.7},{0,10,20,30,40,50,60,62,64,66,68,70,72,74,76,78,80,85,90,95,100})</f>
        <v>100</v>
      </c>
      <c r="S212" s="7">
        <f>3.3-P212</f>
        <v>0.02</v>
      </c>
      <c r="T212" s="40">
        <f>LOOKUP(S212,{0,0.04,0.08,0.12,0.16,0.2,0.23,0.26,0.29,0.32,0.35},{0,1,2,3,4,5,6,7,8,9,10})</f>
        <v>0</v>
      </c>
      <c r="U212" s="7">
        <f>R212+T212</f>
        <v>100</v>
      </c>
      <c r="W212" s="7">
        <f>E212*0.1+G212*0.1+I212*0.1+O212*0.2+R212*0.2</f>
        <v>65.5</v>
      </c>
      <c r="X212" s="21">
        <f>W212/0.7+K212+T212</f>
        <v>94.5714285714286</v>
      </c>
    </row>
    <row r="213" ht="15.6" hidden="1" spans="1:24">
      <c r="A213" s="6">
        <v>112</v>
      </c>
      <c r="B213" s="29" t="s">
        <v>591</v>
      </c>
      <c r="C213" s="29" t="s">
        <v>11</v>
      </c>
      <c r="D213" s="6">
        <v>20</v>
      </c>
      <c r="E213" s="40">
        <f>LOOKUP(D213,{0,-4,-3,-2,-1,0,1,2.4,3.8,5.2,6.6,8,9.4,10.8,12.2,13.6,15,17.2,19.4,21.5,23.6},{0,10,20,30,40,50,60,62,64,66,68,70,72,74,76,78,80,85,90,95,100})</f>
        <v>90</v>
      </c>
      <c r="F213" s="6">
        <v>247</v>
      </c>
      <c r="G213" s="40">
        <f>LOOKUP(F213,{0,170,175,180,185,190,195,199,203,207,211,215,219,223,227,231,235,243,250,255,260},{0,10,20,30,40,50,60,62,64,66,68,70,72,74,76,78,80,85,90,95,100})</f>
        <v>85</v>
      </c>
      <c r="H213" s="6">
        <v>26</v>
      </c>
      <c r="I213" s="40">
        <f>LOOKUP(H213,{0,2,3,4,5,6,7,8,9,10,11,12,13,14,15,16},{0,10,20,30,40,50,60,64,68,72,76,80,85,90,95,100})</f>
        <v>100</v>
      </c>
      <c r="J213" s="7">
        <f>H213-16</f>
        <v>10</v>
      </c>
      <c r="K213" s="40">
        <f>LOOKUP(J213,{0,1,2,3,4,5,6,7,8,9,10},{0,1,2,3,4,5,6,7,8,9,10})</f>
        <v>10</v>
      </c>
      <c r="L213" s="7">
        <f>I213+K213</f>
        <v>110</v>
      </c>
      <c r="M213" s="6">
        <v>7.2</v>
      </c>
      <c r="N213" s="43">
        <f>13-M213</f>
        <v>5.8</v>
      </c>
      <c r="O213" s="40">
        <f>LOOKUP(N213,{0,2.5,2.7,2.9,3.1,3.3,3.5,3.7,3.9,4.1,4.3,4.5,4.7,4.9,5.1,5.3,5.5,5.6,5.7,5.8,5.9},{0,10,20,30,40,50,60,62,64,66,68,70,72,74,76,78,80,85,90,95,100})</f>
        <v>95</v>
      </c>
      <c r="P213" s="6">
        <v>3.31</v>
      </c>
      <c r="Q213" s="6">
        <f>10-P213</f>
        <v>6.69</v>
      </c>
      <c r="R213" s="40">
        <f>LOOKUP(Q213,{0,3.75,3.95,4.55,4.75,4.95,5.55,5.6,5.65,5.7,5.75,5.8,5.85,5.9,5.95,6,6.45,6.53,6.6,6.65,6.7},{0,10,20,30,40,50,60,62,64,66,68,70,72,74,76,78,80,85,90,95,100})</f>
        <v>95</v>
      </c>
      <c r="S213" s="7"/>
      <c r="T213" s="7"/>
      <c r="U213" s="7">
        <f>R213+T213</f>
        <v>95</v>
      </c>
      <c r="W213" s="7">
        <f>E213*0.1+G213*0.1+I213*0.1+O213*0.2+R213*0.2</f>
        <v>65.5</v>
      </c>
      <c r="X213" s="21">
        <f>W213/0.7+K213+T213</f>
        <v>103.571428571429</v>
      </c>
    </row>
    <row r="214" ht="15.6" hidden="1" spans="1:24">
      <c r="A214" s="6">
        <v>103</v>
      </c>
      <c r="B214" s="29" t="s">
        <v>132</v>
      </c>
      <c r="C214" s="29" t="s">
        <v>11</v>
      </c>
      <c r="D214" s="6">
        <v>11.4</v>
      </c>
      <c r="E214" s="40">
        <f>LOOKUP(D214,{0,-4,-3,-2,-1,0,1,2.4,3.8,5.2,6.6,8,9.4,10.8,12.2,13.6,15,17.2,19.4,21.5,23.6},{0,10,20,30,40,50,60,62,64,66,68,70,72,74,76,78,80,85,90,95,100})</f>
        <v>74</v>
      </c>
      <c r="F214" s="6">
        <v>223</v>
      </c>
      <c r="G214" s="40">
        <f>LOOKUP(F214,{0,170,175,180,185,190,195,199,203,207,211,215,219,223,227,231,235,243,250,255,260},{0,10,20,30,40,50,60,62,64,66,68,70,72,74,76,78,80,85,90,95,100})</f>
        <v>74</v>
      </c>
      <c r="H214" s="6">
        <v>9</v>
      </c>
      <c r="I214" s="40">
        <f>LOOKUP(H214,{0,2,3,4,5,6,7,8,9,10,11,12,13,14,15,16},{0,10,20,30,40,50,60,64,68,72,76,80,85,90,95,100})</f>
        <v>68</v>
      </c>
      <c r="J214" s="7"/>
      <c r="K214" s="7"/>
      <c r="L214" s="7">
        <f>I214+K214</f>
        <v>68</v>
      </c>
      <c r="M214" s="6">
        <v>7.2</v>
      </c>
      <c r="N214" s="43">
        <f>13-M214</f>
        <v>5.8</v>
      </c>
      <c r="O214" s="40">
        <f>LOOKUP(N214,{0,2.5,2.7,2.9,3.1,3.3,3.5,3.7,3.9,4.1,4.3,4.5,4.7,4.9,5.1,5.3,5.5,5.6,5.7,5.8,5.9},{0,10,20,30,40,50,60,62,64,66,68,70,72,74,76,78,80,85,90,95,100})</f>
        <v>95</v>
      </c>
      <c r="P214" s="6">
        <v>3.33</v>
      </c>
      <c r="Q214" s="6">
        <f>10-P214</f>
        <v>6.67</v>
      </c>
      <c r="R214" s="40">
        <f>LOOKUP(Q214,{0,3.75,3.95,4.55,4.75,4.95,5.55,5.6,5.65,5.7,5.75,5.8,5.85,5.9,5.95,6,6.45,6.53,6.6,6.65,6.7},{0,10,20,30,40,50,60,62,64,66,68,70,72,74,76,78,80,85,90,95,100})</f>
        <v>95</v>
      </c>
      <c r="S214" s="7"/>
      <c r="T214" s="7"/>
      <c r="U214" s="7">
        <f>R214+T214</f>
        <v>95</v>
      </c>
      <c r="W214" s="7">
        <f>E214*0.1+G214*0.1+I214*0.1+O214*0.2+R214*0.2</f>
        <v>59.6</v>
      </c>
      <c r="X214" s="21">
        <f>W214/0.7+K214+T214</f>
        <v>85.1428571428572</v>
      </c>
    </row>
    <row r="215" ht="15.6" hidden="1" spans="1:24">
      <c r="A215" s="6">
        <v>108</v>
      </c>
      <c r="B215" s="29" t="s">
        <v>359</v>
      </c>
      <c r="C215" s="29" t="s">
        <v>11</v>
      </c>
      <c r="D215" s="6">
        <v>16.8</v>
      </c>
      <c r="E215" s="40">
        <f>LOOKUP(D215,{0,-4,-3,-2,-1,0,1,2.4,3.8,5.2,6.6,8,9.4,10.8,12.2,13.6,15,17.2,19.4,21.5,23.6},{0,10,20,30,40,50,60,62,64,66,68,70,72,74,76,78,80,85,90,95,100})</f>
        <v>80</v>
      </c>
      <c r="F215" s="6">
        <v>231</v>
      </c>
      <c r="G215" s="40">
        <f>LOOKUP(F215,{0,170,175,180,185,190,195,199,203,207,211,215,219,223,227,231,235,243,250,255,260},{0,10,20,30,40,50,60,62,64,66,68,70,72,74,76,78,80,85,90,95,100})</f>
        <v>78</v>
      </c>
      <c r="H215" s="6">
        <v>23</v>
      </c>
      <c r="I215" s="40">
        <f>LOOKUP(H215,{0,2,3,4,5,6,7,8,9,10,11,12,13,14,15,16},{0,10,20,30,40,50,60,64,68,72,76,80,85,90,95,100})</f>
        <v>100</v>
      </c>
      <c r="J215" s="7">
        <f>H215-16</f>
        <v>7</v>
      </c>
      <c r="K215" s="40">
        <f>LOOKUP(J215,{0,1,2,3,4,5,6,7,8,9,10},{0,1,2,3,4,5,6,7,8,9,10})</f>
        <v>7</v>
      </c>
      <c r="L215" s="7">
        <f>I215+K215</f>
        <v>107</v>
      </c>
      <c r="M215" s="6">
        <v>7.2</v>
      </c>
      <c r="N215" s="43">
        <f>13-M215</f>
        <v>5.8</v>
      </c>
      <c r="O215" s="40">
        <f>LOOKUP(N215,{0,2.5,2.7,2.9,3.1,3.3,3.5,3.7,3.9,4.1,4.3,4.5,4.7,4.9,5.1,5.3,5.5,5.6,5.7,5.8,5.9},{0,10,20,30,40,50,60,62,64,66,68,70,72,74,76,78,80,85,90,95,100})</f>
        <v>95</v>
      </c>
      <c r="P215" s="6">
        <v>3.34</v>
      </c>
      <c r="Q215" s="6">
        <f>10-P215</f>
        <v>6.66</v>
      </c>
      <c r="R215" s="40">
        <f>LOOKUP(Q215,{0,3.75,3.95,4.55,4.75,4.95,5.55,5.6,5.65,5.7,5.75,5.8,5.85,5.9,5.95,6,6.45,6.53,6.6,6.65,6.7},{0,10,20,30,40,50,60,62,64,66,68,70,72,74,76,78,80,85,90,95,100})</f>
        <v>95</v>
      </c>
      <c r="S215" s="7"/>
      <c r="T215" s="7"/>
      <c r="U215" s="7">
        <f>R215+T215</f>
        <v>95</v>
      </c>
      <c r="W215" s="7">
        <f>E215*0.1+G215*0.1+I215*0.1+O215*0.2+R215*0.2</f>
        <v>63.8</v>
      </c>
      <c r="X215" s="21">
        <f>W215/0.7+K215+T215</f>
        <v>98.1428571428571</v>
      </c>
    </row>
    <row r="216" ht="15.6" hidden="1" spans="1:24">
      <c r="A216" s="6">
        <v>113</v>
      </c>
      <c r="B216" s="29" t="s">
        <v>640</v>
      </c>
      <c r="C216" s="29" t="s">
        <v>11</v>
      </c>
      <c r="D216" s="6">
        <v>15</v>
      </c>
      <c r="E216" s="40">
        <f>LOOKUP(D216,{0,-4,-3,-2,-1,0,1,2.4,3.8,5.2,6.6,8,9.4,10.8,12.2,13.6,15,17.2,19.4,21.5,23.6},{0,10,20,30,40,50,60,62,64,66,68,70,72,74,76,78,80,85,90,95,100})</f>
        <v>80</v>
      </c>
      <c r="F216" s="6">
        <v>210</v>
      </c>
      <c r="G216" s="40">
        <f>LOOKUP(F216,{0,170,175,180,185,190,195,199,203,207,211,215,219,223,227,231,235,243,250,255,260},{0,10,20,30,40,50,60,62,64,66,68,70,72,74,76,78,80,85,90,95,100})</f>
        <v>66</v>
      </c>
      <c r="H216" s="6">
        <v>21</v>
      </c>
      <c r="I216" s="40">
        <f>LOOKUP(H216,{0,2,3,4,5,6,7,8,9,10,11,12,13,14,15,16},{0,10,20,30,40,50,60,64,68,72,76,80,85,90,95,100})</f>
        <v>100</v>
      </c>
      <c r="J216" s="7">
        <f>H216-16</f>
        <v>5</v>
      </c>
      <c r="K216" s="40">
        <f>LOOKUP(J216,{0,1,2,3,4,5,6,7,8,9,10},{0,1,2,3,4,5,6,7,8,9,10})</f>
        <v>5</v>
      </c>
      <c r="L216" s="7">
        <f>I216+K216</f>
        <v>105</v>
      </c>
      <c r="M216" s="6">
        <v>7.2</v>
      </c>
      <c r="N216" s="43">
        <f>13-M216</f>
        <v>5.8</v>
      </c>
      <c r="O216" s="40">
        <f>LOOKUP(N216,{0,2.5,2.7,2.9,3.1,3.3,3.5,3.7,3.9,4.1,4.3,4.5,4.7,4.9,5.1,5.3,5.5,5.6,5.7,5.8,5.9},{0,10,20,30,40,50,60,62,64,66,68,70,72,74,76,78,80,85,90,95,100})</f>
        <v>95</v>
      </c>
      <c r="P216" s="6">
        <v>3.39</v>
      </c>
      <c r="Q216" s="6">
        <f>10-P216</f>
        <v>6.61</v>
      </c>
      <c r="R216" s="40">
        <f>LOOKUP(Q216,{0,3.75,3.95,4.55,4.75,4.95,5.55,5.6,5.65,5.7,5.75,5.8,5.85,5.9,5.95,6,6.45,6.53,6.6,6.65,6.7},{0,10,20,30,40,50,60,62,64,66,68,70,72,74,76,78,80,85,90,95,100})</f>
        <v>90</v>
      </c>
      <c r="S216" s="7"/>
      <c r="T216" s="7"/>
      <c r="U216" s="7">
        <f>R216+T216</f>
        <v>90</v>
      </c>
      <c r="W216" s="7">
        <f>E216*0.1+G216*0.1+I216*0.1+O216*0.2+R216*0.2</f>
        <v>61.6</v>
      </c>
      <c r="X216" s="21">
        <f>W216/0.7+K216+T216</f>
        <v>93</v>
      </c>
    </row>
    <row r="217" ht="15.6" hidden="1" spans="1:24">
      <c r="A217" s="6">
        <v>110</v>
      </c>
      <c r="B217" s="29" t="s">
        <v>462</v>
      </c>
      <c r="C217" s="29" t="s">
        <v>11</v>
      </c>
      <c r="D217" s="6">
        <v>21</v>
      </c>
      <c r="E217" s="40">
        <f>LOOKUP(D217,{0,-4,-3,-2,-1,0,1,2.4,3.8,5.2,6.6,8,9.4,10.8,12.2,13.6,15,17.2,19.4,21.5,23.6},{0,10,20,30,40,50,60,62,64,66,68,70,72,74,76,78,80,85,90,95,100})</f>
        <v>90</v>
      </c>
      <c r="F217" s="6">
        <v>253</v>
      </c>
      <c r="G217" s="40">
        <f>LOOKUP(F217,{0,170,175,180,185,190,195,199,203,207,211,215,219,223,227,231,235,243,250,255,260},{0,10,20,30,40,50,60,62,64,66,68,70,72,74,76,78,80,85,90,95,100})</f>
        <v>90</v>
      </c>
      <c r="H217" s="6">
        <v>20</v>
      </c>
      <c r="I217" s="40">
        <f>LOOKUP(H217,{0,2,3,4,5,6,7,8,9,10,11,12,13,14,15,16},{0,10,20,30,40,50,60,64,68,72,76,80,85,90,95,100})</f>
        <v>100</v>
      </c>
      <c r="J217" s="7">
        <f>H217-16</f>
        <v>4</v>
      </c>
      <c r="K217" s="40">
        <f>LOOKUP(J217,{0,1,2,3,4,5,6,7,8,9,10},{0,1,2,3,4,5,6,7,8,9,10})</f>
        <v>4</v>
      </c>
      <c r="L217" s="7">
        <f>I217+K217</f>
        <v>104</v>
      </c>
      <c r="M217" s="6">
        <v>7.2</v>
      </c>
      <c r="N217" s="43">
        <f>13-M217</f>
        <v>5.8</v>
      </c>
      <c r="O217" s="40">
        <f>LOOKUP(N217,{0,2.5,2.7,2.9,3.1,3.3,3.5,3.7,3.9,4.1,4.3,4.5,4.7,4.9,5.1,5.3,5.5,5.6,5.7,5.8,5.9},{0,10,20,30,40,50,60,62,64,66,68,70,72,74,76,78,80,85,90,95,100})</f>
        <v>95</v>
      </c>
      <c r="P217" s="6">
        <v>3.4</v>
      </c>
      <c r="Q217" s="6">
        <f>10-P217</f>
        <v>6.6</v>
      </c>
      <c r="R217" s="40">
        <f>LOOKUP(Q217,{0,3.75,3.95,4.55,4.75,4.95,5.55,5.6,5.65,5.7,5.75,5.8,5.85,5.9,5.95,6,6.45,6.53,6.6,6.65,6.7},{0,10,20,30,40,50,60,62,64,66,68,70,72,74,76,78,80,85,90,95,100})</f>
        <v>90</v>
      </c>
      <c r="S217" s="7"/>
      <c r="T217" s="7"/>
      <c r="U217" s="7">
        <f>R217+T217</f>
        <v>90</v>
      </c>
      <c r="W217" s="7">
        <f>E217*0.1+G217*0.1+I217*0.1+O217*0.2+R217*0.2</f>
        <v>65</v>
      </c>
      <c r="X217" s="21">
        <f>W217/0.7+K217+T217</f>
        <v>96.8571428571429</v>
      </c>
    </row>
    <row r="218" ht="15.6" hidden="1" spans="1:24">
      <c r="A218" s="6">
        <v>109</v>
      </c>
      <c r="B218" s="29" t="s">
        <v>413</v>
      </c>
      <c r="C218" s="29" t="s">
        <v>11</v>
      </c>
      <c r="D218" s="6">
        <v>13.5</v>
      </c>
      <c r="E218" s="40">
        <f>LOOKUP(D218,{0,-4,-3,-2,-1,0,1,2.4,3.8,5.2,6.6,8,9.4,10.8,12.2,13.6,15,17.2,19.4,21.5,23.6},{0,10,20,30,40,50,60,62,64,66,68,70,72,74,76,78,80,85,90,95,100})</f>
        <v>76</v>
      </c>
      <c r="F218" s="6">
        <v>245</v>
      </c>
      <c r="G218" s="40">
        <f>LOOKUP(F218,{0,170,175,180,185,190,195,199,203,207,211,215,219,223,227,231,235,243,250,255,260},{0,10,20,30,40,50,60,62,64,66,68,70,72,74,76,78,80,85,90,95,100})</f>
        <v>85</v>
      </c>
      <c r="H218" s="6">
        <v>18</v>
      </c>
      <c r="I218" s="40">
        <f>LOOKUP(H218,{0,2,3,4,5,6,7,8,9,10,11,12,13,14,15,16},{0,10,20,30,40,50,60,64,68,72,76,80,85,90,95,100})</f>
        <v>100</v>
      </c>
      <c r="J218" s="7">
        <f>H218-16</f>
        <v>2</v>
      </c>
      <c r="K218" s="40">
        <f>LOOKUP(J218,{0,1,2,3,4,5,6,7,8,9,10},{0,1,2,3,4,5,6,7,8,9,10})</f>
        <v>2</v>
      </c>
      <c r="L218" s="7">
        <f>I218+K218</f>
        <v>102</v>
      </c>
      <c r="M218" s="6">
        <v>7.2</v>
      </c>
      <c r="N218" s="43">
        <f>13-M218</f>
        <v>5.8</v>
      </c>
      <c r="O218" s="40">
        <f>LOOKUP(N218,{0,2.5,2.7,2.9,3.1,3.3,3.5,3.7,3.9,4.1,4.3,4.5,4.7,4.9,5.1,5.3,5.5,5.6,5.7,5.8,5.9},{0,10,20,30,40,50,60,62,64,66,68,70,72,74,76,78,80,85,90,95,100})</f>
        <v>95</v>
      </c>
      <c r="P218" s="6">
        <v>3.42</v>
      </c>
      <c r="Q218" s="6">
        <f>10-P218</f>
        <v>6.58</v>
      </c>
      <c r="R218" s="40">
        <f>LOOKUP(Q218,{0,3.75,3.95,4.55,4.75,4.95,5.55,5.6,5.65,5.7,5.75,5.8,5.85,5.9,5.95,6,6.45,6.53,6.6,6.65,6.7},{0,10,20,30,40,50,60,62,64,66,68,70,72,74,76,78,80,85,90,95,100})</f>
        <v>85</v>
      </c>
      <c r="S218" s="7"/>
      <c r="T218" s="7"/>
      <c r="U218" s="7">
        <f>R218+T218</f>
        <v>85</v>
      </c>
      <c r="W218" s="7">
        <f>E218*0.1+G218*0.1+I218*0.1+O218*0.2+R218*0.2</f>
        <v>62.1</v>
      </c>
      <c r="X218" s="21">
        <f>W218/0.7+K218+T218</f>
        <v>90.7142857142857</v>
      </c>
    </row>
    <row r="219" ht="15.6" hidden="1" spans="1:24">
      <c r="A219" s="6">
        <v>105</v>
      </c>
      <c r="B219" s="29" t="s">
        <v>220</v>
      </c>
      <c r="C219" s="29" t="s">
        <v>11</v>
      </c>
      <c r="D219" s="6">
        <v>8.9</v>
      </c>
      <c r="E219" s="40">
        <f>LOOKUP(D219,{0,-4,-3,-2,-1,0,1,2.4,3.8,5.2,6.6,8,9.4,10.8,12.2,13.6,15,17.2,19.4,21.5,23.6},{0,10,20,30,40,50,60,62,64,66,68,70,72,74,76,78,80,85,90,95,100})</f>
        <v>70</v>
      </c>
      <c r="F219" s="6">
        <v>232</v>
      </c>
      <c r="G219" s="40">
        <f>LOOKUP(F219,{0,170,175,180,185,190,195,199,203,207,211,215,219,223,227,231,235,243,250,255,260},{0,10,20,30,40,50,60,62,64,66,68,70,72,74,76,78,80,85,90,95,100})</f>
        <v>78</v>
      </c>
      <c r="H219" s="6">
        <v>0</v>
      </c>
      <c r="I219" s="40">
        <f>LOOKUP(H219,{0,2,3,4,5,6,7,8,9,10,11,12,13,14,15,16},{0,10,20,30,40,50,60,64,68,72,76,80,85,90,95,100})</f>
        <v>0</v>
      </c>
      <c r="J219" s="7"/>
      <c r="K219" s="7"/>
      <c r="L219" s="7">
        <f>I219+K219</f>
        <v>0</v>
      </c>
      <c r="M219" s="6">
        <v>7.2</v>
      </c>
      <c r="N219" s="43">
        <f>13-M219</f>
        <v>5.8</v>
      </c>
      <c r="O219" s="40">
        <f>LOOKUP(N219,{0,2.5,2.7,2.9,3.1,3.3,3.5,3.7,3.9,4.1,4.3,4.5,4.7,4.9,5.1,5.3,5.5,5.6,5.7,5.8,5.9},{0,10,20,30,40,50,60,62,64,66,68,70,72,74,76,78,80,85,90,95,100})</f>
        <v>95</v>
      </c>
      <c r="P219" s="6">
        <v>3.43</v>
      </c>
      <c r="Q219" s="6">
        <f>10-P219</f>
        <v>6.57</v>
      </c>
      <c r="R219" s="40">
        <f>LOOKUP(Q219,{0,3.75,3.95,4.55,4.75,4.95,5.55,5.6,5.65,5.7,5.75,5.8,5.85,5.9,5.95,6,6.45,6.53,6.6,6.65,6.7},{0,10,20,30,40,50,60,62,64,66,68,70,72,74,76,78,80,85,90,95,100})</f>
        <v>85</v>
      </c>
      <c r="S219" s="7"/>
      <c r="T219" s="7"/>
      <c r="U219" s="7">
        <f>R219+T219</f>
        <v>85</v>
      </c>
      <c r="W219" s="7">
        <f>E219*0.1+G219*0.1+I219*0.1+O219*0.2+R219*0.2</f>
        <v>50.8</v>
      </c>
      <c r="X219" s="21">
        <f>W219/0.7+K219+T219</f>
        <v>72.5714285714286</v>
      </c>
    </row>
    <row r="220" ht="15.6" hidden="1" spans="1:24">
      <c r="A220" s="6">
        <v>111</v>
      </c>
      <c r="B220" s="29" t="s">
        <v>519</v>
      </c>
      <c r="C220" s="29" t="s">
        <v>11</v>
      </c>
      <c r="D220" s="6">
        <v>8.7</v>
      </c>
      <c r="E220" s="40">
        <f>LOOKUP(D220,{0,-4,-3,-2,-1,0,1,2.4,3.8,5.2,6.6,8,9.4,10.8,12.2,13.6,15,17.2,19.4,21.5,23.6},{0,10,20,30,40,50,60,62,64,66,68,70,72,74,76,78,80,85,90,95,100})</f>
        <v>70</v>
      </c>
      <c r="F220" s="6">
        <v>250</v>
      </c>
      <c r="G220" s="40">
        <f>LOOKUP(F220,{0,170,175,180,185,190,195,199,203,207,211,215,219,223,227,231,235,243,250,255,260},{0,10,20,30,40,50,60,62,64,66,68,70,72,74,76,78,80,85,90,95,100})</f>
        <v>90</v>
      </c>
      <c r="H220" s="6">
        <v>11</v>
      </c>
      <c r="I220" s="40">
        <f>LOOKUP(H220,{0,2,3,4,5,6,7,8,9,10,11,12,13,14,15,16},{0,10,20,30,40,50,60,64,68,72,76,80,85,90,95,100})</f>
        <v>76</v>
      </c>
      <c r="J220" s="7"/>
      <c r="K220" s="7"/>
      <c r="L220" s="7">
        <f>I220+K220</f>
        <v>76</v>
      </c>
      <c r="M220" s="6">
        <v>7.2</v>
      </c>
      <c r="N220" s="43">
        <f>13-M220</f>
        <v>5.8</v>
      </c>
      <c r="O220" s="40">
        <f>LOOKUP(N220,{0,2.5,2.7,2.9,3.1,3.3,3.5,3.7,3.9,4.1,4.3,4.5,4.7,4.9,5.1,5.3,5.5,5.6,5.7,5.8,5.9},{0,10,20,30,40,50,60,62,64,66,68,70,72,74,76,78,80,85,90,95,100})</f>
        <v>95</v>
      </c>
      <c r="P220" s="6">
        <v>3.45</v>
      </c>
      <c r="Q220" s="6">
        <f>10-P220</f>
        <v>6.55</v>
      </c>
      <c r="R220" s="40">
        <f>LOOKUP(Q220,{0,3.75,3.95,4.55,4.75,4.95,5.55,5.6,5.65,5.7,5.75,5.8,5.85,5.9,5.95,6,6.45,6.53,6.6,6.65,6.7},{0,10,20,30,40,50,60,62,64,66,68,70,72,74,76,78,80,85,90,95,100})</f>
        <v>85</v>
      </c>
      <c r="S220" s="7"/>
      <c r="T220" s="7"/>
      <c r="U220" s="7">
        <f>R220+T220</f>
        <v>85</v>
      </c>
      <c r="W220" s="7">
        <f>E220*0.1+G220*0.1+I220*0.1+O220*0.2+R220*0.2</f>
        <v>59.6</v>
      </c>
      <c r="X220" s="21">
        <f>W220/0.7+K220+T220</f>
        <v>85.1428571428572</v>
      </c>
    </row>
    <row r="221" ht="15.6" hidden="1" spans="1:24">
      <c r="A221" s="6">
        <v>114</v>
      </c>
      <c r="B221" s="29" t="s">
        <v>693</v>
      </c>
      <c r="C221" s="29" t="s">
        <v>11</v>
      </c>
      <c r="D221" s="6">
        <v>7.5</v>
      </c>
      <c r="E221" s="40">
        <f>LOOKUP(D221,{0,-4,-3,-2,-1,0,1,2.4,3.8,5.2,6.6,8,9.4,10.8,12.2,13.6,15,17.2,19.4,21.5,23.6},{0,10,20,30,40,50,60,62,64,66,68,70,72,74,76,78,80,85,90,95,100})</f>
        <v>68</v>
      </c>
      <c r="F221" s="6">
        <v>266</v>
      </c>
      <c r="G221" s="40">
        <f>LOOKUP(F221,{0,170,175,180,185,190,195,199,203,207,211,215,219,223,227,231,235,243,250,255,260},{0,10,20,30,40,50,60,62,64,66,68,70,72,74,76,78,80,85,90,95,100})</f>
        <v>100</v>
      </c>
      <c r="H221" s="6">
        <v>26</v>
      </c>
      <c r="I221" s="40">
        <f>LOOKUP(H221,{0,2,3,4,5,6,7,8,9,10,11,12,13,14,15,16},{0,10,20,30,40,50,60,64,68,72,76,80,85,90,95,100})</f>
        <v>100</v>
      </c>
      <c r="J221" s="7">
        <f>H221-16</f>
        <v>10</v>
      </c>
      <c r="K221" s="40">
        <f>LOOKUP(J221,{0,1,2,3,4,5,6,7,8,9,10},{0,1,2,3,4,5,6,7,8,9,10})</f>
        <v>10</v>
      </c>
      <c r="L221" s="7">
        <f>I221+K221</f>
        <v>110</v>
      </c>
      <c r="M221" s="6">
        <v>7.2</v>
      </c>
      <c r="N221" s="43">
        <f>13-M221</f>
        <v>5.8</v>
      </c>
      <c r="O221" s="40">
        <f>LOOKUP(N221,{0,2.5,2.7,2.9,3.1,3.3,3.5,3.7,3.9,4.1,4.3,4.5,4.7,4.9,5.1,5.3,5.5,5.6,5.7,5.8,5.9},{0,10,20,30,40,50,60,62,64,66,68,70,72,74,76,78,80,85,90,95,100})</f>
        <v>95</v>
      </c>
      <c r="P221" s="6">
        <v>3.46</v>
      </c>
      <c r="Q221" s="6">
        <f>10-P221</f>
        <v>6.54</v>
      </c>
      <c r="R221" s="40">
        <f>LOOKUP(Q221,{0,3.75,3.95,4.55,4.75,4.95,5.55,5.6,5.65,5.7,5.75,5.8,5.85,5.9,5.95,6,6.45,6.53,6.6,6.65,6.7},{0,10,20,30,40,50,60,62,64,66,68,70,72,74,76,78,80,85,90,95,100})</f>
        <v>85</v>
      </c>
      <c r="S221" s="7"/>
      <c r="T221" s="7"/>
      <c r="U221" s="7">
        <f>R221+T221</f>
        <v>85</v>
      </c>
      <c r="W221" s="7">
        <f>E221*0.1+G221*0.1+I221*0.1+O221*0.2+R221*0.2</f>
        <v>62.8</v>
      </c>
      <c r="X221" s="21">
        <f>W221/0.7+K221+T221</f>
        <v>99.7142857142857</v>
      </c>
    </row>
    <row r="222" s="3" customFormat="1" ht="15.6" hidden="1" spans="1:24">
      <c r="A222" s="6">
        <v>109</v>
      </c>
      <c r="B222" s="29" t="s">
        <v>411</v>
      </c>
      <c r="C222" s="29" t="s">
        <v>11</v>
      </c>
      <c r="D222" s="6">
        <v>19.5</v>
      </c>
      <c r="E222" s="40">
        <f>LOOKUP(D222,{0,-4,-3,-2,-1,0,1,2.4,3.8,5.2,6.6,8,9.4,10.8,12.2,13.6,15,17.2,19.4,21.5,23.6},{0,10,20,30,40,50,60,62,64,66,68,70,72,74,76,78,80,85,90,95,100})</f>
        <v>90</v>
      </c>
      <c r="F222" s="6">
        <v>253</v>
      </c>
      <c r="G222" s="40">
        <f>LOOKUP(F222,{0,170,175,180,185,190,195,199,203,207,211,215,219,223,227,231,235,243,250,255,260},{0,10,20,30,40,50,60,62,64,66,68,70,72,74,76,78,80,85,90,95,100})</f>
        <v>90</v>
      </c>
      <c r="H222" s="6">
        <v>12</v>
      </c>
      <c r="I222" s="40">
        <f>LOOKUP(H222,{0,2,3,4,5,6,7,8,9,10,11,12,13,14,15,16},{0,10,20,30,40,50,60,64,68,72,76,80,85,90,95,100})</f>
        <v>80</v>
      </c>
      <c r="J222" s="7"/>
      <c r="K222" s="7"/>
      <c r="L222" s="7">
        <f>I222+K222</f>
        <v>80</v>
      </c>
      <c r="M222" s="6">
        <v>7.2</v>
      </c>
      <c r="N222" s="43">
        <f>13-M222</f>
        <v>5.8</v>
      </c>
      <c r="O222" s="40">
        <f>LOOKUP(N222,{0,2.5,2.7,2.9,3.1,3.3,3.5,3.7,3.9,4.1,4.3,4.5,4.7,4.9,5.1,5.3,5.5,5.6,5.7,5.8,5.9},{0,10,20,30,40,50,60,62,64,66,68,70,72,74,76,78,80,85,90,95,100})</f>
        <v>95</v>
      </c>
      <c r="P222" s="6">
        <v>3.46</v>
      </c>
      <c r="Q222" s="6">
        <f>10-P222</f>
        <v>6.54</v>
      </c>
      <c r="R222" s="40">
        <f>LOOKUP(Q222,{0,3.75,3.95,4.55,4.75,4.95,5.55,5.6,5.65,5.7,5.75,5.8,5.85,5.9,5.95,6,6.45,6.53,6.6,6.65,6.7},{0,10,20,30,40,50,60,62,64,66,68,70,72,74,76,78,80,85,90,95,100})</f>
        <v>85</v>
      </c>
      <c r="S222" s="7"/>
      <c r="T222" s="7"/>
      <c r="U222" s="7">
        <f>R222+T222</f>
        <v>85</v>
      </c>
      <c r="V222" s="6"/>
      <c r="W222" s="7">
        <f>E222*0.1+G222*0.1+I222*0.1+O222*0.2+R222*0.2</f>
        <v>62</v>
      </c>
      <c r="X222" s="21">
        <f>W222/0.7+K222+T222</f>
        <v>88.5714285714286</v>
      </c>
    </row>
    <row r="223" ht="15.6" hidden="1" spans="1:24">
      <c r="A223" s="6">
        <v>114</v>
      </c>
      <c r="B223" s="29" t="s">
        <v>694</v>
      </c>
      <c r="C223" s="29" t="s">
        <v>11</v>
      </c>
      <c r="D223" s="6">
        <v>14</v>
      </c>
      <c r="E223" s="40">
        <f>LOOKUP(D223,{0,-4,-3,-2,-1,0,1,2.4,3.8,5.2,6.6,8,9.4,10.8,12.2,13.6,15,17.2,19.4,21.5,23.6},{0,10,20,30,40,50,60,62,64,66,68,70,72,74,76,78,80,85,90,95,100})</f>
        <v>78</v>
      </c>
      <c r="F223" s="6">
        <v>223</v>
      </c>
      <c r="G223" s="40">
        <f>LOOKUP(F223,{0,170,175,180,185,190,195,199,203,207,211,215,219,223,227,231,235,243,250,255,260},{0,10,20,30,40,50,60,62,64,66,68,70,72,74,76,78,80,85,90,95,100})</f>
        <v>74</v>
      </c>
      <c r="H223" s="6">
        <v>12</v>
      </c>
      <c r="I223" s="40">
        <f>LOOKUP(H223,{0,2,3,4,5,6,7,8,9,10,11,12,13,14,15,16},{0,10,20,30,40,50,60,64,68,72,76,80,85,90,95,100})</f>
        <v>80</v>
      </c>
      <c r="J223" s="7"/>
      <c r="K223" s="7"/>
      <c r="L223" s="7">
        <f>I223+K223</f>
        <v>80</v>
      </c>
      <c r="M223" s="6">
        <v>7.2</v>
      </c>
      <c r="N223" s="43">
        <f>13-M223</f>
        <v>5.8</v>
      </c>
      <c r="O223" s="40">
        <f>LOOKUP(N223,{0,2.5,2.7,2.9,3.1,3.3,3.5,3.7,3.9,4.1,4.3,4.5,4.7,4.9,5.1,5.3,5.5,5.6,5.7,5.8,5.9},{0,10,20,30,40,50,60,62,64,66,68,70,72,74,76,78,80,85,90,95,100})</f>
        <v>95</v>
      </c>
      <c r="P223" s="6">
        <v>3.47</v>
      </c>
      <c r="Q223" s="6">
        <f>10-P223</f>
        <v>6.53</v>
      </c>
      <c r="R223" s="40">
        <f>LOOKUP(Q223,{0,3.75,3.95,4.55,4.75,4.95,5.55,5.6,5.65,5.7,5.75,5.8,5.85,5.9,5.95,6,6.45,6.53,6.6,6.65,6.7},{0,10,20,30,40,50,60,62,64,66,68,70,72,74,76,78,80,85,90,95,100})</f>
        <v>85</v>
      </c>
      <c r="S223" s="7"/>
      <c r="T223" s="7"/>
      <c r="U223" s="7">
        <f>R223+T223</f>
        <v>85</v>
      </c>
      <c r="W223" s="7">
        <f>E223*0.1+G223*0.1+I223*0.1+O223*0.2+R223*0.2</f>
        <v>59.2</v>
      </c>
      <c r="X223" s="21">
        <f>W223/0.7+K223+T223</f>
        <v>84.5714285714286</v>
      </c>
    </row>
    <row r="224" ht="15.6" hidden="1" spans="1:24">
      <c r="A224" s="6">
        <v>109</v>
      </c>
      <c r="B224" s="29" t="s">
        <v>431</v>
      </c>
      <c r="C224" s="29" t="s">
        <v>11</v>
      </c>
      <c r="D224" s="6">
        <v>16.5</v>
      </c>
      <c r="E224" s="40">
        <f>LOOKUP(D224,{0,-4,-3,-2,-1,0,1,2.4,3.8,5.2,6.6,8,9.4,10.8,12.2,13.6,15,17.2,19.4,21.5,23.6},{0,10,20,30,40,50,60,62,64,66,68,70,72,74,76,78,80,85,90,95,100})</f>
        <v>80</v>
      </c>
      <c r="F224" s="6">
        <v>267</v>
      </c>
      <c r="G224" s="40">
        <f>LOOKUP(F224,{0,170,175,180,185,190,195,199,203,207,211,215,219,223,227,231,235,243,250,255,260},{0,10,20,30,40,50,60,62,64,66,68,70,72,74,76,78,80,85,90,95,100})</f>
        <v>100</v>
      </c>
      <c r="H224" s="6">
        <v>4</v>
      </c>
      <c r="I224" s="40">
        <f>LOOKUP(H224,{0,2,3,4,5,6,7,8,9,10,11,12,13,14,15,16},{0,10,20,30,40,50,60,64,68,72,76,80,85,90,95,100})</f>
        <v>30</v>
      </c>
      <c r="J224" s="7"/>
      <c r="K224" s="7"/>
      <c r="L224" s="7">
        <f>I224+K224</f>
        <v>30</v>
      </c>
      <c r="M224" s="6">
        <v>7.2</v>
      </c>
      <c r="N224" s="43">
        <f>13-M224</f>
        <v>5.8</v>
      </c>
      <c r="O224" s="40">
        <f>LOOKUP(N224,{0,2.5,2.7,2.9,3.1,3.3,3.5,3.7,3.9,4.1,4.3,4.5,4.7,4.9,5.1,5.3,5.5,5.6,5.7,5.8,5.9},{0,10,20,30,40,50,60,62,64,66,68,70,72,74,76,78,80,85,90,95,100})</f>
        <v>95</v>
      </c>
      <c r="P224" s="6">
        <v>3.47</v>
      </c>
      <c r="Q224" s="6">
        <f>10-P224</f>
        <v>6.53</v>
      </c>
      <c r="R224" s="40">
        <f>LOOKUP(Q224,{0,3.75,3.95,4.55,4.75,4.95,5.55,5.6,5.65,5.7,5.75,5.8,5.85,5.9,5.95,6,6.45,6.53,6.6,6.65,6.7},{0,10,20,30,40,50,60,62,64,66,68,70,72,74,76,78,80,85,90,95,100})</f>
        <v>85</v>
      </c>
      <c r="S224" s="7"/>
      <c r="T224" s="7"/>
      <c r="U224" s="7">
        <f>R224+T224</f>
        <v>85</v>
      </c>
      <c r="W224" s="7">
        <f>E224*0.1+G224*0.1+I224*0.1+O224*0.2+R224*0.2</f>
        <v>57</v>
      </c>
      <c r="X224" s="21">
        <f>W224/0.7+K224+T224</f>
        <v>81.4285714285714</v>
      </c>
    </row>
    <row r="225" ht="15.6" hidden="1" spans="1:24">
      <c r="A225" s="6">
        <v>110</v>
      </c>
      <c r="B225" s="29" t="s">
        <v>478</v>
      </c>
      <c r="C225" s="29" t="s">
        <v>11</v>
      </c>
      <c r="D225" s="6">
        <v>24</v>
      </c>
      <c r="E225" s="40">
        <f>LOOKUP(D225,{0,-4,-3,-2,-1,0,1,2.4,3.8,5.2,6.6,8,9.4,10.8,12.2,13.6,15,17.2,19.4,21.5,23.6},{0,10,20,30,40,50,60,62,64,66,68,70,72,74,76,78,80,85,90,95,100})</f>
        <v>100</v>
      </c>
      <c r="F225" s="6">
        <v>268</v>
      </c>
      <c r="G225" s="40">
        <f>LOOKUP(F225,{0,170,175,180,185,190,195,199,203,207,211,215,219,223,227,231,235,243,250,255,260},{0,10,20,30,40,50,60,62,64,66,68,70,72,74,76,78,80,85,90,95,100})</f>
        <v>100</v>
      </c>
      <c r="H225" s="6">
        <v>16</v>
      </c>
      <c r="I225" s="40">
        <f>LOOKUP(H225,{0,2,3,4,5,6,7,8,9,10,11,12,13,14,15,16},{0,10,20,30,40,50,60,64,68,72,76,80,85,90,95,100})</f>
        <v>100</v>
      </c>
      <c r="J225" s="7">
        <f>H225-16</f>
        <v>0</v>
      </c>
      <c r="K225" s="40">
        <f>LOOKUP(J225,{0,1,2,3,4,5,6,7,8,9,10},{0,1,2,3,4,5,6,7,8,9,10})</f>
        <v>0</v>
      </c>
      <c r="L225" s="7">
        <f>I225+K225</f>
        <v>100</v>
      </c>
      <c r="M225" s="6">
        <v>7.2</v>
      </c>
      <c r="N225" s="43">
        <f>13-M225</f>
        <v>5.8</v>
      </c>
      <c r="O225" s="40">
        <f>LOOKUP(N225,{0,2.5,2.7,2.9,3.1,3.3,3.5,3.7,3.9,4.1,4.3,4.5,4.7,4.9,5.1,5.3,5.5,5.6,5.7,5.8,5.9},{0,10,20,30,40,50,60,62,64,66,68,70,72,74,76,78,80,85,90,95,100})</f>
        <v>95</v>
      </c>
      <c r="P225" s="6">
        <v>3.51</v>
      </c>
      <c r="Q225" s="6">
        <f>10-P225</f>
        <v>6.49</v>
      </c>
      <c r="R225" s="40">
        <f>LOOKUP(Q225,{0,3.75,3.95,4.55,4.75,4.95,5.55,5.6,5.65,5.7,5.75,5.8,5.85,5.9,5.95,6,6.45,6.53,6.6,6.65,6.7},{0,10,20,30,40,50,60,62,64,66,68,70,72,74,76,78,80,85,90,95,100})</f>
        <v>80</v>
      </c>
      <c r="S225" s="7"/>
      <c r="T225" s="7"/>
      <c r="U225" s="7">
        <f>R225+T225</f>
        <v>80</v>
      </c>
      <c r="W225" s="7">
        <f>E225*0.1+G225*0.1+I225*0.1+O225*0.2+R225*0.2</f>
        <v>65</v>
      </c>
      <c r="X225" s="21">
        <f>W225/0.7+K225+T225</f>
        <v>92.8571428571429</v>
      </c>
    </row>
    <row r="226" ht="15.6" hidden="1" spans="1:24">
      <c r="A226" s="6">
        <v>109</v>
      </c>
      <c r="B226" s="29" t="s">
        <v>410</v>
      </c>
      <c r="C226" s="29" t="s">
        <v>11</v>
      </c>
      <c r="D226" s="6">
        <v>17.5</v>
      </c>
      <c r="E226" s="40">
        <f>LOOKUP(D226,{0,-4,-3,-2,-1,0,1,2.4,3.8,5.2,6.6,8,9.4,10.8,12.2,13.6,15,17.2,19.4,21.5,23.6},{0,10,20,30,40,50,60,62,64,66,68,70,72,74,76,78,80,85,90,95,100})</f>
        <v>85</v>
      </c>
      <c r="F226" s="6">
        <v>243</v>
      </c>
      <c r="G226" s="40">
        <f>LOOKUP(F226,{0,170,175,180,185,190,195,199,203,207,211,215,219,223,227,231,235,243,250,255,260},{0,10,20,30,40,50,60,62,64,66,68,70,72,74,76,78,80,85,90,95,100})</f>
        <v>85</v>
      </c>
      <c r="H226" s="6">
        <v>6</v>
      </c>
      <c r="I226" s="40">
        <f>LOOKUP(H226,{0,2,3,4,5,6,7,8,9,10,11,12,13,14,15,16},{0,10,20,30,40,50,60,64,68,72,76,80,85,90,95,100})</f>
        <v>50</v>
      </c>
      <c r="J226" s="7"/>
      <c r="K226" s="7"/>
      <c r="L226" s="7">
        <f>I226+K226</f>
        <v>50</v>
      </c>
      <c r="M226" s="6">
        <v>7.2</v>
      </c>
      <c r="N226" s="43">
        <f>13-M226</f>
        <v>5.8</v>
      </c>
      <c r="O226" s="40">
        <f>LOOKUP(N226,{0,2.5,2.7,2.9,3.1,3.3,3.5,3.7,3.9,4.1,4.3,4.5,4.7,4.9,5.1,5.3,5.5,5.6,5.7,5.8,5.9},{0,10,20,30,40,50,60,62,64,66,68,70,72,74,76,78,80,85,90,95,100})</f>
        <v>95</v>
      </c>
      <c r="P226" s="6">
        <v>3.52</v>
      </c>
      <c r="Q226" s="6">
        <f>10-P226</f>
        <v>6.48</v>
      </c>
      <c r="R226" s="40">
        <f>LOOKUP(Q226,{0,3.75,3.95,4.55,4.75,4.95,5.55,5.6,5.65,5.7,5.75,5.8,5.85,5.9,5.95,6,6.45,6.53,6.6,6.65,6.7},{0,10,20,30,40,50,60,62,64,66,68,70,72,74,76,78,80,85,90,95,100})</f>
        <v>80</v>
      </c>
      <c r="S226" s="7"/>
      <c r="T226" s="7"/>
      <c r="U226" s="7">
        <f>R226+T226</f>
        <v>80</v>
      </c>
      <c r="W226" s="7">
        <f>E226*0.1+G226*0.1+I226*0.1+O226*0.2+R226*0.2</f>
        <v>57</v>
      </c>
      <c r="X226" s="21">
        <f>W226/0.7+K226+T226</f>
        <v>81.4285714285714</v>
      </c>
    </row>
    <row r="227" ht="15.6" hidden="1" spans="1:24">
      <c r="A227" s="6">
        <v>102</v>
      </c>
      <c r="B227" s="29" t="s">
        <v>78</v>
      </c>
      <c r="C227" s="29" t="s">
        <v>11</v>
      </c>
      <c r="D227" s="6">
        <v>6.6</v>
      </c>
      <c r="E227" s="40">
        <f>LOOKUP(D227,{0,-4,-3,-2,-1,0,1,2.4,3.8,5.2,6.6,8,9.4,10.8,12.2,13.6,15,17.2,19.4,21.5,23.6},{0,10,20,30,40,50,60,62,64,66,68,70,72,74,76,78,80,85,90,95,100})</f>
        <v>68</v>
      </c>
      <c r="F227" s="6">
        <v>206</v>
      </c>
      <c r="G227" s="40">
        <f>LOOKUP(F227,{0,170,175,180,185,190,195,199,203,207,211,215,219,223,227,231,235,243,250,255,260},{0,10,20,30,40,50,60,62,64,66,68,70,72,74,76,78,80,85,90,95,100})</f>
        <v>64</v>
      </c>
      <c r="H227" s="6">
        <v>8</v>
      </c>
      <c r="I227" s="40">
        <f>LOOKUP(H227,{0,2,3,4,5,6,7,8,9,10,11,12,13,14,15,16},{0,10,20,30,40,50,60,64,68,72,76,80,85,90,95,100})</f>
        <v>64</v>
      </c>
      <c r="J227" s="7"/>
      <c r="K227" s="7"/>
      <c r="L227" s="7">
        <f>I227+K227</f>
        <v>64</v>
      </c>
      <c r="M227" s="6">
        <v>7.2</v>
      </c>
      <c r="N227" s="43">
        <f>13-M227</f>
        <v>5.8</v>
      </c>
      <c r="O227" s="40">
        <f>LOOKUP(N227,{0,2.5,2.7,2.9,3.1,3.3,3.5,3.7,3.9,4.1,4.3,4.5,4.7,4.9,5.1,5.3,5.5,5.6,5.7,5.8,5.9},{0,10,20,30,40,50,60,62,64,66,68,70,72,74,76,78,80,85,90,95,100})</f>
        <v>95</v>
      </c>
      <c r="P227" s="6">
        <v>3.53</v>
      </c>
      <c r="Q227" s="6">
        <f>10-P227</f>
        <v>6.47</v>
      </c>
      <c r="R227" s="40">
        <f>LOOKUP(Q227,{0,3.75,3.95,4.55,4.75,4.95,5.55,5.6,5.65,5.7,5.75,5.8,5.85,5.9,5.95,6,6.45,6.53,6.6,6.65,6.7},{0,10,20,30,40,50,60,62,64,66,68,70,72,74,76,78,80,85,90,95,100})</f>
        <v>80</v>
      </c>
      <c r="S227" s="7"/>
      <c r="T227" s="7"/>
      <c r="U227" s="7">
        <f>R227+T227</f>
        <v>80</v>
      </c>
      <c r="W227" s="7">
        <f>E227*0.1+G227*0.1+I227*0.1+O227*0.2+R227*0.2</f>
        <v>54.6</v>
      </c>
      <c r="X227" s="21">
        <f>W227/0.7+K227+T227</f>
        <v>78</v>
      </c>
    </row>
    <row r="228" ht="15.6" hidden="1" spans="1:24">
      <c r="A228" s="6">
        <v>114</v>
      </c>
      <c r="B228" s="29" t="s">
        <v>701</v>
      </c>
      <c r="C228" s="29" t="s">
        <v>11</v>
      </c>
      <c r="D228" s="6">
        <v>-4</v>
      </c>
      <c r="E228" s="40">
        <f>LOOKUP(D228,{0,-4,-3,-2,-1,0,1,2.4,3.8,5.2,6.6,8,9.4,10.8,12.2,13.6,15,17.2,19.4,21.5,23.6},{0,10,20,30,40,50,60,62,64,66,68,70,72,74,76,78,80,85,90,95,100})</f>
        <v>10</v>
      </c>
      <c r="F228" s="6">
        <v>237</v>
      </c>
      <c r="G228" s="40">
        <f>LOOKUP(F228,{0,170,175,180,185,190,195,199,203,207,211,215,219,223,227,231,235,243,250,255,260},{0,10,20,30,40,50,60,62,64,66,68,70,72,74,76,78,80,85,90,95,100})</f>
        <v>80</v>
      </c>
      <c r="H228" s="6">
        <v>3</v>
      </c>
      <c r="I228" s="40">
        <f>LOOKUP(H228,{0,2,3,4,5,6,7,8,9,10,11,12,13,14,15,16},{0,10,20,30,40,50,60,64,68,72,76,80,85,90,95,100})</f>
        <v>20</v>
      </c>
      <c r="J228" s="7"/>
      <c r="K228" s="7"/>
      <c r="L228" s="7">
        <f>I228+K228</f>
        <v>20</v>
      </c>
      <c r="M228" s="6">
        <v>7.2</v>
      </c>
      <c r="N228" s="43">
        <f>13-M228</f>
        <v>5.8</v>
      </c>
      <c r="O228" s="40">
        <f>LOOKUP(N228,{0,2.5,2.7,2.9,3.1,3.3,3.5,3.7,3.9,4.1,4.3,4.5,4.7,4.9,5.1,5.3,5.5,5.6,5.7,5.8,5.9},{0,10,20,30,40,50,60,62,64,66,68,70,72,74,76,78,80,85,90,95,100})</f>
        <v>95</v>
      </c>
      <c r="P228" s="6">
        <v>3.53</v>
      </c>
      <c r="Q228" s="6">
        <f>10-P228</f>
        <v>6.47</v>
      </c>
      <c r="R228" s="40">
        <f>LOOKUP(Q228,{0,3.75,3.95,4.55,4.75,4.95,5.55,5.6,5.65,5.7,5.75,5.8,5.85,5.9,5.95,6,6.45,6.53,6.6,6.65,6.7},{0,10,20,30,40,50,60,62,64,66,68,70,72,74,76,78,80,85,90,95,100})</f>
        <v>80</v>
      </c>
      <c r="S228" s="7"/>
      <c r="T228" s="7"/>
      <c r="U228" s="7">
        <f>R228+T228</f>
        <v>80</v>
      </c>
      <c r="W228" s="7">
        <f>E228*0.1+G228*0.1+I228*0.1+O228*0.2+R228*0.2</f>
        <v>46</v>
      </c>
      <c r="X228" s="21">
        <f>W228/0.7+K228+T228</f>
        <v>65.7142857142857</v>
      </c>
    </row>
    <row r="229" ht="15.6" hidden="1" spans="1:24">
      <c r="A229" s="6">
        <v>111</v>
      </c>
      <c r="B229" s="29" t="s">
        <v>525</v>
      </c>
      <c r="C229" s="29" t="s">
        <v>11</v>
      </c>
      <c r="D229" s="6">
        <v>12</v>
      </c>
      <c r="E229" s="40">
        <f>LOOKUP(D229,{0,-4,-3,-2,-1,0,1,2.4,3.8,5.2,6.6,8,9.4,10.8,12.2,13.6,15,17.2,19.4,21.5,23.6},{0,10,20,30,40,50,60,62,64,66,68,70,72,74,76,78,80,85,90,95,100})</f>
        <v>74</v>
      </c>
      <c r="F229" s="6">
        <v>245</v>
      </c>
      <c r="G229" s="40">
        <f>LOOKUP(F229,{0,170,175,180,185,190,195,199,203,207,211,215,219,223,227,231,235,243,250,255,260},{0,10,20,30,40,50,60,62,64,66,68,70,72,74,76,78,80,85,90,95,100})</f>
        <v>85</v>
      </c>
      <c r="H229" s="6">
        <v>26</v>
      </c>
      <c r="I229" s="40">
        <f>LOOKUP(H229,{0,2,3,4,5,6,7,8,9,10,11,12,13,14,15,16},{0,10,20,30,40,50,60,64,68,72,76,80,85,90,95,100})</f>
        <v>100</v>
      </c>
      <c r="J229" s="7">
        <f>H229-16</f>
        <v>10</v>
      </c>
      <c r="K229" s="40">
        <f>LOOKUP(J229,{0,1,2,3,4,5,6,7,8,9,10},{0,1,2,3,4,5,6,7,8,9,10})</f>
        <v>10</v>
      </c>
      <c r="L229" s="7">
        <f>I229+K229</f>
        <v>110</v>
      </c>
      <c r="M229" s="6">
        <v>7.2</v>
      </c>
      <c r="N229" s="43">
        <f>13-M229</f>
        <v>5.8</v>
      </c>
      <c r="O229" s="40">
        <f>LOOKUP(N229,{0,2.5,2.7,2.9,3.1,3.3,3.5,3.7,3.9,4.1,4.3,4.5,4.7,4.9,5.1,5.3,5.5,5.6,5.7,5.8,5.9},{0,10,20,30,40,50,60,62,64,66,68,70,72,74,76,78,80,85,90,95,100})</f>
        <v>95</v>
      </c>
      <c r="P229" s="6">
        <v>3.54</v>
      </c>
      <c r="Q229" s="6">
        <f>10-P229</f>
        <v>6.46</v>
      </c>
      <c r="R229" s="40">
        <f>LOOKUP(Q229,{0,3.75,3.95,4.55,4.75,4.95,5.55,5.6,5.65,5.7,5.75,5.8,5.85,5.9,5.95,6,6.45,6.53,6.6,6.65,6.7},{0,10,20,30,40,50,60,62,64,66,68,70,72,74,76,78,80,85,90,95,100})</f>
        <v>80</v>
      </c>
      <c r="S229" s="7"/>
      <c r="T229" s="7"/>
      <c r="U229" s="7">
        <f>R229+T229</f>
        <v>80</v>
      </c>
      <c r="W229" s="7">
        <f>E229*0.1+G229*0.1+I229*0.1+O229*0.2+R229*0.2</f>
        <v>60.9</v>
      </c>
      <c r="X229" s="21">
        <f>W229/0.7+K229+T229</f>
        <v>97</v>
      </c>
    </row>
    <row r="230" ht="15.6" hidden="1" spans="1:24">
      <c r="A230" s="6">
        <v>110</v>
      </c>
      <c r="B230" s="29" t="s">
        <v>487</v>
      </c>
      <c r="C230" s="29" t="s">
        <v>11</v>
      </c>
      <c r="D230" s="6">
        <v>18</v>
      </c>
      <c r="E230" s="40">
        <f>LOOKUP(D230,{0,-4,-3,-2,-1,0,1,2.4,3.8,5.2,6.6,8,9.4,10.8,12.2,13.6,15,17.2,19.4,21.5,23.6},{0,10,20,30,40,50,60,62,64,66,68,70,72,74,76,78,80,85,90,95,100})</f>
        <v>85</v>
      </c>
      <c r="F230" s="6">
        <v>263</v>
      </c>
      <c r="G230" s="40">
        <f>LOOKUP(F230,{0,170,175,180,185,190,195,199,203,207,211,215,219,223,227,231,235,243,250,255,260},{0,10,20,30,40,50,60,62,64,66,68,70,72,74,76,78,80,85,90,95,100})</f>
        <v>100</v>
      </c>
      <c r="H230" s="6">
        <v>10</v>
      </c>
      <c r="I230" s="40">
        <f>LOOKUP(H230,{0,2,3,4,5,6,7,8,9,10,11,12,13,14,15,16},{0,10,20,30,40,50,60,64,68,72,76,80,85,90,95,100})</f>
        <v>72</v>
      </c>
      <c r="J230" s="7"/>
      <c r="K230" s="7"/>
      <c r="L230" s="7">
        <f>I230+K230</f>
        <v>72</v>
      </c>
      <c r="M230" s="6">
        <v>7.2</v>
      </c>
      <c r="N230" s="43">
        <f>13-M230</f>
        <v>5.8</v>
      </c>
      <c r="O230" s="40">
        <f>LOOKUP(N230,{0,2.5,2.7,2.9,3.1,3.3,3.5,3.7,3.9,4.1,4.3,4.5,4.7,4.9,5.1,5.3,5.5,5.6,5.7,5.8,5.9},{0,10,20,30,40,50,60,62,64,66,68,70,72,74,76,78,80,85,90,95,100})</f>
        <v>95</v>
      </c>
      <c r="P230" s="6">
        <v>3.56</v>
      </c>
      <c r="Q230" s="6">
        <f>10-P230</f>
        <v>6.44</v>
      </c>
      <c r="R230" s="40">
        <f>LOOKUP(Q230,{0,3.75,3.95,4.55,4.75,4.95,5.55,5.6,5.65,5.7,5.75,5.8,5.85,5.9,5.95,6,6.45,6.53,6.6,6.65,6.7},{0,10,20,30,40,50,60,62,64,66,68,70,72,74,76,78,80,85,90,95,100})</f>
        <v>78</v>
      </c>
      <c r="S230" s="7"/>
      <c r="T230" s="7"/>
      <c r="U230" s="7">
        <f>R230+T230</f>
        <v>78</v>
      </c>
      <c r="W230" s="7">
        <f>E230*0.1+G230*0.1+I230*0.1+O230*0.2+R230*0.2</f>
        <v>60.3</v>
      </c>
      <c r="X230" s="21">
        <f>W230/0.7+K230+T230</f>
        <v>86.1428571428572</v>
      </c>
    </row>
    <row r="231" ht="15.6" hidden="1" spans="1:24">
      <c r="A231" s="6">
        <v>103</v>
      </c>
      <c r="B231" s="29" t="s">
        <v>133</v>
      </c>
      <c r="C231" s="29" t="s">
        <v>11</v>
      </c>
      <c r="D231" s="6">
        <v>15.5</v>
      </c>
      <c r="E231" s="40">
        <f>LOOKUP(D231,{0,-4,-3,-2,-1,0,1,2.4,3.8,5.2,6.6,8,9.4,10.8,12.2,13.6,15,17.2,19.4,21.5,23.6},{0,10,20,30,40,50,60,62,64,66,68,70,72,74,76,78,80,85,90,95,100})</f>
        <v>80</v>
      </c>
      <c r="F231" s="6">
        <v>246</v>
      </c>
      <c r="G231" s="40">
        <f>LOOKUP(F231,{0,170,175,180,185,190,195,199,203,207,211,215,219,223,227,231,235,243,250,255,260},{0,10,20,30,40,50,60,62,64,66,68,70,72,74,76,78,80,85,90,95,100})</f>
        <v>85</v>
      </c>
      <c r="H231" s="6">
        <v>16</v>
      </c>
      <c r="I231" s="40">
        <f>LOOKUP(H231,{0,2,3,4,5,6,7,8,9,10,11,12,13,14,15,16},{0,10,20,30,40,50,60,64,68,72,76,80,85,90,95,100})</f>
        <v>100</v>
      </c>
      <c r="J231" s="7">
        <f>H231-16</f>
        <v>0</v>
      </c>
      <c r="K231" s="40">
        <f>LOOKUP(J231,{0,1,2,3,4,5,6,7,8,9,10},{0,1,2,3,4,5,6,7,8,9,10})</f>
        <v>0</v>
      </c>
      <c r="L231" s="7">
        <f>I231+K231</f>
        <v>100</v>
      </c>
      <c r="M231" s="6">
        <v>7.2</v>
      </c>
      <c r="N231" s="43">
        <f>13-M231</f>
        <v>5.8</v>
      </c>
      <c r="O231" s="40">
        <f>LOOKUP(N231,{0,2.5,2.7,2.9,3.1,3.3,3.5,3.7,3.9,4.1,4.3,4.5,4.7,4.9,5.1,5.3,5.5,5.6,5.7,5.8,5.9},{0,10,20,30,40,50,60,62,64,66,68,70,72,74,76,78,80,85,90,95,100})</f>
        <v>95</v>
      </c>
      <c r="P231" s="6">
        <v>3.57</v>
      </c>
      <c r="Q231" s="6">
        <f>10-P231</f>
        <v>6.43</v>
      </c>
      <c r="R231" s="40">
        <f>LOOKUP(Q231,{0,3.75,3.95,4.55,4.75,4.95,5.55,5.6,5.65,5.7,5.75,5.8,5.85,5.9,5.95,6,6.45,6.53,6.6,6.65,6.7},{0,10,20,30,40,50,60,62,64,66,68,70,72,74,76,78,80,85,90,95,100})</f>
        <v>78</v>
      </c>
      <c r="S231" s="7"/>
      <c r="T231" s="7"/>
      <c r="U231" s="7">
        <f>R231+T231</f>
        <v>78</v>
      </c>
      <c r="W231" s="7">
        <f>E231*0.1+G231*0.1+I231*0.1+O231*0.2+R231*0.2</f>
        <v>61.1</v>
      </c>
      <c r="X231" s="21">
        <f>W231/0.7+K231+T231</f>
        <v>87.2857142857143</v>
      </c>
    </row>
    <row r="232" ht="15.6" hidden="1" spans="1:24">
      <c r="A232" s="6">
        <v>107</v>
      </c>
      <c r="B232" s="39" t="s">
        <v>298</v>
      </c>
      <c r="C232" s="29" t="s">
        <v>11</v>
      </c>
      <c r="D232" s="6">
        <v>18.4</v>
      </c>
      <c r="E232" s="40">
        <f>LOOKUP(D232,{0,-4,-3,-2,-1,0,1,2.4,3.8,5.2,6.6,8,9.4,10.8,12.2,13.6,15,17.2,19.4,21.5,23.6},{0,10,20,30,40,50,60,62,64,66,68,70,72,74,76,78,80,85,90,95,100})</f>
        <v>85</v>
      </c>
      <c r="F232" s="6">
        <v>243</v>
      </c>
      <c r="G232" s="40">
        <f>LOOKUP(F232,{0,170,175,180,185,190,195,199,203,207,211,215,219,223,227,231,235,243,250,255,260},{0,10,20,30,40,50,60,62,64,66,68,70,72,74,76,78,80,85,90,95,100})</f>
        <v>85</v>
      </c>
      <c r="H232" s="6">
        <v>3</v>
      </c>
      <c r="I232" s="40">
        <f>LOOKUP(H232,{0,2,3,4,5,6,7,8,9,10,11,12,13,14,15,16},{0,10,20,30,40,50,60,64,68,72,76,80,85,90,95,100})</f>
        <v>20</v>
      </c>
      <c r="J232" s="7"/>
      <c r="K232" s="7"/>
      <c r="L232" s="7">
        <f>I232+K232</f>
        <v>20</v>
      </c>
      <c r="M232" s="6">
        <v>7.2</v>
      </c>
      <c r="N232" s="43">
        <f>13-M232</f>
        <v>5.8</v>
      </c>
      <c r="O232" s="40">
        <f>LOOKUP(N232,{0,2.5,2.7,2.9,3.1,3.3,3.5,3.7,3.9,4.1,4.3,4.5,4.7,4.9,5.1,5.3,5.5,5.6,5.7,5.8,5.9},{0,10,20,30,40,50,60,62,64,66,68,70,72,74,76,78,80,85,90,95,100})</f>
        <v>95</v>
      </c>
      <c r="P232" s="6">
        <v>3.58</v>
      </c>
      <c r="Q232" s="6">
        <f>10-P232</f>
        <v>6.42</v>
      </c>
      <c r="R232" s="40">
        <f>LOOKUP(Q232,{0,3.75,3.95,4.55,4.75,4.95,5.55,5.6,5.65,5.7,5.75,5.8,5.85,5.9,5.95,6,6.45,6.53,6.6,6.65,6.7},{0,10,20,30,40,50,60,62,64,66,68,70,72,74,76,78,80,85,90,95,100})</f>
        <v>78</v>
      </c>
      <c r="S232" s="7"/>
      <c r="T232" s="7"/>
      <c r="U232" s="7">
        <f>R232+T232</f>
        <v>78</v>
      </c>
      <c r="W232" s="7">
        <f>E232*0.1+G232*0.1+I232*0.1+O232*0.2+R232*0.2</f>
        <v>53.6</v>
      </c>
      <c r="X232" s="21">
        <f>W232/0.7+K232+T232</f>
        <v>76.5714285714286</v>
      </c>
    </row>
    <row r="233" s="3" customFormat="1" ht="15.6" hidden="1" spans="1:24">
      <c r="A233" s="6">
        <v>108</v>
      </c>
      <c r="B233" s="29" t="s">
        <v>353</v>
      </c>
      <c r="C233" s="29" t="s">
        <v>11</v>
      </c>
      <c r="D233" s="6">
        <v>6.5</v>
      </c>
      <c r="E233" s="40">
        <f>LOOKUP(D233,{0,-4,-3,-2,-1,0,1,2.4,3.8,5.2,6.6,8,9.4,10.8,12.2,13.6,15,17.2,19.4,21.5,23.6},{0,10,20,30,40,50,60,62,64,66,68,70,72,74,76,78,80,85,90,95,100})</f>
        <v>66</v>
      </c>
      <c r="F233" s="6">
        <v>240</v>
      </c>
      <c r="G233" s="40">
        <f>LOOKUP(F233,{0,170,175,180,185,190,195,199,203,207,211,215,219,223,227,231,235,243,250,255,260},{0,10,20,30,40,50,60,62,64,66,68,70,72,74,76,78,80,85,90,95,100})</f>
        <v>80</v>
      </c>
      <c r="H233" s="6">
        <v>17</v>
      </c>
      <c r="I233" s="40">
        <f>LOOKUP(H233,{0,2,3,4,5,6,7,8,9,10,11,12,13,14,15,16},{0,10,20,30,40,50,60,64,68,72,76,80,85,90,95,100})</f>
        <v>100</v>
      </c>
      <c r="J233" s="7">
        <f>H233-16</f>
        <v>1</v>
      </c>
      <c r="K233" s="40">
        <f>LOOKUP(J233,{0,1,2,3,4,5,6,7,8,9,10},{0,1,2,3,4,5,6,7,8,9,10})</f>
        <v>1</v>
      </c>
      <c r="L233" s="7">
        <f>I233+K233</f>
        <v>101</v>
      </c>
      <c r="M233" s="6">
        <v>7.2</v>
      </c>
      <c r="N233" s="43">
        <f>13-M233</f>
        <v>5.8</v>
      </c>
      <c r="O233" s="40">
        <f>LOOKUP(N233,{0,2.5,2.7,2.9,3.1,3.3,3.5,3.7,3.9,4.1,4.3,4.5,4.7,4.9,5.1,5.3,5.5,5.6,5.7,5.8,5.9},{0,10,20,30,40,50,60,62,64,66,68,70,72,74,76,78,80,85,90,95,100})</f>
        <v>95</v>
      </c>
      <c r="P233" s="6">
        <v>3.59</v>
      </c>
      <c r="Q233" s="6">
        <f>10-P233</f>
        <v>6.41</v>
      </c>
      <c r="R233" s="40">
        <f>LOOKUP(Q233,{0,3.75,3.95,4.55,4.75,4.95,5.55,5.6,5.65,5.7,5.75,5.8,5.85,5.9,5.95,6,6.45,6.53,6.6,6.65,6.7},{0,10,20,30,40,50,60,62,64,66,68,70,72,74,76,78,80,85,90,95,100})</f>
        <v>78</v>
      </c>
      <c r="S233" s="7"/>
      <c r="T233" s="7"/>
      <c r="U233" s="7">
        <f>R233+T233</f>
        <v>78</v>
      </c>
      <c r="V233" s="6"/>
      <c r="W233" s="7">
        <f>E233*0.1+G233*0.1+I233*0.1+O233*0.2+R233*0.2</f>
        <v>59.2</v>
      </c>
      <c r="X233" s="21">
        <f>W233/0.7+K233+T233</f>
        <v>85.5714285714286</v>
      </c>
    </row>
    <row r="234" ht="15.6" hidden="1" spans="1:24">
      <c r="A234" s="6">
        <v>107</v>
      </c>
      <c r="B234" s="29" t="s">
        <v>311</v>
      </c>
      <c r="C234" s="29" t="s">
        <v>11</v>
      </c>
      <c r="D234" s="6">
        <v>15.2</v>
      </c>
      <c r="E234" s="40">
        <f>LOOKUP(D234,{0,-4,-3,-2,-1,0,1,2.4,3.8,5.2,6.6,8,9.4,10.8,12.2,13.6,15,17.2,19.4,21.5,23.6},{0,10,20,30,40,50,60,62,64,66,68,70,72,74,76,78,80,85,90,95,100})</f>
        <v>80</v>
      </c>
      <c r="F234" s="6">
        <v>227</v>
      </c>
      <c r="G234" s="40">
        <f>LOOKUP(F234,{0,170,175,180,185,190,195,199,203,207,211,215,219,223,227,231,235,243,250,255,260},{0,10,20,30,40,50,60,62,64,66,68,70,72,74,76,78,80,85,90,95,100})</f>
        <v>76</v>
      </c>
      <c r="H234" s="6">
        <v>9</v>
      </c>
      <c r="I234" s="40">
        <f>LOOKUP(H234,{0,2,3,4,5,6,7,8,9,10,11,12,13,14,15,16},{0,10,20,30,40,50,60,64,68,72,76,80,85,90,95,100})</f>
        <v>68</v>
      </c>
      <c r="J234" s="7"/>
      <c r="K234" s="7"/>
      <c r="L234" s="7">
        <f>I234+K234</f>
        <v>68</v>
      </c>
      <c r="M234" s="6">
        <v>7.2</v>
      </c>
      <c r="N234" s="43">
        <f>13-M234</f>
        <v>5.8</v>
      </c>
      <c r="O234" s="40">
        <f>LOOKUP(N234,{0,2.5,2.7,2.9,3.1,3.3,3.5,3.7,3.9,4.1,4.3,4.5,4.7,4.9,5.1,5.3,5.5,5.6,5.7,5.8,5.9},{0,10,20,30,40,50,60,62,64,66,68,70,72,74,76,78,80,85,90,95,100})</f>
        <v>95</v>
      </c>
      <c r="P234" s="6">
        <v>4</v>
      </c>
      <c r="Q234" s="6">
        <f>10-P234</f>
        <v>6</v>
      </c>
      <c r="R234" s="40">
        <f>LOOKUP(Q234,{0,3.75,3.95,4.55,4.75,4.95,5.55,5.6,5.65,5.7,5.75,5.8,5.85,5.9,5.95,6,6.45,6.53,6.6,6.65,6.7},{0,10,20,30,40,50,60,62,64,66,68,70,72,74,76,78,80,85,90,95,100})</f>
        <v>78</v>
      </c>
      <c r="S234" s="7"/>
      <c r="T234" s="7"/>
      <c r="U234" s="7">
        <f>R234+T234</f>
        <v>78</v>
      </c>
      <c r="W234" s="7">
        <f>E234*0.1+G234*0.1+I234*0.1+O234*0.2+R234*0.2</f>
        <v>57</v>
      </c>
      <c r="X234" s="21">
        <f>W234/0.7+K234+T234</f>
        <v>81.4285714285714</v>
      </c>
    </row>
    <row r="235" ht="15.6" hidden="1" spans="1:24">
      <c r="A235" s="6">
        <v>106</v>
      </c>
      <c r="B235" s="29" t="s">
        <v>249</v>
      </c>
      <c r="C235" s="29" t="s">
        <v>11</v>
      </c>
      <c r="D235" s="6">
        <v>16.1</v>
      </c>
      <c r="E235" s="40">
        <f>LOOKUP(D235,{0,-4,-3,-2,-1,0,1,2.4,3.8,5.2,6.6,8,9.4,10.8,12.2,13.6,15,17.2,19.4,21.5,23.6},{0,10,20,30,40,50,60,62,64,66,68,70,72,74,76,78,80,85,90,95,100})</f>
        <v>80</v>
      </c>
      <c r="F235" s="6">
        <v>250</v>
      </c>
      <c r="G235" s="40">
        <f>LOOKUP(F235,{0,170,175,180,185,190,195,199,203,207,211,215,219,223,227,231,235,243,250,255,260},{0,10,20,30,40,50,60,62,64,66,68,70,72,74,76,78,80,85,90,95,100})</f>
        <v>90</v>
      </c>
      <c r="H235" s="6">
        <v>6</v>
      </c>
      <c r="I235" s="40">
        <f>LOOKUP(H235,{0,2,3,4,5,6,7,8,9,10,11,12,13,14,15,16},{0,10,20,30,40,50,60,64,68,72,76,80,85,90,95,100})</f>
        <v>50</v>
      </c>
      <c r="J235" s="7"/>
      <c r="K235" s="7"/>
      <c r="L235" s="7">
        <f>I235+K235</f>
        <v>50</v>
      </c>
      <c r="M235" s="6">
        <v>7.2</v>
      </c>
      <c r="N235" s="43">
        <f>13-M235</f>
        <v>5.8</v>
      </c>
      <c r="O235" s="40">
        <f>LOOKUP(N235,{0,2.5,2.7,2.9,3.1,3.3,3.5,3.7,3.9,4.1,4.3,4.5,4.7,4.9,5.1,5.3,5.5,5.6,5.7,5.8,5.9},{0,10,20,30,40,50,60,62,64,66,68,70,72,74,76,78,80,85,90,95,100})</f>
        <v>95</v>
      </c>
      <c r="P235" s="6">
        <v>4.03</v>
      </c>
      <c r="Q235" s="6">
        <f>10-P235</f>
        <v>5.97</v>
      </c>
      <c r="R235" s="40">
        <f>LOOKUP(Q235,{0,3.75,3.95,4.55,4.75,4.95,5.55,5.6,5.65,5.7,5.75,5.8,5.85,5.9,5.95,6,6.45,6.53,6.6,6.65,6.7},{0,10,20,30,40,50,60,62,64,66,68,70,72,74,76,78,80,85,90,95,100})</f>
        <v>76</v>
      </c>
      <c r="S235" s="7"/>
      <c r="T235" s="7"/>
      <c r="U235" s="7">
        <f>R235+T235</f>
        <v>76</v>
      </c>
      <c r="W235" s="7">
        <f>E235*0.1+G235*0.1+I235*0.1+O235*0.2+R235*0.2</f>
        <v>56.2</v>
      </c>
      <c r="X235" s="21">
        <f>W235/0.7+K235+T235</f>
        <v>80.2857142857143</v>
      </c>
    </row>
    <row r="236" ht="15.6" hidden="1" spans="1:24">
      <c r="A236" s="6">
        <v>108</v>
      </c>
      <c r="B236" s="29" t="s">
        <v>369</v>
      </c>
      <c r="C236" s="29" t="s">
        <v>11</v>
      </c>
      <c r="D236" s="6">
        <v>-4.7</v>
      </c>
      <c r="E236" s="40">
        <v>0</v>
      </c>
      <c r="F236" s="6">
        <v>218</v>
      </c>
      <c r="G236" s="40">
        <f>LOOKUP(F236,{0,170,175,180,185,190,195,199,203,207,211,215,219,223,227,231,235,243,250,255,260},{0,10,20,30,40,50,60,62,64,66,68,70,72,74,76,78,80,85,90,95,100})</f>
        <v>70</v>
      </c>
      <c r="H236" s="6">
        <v>0</v>
      </c>
      <c r="I236" s="40">
        <f>LOOKUP(H236,{0,2,3,4,5,6,7,8,9,10,11,12,13,14,15,16},{0,10,20,30,40,50,60,64,68,72,76,80,85,90,95,100})</f>
        <v>0</v>
      </c>
      <c r="J236" s="7"/>
      <c r="K236" s="7"/>
      <c r="L236" s="7">
        <f>I236+K236</f>
        <v>0</v>
      </c>
      <c r="M236" s="6">
        <v>7.2</v>
      </c>
      <c r="N236" s="43">
        <f>13-M236</f>
        <v>5.8</v>
      </c>
      <c r="O236" s="40">
        <f>LOOKUP(N236,{0,2.5,2.7,2.9,3.1,3.3,3.5,3.7,3.9,4.1,4.3,4.5,4.7,4.9,5.1,5.3,5.5,5.6,5.7,5.8,5.9},{0,10,20,30,40,50,60,62,64,66,68,70,72,74,76,78,80,85,90,95,100})</f>
        <v>95</v>
      </c>
      <c r="P236" s="6">
        <v>4.03</v>
      </c>
      <c r="Q236" s="6">
        <f>10-P236</f>
        <v>5.97</v>
      </c>
      <c r="R236" s="40">
        <f>LOOKUP(Q236,{0,3.75,3.95,4.55,4.75,4.95,5.55,5.6,5.65,5.7,5.75,5.8,5.85,5.9,5.95,6,6.45,6.53,6.6,6.65,6.7},{0,10,20,30,40,50,60,62,64,66,68,70,72,74,76,78,80,85,90,95,100})</f>
        <v>76</v>
      </c>
      <c r="S236" s="7"/>
      <c r="T236" s="7"/>
      <c r="U236" s="7">
        <f>R236+T236</f>
        <v>76</v>
      </c>
      <c r="W236" s="7">
        <f>E236*0.1+G236*0.1+I236*0.1+O236*0.2+R236*0.2</f>
        <v>41.2</v>
      </c>
      <c r="X236" s="21">
        <f>W236/0.7+K236+T236</f>
        <v>58.8571428571429</v>
      </c>
    </row>
    <row r="237" ht="15.6" spans="1:24">
      <c r="A237" s="6">
        <v>104</v>
      </c>
      <c r="B237" s="29" t="s">
        <v>206</v>
      </c>
      <c r="C237" s="29" t="s">
        <v>46</v>
      </c>
      <c r="D237" s="6">
        <v>25.4</v>
      </c>
      <c r="E237" s="40">
        <f>LOOKUP(D237,{0,0.4,1.2,2,2.8,3.6,4.4,5.7,7,8.3,9.6,10.9,12.2,13.5,14.8,16.1,17.4,19.1,20.8,22.5,24.2},{0,10,20,30,40,50,60,62,64,66,68,70,72,74,76,78,80,85,90,95,100})</f>
        <v>100</v>
      </c>
      <c r="F237" s="6">
        <v>213</v>
      </c>
      <c r="G237" s="40">
        <f>LOOKUP(F237,{0,123,128,133,138,143,148,151,154,157,160,163,166,169,172,175,178,185,192,198,204},{0,10,20,30,40,50,60,62,64,66,68,70,72,74,76,78,80,85,90,95,100})</f>
        <v>100</v>
      </c>
      <c r="H237" s="6">
        <v>45</v>
      </c>
      <c r="I237" s="40">
        <f>LOOKUP(H237,{0,13,15,17,19,21,23,25,27,29,31,33,35,37,39,41,43,46,49,51,53},{0,10,20,30,40,50,60,62,64,66,68,70,72,74,76,78,80,85,90,95,100})</f>
        <v>80</v>
      </c>
      <c r="J237" s="45"/>
      <c r="K237" s="45"/>
      <c r="L237" s="7">
        <f>I237+K237</f>
        <v>80</v>
      </c>
      <c r="M237" s="6">
        <v>8.1</v>
      </c>
      <c r="N237" s="43">
        <f>13-M237</f>
        <v>4.9</v>
      </c>
      <c r="O237" s="40">
        <f>LOOKUP(N237,{0,1.4,1.6,1.8,2,2.2,2.4,2.6,2.8,3,3.2,3.4,3.6,3.8,4,4.2,4.4,4.7,5,5.1,5.2},{0,10,20,30,40,50,60,62,64,66,68,70,72,74,76,78,80,85,90,95,100})</f>
        <v>85</v>
      </c>
      <c r="P237" s="6">
        <v>3.45</v>
      </c>
      <c r="Q237" s="6">
        <f>10-P237</f>
        <v>6.55</v>
      </c>
      <c r="R237" s="40">
        <f>LOOKUP(Q237,{0,4.7,4.8,4.9,5,5.5,5.6,5.65,5.7,5.75,5.8,5.85,5.9,5.95,6,6.45,6.5,6.57,6.64,6.7,6.76},{0,10,20,30,40,50,60,62,64,66,68,70,72,74,76,78,80,85,90,95,100})</f>
        <v>80</v>
      </c>
      <c r="S237" s="45"/>
      <c r="T237" s="45"/>
      <c r="U237" s="7">
        <f>R237+T237</f>
        <v>80</v>
      </c>
      <c r="W237" s="7">
        <f>E237*0.1+G237*0.1+I237*0.1+O237*0.2+R237*0.2</f>
        <v>61</v>
      </c>
      <c r="X237" s="21">
        <f>W237/0.7+K237+T237</f>
        <v>87.1428571428572</v>
      </c>
    </row>
    <row r="238" ht="15.6" spans="1:24">
      <c r="A238" s="6">
        <v>112</v>
      </c>
      <c r="B238" s="29" t="s">
        <v>613</v>
      </c>
      <c r="C238" s="29" t="s">
        <v>46</v>
      </c>
      <c r="D238" s="6">
        <v>23</v>
      </c>
      <c r="E238" s="40">
        <f>LOOKUP(D238,{0,0.4,1.2,2,2.8,3.6,4.4,5.7,7,8.3,9.6,10.9,12.2,13.5,14.8,16.1,17.4,19.1,20.8,22.5,24.2},{0,10,20,30,40,50,60,62,64,66,68,70,72,74,76,78,80,85,90,95,100})</f>
        <v>95</v>
      </c>
      <c r="F238" s="6">
        <v>189</v>
      </c>
      <c r="G238" s="40">
        <f>LOOKUP(F238,{0,123,128,133,138,143,148,151,154,157,160,163,166,169,172,175,178,185,192,198,204},{0,10,20,30,40,50,60,62,64,66,68,70,72,74,76,78,80,85,90,95,100})</f>
        <v>85</v>
      </c>
      <c r="H238" s="6">
        <v>57</v>
      </c>
      <c r="I238" s="40">
        <f>LOOKUP(H238,{0,13,15,17,19,21,23,25,27,29,31,33,35,37,39,41,43,46,49,51,53},{0,10,20,30,40,50,60,62,64,66,68,70,72,74,76,78,80,85,90,95,100})</f>
        <v>100</v>
      </c>
      <c r="J238" s="45">
        <f>H238-53</f>
        <v>4</v>
      </c>
      <c r="K238" s="40">
        <f>LOOKUP(J238,{0,2,4,6,7,8,9,10,11,12,13},{0,1,2,3,4,5,6,7,8,9,10})</f>
        <v>2</v>
      </c>
      <c r="L238" s="7">
        <f>I238+K238</f>
        <v>102</v>
      </c>
      <c r="M238" s="6">
        <v>8.4</v>
      </c>
      <c r="N238" s="43">
        <f>13-M238</f>
        <v>4.6</v>
      </c>
      <c r="O238" s="40">
        <f>LOOKUP(N238,{0,1.4,1.6,1.8,2,2.2,2.4,2.6,2.8,3,3.2,3.4,3.6,3.8,4,4.2,4.4,4.7,5,5.1,5.2},{0,10,20,30,40,50,60,62,64,66,68,70,72,74,76,78,80,85,90,95,100})</f>
        <v>80</v>
      </c>
      <c r="P238" s="6">
        <v>3.54</v>
      </c>
      <c r="Q238" s="6">
        <f>10-P238</f>
        <v>6.46</v>
      </c>
      <c r="R238" s="40">
        <f>LOOKUP(Q238,{0,4.7,4.8,4.9,5,5.5,5.6,5.65,5.7,5.75,5.8,5.85,5.9,5.95,6,6.45,6.5,6.57,6.64,6.7,6.76},{0,10,20,30,40,50,60,62,64,66,68,70,72,74,76,78,80,85,90,95,100})</f>
        <v>78</v>
      </c>
      <c r="S238" s="45"/>
      <c r="T238" s="45"/>
      <c r="U238" s="7">
        <f>R238+T238</f>
        <v>78</v>
      </c>
      <c r="W238" s="7">
        <f>E238*0.1+G238*0.1+I238*0.1+O238*0.2+R238*0.2</f>
        <v>59.6</v>
      </c>
      <c r="X238" s="21">
        <f>W238/0.7+K238+T238</f>
        <v>87.1428571428572</v>
      </c>
    </row>
    <row r="239" ht="15.6" spans="1:24">
      <c r="A239" s="6">
        <v>113</v>
      </c>
      <c r="B239" s="29" t="s">
        <v>662</v>
      </c>
      <c r="C239" s="29" t="s">
        <v>46</v>
      </c>
      <c r="D239" s="6">
        <v>17.5</v>
      </c>
      <c r="E239" s="40">
        <f>LOOKUP(D239,{0,0.4,1.2,2,2.8,3.6,4.4,5.7,7,8.3,9.6,10.9,12.2,13.5,14.8,16.1,17.4,19.1,20.8,22.5,24.2},{0,10,20,30,40,50,60,62,64,66,68,70,72,74,76,78,80,85,90,95,100})</f>
        <v>80</v>
      </c>
      <c r="F239" s="6">
        <v>185</v>
      </c>
      <c r="G239" s="40">
        <f>LOOKUP(F239,{0,123,128,133,138,143,148,151,154,157,160,163,166,169,172,175,178,185,192,198,204},{0,10,20,30,40,50,60,62,64,66,68,70,72,74,76,78,80,85,90,95,100})</f>
        <v>85</v>
      </c>
      <c r="H239" s="6">
        <v>55</v>
      </c>
      <c r="I239" s="40">
        <f>LOOKUP(H239,{0,13,15,17,19,21,23,25,27,29,31,33,35,37,39,41,43,46,49,51,53},{0,10,20,30,40,50,60,62,64,66,68,70,72,74,76,78,80,85,90,95,100})</f>
        <v>100</v>
      </c>
      <c r="J239" s="45">
        <f>H239-53</f>
        <v>2</v>
      </c>
      <c r="K239" s="40">
        <f>LOOKUP(J239,{0,2,4,6,7,8,9,10,11,12,13},{0,1,2,3,4,5,6,7,8,9,10})</f>
        <v>1</v>
      </c>
      <c r="L239" s="7">
        <f>I239+K239</f>
        <v>101</v>
      </c>
      <c r="M239" s="6">
        <v>8</v>
      </c>
      <c r="N239" s="43">
        <f>13-M239</f>
        <v>5</v>
      </c>
      <c r="O239" s="40">
        <f>LOOKUP(N239,{0,1.4,1.6,1.8,2,2.2,2.4,2.6,2.8,3,3.2,3.4,3.6,3.8,4,4.2,4.4,4.7,5,5.1,5.2},{0,10,20,30,40,50,60,62,64,66,68,70,72,74,76,78,80,85,90,95,100})</f>
        <v>90</v>
      </c>
      <c r="P239" s="6">
        <v>3.55</v>
      </c>
      <c r="Q239" s="6">
        <f>10-P239</f>
        <v>6.45</v>
      </c>
      <c r="R239" s="40">
        <f>LOOKUP(Q239,{0,4.7,4.8,4.9,5,5.5,5.6,5.65,5.7,5.75,5.8,5.85,5.9,5.95,6,6.45,6.5,6.57,6.64,6.7,6.76},{0,10,20,30,40,50,60,62,64,66,68,70,72,74,76,78,80,85,90,95,100})</f>
        <v>78</v>
      </c>
      <c r="S239" s="45"/>
      <c r="T239" s="45"/>
      <c r="U239" s="7">
        <f>R239+T239</f>
        <v>78</v>
      </c>
      <c r="W239" s="7">
        <f>E239*0.1+G239*0.1+I239*0.1+O239*0.2+R239*0.2</f>
        <v>60.1</v>
      </c>
      <c r="X239" s="21">
        <f>W239/0.7+K239+T239</f>
        <v>86.8571428571429</v>
      </c>
    </row>
    <row r="240" ht="15.6" spans="1:24">
      <c r="A240" s="6">
        <v>103</v>
      </c>
      <c r="B240" s="29" t="s">
        <v>162</v>
      </c>
      <c r="C240" s="29" t="s">
        <v>46</v>
      </c>
      <c r="D240" s="6">
        <v>17</v>
      </c>
      <c r="E240" s="40">
        <f>LOOKUP(D240,{0,0.4,1.2,2,2.8,3.6,4.4,5.7,7,8.3,9.6,10.9,12.2,13.5,14.8,16.1,17.4,19.1,20.8,22.5,24.2},{0,10,20,30,40,50,60,62,64,66,68,70,72,74,76,78,80,85,90,95,100})</f>
        <v>78</v>
      </c>
      <c r="F240" s="6">
        <v>205</v>
      </c>
      <c r="G240" s="40">
        <f>LOOKUP(F240,{0,123,128,133,138,143,148,151,154,157,160,163,166,169,172,175,178,185,192,198,204},{0,10,20,30,40,50,60,62,64,66,68,70,72,74,76,78,80,85,90,95,100})</f>
        <v>100</v>
      </c>
      <c r="H240" s="6">
        <v>57</v>
      </c>
      <c r="I240" s="40">
        <f>LOOKUP(H240,{0,13,15,17,19,21,23,25,27,29,31,33,35,37,39,41,43,46,49,51,53},{0,10,20,30,40,50,60,62,64,66,68,70,72,74,76,78,80,85,90,95,100})</f>
        <v>100</v>
      </c>
      <c r="J240" s="45">
        <f>H240-53</f>
        <v>4</v>
      </c>
      <c r="K240" s="40">
        <f>LOOKUP(J240,{0,2,4,6,7,8,9,10,11,12,13},{0,1,2,3,4,5,6,7,8,9,10})</f>
        <v>2</v>
      </c>
      <c r="L240" s="7">
        <f>I240+K240</f>
        <v>102</v>
      </c>
      <c r="M240" s="6">
        <v>8.5</v>
      </c>
      <c r="N240" s="43">
        <f>13-M240</f>
        <v>4.5</v>
      </c>
      <c r="O240" s="40">
        <f>LOOKUP(N240,{0,1.4,1.6,1.8,2,2.2,2.4,2.6,2.8,3,3.2,3.4,3.6,3.8,4,4.2,4.4,4.7,5,5.1,5.2},{0,10,20,30,40,50,60,62,64,66,68,70,72,74,76,78,80,85,90,95,100})</f>
        <v>80</v>
      </c>
      <c r="P240" s="6">
        <v>3.55</v>
      </c>
      <c r="Q240" s="6">
        <f>10-P240</f>
        <v>6.45</v>
      </c>
      <c r="R240" s="40">
        <f>LOOKUP(Q240,{0,4.7,4.8,4.9,5,5.5,5.6,5.65,5.7,5.75,5.8,5.85,5.9,5.95,6,6.45,6.5,6.57,6.64,6.7,6.76},{0,10,20,30,40,50,60,62,64,66,68,70,72,74,76,78,80,85,90,95,100})</f>
        <v>78</v>
      </c>
      <c r="S240" s="45"/>
      <c r="T240" s="45"/>
      <c r="U240" s="7">
        <f>R240+T240</f>
        <v>78</v>
      </c>
      <c r="W240" s="7">
        <f>E240*0.1+G240*0.1+I240*0.1+O240*0.2+R240*0.2</f>
        <v>59.4</v>
      </c>
      <c r="X240" s="21">
        <f>W240/0.7+K240+T240</f>
        <v>86.8571428571429</v>
      </c>
    </row>
    <row r="241" ht="15.6" spans="1:24">
      <c r="A241" s="6">
        <v>104</v>
      </c>
      <c r="B241" s="29" t="s">
        <v>213</v>
      </c>
      <c r="C241" s="29" t="s">
        <v>46</v>
      </c>
      <c r="D241" s="6">
        <v>27</v>
      </c>
      <c r="E241" s="40">
        <f>LOOKUP(D241,{0,0.4,1.2,2,2.8,3.6,4.4,5.7,7,8.3,9.6,10.9,12.2,13.5,14.8,16.1,17.4,19.1,20.8,22.5,24.2},{0,10,20,30,40,50,60,62,64,66,68,70,72,74,76,78,80,85,90,95,100})</f>
        <v>100</v>
      </c>
      <c r="F241" s="6">
        <v>185</v>
      </c>
      <c r="G241" s="40">
        <f>LOOKUP(F241,{0,123,128,133,138,143,148,151,154,157,160,163,166,169,172,175,178,185,192,198,204},{0,10,20,30,40,50,60,62,64,66,68,70,72,74,76,78,80,85,90,95,100})</f>
        <v>85</v>
      </c>
      <c r="H241" s="6">
        <v>53</v>
      </c>
      <c r="I241" s="40">
        <f>LOOKUP(H241,{0,13,15,17,19,21,23,25,27,29,31,33,35,37,39,41,43,46,49,51,53},{0,10,20,30,40,50,60,62,64,66,68,70,72,74,76,78,80,85,90,95,100})</f>
        <v>100</v>
      </c>
      <c r="J241" s="45">
        <f>H241-53</f>
        <v>0</v>
      </c>
      <c r="K241" s="40">
        <f>LOOKUP(J241,{0,2,4,6,7,8,9,10,11,12,13},{0,1,2,3,4,5,6,7,8,9,10})</f>
        <v>0</v>
      </c>
      <c r="L241" s="7">
        <f>I241+K241</f>
        <v>100</v>
      </c>
      <c r="M241" s="6">
        <v>8.9</v>
      </c>
      <c r="N241" s="43">
        <f>13-M241</f>
        <v>4.1</v>
      </c>
      <c r="O241" s="40">
        <f>LOOKUP(N241,{0,1.4,1.6,1.8,2,2.2,2.4,2.6,2.8,3,3.2,3.4,3.6,3.8,4,4.2,4.4,4.7,5,5.1,5.2},{0,10,20,30,40,50,60,62,64,66,68,70,72,74,76,78,80,85,90,95,100})</f>
        <v>76</v>
      </c>
      <c r="P241" s="6">
        <v>3.42</v>
      </c>
      <c r="Q241" s="6">
        <f>10-P241</f>
        <v>6.58</v>
      </c>
      <c r="R241" s="40">
        <f>LOOKUP(Q241,{0,4.7,4.8,4.9,5,5.5,5.6,5.65,5.7,5.75,5.8,5.85,5.9,5.95,6,6.45,6.5,6.57,6.64,6.7,6.76},{0,10,20,30,40,50,60,62,64,66,68,70,72,74,76,78,80,85,90,95,100})</f>
        <v>85</v>
      </c>
      <c r="S241" s="45"/>
      <c r="T241" s="45"/>
      <c r="U241" s="7">
        <f>R241+T241</f>
        <v>85</v>
      </c>
      <c r="W241" s="7">
        <f>E241*0.1+G241*0.1+I241*0.1+O241*0.2+R241*0.2</f>
        <v>60.7</v>
      </c>
      <c r="X241" s="21">
        <f>W241/0.7+K241+T241</f>
        <v>86.7142857142857</v>
      </c>
    </row>
    <row r="242" ht="15.6" spans="1:24">
      <c r="A242" s="6">
        <v>112</v>
      </c>
      <c r="B242" s="29" t="s">
        <v>607</v>
      </c>
      <c r="C242" s="29" t="s">
        <v>46</v>
      </c>
      <c r="D242" s="6">
        <v>8.5</v>
      </c>
      <c r="E242" s="40">
        <f>LOOKUP(D242,{0,0.4,1.2,2,2.8,3.6,4.4,5.7,7,8.3,9.6,10.9,12.2,13.5,14.8,16.1,17.4,19.1,20.8,22.5,24.2},{0,10,20,30,40,50,60,62,64,66,68,70,72,74,76,78,80,85,90,95,100})</f>
        <v>66</v>
      </c>
      <c r="F242" s="6">
        <v>210</v>
      </c>
      <c r="G242" s="40">
        <f>LOOKUP(F242,{0,123,128,133,138,143,148,151,154,157,160,163,166,169,172,175,178,185,192,198,204},{0,10,20,30,40,50,60,62,64,66,68,70,72,74,76,78,80,85,90,95,100})</f>
        <v>100</v>
      </c>
      <c r="H242" s="6">
        <v>44</v>
      </c>
      <c r="I242" s="40">
        <f>LOOKUP(H242,{0,13,15,17,19,21,23,25,27,29,31,33,35,37,39,41,43,46,49,51,53},{0,10,20,30,40,50,60,62,64,66,68,70,72,74,76,78,80,85,90,95,100})</f>
        <v>80</v>
      </c>
      <c r="J242" s="45"/>
      <c r="K242" s="45"/>
      <c r="L242" s="7">
        <f>I242+K242</f>
        <v>80</v>
      </c>
      <c r="M242" s="6">
        <v>8.6</v>
      </c>
      <c r="N242" s="43">
        <f>13-M242</f>
        <v>4.4</v>
      </c>
      <c r="O242" s="40">
        <f>LOOKUP(N242,{0,1.4,1.6,1.8,2,2.2,2.4,2.6,2.8,3,3.2,3.4,3.6,3.8,4,4.2,4.4,4.7,5,5.1,5.2},{0,10,20,30,40,50,60,62,64,66,68,70,72,74,76,78,80,85,90,95,100})</f>
        <v>80</v>
      </c>
      <c r="P242" s="6">
        <v>3.22</v>
      </c>
      <c r="Q242" s="6">
        <f>10-P242</f>
        <v>6.78</v>
      </c>
      <c r="R242" s="40">
        <f>LOOKUP(Q242,{0,4.7,4.8,4.9,5,5.5,5.6,5.65,5.7,5.75,5.8,5.85,5.9,5.95,6,6.45,6.5,6.57,6.64,6.7,6.76},{0,10,20,30,40,50,60,62,64,66,68,70,72,74,76,78,80,85,90,95,100})</f>
        <v>100</v>
      </c>
      <c r="S242" s="48">
        <f>3.24-P242</f>
        <v>0.02</v>
      </c>
      <c r="T242" s="40">
        <f>LOOKUP(S242,{0,0.05,0.1,0.15,0.2,0.25,0.3,0.35,0.4,0.45,0.5},{0,1,2,3,4,5,6,7,8,9,10})</f>
        <v>0</v>
      </c>
      <c r="U242" s="7">
        <f>R242+T242</f>
        <v>100</v>
      </c>
      <c r="W242" s="7">
        <f>E242*0.1+G242*0.1+I242*0.1+O242*0.2+R242*0.2</f>
        <v>60.6</v>
      </c>
      <c r="X242" s="21">
        <f>W242/0.7+K242+T242</f>
        <v>86.5714285714286</v>
      </c>
    </row>
    <row r="243" ht="15.6" spans="1:24">
      <c r="A243" s="6">
        <v>110</v>
      </c>
      <c r="B243" s="29" t="s">
        <v>499</v>
      </c>
      <c r="C243" s="29" t="s">
        <v>46</v>
      </c>
      <c r="D243" s="6">
        <v>15</v>
      </c>
      <c r="E243" s="40">
        <f>LOOKUP(D243,{0,0.4,1.2,2,2.8,3.6,4.4,5.7,7,8.3,9.6,10.9,12.2,13.5,14.8,16.1,17.4,19.1,20.8,22.5,24.2},{0,10,20,30,40,50,60,62,64,66,68,70,72,74,76,78,80,85,90,95,100})</f>
        <v>76</v>
      </c>
      <c r="F243" s="6">
        <v>163</v>
      </c>
      <c r="G243" s="40">
        <f>LOOKUP(F243,{0,123,128,133,138,143,148,151,154,157,160,163,166,169,172,175,178,185,192,198,204},{0,10,20,30,40,50,60,62,64,66,68,70,72,74,76,78,80,85,90,95,100})</f>
        <v>70</v>
      </c>
      <c r="H243" s="6">
        <v>53</v>
      </c>
      <c r="I243" s="40">
        <f>LOOKUP(H243,{0,13,15,17,19,21,23,25,27,29,31,33,35,37,39,41,43,46,49,51,53},{0,10,20,30,40,50,60,62,64,66,68,70,72,74,76,78,80,85,90,95,100})</f>
        <v>100</v>
      </c>
      <c r="J243" s="45">
        <f>H243-53</f>
        <v>0</v>
      </c>
      <c r="K243" s="40">
        <f>LOOKUP(J243,{0,2,4,6,7,8,9,10,11,12,13},{0,1,2,3,4,5,6,7,8,9,10})</f>
        <v>0</v>
      </c>
      <c r="L243" s="7">
        <f>I243+K243</f>
        <v>100</v>
      </c>
      <c r="M243" s="6">
        <v>8.3</v>
      </c>
      <c r="N243" s="43">
        <f>13-M243</f>
        <v>4.7</v>
      </c>
      <c r="O243" s="40">
        <f>LOOKUP(N243,{0,1.4,1.6,1.8,2,2.2,2.4,2.6,2.8,3,3.2,3.4,3.6,3.8,4,4.2,4.4,4.7,5,5.1,5.2},{0,10,20,30,40,50,60,62,64,66,68,70,72,74,76,78,80,85,90,95,100})</f>
        <v>85</v>
      </c>
      <c r="P243" s="6">
        <v>3.26</v>
      </c>
      <c r="Q243" s="6">
        <f>10-P243</f>
        <v>6.74</v>
      </c>
      <c r="R243" s="40">
        <f>LOOKUP(Q243,{0,4.7,4.8,4.9,5,5.5,5.6,5.65,5.7,5.75,5.8,5.85,5.9,5.95,6,6.45,6.5,6.57,6.64,6.7,6.76},{0,10,20,30,40,50,60,62,64,66,68,70,72,74,76,78,80,85,90,95,100})</f>
        <v>95</v>
      </c>
      <c r="S243" s="45"/>
      <c r="T243" s="45"/>
      <c r="U243" s="7">
        <f>R243+T243</f>
        <v>95</v>
      </c>
      <c r="W243" s="7">
        <f>E243*0.1+G243*0.1+I243*0.1+O243*0.2+R243*0.2</f>
        <v>60.6</v>
      </c>
      <c r="X243" s="21">
        <f>W243/0.7+K243+T243</f>
        <v>86.5714285714286</v>
      </c>
    </row>
    <row r="244" ht="15.6" spans="1:24">
      <c r="A244" s="6">
        <v>103</v>
      </c>
      <c r="B244" s="29" t="s">
        <v>161</v>
      </c>
      <c r="C244" s="29" t="s">
        <v>46</v>
      </c>
      <c r="D244" s="6">
        <v>24.5</v>
      </c>
      <c r="E244" s="40">
        <f>LOOKUP(D244,{0,0.4,1.2,2,2.8,3.6,4.4,5.7,7,8.3,9.6,10.9,12.2,13.5,14.8,16.1,17.4,19.1,20.8,22.5,24.2},{0,10,20,30,40,50,60,62,64,66,68,70,72,74,76,78,80,85,90,95,100})</f>
        <v>100</v>
      </c>
      <c r="F244" s="6">
        <v>190</v>
      </c>
      <c r="G244" s="40">
        <f>LOOKUP(F244,{0,123,128,133,138,143,148,151,154,157,160,163,166,169,172,175,178,185,192,198,204},{0,10,20,30,40,50,60,62,64,66,68,70,72,74,76,78,80,85,90,95,100})</f>
        <v>85</v>
      </c>
      <c r="H244" s="6">
        <v>47</v>
      </c>
      <c r="I244" s="40">
        <f>LOOKUP(H244,{0,13,15,17,19,21,23,25,27,29,31,33,35,37,39,41,43,46,49,51,53},{0,10,20,30,40,50,60,62,64,66,68,70,72,74,76,78,80,85,90,95,100})</f>
        <v>85</v>
      </c>
      <c r="J244" s="45"/>
      <c r="K244" s="45"/>
      <c r="L244" s="7">
        <f>I244+K244</f>
        <v>85</v>
      </c>
      <c r="M244" s="6">
        <v>8.8</v>
      </c>
      <c r="N244" s="43">
        <f>13-M244</f>
        <v>4.2</v>
      </c>
      <c r="O244" s="40">
        <f>LOOKUP(N244,{0,1.4,1.6,1.8,2,2.2,2.4,2.6,2.8,3,3.2,3.4,3.6,3.8,4,4.2,4.4,4.7,5,5.1,5.2},{0,10,20,30,40,50,60,62,64,66,68,70,72,74,76,78,80,85,90,95,100})</f>
        <v>78</v>
      </c>
      <c r="P244" s="6">
        <v>3.31</v>
      </c>
      <c r="Q244" s="6">
        <f>10-P244</f>
        <v>6.69</v>
      </c>
      <c r="R244" s="40">
        <f>LOOKUP(Q244,{0,4.7,4.8,4.9,5,5.5,5.6,5.65,5.7,5.75,5.8,5.85,5.9,5.95,6,6.45,6.5,6.57,6.64,6.7,6.76},{0,10,20,30,40,50,60,62,64,66,68,70,72,74,76,78,80,85,90,95,100})</f>
        <v>90</v>
      </c>
      <c r="S244" s="45"/>
      <c r="T244" s="45"/>
      <c r="U244" s="7">
        <f>R244+T244</f>
        <v>90</v>
      </c>
      <c r="W244" s="7">
        <f>E244*0.1+G244*0.1+I244*0.1+O244*0.2+R244*0.2</f>
        <v>60.6</v>
      </c>
      <c r="X244" s="21">
        <f>W244/0.7+K244+T244</f>
        <v>86.5714285714286</v>
      </c>
    </row>
    <row r="245" ht="15.6" spans="1:24">
      <c r="A245" s="6">
        <v>116</v>
      </c>
      <c r="B245" s="29" t="s">
        <v>813</v>
      </c>
      <c r="C245" s="29" t="s">
        <v>46</v>
      </c>
      <c r="D245" s="6">
        <v>26</v>
      </c>
      <c r="E245" s="40">
        <f>LOOKUP(D245,{0,0.4,1.2,2,2.8,3.6,4.4,5.7,7,8.3,9.6,10.9,12.2,13.5,14.8,16.1,17.4,19.1,20.8,22.5,24.2},{0,10,20,30,40,50,60,62,64,66,68,70,72,74,76,78,80,85,90,95,100})</f>
        <v>100</v>
      </c>
      <c r="F245" s="6">
        <v>185</v>
      </c>
      <c r="G245" s="40">
        <f>LOOKUP(F245,{0,123,128,133,138,143,148,151,154,157,160,163,166,169,172,175,178,185,192,198,204},{0,10,20,30,40,50,60,62,64,66,68,70,72,74,76,78,80,85,90,95,100})</f>
        <v>85</v>
      </c>
      <c r="H245" s="6">
        <v>48</v>
      </c>
      <c r="I245" s="40">
        <f>LOOKUP(H245,{0,13,15,17,19,21,23,25,27,29,31,33,35,37,39,41,43,46,49,51,53},{0,10,20,30,40,50,60,62,64,66,68,70,72,74,76,78,80,85,90,95,100})</f>
        <v>85</v>
      </c>
      <c r="J245" s="45"/>
      <c r="K245" s="45"/>
      <c r="L245" s="7">
        <f>I245+K245</f>
        <v>85</v>
      </c>
      <c r="M245" s="6">
        <v>8.7</v>
      </c>
      <c r="N245" s="43">
        <f>13-M245</f>
        <v>4.3</v>
      </c>
      <c r="O245" s="40">
        <f>LOOKUP(N245,{0,1.4,1.6,1.8,2,2.2,2.4,2.6,2.8,3,3.2,3.4,3.6,3.8,4,4.2,4.4,4.7,5,5.1,5.2},{0,10,20,30,40,50,60,62,64,66,68,70,72,74,76,78,80,85,90,95,100})</f>
        <v>78</v>
      </c>
      <c r="P245" s="6">
        <v>3.32</v>
      </c>
      <c r="Q245" s="6">
        <f>10-P245</f>
        <v>6.68</v>
      </c>
      <c r="R245" s="40">
        <f>LOOKUP(Q245,{0,4.7,4.8,4.9,5,5.5,5.6,5.65,5.7,5.75,5.8,5.85,5.9,5.95,6,6.45,6.5,6.57,6.64,6.7,6.76},{0,10,20,30,40,50,60,62,64,66,68,70,72,74,76,78,80,85,90,95,100})</f>
        <v>90</v>
      </c>
      <c r="S245" s="45"/>
      <c r="T245" s="45"/>
      <c r="U245" s="7">
        <f>R245+T245</f>
        <v>90</v>
      </c>
      <c r="W245" s="7">
        <f>E245*0.1+G245*0.1+I245*0.1+O245*0.2+R245*0.2</f>
        <v>60.6</v>
      </c>
      <c r="X245" s="21">
        <f>W245/0.7+K245+T245</f>
        <v>86.5714285714286</v>
      </c>
    </row>
    <row r="246" s="3" customFormat="1" ht="15.6" spans="1:24">
      <c r="A246" s="6">
        <v>114</v>
      </c>
      <c r="B246" s="29" t="s">
        <v>723</v>
      </c>
      <c r="C246" s="29" t="s">
        <v>46</v>
      </c>
      <c r="D246" s="6">
        <v>17.3</v>
      </c>
      <c r="E246" s="40">
        <f>LOOKUP(D246,{0,0.4,1.2,2,2.8,3.6,4.4,5.7,7,8.3,9.6,10.9,12.2,13.5,14.8,16.1,17.4,19.1,20.8,22.5,24.2},{0,10,20,30,40,50,60,62,64,66,68,70,72,74,76,78,80,85,90,95,100})</f>
        <v>78</v>
      </c>
      <c r="F246" s="6">
        <v>189</v>
      </c>
      <c r="G246" s="40">
        <f>LOOKUP(F246,{0,123,128,133,138,143,148,151,154,157,160,163,166,169,172,175,178,185,192,198,204},{0,10,20,30,40,50,60,62,64,66,68,70,72,74,76,78,80,85,90,95,100})</f>
        <v>85</v>
      </c>
      <c r="H246" s="6">
        <v>53</v>
      </c>
      <c r="I246" s="40">
        <f>LOOKUP(H246,{0,13,15,17,19,21,23,25,27,29,31,33,35,37,39,41,43,46,49,51,53},{0,10,20,30,40,50,60,62,64,66,68,70,72,74,76,78,80,85,90,95,100})</f>
        <v>100</v>
      </c>
      <c r="J246" s="45">
        <f>H246-53</f>
        <v>0</v>
      </c>
      <c r="K246" s="40">
        <f>LOOKUP(J246,{0,2,4,6,7,8,9,10,11,12,13},{0,1,2,3,4,5,6,7,8,9,10})</f>
        <v>0</v>
      </c>
      <c r="L246" s="7">
        <f>I246+K246</f>
        <v>100</v>
      </c>
      <c r="M246" s="6">
        <v>9</v>
      </c>
      <c r="N246" s="43">
        <f>13-M246</f>
        <v>4</v>
      </c>
      <c r="O246" s="40">
        <f>LOOKUP(N246,{0,1.4,1.6,1.8,2,2.2,2.4,2.6,2.8,3,3.2,3.4,3.6,3.8,4,4.2,4.4,4.7,5,5.1,5.2},{0,10,20,30,40,50,60,62,64,66,68,70,72,74,76,78,80,85,90,95,100})</f>
        <v>76</v>
      </c>
      <c r="P246" s="6">
        <v>3.28</v>
      </c>
      <c r="Q246" s="6">
        <f>10-P246</f>
        <v>6.72</v>
      </c>
      <c r="R246" s="40">
        <f>LOOKUP(Q246,{0,4.7,4.8,4.9,5,5.5,5.6,5.65,5.7,5.75,5.8,5.85,5.9,5.95,6,6.45,6.5,6.57,6.64,6.7,6.76},{0,10,20,30,40,50,60,62,64,66,68,70,72,74,76,78,80,85,90,95,100})</f>
        <v>95</v>
      </c>
      <c r="S246" s="45"/>
      <c r="T246" s="45"/>
      <c r="U246" s="7">
        <f>R246+T246</f>
        <v>95</v>
      </c>
      <c r="V246" s="6"/>
      <c r="W246" s="7">
        <f>E246*0.1+G246*0.1+I246*0.1+O246*0.2+R246*0.2</f>
        <v>60.5</v>
      </c>
      <c r="X246" s="21">
        <f>W246/0.7+K246+T246</f>
        <v>86.4285714285714</v>
      </c>
    </row>
    <row r="247" ht="15.6" spans="1:24">
      <c r="A247" s="6">
        <v>111</v>
      </c>
      <c r="B247" s="29" t="s">
        <v>558</v>
      </c>
      <c r="C247" s="29" t="s">
        <v>46</v>
      </c>
      <c r="D247" s="6">
        <v>26.5</v>
      </c>
      <c r="E247" s="40">
        <f>LOOKUP(D247,{0,0.4,1.2,2,2.8,3.6,4.4,5.7,7,8.3,9.6,10.9,12.2,13.5,14.8,16.1,17.4,19.1,20.8,22.5,24.2},{0,10,20,30,40,50,60,62,64,66,68,70,72,74,76,78,80,85,90,95,100})</f>
        <v>100</v>
      </c>
      <c r="F247" s="6">
        <v>185</v>
      </c>
      <c r="G247" s="40">
        <f>LOOKUP(F247,{0,123,128,133,138,143,148,151,154,157,160,163,166,169,172,175,178,185,192,198,204},{0,10,20,30,40,50,60,62,64,66,68,70,72,74,76,78,80,85,90,95,100})</f>
        <v>85</v>
      </c>
      <c r="H247" s="6">
        <v>45</v>
      </c>
      <c r="I247" s="40">
        <f>LOOKUP(H247,{0,13,15,17,19,21,23,25,27,29,31,33,35,37,39,41,43,46,49,51,53},{0,10,20,30,40,50,60,62,64,66,68,70,72,74,76,78,80,85,90,95,100})</f>
        <v>80</v>
      </c>
      <c r="J247" s="45"/>
      <c r="K247" s="45"/>
      <c r="L247" s="7">
        <f>I247+K247</f>
        <v>80</v>
      </c>
      <c r="M247" s="6">
        <v>8.6</v>
      </c>
      <c r="N247" s="43">
        <f>13-M247</f>
        <v>4.4</v>
      </c>
      <c r="O247" s="40">
        <f>LOOKUP(N247,{0,1.4,1.6,1.8,2,2.2,2.4,2.6,2.8,3,3.2,3.4,3.6,3.8,4,4.2,4.4,4.7,5,5.1,5.2},{0,10,20,30,40,50,60,62,64,66,68,70,72,74,76,78,80,85,90,95,100})</f>
        <v>80</v>
      </c>
      <c r="P247" s="6">
        <v>3.31</v>
      </c>
      <c r="Q247" s="6">
        <f>10-P247</f>
        <v>6.69</v>
      </c>
      <c r="R247" s="40">
        <f>LOOKUP(Q247,{0,4.7,4.8,4.9,5,5.5,5.6,5.65,5.7,5.75,5.8,5.85,5.9,5.95,6,6.45,6.5,6.57,6.64,6.7,6.76},{0,10,20,30,40,50,60,62,64,66,68,70,72,74,76,78,80,85,90,95,100})</f>
        <v>90</v>
      </c>
      <c r="S247" s="45"/>
      <c r="T247" s="45"/>
      <c r="U247" s="7">
        <f>R247+T247</f>
        <v>90</v>
      </c>
      <c r="W247" s="7">
        <f>E247*0.1+G247*0.1+I247*0.1+O247*0.2+R247*0.2</f>
        <v>60.5</v>
      </c>
      <c r="X247" s="21">
        <f>W247/0.7+K247+T247</f>
        <v>86.4285714285714</v>
      </c>
    </row>
    <row r="248" ht="15.6" spans="1:24">
      <c r="A248" s="6">
        <v>111</v>
      </c>
      <c r="B248" s="29" t="s">
        <v>557</v>
      </c>
      <c r="C248" s="29" t="s">
        <v>46</v>
      </c>
      <c r="D248" s="6">
        <v>21</v>
      </c>
      <c r="E248" s="40">
        <f>LOOKUP(D248,{0,0.4,1.2,2,2.8,3.6,4.4,5.7,7,8.3,9.6,10.9,12.2,13.5,14.8,16.1,17.4,19.1,20.8,22.5,24.2},{0,10,20,30,40,50,60,62,64,66,68,70,72,74,76,78,80,85,90,95,100})</f>
        <v>90</v>
      </c>
      <c r="F248" s="6">
        <v>195</v>
      </c>
      <c r="G248" s="40">
        <f>LOOKUP(F248,{0,123,128,133,138,143,148,151,154,157,160,163,166,169,172,175,178,185,192,198,204},{0,10,20,30,40,50,60,62,64,66,68,70,72,74,76,78,80,85,90,95,100})</f>
        <v>90</v>
      </c>
      <c r="H248" s="6">
        <v>46</v>
      </c>
      <c r="I248" s="40">
        <f>LOOKUP(H248,{0,13,15,17,19,21,23,25,27,29,31,33,35,37,39,41,43,46,49,51,53},{0,10,20,30,40,50,60,62,64,66,68,70,72,74,76,78,80,85,90,95,100})</f>
        <v>85</v>
      </c>
      <c r="J248" s="45"/>
      <c r="K248" s="45"/>
      <c r="L248" s="7">
        <f>I248+K248</f>
        <v>85</v>
      </c>
      <c r="M248" s="6">
        <v>8.3</v>
      </c>
      <c r="N248" s="43">
        <f>13-M248</f>
        <v>4.7</v>
      </c>
      <c r="O248" s="40">
        <f>LOOKUP(N248,{0,1.4,1.6,1.8,2,2.2,2.4,2.6,2.8,3,3.2,3.4,3.6,3.8,4,4.2,4.4,4.7,5,5.1,5.2},{0,10,20,30,40,50,60,62,64,66,68,70,72,74,76,78,80,85,90,95,100})</f>
        <v>85</v>
      </c>
      <c r="P248" s="6">
        <v>3.43</v>
      </c>
      <c r="Q248" s="6">
        <f>10-P248</f>
        <v>6.57</v>
      </c>
      <c r="R248" s="40">
        <f>LOOKUP(Q248,{0,4.7,4.8,4.9,5,5.5,5.6,5.65,5.7,5.75,5.8,5.85,5.9,5.95,6,6.45,6.5,6.57,6.64,6.7,6.76},{0,10,20,30,40,50,60,62,64,66,68,70,72,74,76,78,80,85,90,95,100})</f>
        <v>85</v>
      </c>
      <c r="S248" s="45"/>
      <c r="T248" s="45"/>
      <c r="U248" s="7">
        <f>R248+T248</f>
        <v>85</v>
      </c>
      <c r="W248" s="7">
        <f>E248*0.1+G248*0.1+I248*0.1+O248*0.2+R248*0.2</f>
        <v>60.5</v>
      </c>
      <c r="X248" s="21">
        <f>W248/0.7+K248+T248</f>
        <v>86.4285714285714</v>
      </c>
    </row>
    <row r="249" ht="15.6" spans="1:24">
      <c r="A249" s="6">
        <v>107</v>
      </c>
      <c r="B249" s="39" t="s">
        <v>341</v>
      </c>
      <c r="C249" s="29" t="s">
        <v>46</v>
      </c>
      <c r="D249" s="6">
        <v>19</v>
      </c>
      <c r="E249" s="40">
        <f>LOOKUP(D249,{0,0.4,1.2,2,2.8,3.6,4.4,5.7,7,8.3,9.6,10.9,12.2,13.5,14.8,16.1,17.4,19.1,20.8,22.5,24.2},{0,10,20,30,40,50,60,62,64,66,68,70,72,74,76,78,80,85,90,95,100})</f>
        <v>80</v>
      </c>
      <c r="F249" s="6">
        <v>177</v>
      </c>
      <c r="G249" s="40">
        <f>LOOKUP(F249,{0,123,128,133,138,143,148,151,154,157,160,163,166,169,172,175,178,185,192,198,204},{0,10,20,30,40,50,60,62,64,66,68,70,72,74,76,78,80,85,90,95,100})</f>
        <v>78</v>
      </c>
      <c r="H249" s="6">
        <v>52</v>
      </c>
      <c r="I249" s="40">
        <f>LOOKUP(H249,{0,13,15,17,19,21,23,25,27,29,31,33,35,37,39,41,43,46,49,51,53},{0,10,20,30,40,50,60,62,64,66,68,70,72,74,76,78,80,85,90,95,100})</f>
        <v>95</v>
      </c>
      <c r="J249" s="45"/>
      <c r="K249" s="45"/>
      <c r="L249" s="7">
        <f>I249+K249</f>
        <v>95</v>
      </c>
      <c r="M249" s="6">
        <v>7.9</v>
      </c>
      <c r="N249" s="43">
        <f>13-M249</f>
        <v>5.1</v>
      </c>
      <c r="O249" s="40">
        <f>LOOKUP(N249,{0,1.4,1.6,1.8,2,2.2,2.4,2.6,2.8,3,3.2,3.4,3.6,3.8,4,4.2,4.4,4.7,5,5.1,5.2},{0,10,20,30,40,50,60,62,64,66,68,70,72,74,76,78,80,85,90,95,100})</f>
        <v>95</v>
      </c>
      <c r="P249" s="6">
        <v>3.46</v>
      </c>
      <c r="Q249" s="6">
        <f>10-P249</f>
        <v>6.54</v>
      </c>
      <c r="R249" s="40">
        <f>LOOKUP(Q249,{0,4.7,4.8,4.9,5,5.5,5.6,5.65,5.7,5.75,5.8,5.85,5.9,5.95,6,6.45,6.5,6.57,6.64,6.7,6.76},{0,10,20,30,40,50,60,62,64,66,68,70,72,74,76,78,80,85,90,95,100})</f>
        <v>80</v>
      </c>
      <c r="S249" s="45"/>
      <c r="T249" s="45"/>
      <c r="U249" s="7">
        <f>R249+T249</f>
        <v>80</v>
      </c>
      <c r="W249" s="7">
        <f>E249*0.1+G249*0.1+I249*0.1+O249*0.2+R249*0.2</f>
        <v>60.3</v>
      </c>
      <c r="X249" s="21">
        <f>W249/0.7+K249+T249</f>
        <v>86.1428571428571</v>
      </c>
    </row>
    <row r="250" ht="15.6" spans="1:24">
      <c r="A250" s="6">
        <v>109</v>
      </c>
      <c r="B250" s="29" t="s">
        <v>450</v>
      </c>
      <c r="C250" s="29" t="s">
        <v>46</v>
      </c>
      <c r="D250" s="6">
        <v>23</v>
      </c>
      <c r="E250" s="40">
        <f>LOOKUP(D250,{0,0.4,1.2,2,2.8,3.6,4.4,5.7,7,8.3,9.6,10.9,12.2,13.5,14.8,16.1,17.4,19.1,20.8,22.5,24.2},{0,10,20,30,40,50,60,62,64,66,68,70,72,74,76,78,80,85,90,95,100})</f>
        <v>95</v>
      </c>
      <c r="F250" s="6">
        <v>190</v>
      </c>
      <c r="G250" s="40">
        <f>LOOKUP(F250,{0,123,128,133,138,143,148,151,154,157,160,163,166,169,172,175,178,185,192,198,204},{0,10,20,30,40,50,60,62,64,66,68,70,72,74,76,78,80,85,90,95,100})</f>
        <v>85</v>
      </c>
      <c r="H250" s="6">
        <v>49</v>
      </c>
      <c r="I250" s="40">
        <f>LOOKUP(H250,{0,13,15,17,19,21,23,25,27,29,31,33,35,37,39,41,43,46,49,51,53},{0,10,20,30,40,50,60,62,64,66,68,70,72,74,76,78,80,85,90,95,100})</f>
        <v>90</v>
      </c>
      <c r="J250" s="45"/>
      <c r="K250" s="45"/>
      <c r="L250" s="7">
        <f>I250+K250</f>
        <v>90</v>
      </c>
      <c r="M250" s="6">
        <v>8.9</v>
      </c>
      <c r="N250" s="43">
        <f>13-M250</f>
        <v>4.1</v>
      </c>
      <c r="O250" s="40">
        <f>LOOKUP(N250,{0,1.4,1.6,1.8,2,2.2,2.4,2.6,2.8,3,3.2,3.4,3.6,3.8,4,4.2,4.4,4.7,5,5.1,5.2},{0,10,20,30,40,50,60,62,64,66,68,70,72,74,76,78,80,85,90,95,100})</f>
        <v>76</v>
      </c>
      <c r="P250" s="6">
        <v>3.34</v>
      </c>
      <c r="Q250" s="6">
        <f>10-P250</f>
        <v>6.66</v>
      </c>
      <c r="R250" s="40">
        <f>LOOKUP(Q250,{0,4.7,4.8,4.9,5,5.5,5.6,5.65,5.7,5.75,5.8,5.85,5.9,5.95,6,6.45,6.5,6.57,6.64,6.7,6.76},{0,10,20,30,40,50,60,62,64,66,68,70,72,74,76,78,80,85,90,95,100})</f>
        <v>90</v>
      </c>
      <c r="S250" s="45"/>
      <c r="T250" s="45"/>
      <c r="U250" s="7">
        <f>R250+T250</f>
        <v>90</v>
      </c>
      <c r="W250" s="7">
        <f>E250*0.1+G250*0.1+I250*0.1+O250*0.2+R250*0.2</f>
        <v>60.2</v>
      </c>
      <c r="X250" s="21">
        <f>W250/0.7+K250+T250</f>
        <v>86</v>
      </c>
    </row>
    <row r="251" ht="15.6" spans="1:24">
      <c r="A251" s="6">
        <v>104</v>
      </c>
      <c r="B251" s="29" t="s">
        <v>204</v>
      </c>
      <c r="C251" s="29" t="s">
        <v>46</v>
      </c>
      <c r="D251" s="6">
        <v>17.7</v>
      </c>
      <c r="E251" s="40">
        <f>LOOKUP(D251,{0,0.4,1.2,2,2.8,3.6,4.4,5.7,7,8.3,9.6,10.9,12.2,13.5,14.8,16.1,17.4,19.1,20.8,22.5,24.2},{0,10,20,30,40,50,60,62,64,66,68,70,72,74,76,78,80,85,90,95,100})</f>
        <v>80</v>
      </c>
      <c r="F251" s="6">
        <v>173</v>
      </c>
      <c r="G251" s="40">
        <f>LOOKUP(F251,{0,123,128,133,138,143,148,151,154,157,160,163,166,169,172,175,178,185,192,198,204},{0,10,20,30,40,50,60,62,64,66,68,70,72,74,76,78,80,85,90,95,100})</f>
        <v>76</v>
      </c>
      <c r="H251" s="6">
        <v>51</v>
      </c>
      <c r="I251" s="40">
        <f>LOOKUP(H251,{0,13,15,17,19,21,23,25,27,29,31,33,35,37,39,41,43,46,49,51,53},{0,10,20,30,40,50,60,62,64,66,68,70,72,74,76,78,80,85,90,95,100})</f>
        <v>95</v>
      </c>
      <c r="J251" s="45"/>
      <c r="K251" s="45"/>
      <c r="L251" s="7">
        <f>I251+K251</f>
        <v>95</v>
      </c>
      <c r="M251" s="6">
        <v>8.1</v>
      </c>
      <c r="N251" s="43">
        <f>13-M251</f>
        <v>4.9</v>
      </c>
      <c r="O251" s="40">
        <f>LOOKUP(N251,{0,1.4,1.6,1.8,2,2.2,2.4,2.6,2.8,3,3.2,3.4,3.6,3.8,4,4.2,4.4,4.7,5,5.1,5.2},{0,10,20,30,40,50,60,62,64,66,68,70,72,74,76,78,80,85,90,95,100})</f>
        <v>85</v>
      </c>
      <c r="P251" s="6">
        <v>3.33</v>
      </c>
      <c r="Q251" s="6">
        <f>10-P251</f>
        <v>6.67</v>
      </c>
      <c r="R251" s="40">
        <f>LOOKUP(Q251,{0,4.7,4.8,4.9,5,5.5,5.6,5.65,5.7,5.75,5.8,5.85,5.9,5.95,6,6.45,6.5,6.57,6.64,6.7,6.76},{0,10,20,30,40,50,60,62,64,66,68,70,72,74,76,78,80,85,90,95,100})</f>
        <v>90</v>
      </c>
      <c r="S251" s="45"/>
      <c r="T251" s="45"/>
      <c r="U251" s="7">
        <f>R251+T251</f>
        <v>90</v>
      </c>
      <c r="W251" s="7">
        <f>E251*0.1+G251*0.1+I251*0.1+O251*0.2+R251*0.2</f>
        <v>60.1</v>
      </c>
      <c r="X251" s="21">
        <f>W251/0.7+K251+T251</f>
        <v>85.8571428571429</v>
      </c>
    </row>
    <row r="252" ht="15.6" spans="1:24">
      <c r="A252" s="6">
        <v>111</v>
      </c>
      <c r="B252" s="29" t="s">
        <v>554</v>
      </c>
      <c r="C252" s="29" t="s">
        <v>46</v>
      </c>
      <c r="D252" s="6">
        <v>23.5</v>
      </c>
      <c r="E252" s="40">
        <f>LOOKUP(D252,{0,0.4,1.2,2,2.8,3.6,4.4,5.7,7,8.3,9.6,10.9,12.2,13.5,14.8,16.1,17.4,19.1,20.8,22.5,24.2},{0,10,20,30,40,50,60,62,64,66,68,70,72,74,76,78,80,85,90,95,100})</f>
        <v>95</v>
      </c>
      <c r="F252" s="6">
        <v>203</v>
      </c>
      <c r="G252" s="40">
        <f>LOOKUP(F252,{0,123,128,133,138,143,148,151,154,157,160,163,166,169,172,175,178,185,192,198,204},{0,10,20,30,40,50,60,62,64,66,68,70,72,74,76,78,80,85,90,95,100})</f>
        <v>95</v>
      </c>
      <c r="H252" s="6">
        <v>46</v>
      </c>
      <c r="I252" s="40">
        <f>LOOKUP(H252,{0,13,15,17,19,21,23,25,27,29,31,33,35,37,39,41,43,46,49,51,53},{0,10,20,30,40,50,60,62,64,66,68,70,72,74,76,78,80,85,90,95,100})</f>
        <v>85</v>
      </c>
      <c r="J252" s="45"/>
      <c r="K252" s="45"/>
      <c r="L252" s="7">
        <f>I252+K252</f>
        <v>85</v>
      </c>
      <c r="M252" s="6">
        <v>8.7</v>
      </c>
      <c r="N252" s="43">
        <f>13-M252</f>
        <v>4.3</v>
      </c>
      <c r="O252" s="40">
        <f>LOOKUP(N252,{0,1.4,1.6,1.8,2,2.2,2.4,2.6,2.8,3,3.2,3.4,3.6,3.8,4,4.2,4.4,4.7,5,5.1,5.2},{0,10,20,30,40,50,60,62,64,66,68,70,72,74,76,78,80,85,90,95,100})</f>
        <v>78</v>
      </c>
      <c r="P252" s="6">
        <v>3.42</v>
      </c>
      <c r="Q252" s="6">
        <f>10-P252</f>
        <v>6.58</v>
      </c>
      <c r="R252" s="40">
        <f>LOOKUP(Q252,{0,4.7,4.8,4.9,5,5.5,5.6,5.65,5.7,5.75,5.8,5.85,5.9,5.95,6,6.45,6.5,6.57,6.64,6.7,6.76},{0,10,20,30,40,50,60,62,64,66,68,70,72,74,76,78,80,85,90,95,100})</f>
        <v>85</v>
      </c>
      <c r="S252" s="45"/>
      <c r="T252" s="45"/>
      <c r="U252" s="7">
        <f>R252+T252</f>
        <v>85</v>
      </c>
      <c r="W252" s="7">
        <f>E252*0.1+G252*0.1+I252*0.1+O252*0.2+R252*0.2</f>
        <v>60.1</v>
      </c>
      <c r="X252" s="21">
        <f>W252/0.7+K252+T252</f>
        <v>85.8571428571429</v>
      </c>
    </row>
    <row r="253" ht="15.6" spans="1:24">
      <c r="A253" s="6">
        <v>103</v>
      </c>
      <c r="B253" s="29" t="s">
        <v>153</v>
      </c>
      <c r="C253" s="29" t="s">
        <v>46</v>
      </c>
      <c r="D253" s="6">
        <v>11</v>
      </c>
      <c r="E253" s="40">
        <f>LOOKUP(D253,{0,0.4,1.2,2,2.8,3.6,4.4,5.7,7,8.3,9.6,10.9,12.2,13.5,14.8,16.1,17.4,19.1,20.8,22.5,24.2},{0,10,20,30,40,50,60,62,64,66,68,70,72,74,76,78,80,85,90,95,100})</f>
        <v>70</v>
      </c>
      <c r="F253" s="6">
        <v>190</v>
      </c>
      <c r="G253" s="40">
        <f>LOOKUP(F253,{0,123,128,133,138,143,148,151,154,157,160,163,166,169,172,175,178,185,192,198,204},{0,10,20,30,40,50,60,62,64,66,68,70,72,74,76,78,80,85,90,95,100})</f>
        <v>85</v>
      </c>
      <c r="H253" s="6">
        <v>46</v>
      </c>
      <c r="I253" s="40">
        <f>LOOKUP(H253,{0,13,15,17,19,21,23,25,27,29,31,33,35,37,39,41,43,46,49,51,53},{0,10,20,30,40,50,60,62,64,66,68,70,72,74,76,78,80,85,90,95,100})</f>
        <v>85</v>
      </c>
      <c r="J253" s="45"/>
      <c r="K253" s="45"/>
      <c r="L253" s="7">
        <f>I253+K253</f>
        <v>85</v>
      </c>
      <c r="M253" s="6">
        <v>8.3</v>
      </c>
      <c r="N253" s="43">
        <f>13-M253</f>
        <v>4.7</v>
      </c>
      <c r="O253" s="40">
        <f>LOOKUP(N253,{0,1.4,1.6,1.8,2,2.2,2.4,2.6,2.8,3,3.2,3.4,3.6,3.8,4,4.2,4.4,4.7,5,5.1,5.2},{0,10,20,30,40,50,60,62,64,66,68,70,72,74,76,78,80,85,90,95,100})</f>
        <v>85</v>
      </c>
      <c r="P253" s="6">
        <v>3.27</v>
      </c>
      <c r="Q253" s="6">
        <f>10-P253</f>
        <v>6.73</v>
      </c>
      <c r="R253" s="40">
        <f>LOOKUP(Q253,{0,4.7,4.8,4.9,5,5.5,5.6,5.65,5.7,5.75,5.8,5.85,5.9,5.95,6,6.45,6.5,6.57,6.64,6.7,6.76},{0,10,20,30,40,50,60,62,64,66,68,70,72,74,76,78,80,85,90,95,100})</f>
        <v>95</v>
      </c>
      <c r="S253" s="45"/>
      <c r="T253" s="45"/>
      <c r="U253" s="7">
        <f>R253+T253</f>
        <v>95</v>
      </c>
      <c r="W253" s="7">
        <f>E253*0.1+G253*0.1+I253*0.1+O253*0.2+R253*0.2</f>
        <v>60</v>
      </c>
      <c r="X253" s="21">
        <f>W253/0.7+K253+T253</f>
        <v>85.7142857142857</v>
      </c>
    </row>
    <row r="254" ht="15.6" spans="1:24">
      <c r="A254" s="6">
        <v>107</v>
      </c>
      <c r="B254" s="29" t="s">
        <v>344</v>
      </c>
      <c r="C254" s="29" t="s">
        <v>46</v>
      </c>
      <c r="D254" s="6">
        <v>18.3</v>
      </c>
      <c r="E254" s="40">
        <f>LOOKUP(D254,{0,0.4,1.2,2,2.8,3.6,4.4,5.7,7,8.3,9.6,10.9,12.2,13.5,14.8,16.1,17.4,19.1,20.8,22.5,24.2},{0,10,20,30,40,50,60,62,64,66,68,70,72,74,76,78,80,85,90,95,100})</f>
        <v>80</v>
      </c>
      <c r="F254" s="6">
        <v>186</v>
      </c>
      <c r="G254" s="40">
        <f>LOOKUP(F254,{0,123,128,133,138,143,148,151,154,157,160,163,166,169,172,175,178,185,192,198,204},{0,10,20,30,40,50,60,62,64,66,68,70,72,74,76,78,80,85,90,95,100})</f>
        <v>85</v>
      </c>
      <c r="H254" s="6">
        <v>47</v>
      </c>
      <c r="I254" s="40">
        <f>LOOKUP(H254,{0,13,15,17,19,21,23,25,27,29,31,33,35,37,39,41,43,46,49,51,53},{0,10,20,30,40,50,60,62,64,66,68,70,72,74,76,78,80,85,90,95,100})</f>
        <v>85</v>
      </c>
      <c r="J254" s="45"/>
      <c r="K254" s="45"/>
      <c r="L254" s="7">
        <f>I254+K254</f>
        <v>85</v>
      </c>
      <c r="M254" s="6">
        <v>8.4</v>
      </c>
      <c r="N254" s="43">
        <f>13-M254</f>
        <v>4.6</v>
      </c>
      <c r="O254" s="40">
        <f>LOOKUP(N254,{0,1.4,1.6,1.8,2,2.2,2.4,2.6,2.8,3,3.2,3.4,3.6,3.8,4,4.2,4.4,4.7,5,5.1,5.2},{0,10,20,30,40,50,60,62,64,66,68,70,72,74,76,78,80,85,90,95,100})</f>
        <v>80</v>
      </c>
      <c r="P254" s="6">
        <v>3.28</v>
      </c>
      <c r="Q254" s="6">
        <f>10-P254</f>
        <v>6.72</v>
      </c>
      <c r="R254" s="40">
        <f>LOOKUP(Q254,{0,4.7,4.8,4.9,5,5.5,5.6,5.65,5.7,5.75,5.8,5.85,5.9,5.95,6,6.45,6.5,6.57,6.64,6.7,6.76},{0,10,20,30,40,50,60,62,64,66,68,70,72,74,76,78,80,85,90,95,100})</f>
        <v>95</v>
      </c>
      <c r="S254" s="45"/>
      <c r="T254" s="45"/>
      <c r="U254" s="7">
        <f>R254+T254</f>
        <v>95</v>
      </c>
      <c r="W254" s="7">
        <f>E254*0.1+G254*0.1+I254*0.1+O254*0.2+R254*0.2</f>
        <v>60</v>
      </c>
      <c r="X254" s="21">
        <f>W254/0.7+K254+T254</f>
        <v>85.7142857142857</v>
      </c>
    </row>
    <row r="255" ht="15.6" spans="1:24">
      <c r="A255" s="6">
        <v>106</v>
      </c>
      <c r="B255" s="29" t="s">
        <v>279</v>
      </c>
      <c r="C255" s="29" t="s">
        <v>46</v>
      </c>
      <c r="D255" s="6">
        <v>21.1</v>
      </c>
      <c r="E255" s="40">
        <f>LOOKUP(D255,{0,0.4,1.2,2,2.8,3.6,4.4,5.7,7,8.3,9.6,10.9,12.2,13.5,14.8,16.1,17.4,19.1,20.8,22.5,24.2},{0,10,20,30,40,50,60,62,64,66,68,70,72,74,76,78,80,85,90,95,100})</f>
        <v>90</v>
      </c>
      <c r="F255" s="6">
        <v>200</v>
      </c>
      <c r="G255" s="40">
        <f>LOOKUP(F255,{0,123,128,133,138,143,148,151,154,157,160,163,166,169,172,175,178,185,192,198,204},{0,10,20,30,40,50,60,62,64,66,68,70,72,74,76,78,80,85,90,95,100})</f>
        <v>95</v>
      </c>
      <c r="H255" s="6">
        <v>47</v>
      </c>
      <c r="I255" s="40">
        <f>LOOKUP(H255,{0,13,15,17,19,21,23,25,27,29,31,33,35,37,39,41,43,46,49,51,53},{0,10,20,30,40,50,60,62,64,66,68,70,72,74,76,78,80,85,90,95,100})</f>
        <v>85</v>
      </c>
      <c r="J255" s="45"/>
      <c r="K255" s="45"/>
      <c r="L255" s="7">
        <f>I255+K255</f>
        <v>85</v>
      </c>
      <c r="M255" s="6">
        <v>8.4</v>
      </c>
      <c r="N255" s="43">
        <f>13-M255</f>
        <v>4.6</v>
      </c>
      <c r="O255" s="40">
        <f>LOOKUP(N255,{0,1.4,1.6,1.8,2,2.2,2.4,2.6,2.8,3,3.2,3.4,3.6,3.8,4,4.2,4.4,4.7,5,5.1,5.2},{0,10,20,30,40,50,60,62,64,66,68,70,72,74,76,78,80,85,90,95,100})</f>
        <v>80</v>
      </c>
      <c r="P255" s="6">
        <v>3.43</v>
      </c>
      <c r="Q255" s="6">
        <f>10-P255</f>
        <v>6.57</v>
      </c>
      <c r="R255" s="40">
        <f>LOOKUP(Q255,{0,4.7,4.8,4.9,5,5.5,5.6,5.65,5.7,5.75,5.8,5.85,5.9,5.95,6,6.45,6.5,6.57,6.64,6.7,6.76},{0,10,20,30,40,50,60,62,64,66,68,70,72,74,76,78,80,85,90,95,100})</f>
        <v>85</v>
      </c>
      <c r="S255" s="45"/>
      <c r="T255" s="45"/>
      <c r="U255" s="7">
        <f>R255+T255</f>
        <v>85</v>
      </c>
      <c r="W255" s="7">
        <f>E255*0.1+G255*0.1+I255*0.1+O255*0.2+R255*0.2</f>
        <v>60</v>
      </c>
      <c r="X255" s="21">
        <f>W255/0.7+K255+T255</f>
        <v>85.7142857142857</v>
      </c>
    </row>
    <row r="256" ht="15.6" hidden="1" spans="1:24">
      <c r="A256" s="6">
        <v>114</v>
      </c>
      <c r="B256" s="29" t="s">
        <v>685</v>
      </c>
      <c r="C256" s="29" t="s">
        <v>11</v>
      </c>
      <c r="D256" s="6">
        <v>13.5</v>
      </c>
      <c r="E256" s="40">
        <f>LOOKUP(D256,{0,-4,-3,-2,-1,0,1,2.4,3.8,5.2,6.6,8,9.4,10.8,12.2,13.6,15,17.2,19.4,21.5,23.6},{0,10,20,30,40,50,60,62,64,66,68,70,72,74,76,78,80,85,90,95,100})</f>
        <v>76</v>
      </c>
      <c r="F256" s="6">
        <v>240</v>
      </c>
      <c r="G256" s="40">
        <f>LOOKUP(F256,{0,170,175,180,185,190,195,199,203,207,211,215,219,223,227,231,235,243,250,255,260},{0,10,20,30,40,50,60,62,64,66,68,70,72,74,76,78,80,85,90,95,100})</f>
        <v>80</v>
      </c>
      <c r="H256" s="6">
        <v>13</v>
      </c>
      <c r="I256" s="40">
        <f>LOOKUP(H256,{0,2,3,4,5,6,7,8,9,10,11,12,13,14,15,16},{0,10,20,30,40,50,60,64,68,72,76,80,85,90,95,100})</f>
        <v>85</v>
      </c>
      <c r="J256" s="7"/>
      <c r="K256" s="7"/>
      <c r="L256" s="7">
        <f>I256+K256</f>
        <v>85</v>
      </c>
      <c r="M256" s="6">
        <v>7.2</v>
      </c>
      <c r="N256" s="43">
        <f>13-M256</f>
        <v>5.8</v>
      </c>
      <c r="O256" s="40">
        <f>LOOKUP(N256,{0,2.5,2.7,2.9,3.1,3.3,3.5,3.7,3.9,4.1,4.3,4.5,4.7,4.9,5.1,5.3,5.5,5.6,5.7,5.8,5.9},{0,10,20,30,40,50,60,62,64,66,68,70,72,74,76,78,80,85,90,95,100})</f>
        <v>95</v>
      </c>
      <c r="P256" s="6">
        <v>4.06</v>
      </c>
      <c r="Q256" s="6">
        <f>10-P256</f>
        <v>5.94</v>
      </c>
      <c r="R256" s="40">
        <f>LOOKUP(Q256,{0,3.75,3.95,4.55,4.75,4.95,5.55,5.6,5.65,5.7,5.75,5.8,5.85,5.9,5.95,6,6.45,6.53,6.6,6.65,6.7},{0,10,20,30,40,50,60,62,64,66,68,70,72,74,76,78,80,85,90,95,100})</f>
        <v>74</v>
      </c>
      <c r="S256" s="7"/>
      <c r="T256" s="7"/>
      <c r="U256" s="7">
        <f>R256+T256</f>
        <v>74</v>
      </c>
      <c r="W256" s="7">
        <f>E256*0.1+G256*0.1+I256*0.1+O256*0.2+R256*0.2</f>
        <v>57.9</v>
      </c>
      <c r="X256" s="21">
        <f>W256/0.7+K256+T256</f>
        <v>82.7142857142857</v>
      </c>
    </row>
    <row r="257" ht="15.6" hidden="1" spans="1:24">
      <c r="A257" s="6">
        <v>110</v>
      </c>
      <c r="B257" s="29" t="s">
        <v>468</v>
      </c>
      <c r="C257" s="29" t="s">
        <v>11</v>
      </c>
      <c r="D257" s="6">
        <v>6.5</v>
      </c>
      <c r="E257" s="40">
        <f>LOOKUP(D257,{0,-4,-3,-2,-1,0,1,2.4,3.8,5.2,6.6,8,9.4,10.8,12.2,13.6,15,17.2,19.4,21.5,23.6},{0,10,20,30,40,50,60,62,64,66,68,70,72,74,76,78,80,85,90,95,100})</f>
        <v>66</v>
      </c>
      <c r="F257" s="6">
        <v>248</v>
      </c>
      <c r="G257" s="40">
        <f>LOOKUP(F257,{0,170,175,180,185,190,195,199,203,207,211,215,219,223,227,231,235,243,250,255,260},{0,10,20,30,40,50,60,62,64,66,68,70,72,74,76,78,80,85,90,95,100})</f>
        <v>85</v>
      </c>
      <c r="H257" s="6">
        <v>26</v>
      </c>
      <c r="I257" s="40">
        <f>LOOKUP(H257,{0,2,3,4,5,6,7,8,9,10,11,12,13,14,15,16},{0,10,20,30,40,50,60,64,68,72,76,80,85,90,95,100})</f>
        <v>100</v>
      </c>
      <c r="J257" s="7">
        <f>H257-16</f>
        <v>10</v>
      </c>
      <c r="K257" s="40">
        <f>LOOKUP(J257,{0,1,2,3,4,5,6,7,8,9,10},{0,1,2,3,4,5,6,7,8,9,10})</f>
        <v>10</v>
      </c>
      <c r="L257" s="7">
        <f>I257+K257</f>
        <v>110</v>
      </c>
      <c r="M257" s="6">
        <v>7.2</v>
      </c>
      <c r="N257" s="43">
        <f>13-M257</f>
        <v>5.8</v>
      </c>
      <c r="O257" s="40">
        <f>LOOKUP(N257,{0,2.5,2.7,2.9,3.1,3.3,3.5,3.7,3.9,4.1,4.3,4.5,4.7,4.9,5.1,5.3,5.5,5.6,5.7,5.8,5.9},{0,10,20,30,40,50,60,62,64,66,68,70,72,74,76,78,80,85,90,95,100})</f>
        <v>95</v>
      </c>
      <c r="P257" s="6">
        <v>4.07</v>
      </c>
      <c r="Q257" s="6">
        <f>10-P257</f>
        <v>5.93</v>
      </c>
      <c r="R257" s="40">
        <f>LOOKUP(Q257,{0,3.75,3.95,4.55,4.75,4.95,5.55,5.6,5.65,5.7,5.75,5.8,5.85,5.9,5.95,6,6.45,6.53,6.6,6.65,6.7},{0,10,20,30,40,50,60,62,64,66,68,70,72,74,76,78,80,85,90,95,100})</f>
        <v>74</v>
      </c>
      <c r="S257" s="7"/>
      <c r="T257" s="7"/>
      <c r="U257" s="7">
        <f>R257+T257</f>
        <v>74</v>
      </c>
      <c r="W257" s="7">
        <f>E257*0.1+G257*0.1+I257*0.1+O257*0.2+R257*0.2</f>
        <v>58.9</v>
      </c>
      <c r="X257" s="21">
        <f>W257/0.7+K257+T257</f>
        <v>94.1428571428572</v>
      </c>
    </row>
    <row r="258" ht="15.6" hidden="1" spans="1:24">
      <c r="A258" s="6">
        <v>101</v>
      </c>
      <c r="B258" s="29" t="s">
        <v>36</v>
      </c>
      <c r="C258" s="29" t="s">
        <v>11</v>
      </c>
      <c r="D258" s="6">
        <v>14.5</v>
      </c>
      <c r="E258" s="40">
        <f>LOOKUP(D258,{0,-4,-3,-2,-1,0,1,2.4,3.8,5.2,6.6,8,9.4,10.8,12.2,13.6,15,17.2,19.4,21.5,23.6},{0,10,20,30,40,50,60,62,64,66,68,70,72,74,76,78,80,85,90,95,100})</f>
        <v>78</v>
      </c>
      <c r="F258" s="6">
        <v>230</v>
      </c>
      <c r="G258" s="40">
        <f>LOOKUP(F258,{0,170,175,180,185,190,195,199,203,207,211,215,219,223,227,231,235,243,250,255,260},{0,10,20,30,40,50,60,62,64,66,68,70,72,74,76,78,80,85,90,95,100})</f>
        <v>76</v>
      </c>
      <c r="H258" s="6">
        <v>15</v>
      </c>
      <c r="I258" s="40">
        <f>LOOKUP(H258,{0,2,3,4,5,6,7,8,9,10,11,12,13,14,15,16},{0,10,20,30,40,50,60,64,68,72,76,80,85,90,95,100})</f>
        <v>95</v>
      </c>
      <c r="J258" s="7"/>
      <c r="K258" s="7"/>
      <c r="L258" s="7">
        <f>I258+K258</f>
        <v>95</v>
      </c>
      <c r="M258" s="6">
        <v>7.2</v>
      </c>
      <c r="N258" s="43">
        <f>13-M258</f>
        <v>5.8</v>
      </c>
      <c r="O258" s="40">
        <f>LOOKUP(N258,{0,2.5,2.7,2.9,3.1,3.3,3.5,3.7,3.9,4.1,4.3,4.5,4.7,4.9,5.1,5.3,5.5,5.6,5.7,5.8,5.9},{0,10,20,30,40,50,60,62,64,66,68,70,72,74,76,78,80,85,90,95,100})</f>
        <v>95</v>
      </c>
      <c r="P258" s="6">
        <v>4.08</v>
      </c>
      <c r="Q258" s="6">
        <f>10-P258</f>
        <v>5.92</v>
      </c>
      <c r="R258" s="40">
        <f>LOOKUP(Q258,{0,3.75,3.95,4.55,4.75,4.95,5.55,5.6,5.65,5.7,5.75,5.8,5.85,5.9,5.95,6,6.45,6.53,6.6,6.65,6.7},{0,10,20,30,40,50,60,62,64,66,68,70,72,74,76,78,80,85,90,95,100})</f>
        <v>74</v>
      </c>
      <c r="S258" s="7"/>
      <c r="T258" s="7"/>
      <c r="U258" s="7">
        <f>R258+T258</f>
        <v>74</v>
      </c>
      <c r="W258" s="7">
        <f>E258*0.1+G258*0.1+I258*0.1+O258*0.2+R258*0.2</f>
        <v>58.7</v>
      </c>
      <c r="X258" s="21">
        <f>W258/0.7+K258+T258</f>
        <v>83.8571428571429</v>
      </c>
    </row>
    <row r="259" s="3" customFormat="1" ht="15.6" hidden="1" spans="1:24">
      <c r="A259" s="6">
        <v>116</v>
      </c>
      <c r="B259" s="29" t="s">
        <v>781</v>
      </c>
      <c r="C259" s="29" t="s">
        <v>11</v>
      </c>
      <c r="D259" s="6">
        <v>11</v>
      </c>
      <c r="E259" s="40">
        <f>LOOKUP(D259,{0,-4,-3,-2,-1,0,1,2.4,3.8,5.2,6.6,8,9.4,10.8,12.2,13.6,15,17.2,19.4,21.5,23.6},{0,10,20,30,40,50,60,62,64,66,68,70,72,74,76,78,80,85,90,95,100})</f>
        <v>74</v>
      </c>
      <c r="F259" s="6">
        <v>258</v>
      </c>
      <c r="G259" s="40">
        <f>LOOKUP(F259,{0,170,175,180,185,190,195,199,203,207,211,215,219,223,227,231,235,243,250,255,260},{0,10,20,30,40,50,60,62,64,66,68,70,72,74,76,78,80,85,90,95,100})</f>
        <v>95</v>
      </c>
      <c r="H259" s="6">
        <v>7</v>
      </c>
      <c r="I259" s="40">
        <f>LOOKUP(H259,{0,2,3,4,5,6,7,8,9,10,11,12,13,14,15,16},{0,10,20,30,40,50,60,64,68,72,76,80,85,90,95,100})</f>
        <v>60</v>
      </c>
      <c r="J259" s="7"/>
      <c r="K259" s="7"/>
      <c r="L259" s="7">
        <f>I259+K259</f>
        <v>60</v>
      </c>
      <c r="M259" s="6">
        <v>7.2</v>
      </c>
      <c r="N259" s="43">
        <f>13-M259</f>
        <v>5.8</v>
      </c>
      <c r="O259" s="40">
        <f>LOOKUP(N259,{0,2.5,2.7,2.9,3.1,3.3,3.5,3.7,3.9,4.1,4.3,4.5,4.7,4.9,5.1,5.3,5.5,5.6,5.7,5.8,5.9},{0,10,20,30,40,50,60,62,64,66,68,70,72,74,76,78,80,85,90,95,100})</f>
        <v>95</v>
      </c>
      <c r="P259" s="6">
        <v>4.08</v>
      </c>
      <c r="Q259" s="6">
        <f>10-P259</f>
        <v>5.92</v>
      </c>
      <c r="R259" s="40">
        <f>LOOKUP(Q259,{0,3.75,3.95,4.55,4.75,4.95,5.55,5.6,5.65,5.7,5.75,5.8,5.85,5.9,5.95,6,6.45,6.53,6.6,6.65,6.7},{0,10,20,30,40,50,60,62,64,66,68,70,72,74,76,78,80,85,90,95,100})</f>
        <v>74</v>
      </c>
      <c r="S259" s="7"/>
      <c r="T259" s="7"/>
      <c r="U259" s="7">
        <f>R259+T259</f>
        <v>74</v>
      </c>
      <c r="V259" s="6"/>
      <c r="W259" s="7">
        <f>E259*0.1+G259*0.1+I259*0.1+O259*0.2+R259*0.2</f>
        <v>56.7</v>
      </c>
      <c r="X259" s="21">
        <f>W259/0.7+K259+T259</f>
        <v>81</v>
      </c>
    </row>
    <row r="260" ht="15.6" hidden="1" spans="1:24">
      <c r="A260" s="6">
        <v>101</v>
      </c>
      <c r="B260" s="29" t="s">
        <v>29</v>
      </c>
      <c r="C260" s="29" t="s">
        <v>11</v>
      </c>
      <c r="D260" s="6">
        <v>-2</v>
      </c>
      <c r="E260" s="40">
        <f>LOOKUP(D260,{0,-4,-3,-2,-1,0,1,2.4,3.8,5.2,6.6,8,9.4,10.8,12.2,13.6,15,17.2,19.4,21.5,23.6},{0,10,20,30,40,50,60,62,64,66,68,70,72,74,76,78,80,85,90,95,100})</f>
        <v>30</v>
      </c>
      <c r="F260" s="6">
        <v>217</v>
      </c>
      <c r="G260" s="40">
        <f>LOOKUP(F260,{0,170,175,180,185,190,195,199,203,207,211,215,219,223,227,231,235,243,250,255,260},{0,10,20,30,40,50,60,62,64,66,68,70,72,74,76,78,80,85,90,95,100})</f>
        <v>70</v>
      </c>
      <c r="H260" s="6">
        <v>23</v>
      </c>
      <c r="I260" s="40">
        <f>LOOKUP(H260,{0,2,3,4,5,6,7,8,9,10,11,12,13,14,15,16},{0,10,20,30,40,50,60,64,68,72,76,80,85,90,95,100})</f>
        <v>100</v>
      </c>
      <c r="J260" s="7">
        <f>H260-16</f>
        <v>7</v>
      </c>
      <c r="K260" s="40">
        <f>LOOKUP(J260,{0,1,2,3,4,5,6,7,8,9,10},{0,1,2,3,4,5,6,7,8,9,10})</f>
        <v>7</v>
      </c>
      <c r="L260" s="7">
        <f>I260+K260</f>
        <v>107</v>
      </c>
      <c r="M260" s="6">
        <v>7.2</v>
      </c>
      <c r="N260" s="43">
        <f>13-M260</f>
        <v>5.8</v>
      </c>
      <c r="O260" s="40">
        <f>LOOKUP(N260,{0,2.5,2.7,2.9,3.1,3.3,3.5,3.7,3.9,4.1,4.3,4.5,4.7,4.9,5.1,5.3,5.5,5.6,5.7,5.8,5.9},{0,10,20,30,40,50,60,62,64,66,68,70,72,74,76,78,80,85,90,95,100})</f>
        <v>95</v>
      </c>
      <c r="P260" s="6">
        <v>4.09</v>
      </c>
      <c r="Q260" s="6">
        <f>10-P260</f>
        <v>5.91</v>
      </c>
      <c r="R260" s="40">
        <f>LOOKUP(Q260,{0,3.75,3.95,4.55,4.75,4.95,5.55,5.6,5.65,5.7,5.75,5.8,5.85,5.9,5.95,6,6.45,6.53,6.6,6.65,6.7},{0,10,20,30,40,50,60,62,64,66,68,70,72,74,76,78,80,85,90,95,100})</f>
        <v>74</v>
      </c>
      <c r="S260" s="7"/>
      <c r="T260" s="7"/>
      <c r="U260" s="7">
        <f>R260+T260</f>
        <v>74</v>
      </c>
      <c r="W260" s="7">
        <f>E260*0.1+G260*0.1+I260*0.1+O260*0.2+R260*0.2</f>
        <v>53.8</v>
      </c>
      <c r="X260" s="21">
        <f>W260/0.7+K260+T260</f>
        <v>83.8571428571429</v>
      </c>
    </row>
    <row r="261" ht="15.6" hidden="1" spans="1:24">
      <c r="A261" s="6">
        <v>110</v>
      </c>
      <c r="B261" s="29" t="s">
        <v>471</v>
      </c>
      <c r="C261" s="29" t="s">
        <v>11</v>
      </c>
      <c r="D261" s="6">
        <v>23</v>
      </c>
      <c r="E261" s="40">
        <f>LOOKUP(D261,{0,-4,-3,-2,-1,0,1,2.4,3.8,5.2,6.6,8,9.4,10.8,12.2,13.6,15,17.2,19.4,21.5,23.6},{0,10,20,30,40,50,60,62,64,66,68,70,72,74,76,78,80,85,90,95,100})</f>
        <v>95</v>
      </c>
      <c r="F261" s="6">
        <v>235</v>
      </c>
      <c r="G261" s="40">
        <f>LOOKUP(F261,{0,170,175,180,185,190,195,199,203,207,211,215,219,223,227,231,235,243,250,255,260},{0,10,20,30,40,50,60,62,64,66,68,70,72,74,76,78,80,85,90,95,100})</f>
        <v>80</v>
      </c>
      <c r="H261" s="6">
        <v>1</v>
      </c>
      <c r="I261" s="40">
        <f>LOOKUP(H261,{0,2,3,4,5,6,7,8,9,10,11,12,13,14,15,16},{0,10,20,30,40,50,60,64,68,72,76,80,85,90,95,100})</f>
        <v>0</v>
      </c>
      <c r="J261" s="7"/>
      <c r="K261" s="7"/>
      <c r="L261" s="7">
        <f>I261+K261</f>
        <v>0</v>
      </c>
      <c r="M261" s="6">
        <v>7.2</v>
      </c>
      <c r="N261" s="43">
        <f>13-M261</f>
        <v>5.8</v>
      </c>
      <c r="O261" s="40">
        <f>LOOKUP(N261,{0,2.5,2.7,2.9,3.1,3.3,3.5,3.7,3.9,4.1,4.3,4.5,4.7,4.9,5.1,5.3,5.5,5.6,5.7,5.8,5.9},{0,10,20,30,40,50,60,62,64,66,68,70,72,74,76,78,80,85,90,95,100})</f>
        <v>95</v>
      </c>
      <c r="P261" s="6">
        <v>4.11</v>
      </c>
      <c r="Q261" s="6">
        <f>10-P261</f>
        <v>5.89</v>
      </c>
      <c r="R261" s="40">
        <f>LOOKUP(Q261,{0,3.75,3.95,4.55,4.75,4.95,5.55,5.6,5.65,5.7,5.75,5.8,5.85,5.9,5.95,6,6.45,6.53,6.6,6.65,6.7},{0,10,20,30,40,50,60,62,64,66,68,70,72,74,76,78,80,85,90,95,100})</f>
        <v>72</v>
      </c>
      <c r="S261" s="7"/>
      <c r="T261" s="7"/>
      <c r="U261" s="7">
        <f>R261+T261</f>
        <v>72</v>
      </c>
      <c r="W261" s="7">
        <f>E261*0.1+G261*0.1+I261*0.1+O261*0.2+R261*0.2</f>
        <v>50.9</v>
      </c>
      <c r="X261" s="21">
        <f>W261/0.7+K261+T261</f>
        <v>72.7142857142857</v>
      </c>
    </row>
    <row r="262" ht="15.6" hidden="1" spans="1:24">
      <c r="A262" s="6">
        <v>106</v>
      </c>
      <c r="B262" s="29" t="s">
        <v>258</v>
      </c>
      <c r="C262" s="29" t="s">
        <v>11</v>
      </c>
      <c r="D262" s="6"/>
      <c r="E262" s="40"/>
      <c r="F262" s="6"/>
      <c r="G262" s="40"/>
      <c r="H262" s="6"/>
      <c r="I262" s="40"/>
      <c r="J262" s="7"/>
      <c r="K262" s="7"/>
      <c r="L262" s="7"/>
      <c r="M262" s="6">
        <v>7.2</v>
      </c>
      <c r="N262" s="43">
        <f>13-M262</f>
        <v>5.8</v>
      </c>
      <c r="O262" s="40">
        <f>LOOKUP(N262,{0,2.5,2.7,2.9,3.1,3.3,3.5,3.7,3.9,4.1,4.3,4.5,4.7,4.9,5.1,5.3,5.5,5.6,5.7,5.8,5.9},{0,10,20,30,40,50,60,62,64,66,68,70,72,74,76,78,80,85,90,95,100})</f>
        <v>95</v>
      </c>
      <c r="R262" s="40"/>
      <c r="S262" s="7"/>
      <c r="T262" s="40"/>
      <c r="U262" s="7"/>
      <c r="V262" s="6" t="s">
        <v>84</v>
      </c>
      <c r="W262" s="7">
        <f>E262*0.1+G262*0.1+I262*0.1+O262*0.2+R262*0.2</f>
        <v>19</v>
      </c>
      <c r="X262" s="21">
        <v>50</v>
      </c>
    </row>
    <row r="263" ht="15.6" hidden="1" spans="1:24">
      <c r="A263" s="6">
        <v>102</v>
      </c>
      <c r="B263" s="29" t="s">
        <v>96</v>
      </c>
      <c r="C263" s="29" t="s">
        <v>11</v>
      </c>
      <c r="D263" s="6">
        <v>20.5</v>
      </c>
      <c r="E263" s="40">
        <f>LOOKUP(D263,{0,-4,-3,-2,-1,0,1,2.4,3.8,5.2,6.6,8,9.4,10.8,12.2,13.6,15,17.2,19.4,21.5,23.6},{0,10,20,30,40,50,60,62,64,66,68,70,72,74,76,78,80,85,90,95,100})</f>
        <v>90</v>
      </c>
      <c r="F263" s="6">
        <v>237</v>
      </c>
      <c r="G263" s="40">
        <f>LOOKUP(F263,{0,170,175,180,185,190,195,199,203,207,211,215,219,223,227,231,235,243,250,255,260},{0,10,20,30,40,50,60,62,64,66,68,70,72,74,76,78,80,85,90,95,100})</f>
        <v>80</v>
      </c>
      <c r="H263" s="6">
        <v>4</v>
      </c>
      <c r="I263" s="40">
        <f>LOOKUP(H263,{0,2,3,4,5,6,7,8,9,10,11,12,13,14,15,16},{0,10,20,30,40,50,60,64,68,72,76,80,85,90,95,100})</f>
        <v>30</v>
      </c>
      <c r="J263" s="7"/>
      <c r="K263" s="7"/>
      <c r="L263" s="7">
        <f>I263+K263</f>
        <v>30</v>
      </c>
      <c r="M263" s="6">
        <v>7.3</v>
      </c>
      <c r="N263" s="43">
        <f>13-M263</f>
        <v>5.7</v>
      </c>
      <c r="O263" s="40">
        <f>LOOKUP(N263,{0,2.5,2.7,2.9,3.1,3.3,3.5,3.7,3.9,4.1,4.3,4.5,4.7,4.9,5.1,5.3,5.5,5.6,5.7,5.8,5.9},{0,10,20,30,40,50,60,62,64,66,68,70,72,74,76,78,80,85,90,95,100})</f>
        <v>90</v>
      </c>
      <c r="P263" s="6">
        <v>3.42</v>
      </c>
      <c r="Q263" s="6">
        <f>10-P263</f>
        <v>6.58</v>
      </c>
      <c r="R263" s="40">
        <f>LOOKUP(Q263,{0,3.75,3.95,4.55,4.75,4.95,5.55,5.6,5.65,5.7,5.75,5.8,5.85,5.9,5.95,6,6.45,6.53,6.6,6.65,6.7},{0,10,20,30,40,50,60,62,64,66,68,70,72,74,76,78,80,85,90,95,100})</f>
        <v>85</v>
      </c>
      <c r="S263" s="7"/>
      <c r="T263" s="7"/>
      <c r="U263" s="7">
        <f>R263+T263</f>
        <v>85</v>
      </c>
      <c r="W263" s="7">
        <f>E263*0.1+G263*0.1+I263*0.1+O263*0.2+R263*0.2</f>
        <v>55</v>
      </c>
      <c r="X263" s="21">
        <f>W263/0.7+K263+T263</f>
        <v>78.5714285714286</v>
      </c>
    </row>
    <row r="264" ht="15.6" hidden="1" spans="1:24">
      <c r="A264" s="6">
        <v>116</v>
      </c>
      <c r="B264" s="29" t="s">
        <v>804</v>
      </c>
      <c r="C264" s="29" t="s">
        <v>11</v>
      </c>
      <c r="D264" s="6">
        <v>7.5</v>
      </c>
      <c r="E264" s="40">
        <f>LOOKUP(D264,{0,-4,-3,-2,-1,0,1,2.4,3.8,5.2,6.6,8,9.4,10.8,12.2,13.6,15,17.2,19.4,21.5,23.6},{0,10,20,30,40,50,60,62,64,66,68,70,72,74,76,78,80,85,90,95,100})</f>
        <v>68</v>
      </c>
      <c r="F264" s="6">
        <v>225</v>
      </c>
      <c r="G264" s="40">
        <f>LOOKUP(F264,{0,170,175,180,185,190,195,199,203,207,211,215,219,223,227,231,235,243,250,255,260},{0,10,20,30,40,50,60,62,64,66,68,70,72,74,76,78,80,85,90,95,100})</f>
        <v>74</v>
      </c>
      <c r="H264" s="6">
        <v>27</v>
      </c>
      <c r="I264" s="40">
        <f>LOOKUP(H264,{0,2,3,4,5,6,7,8,9,10,11,12,13,14,15,16},{0,10,20,30,40,50,60,64,68,72,76,80,85,90,95,100})</f>
        <v>100</v>
      </c>
      <c r="J264" s="7">
        <f>H264-16</f>
        <v>11</v>
      </c>
      <c r="K264" s="40">
        <f>LOOKUP(J264,{0,1,2,3,4,5,6,7,8,9,10},{0,1,2,3,4,5,6,7,8,9,10})</f>
        <v>10</v>
      </c>
      <c r="L264" s="7">
        <f>I264+K264</f>
        <v>110</v>
      </c>
      <c r="M264" s="6">
        <v>7.3</v>
      </c>
      <c r="N264" s="43">
        <f>13-M264</f>
        <v>5.7</v>
      </c>
      <c r="O264" s="40">
        <f>LOOKUP(N264,{0,2.5,2.7,2.9,3.1,3.3,3.5,3.7,3.9,4.1,4.3,4.5,4.7,4.9,5.1,5.3,5.5,5.6,5.7,5.8,5.9},{0,10,20,30,40,50,60,62,64,66,68,70,72,74,76,78,80,85,90,95,100})</f>
        <v>90</v>
      </c>
      <c r="P264" s="6">
        <v>3.05</v>
      </c>
      <c r="Q264" s="6">
        <f>10-P264</f>
        <v>6.95</v>
      </c>
      <c r="R264" s="40">
        <f>LOOKUP(Q264,{0,3.75,3.95,4.55,4.75,4.95,5.55,5.6,5.65,5.7,5.75,5.8,5.85,5.9,5.95,6,6.45,6.53,6.6,6.65,6.7},{0,10,20,30,40,50,60,62,64,66,68,70,72,74,76,78,80,85,90,95,100})</f>
        <v>100</v>
      </c>
      <c r="S264" s="7">
        <f>3.3-P264</f>
        <v>0.25</v>
      </c>
      <c r="T264" s="40">
        <f>LOOKUP(S264,{0,0.04,0.08,0.12,0.16,0.2,0.23,0.26,0.29,0.32,0.35},{0,1,2,3,4,5,6,7,8,9,10})</f>
        <v>6</v>
      </c>
      <c r="U264" s="7">
        <f>R264+T264</f>
        <v>106</v>
      </c>
      <c r="W264" s="7">
        <f>E264*0.1+G264*0.1+I264*0.1+O264*0.2+R264*0.2</f>
        <v>62.2</v>
      </c>
      <c r="X264" s="21">
        <f>W264/0.7+K264+T264</f>
        <v>104.857142857143</v>
      </c>
    </row>
    <row r="265" ht="15.6" hidden="1" spans="1:24">
      <c r="A265" s="6">
        <v>103</v>
      </c>
      <c r="B265" s="29" t="s">
        <v>131</v>
      </c>
      <c r="C265" s="29" t="s">
        <v>11</v>
      </c>
      <c r="D265" s="6">
        <v>15</v>
      </c>
      <c r="E265" s="40">
        <f>LOOKUP(D265,{0,-4,-3,-2,-1,0,1,2.4,3.8,5.2,6.6,8,9.4,10.8,12.2,13.6,15,17.2,19.4,21.5,23.6},{0,10,20,30,40,50,60,62,64,66,68,70,72,74,76,78,80,85,90,95,100})</f>
        <v>80</v>
      </c>
      <c r="F265" s="6">
        <v>230</v>
      </c>
      <c r="G265" s="40">
        <f>LOOKUP(F265,{0,170,175,180,185,190,195,199,203,207,211,215,219,223,227,231,235,243,250,255,260},{0,10,20,30,40,50,60,62,64,66,68,70,72,74,76,78,80,85,90,95,100})</f>
        <v>76</v>
      </c>
      <c r="H265" s="6">
        <v>12</v>
      </c>
      <c r="I265" s="40">
        <f>LOOKUP(H265,{0,2,3,4,5,6,7,8,9,10,11,12,13,14,15,16},{0,10,20,30,40,50,60,64,68,72,76,80,85,90,95,100})</f>
        <v>80</v>
      </c>
      <c r="J265" s="7"/>
      <c r="K265" s="7"/>
      <c r="L265" s="7">
        <f>I265+K265</f>
        <v>80</v>
      </c>
      <c r="M265" s="6">
        <v>7.3</v>
      </c>
      <c r="N265" s="43">
        <f>13-M265</f>
        <v>5.7</v>
      </c>
      <c r="O265" s="40">
        <f>LOOKUP(N265,{0,2.5,2.7,2.9,3.1,3.3,3.5,3.7,3.9,4.1,4.3,4.5,4.7,4.9,5.1,5.3,5.5,5.6,5.7,5.8,5.9},{0,10,20,30,40,50,60,62,64,66,68,70,72,74,76,78,80,85,90,95,100})</f>
        <v>90</v>
      </c>
      <c r="P265" s="6">
        <v>3.22</v>
      </c>
      <c r="Q265" s="6">
        <f>10-P265</f>
        <v>6.78</v>
      </c>
      <c r="R265" s="40">
        <f>LOOKUP(Q265,{0,3.75,3.95,4.55,4.75,4.95,5.55,5.6,5.65,5.7,5.75,5.8,5.85,5.9,5.95,6,6.45,6.53,6.6,6.65,6.7},{0,10,20,30,40,50,60,62,64,66,68,70,72,74,76,78,80,85,90,95,100})</f>
        <v>100</v>
      </c>
      <c r="S265" s="7">
        <f>3.3-P265</f>
        <v>0.0799999999999996</v>
      </c>
      <c r="T265" s="40">
        <f>LOOKUP(S265,{0,0.04,0.08,0.12,0.16,0.2,0.23,0.26,0.29,0.32,0.35},{0,1,2,3,4,5,6,7,8,9,10})</f>
        <v>1</v>
      </c>
      <c r="U265" s="7">
        <f>R265+T265</f>
        <v>101</v>
      </c>
      <c r="W265" s="7">
        <f>E265*0.1+G265*0.1+I265*0.1+O265*0.2+R265*0.2</f>
        <v>61.6</v>
      </c>
      <c r="X265" s="21">
        <f>W265/0.7+K265+T265</f>
        <v>89</v>
      </c>
    </row>
    <row r="266" ht="15.6" hidden="1" spans="1:24">
      <c r="A266" s="6">
        <v>112</v>
      </c>
      <c r="B266" s="29" t="s">
        <v>586</v>
      </c>
      <c r="C266" s="29" t="s">
        <v>11</v>
      </c>
      <c r="D266" s="6">
        <v>5.3</v>
      </c>
      <c r="E266" s="40">
        <f>LOOKUP(D266,{0,-4,-3,-2,-1,0,1,2.4,3.8,5.2,6.6,8,9.4,10.8,12.2,13.6,15,17.2,19.4,21.5,23.6},{0,10,20,30,40,50,60,62,64,66,68,70,72,74,76,78,80,85,90,95,100})</f>
        <v>66</v>
      </c>
      <c r="F266" s="6">
        <v>230</v>
      </c>
      <c r="G266" s="40">
        <f>LOOKUP(F266,{0,170,175,180,185,190,195,199,203,207,211,215,219,223,227,231,235,243,250,255,260},{0,10,20,30,40,50,60,62,64,66,68,70,72,74,76,78,80,85,90,95,100})</f>
        <v>76</v>
      </c>
      <c r="H266" s="6">
        <v>11</v>
      </c>
      <c r="I266" s="40">
        <f>LOOKUP(H266,{0,2,3,4,5,6,7,8,9,10,11,12,13,14,15,16},{0,10,20,30,40,50,60,64,68,72,76,80,85,90,95,100})</f>
        <v>76</v>
      </c>
      <c r="J266" s="7"/>
      <c r="K266" s="7"/>
      <c r="L266" s="7">
        <f>I266+K266</f>
        <v>76</v>
      </c>
      <c r="M266" s="6">
        <v>7.3</v>
      </c>
      <c r="N266" s="43">
        <f>13-M266</f>
        <v>5.7</v>
      </c>
      <c r="O266" s="40">
        <f>LOOKUP(N266,{0,2.5,2.7,2.9,3.1,3.3,3.5,3.7,3.9,4.1,4.3,4.5,4.7,4.9,5.1,5.3,5.5,5.6,5.7,5.8,5.9},{0,10,20,30,40,50,60,62,64,66,68,70,72,74,76,78,80,85,90,95,100})</f>
        <v>90</v>
      </c>
      <c r="P266" s="6">
        <v>3.25</v>
      </c>
      <c r="Q266" s="6">
        <f>10-P266</f>
        <v>6.75</v>
      </c>
      <c r="R266" s="40">
        <f>LOOKUP(Q266,{0,3.75,3.95,4.55,4.75,4.95,5.55,5.6,5.65,5.7,5.75,5.8,5.85,5.9,5.95,6,6.45,6.53,6.6,6.65,6.7},{0,10,20,30,40,50,60,62,64,66,68,70,72,74,76,78,80,85,90,95,100})</f>
        <v>100</v>
      </c>
      <c r="S266" s="7">
        <f>3.3-P266</f>
        <v>0.0499999999999998</v>
      </c>
      <c r="T266" s="40">
        <f>LOOKUP(S266,{0,0.04,0.08,0.12,0.16,0.2,0.23,0.26,0.29,0.32,0.35},{0,1,2,3,4,5,6,7,8,9,10})</f>
        <v>1</v>
      </c>
      <c r="U266" s="7">
        <f>R266+T266</f>
        <v>101</v>
      </c>
      <c r="W266" s="7">
        <f>E266*0.1+G266*0.1+I266*0.1+O266*0.2+R266*0.2</f>
        <v>59.8</v>
      </c>
      <c r="X266" s="21">
        <f>W266/0.7+K266+T266</f>
        <v>86.4285714285714</v>
      </c>
    </row>
    <row r="267" ht="15.6" hidden="1" spans="1:24">
      <c r="A267" s="6">
        <v>107</v>
      </c>
      <c r="B267" s="29" t="s">
        <v>318</v>
      </c>
      <c r="C267" s="29" t="s">
        <v>11</v>
      </c>
      <c r="D267" s="6">
        <v>15</v>
      </c>
      <c r="E267" s="40">
        <f>LOOKUP(D267,{0,-4,-3,-2,-1,0,1,2.4,3.8,5.2,6.6,8,9.4,10.8,12.2,13.6,15,17.2,19.4,21.5,23.6},{0,10,20,30,40,50,60,62,64,66,68,70,72,74,76,78,80,85,90,95,100})</f>
        <v>80</v>
      </c>
      <c r="F267" s="6">
        <v>225</v>
      </c>
      <c r="G267" s="40">
        <f>LOOKUP(F267,{0,170,175,180,185,190,195,199,203,207,211,215,219,223,227,231,235,243,250,255,260},{0,10,20,30,40,50,60,62,64,66,68,70,72,74,76,78,80,85,90,95,100})</f>
        <v>74</v>
      </c>
      <c r="H267" s="6">
        <v>20</v>
      </c>
      <c r="I267" s="40">
        <f>LOOKUP(H267,{0,2,3,4,5,6,7,8,9,10,11,12,13,14,15,16},{0,10,20,30,40,50,60,64,68,72,76,80,85,90,95,100})</f>
        <v>100</v>
      </c>
      <c r="J267" s="7">
        <f>H267-16</f>
        <v>4</v>
      </c>
      <c r="K267" s="40">
        <f>LOOKUP(J267,{0,1,2,3,4,5,6,7,8,9,10},{0,1,2,3,4,5,6,7,8,9,10})</f>
        <v>4</v>
      </c>
      <c r="L267" s="7">
        <f>I267+K267</f>
        <v>104</v>
      </c>
      <c r="M267" s="6">
        <v>7.3</v>
      </c>
      <c r="N267" s="43">
        <f>13-M267</f>
        <v>5.7</v>
      </c>
      <c r="O267" s="40">
        <f>LOOKUP(N267,{0,2.5,2.7,2.9,3.1,3.3,3.5,3.7,3.9,4.1,4.3,4.5,4.7,4.9,5.1,5.3,5.5,5.6,5.7,5.8,5.9},{0,10,20,30,40,50,60,62,64,66,68,70,72,74,76,78,80,85,90,95,100})</f>
        <v>90</v>
      </c>
      <c r="P267" s="6">
        <v>3.29</v>
      </c>
      <c r="Q267" s="6">
        <f>10-P267</f>
        <v>6.71</v>
      </c>
      <c r="R267" s="40">
        <f>LOOKUP(Q267,{0,3.75,3.95,4.55,4.75,4.95,5.55,5.6,5.65,5.7,5.75,5.8,5.85,5.9,5.95,6,6.45,6.53,6.6,6.65,6.7},{0,10,20,30,40,50,60,62,64,66,68,70,72,74,76,78,80,85,90,95,100})</f>
        <v>100</v>
      </c>
      <c r="S267" s="7">
        <f>3.3-P267</f>
        <v>0.00999999999999979</v>
      </c>
      <c r="T267" s="40">
        <f>LOOKUP(S267,{0,0.04,0.08,0.12,0.16,0.2,0.23,0.26,0.29,0.32,0.35},{0,1,2,3,4,5,6,7,8,9,10})</f>
        <v>0</v>
      </c>
      <c r="U267" s="7">
        <f>R267+T267</f>
        <v>100</v>
      </c>
      <c r="W267" s="7">
        <f>E267*0.1+G267*0.1+I267*0.1+O267*0.2+R267*0.2</f>
        <v>63.4</v>
      </c>
      <c r="X267" s="21">
        <f>W267/0.7+K267+T267</f>
        <v>94.5714285714286</v>
      </c>
    </row>
    <row r="268" ht="15.6" hidden="1" spans="1:24">
      <c r="A268" s="6">
        <v>111</v>
      </c>
      <c r="B268" s="29" t="s">
        <v>532</v>
      </c>
      <c r="C268" s="29" t="s">
        <v>11</v>
      </c>
      <c r="D268" s="6">
        <v>2.2</v>
      </c>
      <c r="E268" s="40">
        <f>LOOKUP(D268,{0,-4,-3,-2,-1,0,1,2.4,3.8,5.2,6.6,8,9.4,10.8,12.2,13.6,15,17.2,19.4,21.5,23.6},{0,10,20,30,40,50,60,62,64,66,68,70,72,74,76,78,80,85,90,95,100})</f>
        <v>60</v>
      </c>
      <c r="F268" s="6">
        <v>210</v>
      </c>
      <c r="G268" s="40">
        <f>LOOKUP(F268,{0,170,175,180,185,190,195,199,203,207,211,215,219,223,227,231,235,243,250,255,260},{0,10,20,30,40,50,60,62,64,66,68,70,72,74,76,78,80,85,90,95,100})</f>
        <v>66</v>
      </c>
      <c r="H268" s="6">
        <v>6</v>
      </c>
      <c r="I268" s="40">
        <f>LOOKUP(H268,{0,2,3,4,5,6,7,8,9,10,11,12,13,14,15,16},{0,10,20,30,40,50,60,64,68,72,76,80,85,90,95,100})</f>
        <v>50</v>
      </c>
      <c r="J268" s="7"/>
      <c r="K268" s="7"/>
      <c r="L268" s="7">
        <f>I268+K268</f>
        <v>50</v>
      </c>
      <c r="M268" s="6">
        <v>7.3</v>
      </c>
      <c r="N268" s="43">
        <f>13-M268</f>
        <v>5.7</v>
      </c>
      <c r="O268" s="40">
        <f>LOOKUP(N268,{0,2.5,2.7,2.9,3.1,3.3,3.5,3.7,3.9,4.1,4.3,4.5,4.7,4.9,5.1,5.3,5.5,5.6,5.7,5.8,5.9},{0,10,20,30,40,50,60,62,64,66,68,70,72,74,76,78,80,85,90,95,100})</f>
        <v>90</v>
      </c>
      <c r="P268" s="6">
        <v>3.29</v>
      </c>
      <c r="Q268" s="6">
        <f>10-P268</f>
        <v>6.71</v>
      </c>
      <c r="R268" s="40">
        <f>LOOKUP(Q268,{0,3.75,3.95,4.55,4.75,4.95,5.55,5.6,5.65,5.7,5.75,5.8,5.85,5.9,5.95,6,6.45,6.53,6.6,6.65,6.7},{0,10,20,30,40,50,60,62,64,66,68,70,72,74,76,78,80,85,90,95,100})</f>
        <v>100</v>
      </c>
      <c r="S268" s="7">
        <f>3.3-P268</f>
        <v>0.00999999999999979</v>
      </c>
      <c r="T268" s="40">
        <f>LOOKUP(S268,{0,0.04,0.08,0.12,0.16,0.2,0.23,0.26,0.29,0.32,0.35},{0,1,2,3,4,5,6,7,8,9,10})</f>
        <v>0</v>
      </c>
      <c r="U268" s="7">
        <f>R268+T268</f>
        <v>100</v>
      </c>
      <c r="W268" s="7">
        <f>E268*0.1+G268*0.1+I268*0.1+O268*0.2+R268*0.2</f>
        <v>55.6</v>
      </c>
      <c r="X268" s="21">
        <f>W268/0.7+K268+T268</f>
        <v>79.4285714285714</v>
      </c>
    </row>
    <row r="269" ht="15.6" hidden="1" spans="1:24">
      <c r="A269" s="6">
        <v>102</v>
      </c>
      <c r="B269" s="29" t="s">
        <v>89</v>
      </c>
      <c r="C269" s="29" t="s">
        <v>11</v>
      </c>
      <c r="D269" s="6">
        <v>24</v>
      </c>
      <c r="E269" s="40">
        <f>LOOKUP(D269,{0,-4,-3,-2,-1,0,1,2.4,3.8,5.2,6.6,8,9.4,10.8,12.2,13.6,15,17.2,19.4,21.5,23.6},{0,10,20,30,40,50,60,62,64,66,68,70,72,74,76,78,80,85,90,95,100})</f>
        <v>100</v>
      </c>
      <c r="F269" s="6">
        <v>211</v>
      </c>
      <c r="G269" s="40">
        <f>LOOKUP(F269,{0,170,175,180,185,190,195,199,203,207,211,215,219,223,227,231,235,243,250,255,260},{0,10,20,30,40,50,60,62,64,66,68,70,72,74,76,78,80,85,90,95,100})</f>
        <v>68</v>
      </c>
      <c r="H269" s="6">
        <v>15</v>
      </c>
      <c r="I269" s="40">
        <f>LOOKUP(H269,{0,2,3,4,5,6,7,8,9,10,11,12,13,14,15,16},{0,10,20,30,40,50,60,64,68,72,76,80,85,90,95,100})</f>
        <v>95</v>
      </c>
      <c r="J269" s="7"/>
      <c r="K269" s="7"/>
      <c r="L269" s="7">
        <f>I269+K269</f>
        <v>95</v>
      </c>
      <c r="M269" s="6">
        <v>7.3</v>
      </c>
      <c r="N269" s="43">
        <f>13-M269</f>
        <v>5.7</v>
      </c>
      <c r="O269" s="40">
        <f>LOOKUP(N269,{0,2.5,2.7,2.9,3.1,3.3,3.5,3.7,3.9,4.1,4.3,4.5,4.7,4.9,5.1,5.3,5.5,5.6,5.7,5.8,5.9},{0,10,20,30,40,50,60,62,64,66,68,70,72,74,76,78,80,85,90,95,100})</f>
        <v>90</v>
      </c>
      <c r="P269" s="6">
        <v>3.3</v>
      </c>
      <c r="Q269" s="6">
        <f>10-P269</f>
        <v>6.7</v>
      </c>
      <c r="R269" s="40">
        <f>LOOKUP(Q269,{0,3.75,3.95,4.55,4.75,4.95,5.55,5.6,5.65,5.7,5.75,5.8,5.85,5.9,5.95,6,6.45,6.53,6.6,6.65,6.7},{0,10,20,30,40,50,60,62,64,66,68,70,72,74,76,78,80,85,90,95,100})</f>
        <v>100</v>
      </c>
      <c r="S269" s="7">
        <f>3.3-P269</f>
        <v>0</v>
      </c>
      <c r="T269" s="40">
        <f>LOOKUP(S269,{0,0.04,0.08,0.12,0.16,0.2,0.23,0.26,0.29,0.32,0.35},{0,1,2,3,4,5,6,7,8,9,10})</f>
        <v>0</v>
      </c>
      <c r="U269" s="7">
        <f>R269+T269</f>
        <v>100</v>
      </c>
      <c r="W269" s="7">
        <f>E269*0.1+G269*0.1+I269*0.1+O269*0.2+R269*0.2</f>
        <v>64.3</v>
      </c>
      <c r="X269" s="21">
        <f>W269/0.7+K269+T269</f>
        <v>91.8571428571429</v>
      </c>
    </row>
    <row r="270" s="3" customFormat="1" ht="15.6" hidden="1" spans="1:24">
      <c r="A270" s="6">
        <v>108</v>
      </c>
      <c r="B270" s="29" t="s">
        <v>380</v>
      </c>
      <c r="C270" s="29" t="s">
        <v>11</v>
      </c>
      <c r="D270" s="6">
        <v>17.8</v>
      </c>
      <c r="E270" s="40">
        <f>LOOKUP(D270,{0,-4,-3,-2,-1,0,1,2.4,3.8,5.2,6.6,8,9.4,10.8,12.2,13.6,15,17.2,19.4,21.5,23.6},{0,10,20,30,40,50,60,62,64,66,68,70,72,74,76,78,80,85,90,95,100})</f>
        <v>85</v>
      </c>
      <c r="F270" s="6">
        <v>208</v>
      </c>
      <c r="G270" s="40">
        <f>LOOKUP(F270,{0,170,175,180,185,190,195,199,203,207,211,215,219,223,227,231,235,243,250,255,260},{0,10,20,30,40,50,60,62,64,66,68,70,72,74,76,78,80,85,90,95,100})</f>
        <v>66</v>
      </c>
      <c r="H270" s="6">
        <v>5</v>
      </c>
      <c r="I270" s="40">
        <f>LOOKUP(H270,{0,2,3,4,5,6,7,8,9,10,11,12,13,14,15,16},{0,10,20,30,40,50,60,64,68,72,76,80,85,90,95,100})</f>
        <v>40</v>
      </c>
      <c r="J270" s="7"/>
      <c r="K270" s="7"/>
      <c r="L270" s="7">
        <f>I270+K270</f>
        <v>40</v>
      </c>
      <c r="M270" s="6">
        <v>7.3</v>
      </c>
      <c r="N270" s="43">
        <f>13-M270</f>
        <v>5.7</v>
      </c>
      <c r="O270" s="40">
        <f>LOOKUP(N270,{0,2.5,2.7,2.9,3.1,3.3,3.5,3.7,3.9,4.1,4.3,4.5,4.7,4.9,5.1,5.3,5.5,5.6,5.7,5.8,5.9},{0,10,20,30,40,50,60,62,64,66,68,70,72,74,76,78,80,85,90,95,100})</f>
        <v>90</v>
      </c>
      <c r="P270" s="6">
        <v>3.3</v>
      </c>
      <c r="Q270" s="6">
        <f>10-P270</f>
        <v>6.7</v>
      </c>
      <c r="R270" s="40">
        <f>LOOKUP(Q270,{0,3.75,3.95,4.55,4.75,4.95,5.55,5.6,5.65,5.7,5.75,5.8,5.85,5.9,5.95,6,6.45,6.53,6.6,6.65,6.7},{0,10,20,30,40,50,60,62,64,66,68,70,72,74,76,78,80,85,90,95,100})</f>
        <v>100</v>
      </c>
      <c r="S270" s="7">
        <f>3.3-P270</f>
        <v>0</v>
      </c>
      <c r="T270" s="40">
        <f>LOOKUP(S270,{0,0.04,0.08,0.12,0.16,0.2,0.23,0.26,0.29,0.32,0.35},{0,1,2,3,4,5,6,7,8,9,10})</f>
        <v>0</v>
      </c>
      <c r="U270" s="7">
        <f>R270+T270</f>
        <v>100</v>
      </c>
      <c r="V270" s="6"/>
      <c r="W270" s="7">
        <f>E270*0.1+G270*0.1+I270*0.1+O270*0.2+R270*0.2</f>
        <v>57.1</v>
      </c>
      <c r="X270" s="21">
        <f>W270/0.7+K270+T270</f>
        <v>81.5714285714286</v>
      </c>
    </row>
    <row r="271" ht="15.6" hidden="1" spans="1:24">
      <c r="A271" s="6">
        <v>116</v>
      </c>
      <c r="B271" s="29" t="s">
        <v>802</v>
      </c>
      <c r="C271" s="29" t="s">
        <v>11</v>
      </c>
      <c r="D271" s="6">
        <v>20.5</v>
      </c>
      <c r="E271" s="40">
        <f>LOOKUP(D271,{0,-4,-3,-2,-1,0,1,2.4,3.8,5.2,6.6,8,9.4,10.8,12.2,13.6,15,17.2,19.4,21.5,23.6},{0,10,20,30,40,50,60,62,64,66,68,70,72,74,76,78,80,85,90,95,100})</f>
        <v>90</v>
      </c>
      <c r="F271" s="6">
        <v>250</v>
      </c>
      <c r="G271" s="40">
        <f>LOOKUP(F271,{0,170,175,180,185,190,195,199,203,207,211,215,219,223,227,231,235,243,250,255,260},{0,10,20,30,40,50,60,62,64,66,68,70,72,74,76,78,80,85,90,95,100})</f>
        <v>90</v>
      </c>
      <c r="H271" s="6">
        <v>17</v>
      </c>
      <c r="I271" s="40">
        <f>LOOKUP(H271,{0,2,3,4,5,6,7,8,9,10,11,12,13,14,15,16},{0,10,20,30,40,50,60,64,68,72,76,80,85,90,95,100})</f>
        <v>100</v>
      </c>
      <c r="J271" s="7">
        <f>H271-16</f>
        <v>1</v>
      </c>
      <c r="K271" s="40">
        <f>LOOKUP(J271,{0,1,2,3,4,5,6,7,8,9,10},{0,1,2,3,4,5,6,7,8,9,10})</f>
        <v>1</v>
      </c>
      <c r="L271" s="7">
        <f>I271+K271</f>
        <v>101</v>
      </c>
      <c r="M271" s="6">
        <v>7.3</v>
      </c>
      <c r="N271" s="43">
        <f>13-M271</f>
        <v>5.7</v>
      </c>
      <c r="O271" s="40">
        <f>LOOKUP(N271,{0,2.5,2.7,2.9,3.1,3.3,3.5,3.7,3.9,4.1,4.3,4.5,4.7,4.9,5.1,5.3,5.5,5.6,5.7,5.8,5.9},{0,10,20,30,40,50,60,62,64,66,68,70,72,74,76,78,80,85,90,95,100})</f>
        <v>90</v>
      </c>
      <c r="P271" s="6">
        <v>3.32</v>
      </c>
      <c r="Q271" s="6">
        <f>10-P271</f>
        <v>6.68</v>
      </c>
      <c r="R271" s="40">
        <f>LOOKUP(Q271,{0,3.75,3.95,4.55,4.75,4.95,5.55,5.6,5.65,5.7,5.75,5.8,5.85,5.9,5.95,6,6.45,6.53,6.6,6.65,6.7},{0,10,20,30,40,50,60,62,64,66,68,70,72,74,76,78,80,85,90,95,100})</f>
        <v>95</v>
      </c>
      <c r="S271" s="7"/>
      <c r="T271" s="7"/>
      <c r="U271" s="7">
        <f>R271+T271</f>
        <v>95</v>
      </c>
      <c r="W271" s="7">
        <f>E271*0.1+G271*0.1+I271*0.1+O271*0.2+R271*0.2</f>
        <v>65</v>
      </c>
      <c r="X271" s="21">
        <f>W271/0.7+K271+T271</f>
        <v>93.8571428571429</v>
      </c>
    </row>
    <row r="272" ht="15.6" hidden="1" spans="1:24">
      <c r="A272" s="6">
        <v>115</v>
      </c>
      <c r="B272" s="39" t="s">
        <v>742</v>
      </c>
      <c r="C272" s="29" t="s">
        <v>11</v>
      </c>
      <c r="D272" s="6">
        <v>1</v>
      </c>
      <c r="E272" s="40">
        <f>LOOKUP(D272,{0,-4,-3,-2,-1,0,1,2.4,3.8,5.2,6.6,8,9.4,10.8,12.2,13.6,15,17.2,19.4,21.5,23.6},{0,10,20,30,40,50,60,62,64,66,68,70,72,74,76,78,80,85,90,95,100})</f>
        <v>60</v>
      </c>
      <c r="F272" s="6">
        <v>240</v>
      </c>
      <c r="G272" s="40">
        <f>LOOKUP(F272,{0,170,175,180,185,190,195,199,203,207,211,215,219,223,227,231,235,243,250,255,260},{0,10,20,30,40,50,60,62,64,66,68,70,72,74,76,78,80,85,90,95,100})</f>
        <v>80</v>
      </c>
      <c r="H272" s="6">
        <v>17</v>
      </c>
      <c r="I272" s="40">
        <f>LOOKUP(H272,{0,2,3,4,5,6,7,8,9,10,11,12,13,14,15,16},{0,10,20,30,40,50,60,64,68,72,76,80,85,90,95,100})</f>
        <v>100</v>
      </c>
      <c r="J272" s="7">
        <f>H272-16</f>
        <v>1</v>
      </c>
      <c r="K272" s="40">
        <f>LOOKUP(J272,{0,1,2,3,4,5,6,7,8,9,10},{0,1,2,3,4,5,6,7,8,9,10})</f>
        <v>1</v>
      </c>
      <c r="L272" s="7">
        <f>I272+K272</f>
        <v>101</v>
      </c>
      <c r="M272" s="6">
        <v>7.3</v>
      </c>
      <c r="N272" s="43">
        <f>13-M272</f>
        <v>5.7</v>
      </c>
      <c r="O272" s="40">
        <f>LOOKUP(N272,{0,2.5,2.7,2.9,3.1,3.3,3.5,3.7,3.9,4.1,4.3,4.5,4.7,4.9,5.1,5.3,5.5,5.6,5.7,5.8,5.9},{0,10,20,30,40,50,60,62,64,66,68,70,72,74,76,78,80,85,90,95,100})</f>
        <v>90</v>
      </c>
      <c r="P272" s="6">
        <v>3.33</v>
      </c>
      <c r="Q272" s="6">
        <f>10-P272</f>
        <v>6.67</v>
      </c>
      <c r="R272" s="40">
        <f>LOOKUP(Q272,{0,3.75,3.95,4.55,4.75,4.95,5.55,5.6,5.65,5.7,5.75,5.8,5.85,5.9,5.95,6,6.45,6.53,6.6,6.65,6.7},{0,10,20,30,40,50,60,62,64,66,68,70,72,74,76,78,80,85,90,95,100})</f>
        <v>95</v>
      </c>
      <c r="S272" s="7"/>
      <c r="T272" s="7"/>
      <c r="U272" s="7">
        <f>R272+T272</f>
        <v>95</v>
      </c>
      <c r="W272" s="7">
        <f>E272*0.1+G272*0.1+I272*0.1+O272*0.2+R272*0.2</f>
        <v>61</v>
      </c>
      <c r="X272" s="21">
        <f>W272/0.7+K272+T272</f>
        <v>88.1428571428572</v>
      </c>
    </row>
    <row r="273" ht="15.6" hidden="1" spans="1:24">
      <c r="A273" s="6">
        <v>114</v>
      </c>
      <c r="B273" s="29" t="s">
        <v>697</v>
      </c>
      <c r="C273" s="29" t="s">
        <v>11</v>
      </c>
      <c r="D273" s="6">
        <v>3.5</v>
      </c>
      <c r="E273" s="40">
        <f>LOOKUP(D273,{0,-4,-3,-2,-1,0,1,2.4,3.8,5.2,6.6,8,9.4,10.8,12.2,13.6,15,17.2,19.4,21.5,23.6},{0,10,20,30,40,50,60,62,64,66,68,70,72,74,76,78,80,85,90,95,100})</f>
        <v>62</v>
      </c>
      <c r="F273" s="6">
        <v>237</v>
      </c>
      <c r="G273" s="40">
        <f>LOOKUP(F273,{0,170,175,180,185,190,195,199,203,207,211,215,219,223,227,231,235,243,250,255,260},{0,10,20,30,40,50,60,62,64,66,68,70,72,74,76,78,80,85,90,95,100})</f>
        <v>80</v>
      </c>
      <c r="H273" s="6">
        <v>2</v>
      </c>
      <c r="I273" s="40">
        <f>LOOKUP(H273,{0,2,3,4,5,6,7,8,9,10,11,12,13,14,15,16},{0,10,20,30,40,50,60,64,68,72,76,80,85,90,95,100})</f>
        <v>10</v>
      </c>
      <c r="J273" s="7"/>
      <c r="K273" s="7"/>
      <c r="L273" s="7">
        <f>I273+K273</f>
        <v>10</v>
      </c>
      <c r="M273" s="6">
        <v>7.3</v>
      </c>
      <c r="N273" s="43">
        <f>13-M273</f>
        <v>5.7</v>
      </c>
      <c r="O273" s="40">
        <f>LOOKUP(N273,{0,2.5,2.7,2.9,3.1,3.3,3.5,3.7,3.9,4.1,4.3,4.5,4.7,4.9,5.1,5.3,5.5,5.6,5.7,5.8,5.9},{0,10,20,30,40,50,60,62,64,66,68,70,72,74,76,78,80,85,90,95,100})</f>
        <v>90</v>
      </c>
      <c r="P273" s="6">
        <v>3.35</v>
      </c>
      <c r="Q273" s="6">
        <f>10-P273</f>
        <v>6.65</v>
      </c>
      <c r="R273" s="40">
        <f>LOOKUP(Q273,{0,3.75,3.95,4.55,4.75,4.95,5.55,5.6,5.65,5.7,5.75,5.8,5.85,5.9,5.95,6,6.45,6.53,6.6,6.65,6.7},{0,10,20,30,40,50,60,62,64,66,68,70,72,74,76,78,80,85,90,95,100})</f>
        <v>95</v>
      </c>
      <c r="S273" s="7"/>
      <c r="T273" s="7"/>
      <c r="U273" s="7">
        <f>R273+T273</f>
        <v>95</v>
      </c>
      <c r="W273" s="7">
        <f>E273*0.1+G273*0.1+I273*0.1+O273*0.2+R273*0.2</f>
        <v>52.2</v>
      </c>
      <c r="X273" s="21">
        <f>W273/0.7+K273+T273</f>
        <v>74.5714285714286</v>
      </c>
    </row>
    <row r="274" ht="15.6" hidden="1" spans="1:24">
      <c r="A274" s="6">
        <v>104</v>
      </c>
      <c r="B274" s="29" t="s">
        <v>193</v>
      </c>
      <c r="C274" s="29" t="s">
        <v>11</v>
      </c>
      <c r="D274" s="6">
        <v>13</v>
      </c>
      <c r="E274" s="40">
        <f>LOOKUP(D274,{0,-4,-3,-2,-1,0,1,2.4,3.8,5.2,6.6,8,9.4,10.8,12.2,13.6,15,17.2,19.4,21.5,23.6},{0,10,20,30,40,50,60,62,64,66,68,70,72,74,76,78,80,85,90,95,100})</f>
        <v>76</v>
      </c>
      <c r="F274" s="6">
        <v>220</v>
      </c>
      <c r="G274" s="40">
        <f>LOOKUP(F274,{0,170,175,180,185,190,195,199,203,207,211,215,219,223,227,231,235,243,250,255,260},{0,10,20,30,40,50,60,62,64,66,68,70,72,74,76,78,80,85,90,95,100})</f>
        <v>72</v>
      </c>
      <c r="H274" s="6">
        <v>15</v>
      </c>
      <c r="I274" s="40">
        <f>LOOKUP(H274,{0,2,3,4,5,6,7,8,9,10,11,12,13,14,15,16},{0,10,20,30,40,50,60,64,68,72,76,80,85,90,95,100})</f>
        <v>95</v>
      </c>
      <c r="J274" s="7"/>
      <c r="K274" s="7"/>
      <c r="L274" s="7">
        <f>I274+K274</f>
        <v>95</v>
      </c>
      <c r="M274" s="6">
        <v>7.3</v>
      </c>
      <c r="N274" s="43">
        <f>13-M274</f>
        <v>5.7</v>
      </c>
      <c r="O274" s="40">
        <f>LOOKUP(N274,{0,2.5,2.7,2.9,3.1,3.3,3.5,3.7,3.9,4.1,4.3,4.5,4.7,4.9,5.1,5.3,5.5,5.6,5.7,5.8,5.9},{0,10,20,30,40,50,60,62,64,66,68,70,72,74,76,78,80,85,90,95,100})</f>
        <v>90</v>
      </c>
      <c r="P274" s="6">
        <v>3.36</v>
      </c>
      <c r="Q274" s="6">
        <f>10-P274</f>
        <v>6.64</v>
      </c>
      <c r="R274" s="40">
        <f>LOOKUP(Q274,{0,3.75,3.95,4.55,4.75,4.95,5.55,5.6,5.65,5.7,5.75,5.8,5.85,5.9,5.95,6,6.45,6.53,6.6,6.65,6.7},{0,10,20,30,40,50,60,62,64,66,68,70,72,74,76,78,80,85,90,95,100})</f>
        <v>90</v>
      </c>
      <c r="S274" s="7"/>
      <c r="T274" s="7"/>
      <c r="U274" s="7">
        <f>R274+T274</f>
        <v>90</v>
      </c>
      <c r="W274" s="7">
        <f>E274*0.1+G274*0.1+I274*0.1+O274*0.2+R274*0.2</f>
        <v>60.3</v>
      </c>
      <c r="X274" s="21">
        <f>W274/0.7+K274+T274</f>
        <v>86.1428571428571</v>
      </c>
    </row>
    <row r="275" ht="15.6" hidden="1" spans="1:24">
      <c r="A275" s="6">
        <v>103</v>
      </c>
      <c r="B275" s="29" t="s">
        <v>139</v>
      </c>
      <c r="C275" s="29" t="s">
        <v>11</v>
      </c>
      <c r="D275" s="6">
        <v>18</v>
      </c>
      <c r="E275" s="40">
        <f>LOOKUP(D275,{0,-4,-3,-2,-1,0,1,2.4,3.8,5.2,6.6,8,9.4,10.8,12.2,13.6,15,17.2,19.4,21.5,23.6},{0,10,20,30,40,50,60,62,64,66,68,70,72,74,76,78,80,85,90,95,100})</f>
        <v>85</v>
      </c>
      <c r="F275" s="6">
        <v>232</v>
      </c>
      <c r="G275" s="40">
        <f>LOOKUP(F275,{0,170,175,180,185,190,195,199,203,207,211,215,219,223,227,231,235,243,250,255,260},{0,10,20,30,40,50,60,62,64,66,68,70,72,74,76,78,80,85,90,95,100})</f>
        <v>78</v>
      </c>
      <c r="H275" s="6">
        <v>21</v>
      </c>
      <c r="I275" s="40">
        <f>LOOKUP(H275,{0,2,3,4,5,6,7,8,9,10,11,12,13,14,15,16},{0,10,20,30,40,50,60,64,68,72,76,80,85,90,95,100})</f>
        <v>100</v>
      </c>
      <c r="J275" s="7">
        <f>H275-16</f>
        <v>5</v>
      </c>
      <c r="K275" s="40">
        <f>LOOKUP(J275,{0,1,2,3,4,5,6,7,8,9,10},{0,1,2,3,4,5,6,7,8,9,10})</f>
        <v>5</v>
      </c>
      <c r="L275" s="7">
        <f>I275+K275</f>
        <v>105</v>
      </c>
      <c r="M275" s="6">
        <v>7.3</v>
      </c>
      <c r="N275" s="43">
        <f>13-M275</f>
        <v>5.7</v>
      </c>
      <c r="O275" s="40">
        <f>LOOKUP(N275,{0,2.5,2.7,2.9,3.1,3.3,3.5,3.7,3.9,4.1,4.3,4.5,4.7,4.9,5.1,5.3,5.5,5.6,5.7,5.8,5.9},{0,10,20,30,40,50,60,62,64,66,68,70,72,74,76,78,80,85,90,95,100})</f>
        <v>90</v>
      </c>
      <c r="P275" s="6">
        <v>3.4</v>
      </c>
      <c r="Q275" s="6">
        <f>10-P275</f>
        <v>6.6</v>
      </c>
      <c r="R275" s="40">
        <f>LOOKUP(Q275,{0,3.75,3.95,4.55,4.75,4.95,5.55,5.6,5.65,5.7,5.75,5.8,5.85,5.9,5.95,6,6.45,6.53,6.6,6.65,6.7},{0,10,20,30,40,50,60,62,64,66,68,70,72,74,76,78,80,85,90,95,100})</f>
        <v>90</v>
      </c>
      <c r="S275" s="7"/>
      <c r="T275" s="7"/>
      <c r="U275" s="7">
        <f>R275+T275</f>
        <v>90</v>
      </c>
      <c r="W275" s="7">
        <f>E275*0.1+G275*0.1+I275*0.1+O275*0.2+R275*0.2</f>
        <v>62.3</v>
      </c>
      <c r="X275" s="21">
        <f>W275/0.7+K275+T275</f>
        <v>94</v>
      </c>
    </row>
    <row r="276" ht="15.6" hidden="1" spans="1:24">
      <c r="A276" s="6">
        <v>101</v>
      </c>
      <c r="B276" s="39" t="s">
        <v>10</v>
      </c>
      <c r="C276" s="29" t="s">
        <v>11</v>
      </c>
      <c r="D276" s="6">
        <v>5</v>
      </c>
      <c r="E276" s="40">
        <f>LOOKUP(D276,{0,-4,-3,-2,-1,0,1,2.4,3.8,5.2,6.6,8,9.4,10.8,12.2,13.6,15,17.2,19.4,21.5,23.6},{0,10,20,30,40,50,60,62,64,66,68,70,72,74,76,78,80,85,90,95,100})</f>
        <v>64</v>
      </c>
      <c r="F276" s="6">
        <v>260</v>
      </c>
      <c r="G276" s="40">
        <f>LOOKUP(F276,{0,170,175,180,185,190,195,199,203,207,211,215,219,223,227,231,235,243,250,255,260},{0,10,20,30,40,50,60,62,64,66,68,70,72,74,76,78,80,85,90,95,100})</f>
        <v>100</v>
      </c>
      <c r="H276" s="6">
        <v>15</v>
      </c>
      <c r="I276" s="40">
        <f>LOOKUP(H276,{0,2,3,4,5,6,7,8,9,10,11,12,13,14,15,16},{0,10,20,30,40,50,60,64,68,72,76,80,85,90,95,100})</f>
        <v>95</v>
      </c>
      <c r="J276" s="7"/>
      <c r="K276" s="7"/>
      <c r="L276" s="7">
        <f>I276+K276</f>
        <v>95</v>
      </c>
      <c r="M276" s="6">
        <v>7.3</v>
      </c>
      <c r="N276" s="43">
        <f>13-M276</f>
        <v>5.7</v>
      </c>
      <c r="O276" s="40">
        <f>LOOKUP(N276,{0,2.5,2.7,2.9,3.1,3.3,3.5,3.7,3.9,4.1,4.3,4.5,4.7,4.9,5.1,5.3,5.5,5.6,5.7,5.8,5.9},{0,10,20,30,40,50,60,62,64,66,68,70,72,74,76,78,80,85,90,95,100})</f>
        <v>90</v>
      </c>
      <c r="P276" s="6">
        <v>3.41</v>
      </c>
      <c r="Q276" s="6">
        <f>10-P276</f>
        <v>6.59</v>
      </c>
      <c r="R276" s="40">
        <f>LOOKUP(Q276,{0,3.75,3.95,4.55,4.75,4.95,5.55,5.6,5.65,5.7,5.75,5.8,5.85,5.9,5.95,6,6.45,6.53,6.6,6.65,6.7},{0,10,20,30,40,50,60,62,64,66,68,70,72,74,76,78,80,85,90,95,100})</f>
        <v>85</v>
      </c>
      <c r="S276" s="7"/>
      <c r="T276" s="7"/>
      <c r="U276" s="7">
        <f>R276+T276</f>
        <v>85</v>
      </c>
      <c r="W276" s="7">
        <f>E276*0.1+G276*0.1+I276*0.1+O276*0.2+R276*0.2</f>
        <v>60.9</v>
      </c>
      <c r="X276" s="21">
        <f>W276/0.7+K276+T276</f>
        <v>87</v>
      </c>
    </row>
    <row r="277" ht="15.6" hidden="1" spans="1:24">
      <c r="A277" s="6">
        <v>102</v>
      </c>
      <c r="B277" s="29" t="s">
        <v>73</v>
      </c>
      <c r="C277" s="29" t="s">
        <v>11</v>
      </c>
      <c r="D277" s="6">
        <v>10</v>
      </c>
      <c r="E277" s="40">
        <f>LOOKUP(D277,{0,-4,-3,-2,-1,0,1,2.4,3.8,5.2,6.6,8,9.4,10.8,12.2,13.6,15,17.2,19.4,21.5,23.6},{0,10,20,30,40,50,60,62,64,66,68,70,72,74,76,78,80,85,90,95,100})</f>
        <v>72</v>
      </c>
      <c r="F277" s="6">
        <v>231</v>
      </c>
      <c r="G277" s="40">
        <f>LOOKUP(F277,{0,170,175,180,185,190,195,199,203,207,211,215,219,223,227,231,235,243,250,255,260},{0,10,20,30,40,50,60,62,64,66,68,70,72,74,76,78,80,85,90,95,100})</f>
        <v>78</v>
      </c>
      <c r="H277" s="6">
        <v>13</v>
      </c>
      <c r="I277" s="40">
        <f>LOOKUP(H277,{0,2,3,4,5,6,7,8,9,10,11,12,13,14,15,16},{0,10,20,30,40,50,60,64,68,72,76,80,85,90,95,100})</f>
        <v>85</v>
      </c>
      <c r="J277" s="7"/>
      <c r="K277" s="7"/>
      <c r="L277" s="7">
        <f>I277+K277</f>
        <v>85</v>
      </c>
      <c r="M277" s="6">
        <v>7.3</v>
      </c>
      <c r="N277" s="43">
        <f>13-M277</f>
        <v>5.7</v>
      </c>
      <c r="O277" s="40">
        <f>LOOKUP(N277,{0,2.5,2.7,2.9,3.1,3.3,3.5,3.7,3.9,4.1,4.3,4.5,4.7,4.9,5.1,5.3,5.5,5.6,5.7,5.8,5.9},{0,10,20,30,40,50,60,62,64,66,68,70,72,74,76,78,80,85,90,95,100})</f>
        <v>90</v>
      </c>
      <c r="P277" s="6">
        <v>3.41</v>
      </c>
      <c r="Q277" s="6">
        <f>10-P277</f>
        <v>6.59</v>
      </c>
      <c r="R277" s="40">
        <f>LOOKUP(Q277,{0,3.75,3.95,4.55,4.75,4.95,5.55,5.6,5.65,5.7,5.75,5.8,5.85,5.9,5.95,6,6.45,6.53,6.6,6.65,6.7},{0,10,20,30,40,50,60,62,64,66,68,70,72,74,76,78,80,85,90,95,100})</f>
        <v>85</v>
      </c>
      <c r="S277" s="7"/>
      <c r="T277" s="7"/>
      <c r="U277" s="7">
        <f>R277+T277</f>
        <v>85</v>
      </c>
      <c r="W277" s="7">
        <f>E277*0.1+G277*0.1+I277*0.1+O277*0.2+R277*0.2</f>
        <v>58.5</v>
      </c>
      <c r="X277" s="21">
        <f>W277/0.7+K277+T277</f>
        <v>83.5714285714286</v>
      </c>
    </row>
    <row r="278" ht="15.6" hidden="1" spans="1:24">
      <c r="A278" s="6">
        <v>104</v>
      </c>
      <c r="B278" s="39" t="s">
        <v>189</v>
      </c>
      <c r="C278" s="29" t="s">
        <v>11</v>
      </c>
      <c r="D278" s="6">
        <v>5.5</v>
      </c>
      <c r="E278" s="40">
        <f>LOOKUP(D278,{0,-4,-3,-2,-1,0,1,2.4,3.8,5.2,6.6,8,9.4,10.8,12.2,13.6,15,17.2,19.4,21.5,23.6},{0,10,20,30,40,50,60,62,64,66,68,70,72,74,76,78,80,85,90,95,100})</f>
        <v>66</v>
      </c>
      <c r="F278" s="6">
        <v>218</v>
      </c>
      <c r="G278" s="40">
        <f>LOOKUP(F278,{0,170,175,180,185,190,195,199,203,207,211,215,219,223,227,231,235,243,250,255,260},{0,10,20,30,40,50,60,62,64,66,68,70,72,74,76,78,80,85,90,95,100})</f>
        <v>70</v>
      </c>
      <c r="H278" s="6">
        <v>21</v>
      </c>
      <c r="I278" s="40">
        <f>LOOKUP(H278,{0,2,3,4,5,6,7,8,9,10,11,12,13,14,15,16},{0,10,20,30,40,50,60,64,68,72,76,80,85,90,95,100})</f>
        <v>100</v>
      </c>
      <c r="J278" s="7">
        <f>H278-16</f>
        <v>5</v>
      </c>
      <c r="K278" s="40">
        <f>LOOKUP(J278,{0,1,2,3,4,5,6,7,8,9,10},{0,1,2,3,4,5,6,7,8,9,10})</f>
        <v>5</v>
      </c>
      <c r="L278" s="7">
        <f>I278+K278</f>
        <v>105</v>
      </c>
      <c r="M278" s="6">
        <v>7.3</v>
      </c>
      <c r="N278" s="43">
        <f>13-M278</f>
        <v>5.7</v>
      </c>
      <c r="O278" s="40">
        <f>LOOKUP(N278,{0,2.5,2.7,2.9,3.1,3.3,3.5,3.7,3.9,4.1,4.3,4.5,4.7,4.9,5.1,5.3,5.5,5.6,5.7,5.8,5.9},{0,10,20,30,40,50,60,62,64,66,68,70,72,74,76,78,80,85,90,95,100})</f>
        <v>90</v>
      </c>
      <c r="P278" s="6">
        <v>3.42</v>
      </c>
      <c r="Q278" s="6">
        <f>10-P278</f>
        <v>6.58</v>
      </c>
      <c r="R278" s="40">
        <f>LOOKUP(Q278,{0,3.75,3.95,4.55,4.75,4.95,5.55,5.6,5.65,5.7,5.75,5.8,5.85,5.9,5.95,6,6.45,6.53,6.6,6.65,6.7},{0,10,20,30,40,50,60,62,64,66,68,70,72,74,76,78,80,85,90,95,100})</f>
        <v>85</v>
      </c>
      <c r="S278" s="7"/>
      <c r="T278" s="7"/>
      <c r="U278" s="7">
        <f>R278+T278</f>
        <v>85</v>
      </c>
      <c r="W278" s="7">
        <f>E278*0.1+G278*0.1+I278*0.1+O278*0.2+R278*0.2</f>
        <v>58.6</v>
      </c>
      <c r="X278" s="21">
        <f>W278/0.7+K278+T278</f>
        <v>88.7142857142857</v>
      </c>
    </row>
    <row r="279" ht="15.6" hidden="1" spans="1:24">
      <c r="A279" s="6">
        <v>109</v>
      </c>
      <c r="B279" s="29" t="s">
        <v>406</v>
      </c>
      <c r="C279" s="29" t="s">
        <v>11</v>
      </c>
      <c r="D279" s="6">
        <v>13.7</v>
      </c>
      <c r="E279" s="40">
        <f>LOOKUP(D279,{0,-4,-3,-2,-1,0,1,2.4,3.8,5.2,6.6,8,9.4,10.8,12.2,13.6,15,17.2,19.4,21.5,23.6},{0,10,20,30,40,50,60,62,64,66,68,70,72,74,76,78,80,85,90,95,100})</f>
        <v>78</v>
      </c>
      <c r="F279" s="6">
        <v>235</v>
      </c>
      <c r="G279" s="40">
        <f>LOOKUP(F279,{0,170,175,180,185,190,195,199,203,207,211,215,219,223,227,231,235,243,250,255,260},{0,10,20,30,40,50,60,62,64,66,68,70,72,74,76,78,80,85,90,95,100})</f>
        <v>80</v>
      </c>
      <c r="H279" s="6">
        <v>21</v>
      </c>
      <c r="I279" s="40">
        <f>LOOKUP(H279,{0,2,3,4,5,6,7,8,9,10,11,12,13,14,15,16},{0,10,20,30,40,50,60,64,68,72,76,80,85,90,95,100})</f>
        <v>100</v>
      </c>
      <c r="J279" s="7">
        <f>H279-16</f>
        <v>5</v>
      </c>
      <c r="K279" s="40">
        <f>LOOKUP(J279,{0,1,2,3,4,5,6,7,8,9,10},{0,1,2,3,4,5,6,7,8,9,10})</f>
        <v>5</v>
      </c>
      <c r="L279" s="7">
        <f>I279+K279</f>
        <v>105</v>
      </c>
      <c r="M279" s="6">
        <v>7.3</v>
      </c>
      <c r="N279" s="43">
        <f>13-M279</f>
        <v>5.7</v>
      </c>
      <c r="O279" s="40">
        <f>LOOKUP(N279,{0,2.5,2.7,2.9,3.1,3.3,3.5,3.7,3.9,4.1,4.3,4.5,4.7,4.9,5.1,5.3,5.5,5.6,5.7,5.8,5.9},{0,10,20,30,40,50,60,62,64,66,68,70,72,74,76,78,80,85,90,95,100})</f>
        <v>90</v>
      </c>
      <c r="P279" s="6">
        <v>3.5</v>
      </c>
      <c r="Q279" s="6">
        <f>10-P279</f>
        <v>6.5</v>
      </c>
      <c r="R279" s="40">
        <f>LOOKUP(Q279,{0,3.75,3.95,4.55,4.75,4.95,5.55,5.6,5.65,5.7,5.75,5.8,5.85,5.9,5.95,6,6.45,6.53,6.6,6.65,6.7},{0,10,20,30,40,50,60,62,64,66,68,70,72,74,76,78,80,85,90,95,100})</f>
        <v>80</v>
      </c>
      <c r="S279" s="7"/>
      <c r="T279" s="7"/>
      <c r="U279" s="7">
        <f>R279+T279</f>
        <v>80</v>
      </c>
      <c r="W279" s="7">
        <f>E279*0.1+G279*0.1+I279*0.1+O279*0.2+R279*0.2</f>
        <v>59.8</v>
      </c>
      <c r="X279" s="21">
        <f>W279/0.7+K279+T279</f>
        <v>90.4285714285714</v>
      </c>
    </row>
    <row r="280" ht="15.6" hidden="1" spans="1:24">
      <c r="A280" s="6">
        <v>108</v>
      </c>
      <c r="B280" s="29" t="s">
        <v>366</v>
      </c>
      <c r="C280" s="29" t="s">
        <v>11</v>
      </c>
      <c r="D280" s="6">
        <v>13.4</v>
      </c>
      <c r="E280" s="40">
        <f>LOOKUP(D280,{0,-4,-3,-2,-1,0,1,2.4,3.8,5.2,6.6,8,9.4,10.8,12.2,13.6,15,17.2,19.4,21.5,23.6},{0,10,20,30,40,50,60,62,64,66,68,70,72,74,76,78,80,85,90,95,100})</f>
        <v>76</v>
      </c>
      <c r="F280" s="6">
        <v>223</v>
      </c>
      <c r="G280" s="40">
        <f>LOOKUP(F280,{0,170,175,180,185,190,195,199,203,207,211,215,219,223,227,231,235,243,250,255,260},{0,10,20,30,40,50,60,62,64,66,68,70,72,74,76,78,80,85,90,95,100})</f>
        <v>74</v>
      </c>
      <c r="H280" s="6">
        <v>6</v>
      </c>
      <c r="I280" s="40">
        <f>LOOKUP(H280,{0,2,3,4,5,6,7,8,9,10,11,12,13,14,15,16},{0,10,20,30,40,50,60,64,68,72,76,80,85,90,95,100})</f>
        <v>50</v>
      </c>
      <c r="J280" s="7"/>
      <c r="K280" s="7"/>
      <c r="L280" s="7">
        <f>I280+K280</f>
        <v>50</v>
      </c>
      <c r="M280" s="6">
        <v>7.3</v>
      </c>
      <c r="N280" s="43">
        <f>13-M280</f>
        <v>5.7</v>
      </c>
      <c r="O280" s="40">
        <f>LOOKUP(N280,{0,2.5,2.7,2.9,3.1,3.3,3.5,3.7,3.9,4.1,4.3,4.5,4.7,4.9,5.1,5.3,5.5,5.6,5.7,5.8,5.9},{0,10,20,30,40,50,60,62,64,66,68,70,72,74,76,78,80,85,90,95,100})</f>
        <v>90</v>
      </c>
      <c r="P280" s="6">
        <v>3.5</v>
      </c>
      <c r="Q280" s="6">
        <f>10-P280</f>
        <v>6.5</v>
      </c>
      <c r="R280" s="40">
        <f>LOOKUP(Q280,{0,3.75,3.95,4.55,4.75,4.95,5.55,5.6,5.65,5.7,5.75,5.8,5.85,5.9,5.95,6,6.45,6.53,6.6,6.65,6.7},{0,10,20,30,40,50,60,62,64,66,68,70,72,74,76,78,80,85,90,95,100})</f>
        <v>80</v>
      </c>
      <c r="S280" s="7"/>
      <c r="T280" s="7"/>
      <c r="U280" s="7">
        <f>R280+T280</f>
        <v>80</v>
      </c>
      <c r="W280" s="7">
        <f>E280*0.1+G280*0.1+I280*0.1+O280*0.2+R280*0.2</f>
        <v>54</v>
      </c>
      <c r="X280" s="21">
        <f>W280/0.7+K280+T280</f>
        <v>77.1428571428572</v>
      </c>
    </row>
    <row r="281" s="3" customFormat="1" ht="15.6" hidden="1" spans="1:24">
      <c r="A281" s="6">
        <v>111</v>
      </c>
      <c r="B281" s="29" t="s">
        <v>537</v>
      </c>
      <c r="C281" s="29" t="s">
        <v>11</v>
      </c>
      <c r="D281" s="6">
        <v>6.3</v>
      </c>
      <c r="E281" s="40">
        <f>LOOKUP(D281,{0,-4,-3,-2,-1,0,1,2.4,3.8,5.2,6.6,8,9.4,10.8,12.2,13.6,15,17.2,19.4,21.5,23.6},{0,10,20,30,40,50,60,62,64,66,68,70,72,74,76,78,80,85,90,95,100})</f>
        <v>66</v>
      </c>
      <c r="F281" s="6">
        <v>255</v>
      </c>
      <c r="G281" s="40">
        <f>LOOKUP(F281,{0,170,175,180,185,190,195,199,203,207,211,215,219,223,227,231,235,243,250,255,260},{0,10,20,30,40,50,60,62,64,66,68,70,72,74,76,78,80,85,90,95,100})</f>
        <v>95</v>
      </c>
      <c r="H281" s="6">
        <v>16</v>
      </c>
      <c r="I281" s="40">
        <f>LOOKUP(H281,{0,2,3,4,5,6,7,8,9,10,11,12,13,14,15,16},{0,10,20,30,40,50,60,64,68,72,76,80,85,90,95,100})</f>
        <v>100</v>
      </c>
      <c r="J281" s="7">
        <f>H281-16</f>
        <v>0</v>
      </c>
      <c r="K281" s="40">
        <f>LOOKUP(J281,{0,1,2,3,4,5,6,7,8,9,10},{0,1,2,3,4,5,6,7,8,9,10})</f>
        <v>0</v>
      </c>
      <c r="L281" s="7">
        <f>I281+K281</f>
        <v>100</v>
      </c>
      <c r="M281" s="6">
        <v>7.3</v>
      </c>
      <c r="N281" s="43">
        <f>13-M281</f>
        <v>5.7</v>
      </c>
      <c r="O281" s="40">
        <f>LOOKUP(N281,{0,2.5,2.7,2.9,3.1,3.3,3.5,3.7,3.9,4.1,4.3,4.5,4.7,4.9,5.1,5.3,5.5,5.6,5.7,5.8,5.9},{0,10,20,30,40,50,60,62,64,66,68,70,72,74,76,78,80,85,90,95,100})</f>
        <v>90</v>
      </c>
      <c r="P281" s="6">
        <v>3.52</v>
      </c>
      <c r="Q281" s="6">
        <f>10-P281</f>
        <v>6.48</v>
      </c>
      <c r="R281" s="40">
        <f>LOOKUP(Q281,{0,3.75,3.95,4.55,4.75,4.95,5.55,5.6,5.65,5.7,5.75,5.8,5.85,5.9,5.95,6,6.45,6.53,6.6,6.65,6.7},{0,10,20,30,40,50,60,62,64,66,68,70,72,74,76,78,80,85,90,95,100})</f>
        <v>80</v>
      </c>
      <c r="S281" s="7"/>
      <c r="T281" s="7"/>
      <c r="U281" s="7">
        <f>R281+T281</f>
        <v>80</v>
      </c>
      <c r="V281" s="6"/>
      <c r="W281" s="7">
        <f>E281*0.1+G281*0.1+I281*0.1+O281*0.2+R281*0.2</f>
        <v>60.1</v>
      </c>
      <c r="X281" s="21">
        <f>W281/0.7+K281+T281</f>
        <v>85.8571428571429</v>
      </c>
    </row>
    <row r="282" ht="15.6" hidden="1" spans="1:24">
      <c r="A282" s="6">
        <v>103</v>
      </c>
      <c r="B282" s="29" t="s">
        <v>146</v>
      </c>
      <c r="C282" s="29" t="s">
        <v>11</v>
      </c>
      <c r="D282" s="6">
        <v>3</v>
      </c>
      <c r="E282" s="40">
        <f>LOOKUP(D282,{0,-4,-3,-2,-1,0,1,2.4,3.8,5.2,6.6,8,9.4,10.8,12.2,13.6,15,17.2,19.4,21.5,23.6},{0,10,20,30,40,50,60,62,64,66,68,70,72,74,76,78,80,85,90,95,100})</f>
        <v>62</v>
      </c>
      <c r="F282" s="6">
        <v>235</v>
      </c>
      <c r="G282" s="40">
        <f>LOOKUP(F282,{0,170,175,180,185,190,195,199,203,207,211,215,219,223,227,231,235,243,250,255,260},{0,10,20,30,40,50,60,62,64,66,68,70,72,74,76,78,80,85,90,95,100})</f>
        <v>80</v>
      </c>
      <c r="H282" s="6">
        <v>7</v>
      </c>
      <c r="I282" s="40">
        <f>LOOKUP(H282,{0,2,3,4,5,6,7,8,9,10,11,12,13,14,15,16},{0,10,20,30,40,50,60,64,68,72,76,80,85,90,95,100})</f>
        <v>60</v>
      </c>
      <c r="J282" s="7"/>
      <c r="K282" s="7"/>
      <c r="L282" s="7">
        <f>I282+K282</f>
        <v>60</v>
      </c>
      <c r="M282" s="6">
        <v>7.3</v>
      </c>
      <c r="N282" s="43">
        <f>13-M282</f>
        <v>5.7</v>
      </c>
      <c r="O282" s="40">
        <f>LOOKUP(N282,{0,2.5,2.7,2.9,3.1,3.3,3.5,3.7,3.9,4.1,4.3,4.5,4.7,4.9,5.1,5.3,5.5,5.6,5.7,5.8,5.9},{0,10,20,30,40,50,60,62,64,66,68,70,72,74,76,78,80,85,90,95,100})</f>
        <v>90</v>
      </c>
      <c r="P282" s="6">
        <v>3.53</v>
      </c>
      <c r="Q282" s="6">
        <f>10-P282</f>
        <v>6.47</v>
      </c>
      <c r="R282" s="40">
        <f>LOOKUP(Q282,{0,3.75,3.95,4.55,4.75,4.95,5.55,5.6,5.65,5.7,5.75,5.8,5.85,5.9,5.95,6,6.45,6.53,6.6,6.65,6.7},{0,10,20,30,40,50,60,62,64,66,68,70,72,74,76,78,80,85,90,95,100})</f>
        <v>80</v>
      </c>
      <c r="S282" s="7"/>
      <c r="T282" s="7"/>
      <c r="U282" s="7">
        <f>R282+T282</f>
        <v>80</v>
      </c>
      <c r="W282" s="7">
        <f>E282*0.1+G282*0.1+I282*0.1+O282*0.2+R282*0.2</f>
        <v>54.2</v>
      </c>
      <c r="X282" s="21">
        <f>W282/0.7+K282+T282</f>
        <v>77.4285714285714</v>
      </c>
    </row>
    <row r="283" ht="15.6" hidden="1" spans="1:24">
      <c r="A283" s="6">
        <v>107</v>
      </c>
      <c r="B283" s="29" t="s">
        <v>315</v>
      </c>
      <c r="C283" s="29" t="s">
        <v>11</v>
      </c>
      <c r="D283" s="6">
        <v>4.1</v>
      </c>
      <c r="E283" s="40">
        <f>LOOKUP(D283,{0,-4,-3,-2,-1,0,1,2.4,3.8,5.2,6.6,8,9.4,10.8,12.2,13.6,15,17.2,19.4,21.5,23.6},{0,10,20,30,40,50,60,62,64,66,68,70,72,74,76,78,80,85,90,95,100})</f>
        <v>64</v>
      </c>
      <c r="F283" s="6">
        <v>195</v>
      </c>
      <c r="G283" s="40">
        <f>LOOKUP(F283,{0,170,175,180,185,190,195,199,203,207,211,215,219,223,227,231,235,243,250,255,260},{0,10,20,30,40,50,60,62,64,66,68,70,72,74,76,78,80,85,90,95,100})</f>
        <v>60</v>
      </c>
      <c r="H283" s="6">
        <v>10</v>
      </c>
      <c r="I283" s="40">
        <f>LOOKUP(H283,{0,2,3,4,5,6,7,8,9,10,11,12,13,14,15,16},{0,10,20,30,40,50,60,64,68,72,76,80,85,90,95,100})</f>
        <v>72</v>
      </c>
      <c r="J283" s="7"/>
      <c r="K283" s="7"/>
      <c r="L283" s="7">
        <f>I283+K283</f>
        <v>72</v>
      </c>
      <c r="M283" s="6">
        <v>7.3</v>
      </c>
      <c r="N283" s="43">
        <f>13-M283</f>
        <v>5.7</v>
      </c>
      <c r="O283" s="40">
        <f>LOOKUP(N283,{0,2.5,2.7,2.9,3.1,3.3,3.5,3.7,3.9,4.1,4.3,4.5,4.7,4.9,5.1,5.3,5.5,5.6,5.7,5.8,5.9},{0,10,20,30,40,50,60,62,64,66,68,70,72,74,76,78,80,85,90,95,100})</f>
        <v>90</v>
      </c>
      <c r="P283" s="6">
        <v>3.54</v>
      </c>
      <c r="Q283" s="6">
        <f>10-P283</f>
        <v>6.46</v>
      </c>
      <c r="R283" s="40">
        <f>LOOKUP(Q283,{0,3.75,3.95,4.55,4.75,4.95,5.55,5.6,5.65,5.7,5.75,5.8,5.85,5.9,5.95,6,6.45,6.53,6.6,6.65,6.7},{0,10,20,30,40,50,60,62,64,66,68,70,72,74,76,78,80,85,90,95,100})</f>
        <v>80</v>
      </c>
      <c r="S283" s="7"/>
      <c r="T283" s="7"/>
      <c r="U283" s="7">
        <f>R283+T283</f>
        <v>80</v>
      </c>
      <c r="W283" s="7">
        <f>E283*0.1+G283*0.1+I283*0.1+O283*0.2+R283*0.2</f>
        <v>53.6</v>
      </c>
      <c r="X283" s="21">
        <f>W283/0.7+K283+T283</f>
        <v>76.5714285714286</v>
      </c>
    </row>
    <row r="284" ht="15.6" hidden="1" spans="1:24">
      <c r="A284" s="6">
        <v>111</v>
      </c>
      <c r="B284" s="29" t="s">
        <v>530</v>
      </c>
      <c r="C284" s="29" t="s">
        <v>11</v>
      </c>
      <c r="D284" s="6">
        <v>1</v>
      </c>
      <c r="E284" s="40">
        <f>LOOKUP(D284,{0,-4,-3,-2,-1,0,1,2.4,3.8,5.2,6.6,8,9.4,10.8,12.2,13.6,15,17.2,19.4,21.5,23.6},{0,10,20,30,40,50,60,62,64,66,68,70,72,74,76,78,80,85,90,95,100})</f>
        <v>60</v>
      </c>
      <c r="F284" s="6">
        <v>210</v>
      </c>
      <c r="G284" s="40">
        <f>LOOKUP(F284,{0,170,175,180,185,190,195,199,203,207,211,215,219,223,227,231,235,243,250,255,260},{0,10,20,30,40,50,60,62,64,66,68,70,72,74,76,78,80,85,90,95,100})</f>
        <v>66</v>
      </c>
      <c r="H284" s="6">
        <v>0</v>
      </c>
      <c r="I284" s="40">
        <f>LOOKUP(H284,{0,2,3,4,5,6,7,8,9,10,11,12,13,14,15,16},{0,10,20,30,40,50,60,64,68,72,76,80,85,90,95,100})</f>
        <v>0</v>
      </c>
      <c r="J284" s="7"/>
      <c r="K284" s="7"/>
      <c r="L284" s="7">
        <f>I284+K284</f>
        <v>0</v>
      </c>
      <c r="M284" s="6">
        <v>7.3</v>
      </c>
      <c r="N284" s="43">
        <f>13-M284</f>
        <v>5.7</v>
      </c>
      <c r="O284" s="40">
        <f>LOOKUP(N284,{0,2.5,2.7,2.9,3.1,3.3,3.5,3.7,3.9,4.1,4.3,4.5,4.7,4.9,5.1,5.3,5.5,5.6,5.7,5.8,5.9},{0,10,20,30,40,50,60,62,64,66,68,70,72,74,76,78,80,85,90,95,100})</f>
        <v>90</v>
      </c>
      <c r="P284" s="6">
        <v>3.55</v>
      </c>
      <c r="Q284" s="6">
        <f>10-P284</f>
        <v>6.45</v>
      </c>
      <c r="R284" s="40">
        <f>LOOKUP(Q284,{0,3.75,3.95,4.55,4.75,4.95,5.55,5.6,5.65,5.7,5.75,5.8,5.85,5.9,5.95,6,6.45,6.53,6.6,6.65,6.7},{0,10,20,30,40,50,60,62,64,66,68,70,72,74,76,78,80,85,90,95,100})</f>
        <v>80</v>
      </c>
      <c r="S284" s="7"/>
      <c r="T284" s="7"/>
      <c r="U284" s="7">
        <f>R284+T284</f>
        <v>80</v>
      </c>
      <c r="W284" s="7">
        <f>E284*0.1+G284*0.1+I284*0.1+O284*0.2+R284*0.2</f>
        <v>46.6</v>
      </c>
      <c r="X284" s="21">
        <f>W284/0.7+K284+T284</f>
        <v>66.5714285714286</v>
      </c>
    </row>
    <row r="285" ht="15.6" spans="1:24">
      <c r="A285" s="6">
        <v>101</v>
      </c>
      <c r="B285" s="29" t="s">
        <v>49</v>
      </c>
      <c r="C285" s="29" t="s">
        <v>46</v>
      </c>
      <c r="D285" s="6">
        <v>18.17</v>
      </c>
      <c r="E285" s="40">
        <f>LOOKUP(D285,{0,0.4,1.2,2,2.8,3.6,4.4,5.7,7,8.3,9.6,10.9,12.2,13.5,14.8,16.1,17.4,19.1,20.8,22.5,24.2},{0,10,20,30,40,50,60,62,64,66,68,70,72,74,76,78,80,85,90,95,100})</f>
        <v>80</v>
      </c>
      <c r="F285" s="6">
        <v>170</v>
      </c>
      <c r="G285" s="40">
        <f>LOOKUP(F285,{0,123,128,133,138,143,148,151,154,157,160,163,166,169,172,175,178,185,192,198,204},{0,10,20,30,40,50,60,62,64,66,68,70,72,74,76,78,80,85,90,95,100})</f>
        <v>74</v>
      </c>
      <c r="H285" s="6">
        <v>46</v>
      </c>
      <c r="I285" s="40">
        <f>LOOKUP(H285,{0,13,15,17,19,21,23,25,27,29,31,33,35,37,39,41,43,46,49,51,53},{0,10,20,30,40,50,60,62,64,66,68,70,72,74,76,78,80,85,90,95,100})</f>
        <v>85</v>
      </c>
      <c r="J285" s="45"/>
      <c r="K285" s="45"/>
      <c r="L285" s="7">
        <f>I285+K285</f>
        <v>85</v>
      </c>
      <c r="M285" s="6">
        <v>8.4</v>
      </c>
      <c r="N285" s="43">
        <f>13-M285</f>
        <v>4.6</v>
      </c>
      <c r="O285" s="40">
        <f>LOOKUP(N285,{0,1.4,1.6,1.8,2,2.2,2.4,2.6,2.8,3,3.2,3.4,3.6,3.8,4,4.2,4.4,4.7,5,5.1,5.2},{0,10,20,30,40,50,60,62,64,66,68,70,72,74,76,78,80,85,90,95,100})</f>
        <v>80</v>
      </c>
      <c r="P285" s="6">
        <v>3.24</v>
      </c>
      <c r="Q285" s="6">
        <f>10-P285</f>
        <v>6.76</v>
      </c>
      <c r="R285" s="40">
        <f>LOOKUP(Q285,{0,4.7,4.8,4.9,5,5.5,5.6,5.65,5.7,5.75,5.8,5.85,5.9,5.95,6,6.45,6.5,6.57,6.64,6.7,6.76},{0,10,20,30,40,50,60,62,64,66,68,70,72,74,76,78,80,85,90,95,100})</f>
        <v>100</v>
      </c>
      <c r="S285" s="48">
        <f>3.24-P285</f>
        <v>0</v>
      </c>
      <c r="T285" s="40">
        <f>LOOKUP(S285,{0,0.05,0.1,0.15,0.2,0.25,0.3,0.35,0.4,0.45,0.5},{0,1,2,3,4,5,6,7,8,9,10})</f>
        <v>0</v>
      </c>
      <c r="U285" s="7">
        <f>R285+T285</f>
        <v>100</v>
      </c>
      <c r="W285" s="7">
        <f>E285*0.1+G285*0.1+I285*0.1+O285*0.2+R285*0.2</f>
        <v>59.9</v>
      </c>
      <c r="X285" s="21">
        <f>W285/0.7+K285+T285</f>
        <v>85.5714285714286</v>
      </c>
    </row>
    <row r="286" ht="15.6" spans="1:24">
      <c r="A286" s="6">
        <v>113</v>
      </c>
      <c r="B286" s="29" t="s">
        <v>668</v>
      </c>
      <c r="C286" s="29" t="s">
        <v>46</v>
      </c>
      <c r="D286" s="6">
        <v>21.5</v>
      </c>
      <c r="E286" s="40">
        <f>LOOKUP(D286,{0,0.4,1.2,2,2.8,3.6,4.4,5.7,7,8.3,9.6,10.9,12.2,13.5,14.8,16.1,17.4,19.1,20.8,22.5,24.2},{0,10,20,30,40,50,60,62,64,66,68,70,72,74,76,78,80,85,90,95,100})</f>
        <v>90</v>
      </c>
      <c r="F286" s="6">
        <v>168</v>
      </c>
      <c r="G286" s="40">
        <f>LOOKUP(F286,{0,123,128,133,138,143,148,151,154,157,160,163,166,169,172,175,178,185,192,198,204},{0,10,20,30,40,50,60,62,64,66,68,70,72,74,76,78,80,85,90,95,100})</f>
        <v>72</v>
      </c>
      <c r="H286" s="6">
        <v>53</v>
      </c>
      <c r="I286" s="40">
        <f>LOOKUP(H286,{0,13,15,17,19,21,23,25,27,29,31,33,35,37,39,41,43,46,49,51,53},{0,10,20,30,40,50,60,62,64,66,68,70,72,74,76,78,80,85,90,95,100})</f>
        <v>100</v>
      </c>
      <c r="J286" s="45">
        <f>H286-53</f>
        <v>0</v>
      </c>
      <c r="K286" s="40">
        <f>LOOKUP(J286,{0,2,4,6,7,8,9,10,11,12,13},{0,1,2,3,4,5,6,7,8,9,10})</f>
        <v>0</v>
      </c>
      <c r="L286" s="7">
        <f>I286+K286</f>
        <v>100</v>
      </c>
      <c r="M286" s="6">
        <v>8.8</v>
      </c>
      <c r="N286" s="43">
        <f>13-M286</f>
        <v>4.2</v>
      </c>
      <c r="O286" s="40">
        <f>LOOKUP(N286,{0,1.4,1.6,1.8,2,2.2,2.4,2.6,2.8,3,3.2,3.4,3.6,3.8,4,4.2,4.4,4.7,5,5.1,5.2},{0,10,20,30,40,50,60,62,64,66,68,70,72,74,76,78,80,85,90,95,100})</f>
        <v>78</v>
      </c>
      <c r="P286" s="6">
        <v>3.31</v>
      </c>
      <c r="Q286" s="6">
        <f>10-P286</f>
        <v>6.69</v>
      </c>
      <c r="R286" s="40">
        <f>LOOKUP(Q286,{0,4.7,4.8,4.9,5,5.5,5.6,5.65,5.7,5.75,5.8,5.85,5.9,5.95,6,6.45,6.5,6.57,6.64,6.7,6.76},{0,10,20,30,40,50,60,62,64,66,68,70,72,74,76,78,80,85,90,95,100})</f>
        <v>90</v>
      </c>
      <c r="S286" s="45"/>
      <c r="T286" s="45"/>
      <c r="U286" s="7">
        <f>R286+T286</f>
        <v>90</v>
      </c>
      <c r="W286" s="7">
        <f>E286*0.1+G286*0.1+I286*0.1+O286*0.2+R286*0.2</f>
        <v>59.8</v>
      </c>
      <c r="X286" s="21">
        <f>W286/0.7+K286+T286</f>
        <v>85.4285714285714</v>
      </c>
    </row>
    <row r="287" ht="15.6" spans="1:24">
      <c r="A287" s="6">
        <v>111</v>
      </c>
      <c r="B287" s="39" t="s">
        <v>556</v>
      </c>
      <c r="C287" s="29" t="s">
        <v>46</v>
      </c>
      <c r="D287" s="6">
        <v>16.5</v>
      </c>
      <c r="E287" s="40">
        <f>LOOKUP(D287,{0,0.4,1.2,2,2.8,3.6,4.4,5.7,7,8.3,9.6,10.9,12.2,13.5,14.8,16.1,17.4,19.1,20.8,22.5,24.2},{0,10,20,30,40,50,60,62,64,66,68,70,72,74,76,78,80,85,90,95,100})</f>
        <v>78</v>
      </c>
      <c r="F287" s="6">
        <v>185</v>
      </c>
      <c r="G287" s="40">
        <f>LOOKUP(F287,{0,123,128,133,138,143,148,151,154,157,160,163,166,169,172,175,178,185,192,198,204},{0,10,20,30,40,50,60,62,64,66,68,70,72,74,76,78,80,85,90,95,100})</f>
        <v>85</v>
      </c>
      <c r="H287" s="6">
        <v>47</v>
      </c>
      <c r="I287" s="40">
        <f>LOOKUP(H287,{0,13,15,17,19,21,23,25,27,29,31,33,35,37,39,41,43,46,49,51,53},{0,10,20,30,40,50,60,62,64,66,68,70,72,74,76,78,80,85,90,95,100})</f>
        <v>85</v>
      </c>
      <c r="J287" s="45"/>
      <c r="K287" s="45"/>
      <c r="L287" s="7">
        <f>I287+K287</f>
        <v>85</v>
      </c>
      <c r="M287" s="6">
        <v>8.2</v>
      </c>
      <c r="N287" s="43">
        <f>13-M287</f>
        <v>4.8</v>
      </c>
      <c r="O287" s="40">
        <f>LOOKUP(N287,{0,1.4,1.6,1.8,2,2.2,2.4,2.6,2.8,3,3.2,3.4,3.6,3.8,4,4.2,4.4,4.7,5,5.1,5.2},{0,10,20,30,40,50,60,62,64,66,68,70,72,74,76,78,80,85,90,95,100})</f>
        <v>85</v>
      </c>
      <c r="P287" s="6">
        <v>3.35</v>
      </c>
      <c r="Q287" s="6">
        <f>10-P287</f>
        <v>6.65</v>
      </c>
      <c r="R287" s="40">
        <f>LOOKUP(Q287,{0,4.7,4.8,4.9,5,5.5,5.6,5.65,5.7,5.75,5.8,5.85,5.9,5.95,6,6.45,6.5,6.57,6.64,6.7,6.76},{0,10,20,30,40,50,60,62,64,66,68,70,72,74,76,78,80,85,90,95,100})</f>
        <v>90</v>
      </c>
      <c r="S287" s="45"/>
      <c r="T287" s="45"/>
      <c r="U287" s="7">
        <f>R287+T287</f>
        <v>90</v>
      </c>
      <c r="W287" s="7">
        <f>E287*0.1+G287*0.1+I287*0.1+O287*0.2+R287*0.2</f>
        <v>59.8</v>
      </c>
      <c r="X287" s="21">
        <f>W287/0.7+K287+T287</f>
        <v>85.4285714285714</v>
      </c>
    </row>
    <row r="288" ht="15.6" spans="1:24">
      <c r="A288" s="6">
        <v>115</v>
      </c>
      <c r="B288" s="29" t="s">
        <v>764</v>
      </c>
      <c r="C288" s="29" t="s">
        <v>46</v>
      </c>
      <c r="D288" s="6">
        <v>15.3</v>
      </c>
      <c r="E288" s="40">
        <f>LOOKUP(D288,{0,0.4,1.2,2,2.8,3.6,4.4,5.7,7,8.3,9.6,10.9,12.2,13.5,14.8,16.1,17.4,19.1,20.8,22.5,24.2},{0,10,20,30,40,50,60,62,64,66,68,70,72,74,76,78,80,85,90,95,100})</f>
        <v>76</v>
      </c>
      <c r="F288" s="6">
        <v>212</v>
      </c>
      <c r="G288" s="40">
        <f>LOOKUP(F288,{0,123,128,133,138,143,148,151,154,157,160,163,166,169,172,175,178,185,192,198,204},{0,10,20,30,40,50,60,62,64,66,68,70,72,74,76,78,80,85,90,95,100})</f>
        <v>100</v>
      </c>
      <c r="H288" s="6">
        <v>33</v>
      </c>
      <c r="I288" s="40">
        <f>LOOKUP(H288,{0,13,15,17,19,21,23,25,27,29,31,33,35,37,39,41,43,46,49,51,53},{0,10,20,30,40,50,60,62,64,66,68,70,72,74,76,78,80,85,90,95,100})</f>
        <v>70</v>
      </c>
      <c r="J288" s="45"/>
      <c r="K288" s="45"/>
      <c r="L288" s="7">
        <f>I288+K288</f>
        <v>70</v>
      </c>
      <c r="M288" s="6">
        <v>8.4</v>
      </c>
      <c r="N288" s="43">
        <f>13-M288</f>
        <v>4.6</v>
      </c>
      <c r="O288" s="40">
        <f>LOOKUP(N288,{0,1.4,1.6,1.8,2,2.2,2.4,2.6,2.8,3,3.2,3.4,3.6,3.8,4,4.2,4.4,4.7,5,5.1,5.2},{0,10,20,30,40,50,60,62,64,66,68,70,72,74,76,78,80,85,90,95,100})</f>
        <v>80</v>
      </c>
      <c r="P288" s="6">
        <v>3.26</v>
      </c>
      <c r="Q288" s="6">
        <f>10-P288</f>
        <v>6.74</v>
      </c>
      <c r="R288" s="40">
        <f>LOOKUP(Q288,{0,4.7,4.8,4.9,5,5.5,5.6,5.65,5.7,5.75,5.8,5.85,5.9,5.95,6,6.45,6.5,6.57,6.64,6.7,6.76},{0,10,20,30,40,50,60,62,64,66,68,70,72,74,76,78,80,85,90,95,100})</f>
        <v>95</v>
      </c>
      <c r="S288" s="45"/>
      <c r="T288" s="45"/>
      <c r="U288" s="7">
        <f>R288+T288</f>
        <v>95</v>
      </c>
      <c r="W288" s="7">
        <f>E288*0.1+G288*0.1+I288*0.1+O288*0.2+R288*0.2</f>
        <v>59.6</v>
      </c>
      <c r="X288" s="21">
        <f>W288/0.7+K288+T288</f>
        <v>85.1428571428572</v>
      </c>
    </row>
    <row r="289" ht="15.6" spans="1:24">
      <c r="A289" s="6">
        <v>115</v>
      </c>
      <c r="B289" s="29" t="s">
        <v>776</v>
      </c>
      <c r="C289" s="29" t="s">
        <v>46</v>
      </c>
      <c r="D289" s="6">
        <v>18</v>
      </c>
      <c r="E289" s="40">
        <f>LOOKUP(D289,{0,0.4,1.2,2,2.8,3.6,4.4,5.7,7,8.3,9.6,10.9,12.2,13.5,14.8,16.1,17.4,19.1,20.8,22.5,24.2},{0,10,20,30,40,50,60,62,64,66,68,70,72,74,76,78,80,85,90,95,100})</f>
        <v>80</v>
      </c>
      <c r="F289" s="6">
        <v>180</v>
      </c>
      <c r="G289" s="40">
        <f>LOOKUP(F289,{0,123,128,133,138,143,148,151,154,157,160,163,166,169,172,175,178,185,192,198,204},{0,10,20,30,40,50,60,62,64,66,68,70,72,74,76,78,80,85,90,95,100})</f>
        <v>80</v>
      </c>
      <c r="H289" s="6">
        <v>49</v>
      </c>
      <c r="I289" s="40">
        <f>LOOKUP(H289,{0,13,15,17,19,21,23,25,27,29,31,33,35,37,39,41,43,46,49,51,53},{0,10,20,30,40,50,60,62,64,66,68,70,72,74,76,78,80,85,90,95,100})</f>
        <v>90</v>
      </c>
      <c r="J289" s="45"/>
      <c r="K289" s="45"/>
      <c r="L289" s="7">
        <f>I289+K289</f>
        <v>90</v>
      </c>
      <c r="M289" s="6">
        <v>8.7</v>
      </c>
      <c r="N289" s="43">
        <f>13-M289</f>
        <v>4.3</v>
      </c>
      <c r="O289" s="40">
        <f>LOOKUP(N289,{0,1.4,1.6,1.8,2,2.2,2.4,2.6,2.8,3,3.2,3.4,3.6,3.8,4,4.2,4.4,4.7,5,5.1,5.2},{0,10,20,30,40,50,60,62,64,66,68,70,72,74,76,78,80,85,90,95,100})</f>
        <v>78</v>
      </c>
      <c r="P289" s="6">
        <v>3.27</v>
      </c>
      <c r="Q289" s="6">
        <f>10-P289</f>
        <v>6.73</v>
      </c>
      <c r="R289" s="40">
        <f>LOOKUP(Q289,{0,4.7,4.8,4.9,5,5.5,5.6,5.65,5.7,5.75,5.8,5.85,5.9,5.95,6,6.45,6.5,6.57,6.64,6.7,6.76},{0,10,20,30,40,50,60,62,64,66,68,70,72,74,76,78,80,85,90,95,100})</f>
        <v>95</v>
      </c>
      <c r="S289" s="45"/>
      <c r="T289" s="45"/>
      <c r="U289" s="7">
        <f>R289+T289</f>
        <v>95</v>
      </c>
      <c r="W289" s="7">
        <f>E289*0.1+G289*0.1+I289*0.1+O289*0.2+R289*0.2</f>
        <v>59.6</v>
      </c>
      <c r="X289" s="21">
        <f>W289/0.7+K289+T289</f>
        <v>85.1428571428572</v>
      </c>
    </row>
    <row r="290" ht="15.6" spans="1:24">
      <c r="A290" s="6">
        <v>116</v>
      </c>
      <c r="B290" s="29" t="s">
        <v>826</v>
      </c>
      <c r="C290" s="29" t="s">
        <v>46</v>
      </c>
      <c r="D290" s="6">
        <v>20.4</v>
      </c>
      <c r="E290" s="40">
        <f>LOOKUP(D290,{0,0.4,1.2,2,2.8,3.6,4.4,5.7,7,8.3,9.6,10.9,12.2,13.5,14.8,16.1,17.4,19.1,20.8,22.5,24.2},{0,10,20,30,40,50,60,62,64,66,68,70,72,74,76,78,80,85,90,95,100})</f>
        <v>85</v>
      </c>
      <c r="F290" s="6">
        <v>180</v>
      </c>
      <c r="G290" s="40">
        <f>LOOKUP(F290,{0,123,128,133,138,143,148,151,154,157,160,163,166,169,172,175,178,185,192,198,204},{0,10,20,30,40,50,60,62,64,66,68,70,72,74,76,78,80,85,90,95,100})</f>
        <v>80</v>
      </c>
      <c r="H290" s="6">
        <v>47</v>
      </c>
      <c r="I290" s="40">
        <f>LOOKUP(H290,{0,13,15,17,19,21,23,25,27,29,31,33,35,37,39,41,43,46,49,51,53},{0,10,20,30,40,50,60,62,64,66,68,70,72,74,76,78,80,85,90,95,100})</f>
        <v>85</v>
      </c>
      <c r="J290" s="45"/>
      <c r="K290" s="45"/>
      <c r="L290" s="7">
        <f>I290+K290</f>
        <v>85</v>
      </c>
      <c r="M290" s="6">
        <v>8.7</v>
      </c>
      <c r="N290" s="43">
        <f>13-M290</f>
        <v>4.3</v>
      </c>
      <c r="O290" s="40">
        <f>LOOKUP(N290,{0,1.4,1.6,1.8,2,2.2,2.4,2.6,2.8,3,3.2,3.4,3.6,3.8,4,4.2,4.4,4.7,5,5.1,5.2},{0,10,20,30,40,50,60,62,64,66,68,70,72,74,76,78,80,85,90,95,100})</f>
        <v>78</v>
      </c>
      <c r="P290" s="6">
        <v>3.29</v>
      </c>
      <c r="Q290" s="6">
        <f>10-P290</f>
        <v>6.71</v>
      </c>
      <c r="R290" s="40">
        <f>LOOKUP(Q290,{0,4.7,4.8,4.9,5,5.5,5.6,5.65,5.7,5.75,5.8,5.85,5.9,5.95,6,6.45,6.5,6.57,6.64,6.7,6.76},{0,10,20,30,40,50,60,62,64,66,68,70,72,74,76,78,80,85,90,95,100})</f>
        <v>95</v>
      </c>
      <c r="S290" s="45"/>
      <c r="T290" s="45"/>
      <c r="U290" s="7">
        <f>R290+T290</f>
        <v>95</v>
      </c>
      <c r="W290" s="7">
        <f>E290*0.1+G290*0.1+I290*0.1+O290*0.2+R290*0.2</f>
        <v>59.6</v>
      </c>
      <c r="X290" s="21">
        <f>W290/0.7+K290+T290</f>
        <v>85.1428571428572</v>
      </c>
    </row>
    <row r="291" ht="15.6" spans="1:24">
      <c r="A291" s="6">
        <v>101</v>
      </c>
      <c r="B291" s="29" t="s">
        <v>62</v>
      </c>
      <c r="C291" s="29" t="s">
        <v>46</v>
      </c>
      <c r="D291" s="6">
        <v>17.5</v>
      </c>
      <c r="E291" s="40">
        <f>LOOKUP(D291,{0,0.4,1.2,2,2.8,3.6,4.4,5.7,7,8.3,9.6,10.9,12.2,13.5,14.8,16.1,17.4,19.1,20.8,22.5,24.2},{0,10,20,30,40,50,60,62,64,66,68,70,72,74,76,78,80,85,90,95,100})</f>
        <v>80</v>
      </c>
      <c r="F291" s="6">
        <v>185</v>
      </c>
      <c r="G291" s="40">
        <f>LOOKUP(F291,{0,123,128,133,138,143,148,151,154,157,160,163,166,169,172,175,178,185,192,198,204},{0,10,20,30,40,50,60,62,64,66,68,70,72,74,76,78,80,85,90,95,100})</f>
        <v>85</v>
      </c>
      <c r="H291" s="6">
        <v>52</v>
      </c>
      <c r="I291" s="40">
        <f>LOOKUP(H291,{0,13,15,17,19,21,23,25,27,29,31,33,35,37,39,41,43,46,49,51,53},{0,10,20,30,40,50,60,62,64,66,68,70,72,74,76,78,80,85,90,95,100})</f>
        <v>95</v>
      </c>
      <c r="J291" s="45"/>
      <c r="K291" s="45"/>
      <c r="L291" s="7">
        <f>I291+K291</f>
        <v>95</v>
      </c>
      <c r="M291" s="6">
        <v>8.7</v>
      </c>
      <c r="N291" s="43">
        <f>13-M291</f>
        <v>4.3</v>
      </c>
      <c r="O291" s="40">
        <f>LOOKUP(N291,{0,1.4,1.6,1.8,2,2.2,2.4,2.6,2.8,3,3.2,3.4,3.6,3.8,4,4.2,4.4,4.7,5,5.1,5.2},{0,10,20,30,40,50,60,62,64,66,68,70,72,74,76,78,80,85,90,95,100})</f>
        <v>78</v>
      </c>
      <c r="P291" s="6">
        <v>3.31</v>
      </c>
      <c r="Q291" s="6">
        <f>10-P291</f>
        <v>6.69</v>
      </c>
      <c r="R291" s="40">
        <f>LOOKUP(Q291,{0,4.7,4.8,4.9,5,5.5,5.6,5.65,5.7,5.75,5.8,5.85,5.9,5.95,6,6.45,6.5,6.57,6.64,6.7,6.76},{0,10,20,30,40,50,60,62,64,66,68,70,72,74,76,78,80,85,90,95,100})</f>
        <v>90</v>
      </c>
      <c r="S291" s="45"/>
      <c r="T291" s="45"/>
      <c r="U291" s="7">
        <f>R291+T291</f>
        <v>90</v>
      </c>
      <c r="W291" s="7">
        <f>E291*0.1+G291*0.1+I291*0.1+O291*0.2+R291*0.2</f>
        <v>59.6</v>
      </c>
      <c r="X291" s="21">
        <f>W291/0.7+K291+T291</f>
        <v>85.1428571428572</v>
      </c>
    </row>
    <row r="292" ht="15.6" spans="1:24">
      <c r="A292" s="6">
        <v>113</v>
      </c>
      <c r="B292" s="29" t="s">
        <v>659</v>
      </c>
      <c r="C292" s="29" t="s">
        <v>46</v>
      </c>
      <c r="D292" s="6">
        <v>19.5</v>
      </c>
      <c r="E292" s="40">
        <f>LOOKUP(D292,{0,0.4,1.2,2,2.8,3.6,4.4,5.7,7,8.3,9.6,10.9,12.2,13.5,14.8,16.1,17.4,19.1,20.8,22.5,24.2},{0,10,20,30,40,50,60,62,64,66,68,70,72,74,76,78,80,85,90,95,100})</f>
        <v>85</v>
      </c>
      <c r="F292" s="6">
        <v>200</v>
      </c>
      <c r="G292" s="40">
        <f>LOOKUP(F292,{0,123,128,133,138,143,148,151,154,157,160,163,166,169,172,175,178,185,192,198,204},{0,10,20,30,40,50,60,62,64,66,68,70,72,74,76,78,80,85,90,95,100})</f>
        <v>95</v>
      </c>
      <c r="H292" s="6">
        <v>49</v>
      </c>
      <c r="I292" s="40">
        <f>LOOKUP(H292,{0,13,15,17,19,21,23,25,27,29,31,33,35,37,39,41,43,46,49,51,53},{0,10,20,30,40,50,60,62,64,66,68,70,72,74,76,78,80,85,90,95,100})</f>
        <v>90</v>
      </c>
      <c r="J292" s="45"/>
      <c r="K292" s="45"/>
      <c r="L292" s="7">
        <f>I292+K292</f>
        <v>90</v>
      </c>
      <c r="M292" s="6">
        <v>8.7</v>
      </c>
      <c r="N292" s="43">
        <f>13-M292</f>
        <v>4.3</v>
      </c>
      <c r="O292" s="40">
        <f>LOOKUP(N292,{0,1.4,1.6,1.8,2,2.2,2.4,2.6,2.8,3,3.2,3.4,3.6,3.8,4,4.2,4.4,4.7,5,5.1,5.2},{0,10,20,30,40,50,60,62,64,66,68,70,72,74,76,78,80,85,90,95,100})</f>
        <v>78</v>
      </c>
      <c r="P292" s="6">
        <v>3.38</v>
      </c>
      <c r="Q292" s="6">
        <f>10-P292</f>
        <v>6.62</v>
      </c>
      <c r="R292" s="40">
        <f>LOOKUP(Q292,{0,4.7,4.8,4.9,5,5.5,5.6,5.65,5.7,5.75,5.8,5.85,5.9,5.95,6,6.45,6.5,6.57,6.64,6.7,6.76},{0,10,20,30,40,50,60,62,64,66,68,70,72,74,76,78,80,85,90,95,100})</f>
        <v>85</v>
      </c>
      <c r="S292" s="45"/>
      <c r="T292" s="45"/>
      <c r="U292" s="7">
        <f>R292+T292</f>
        <v>85</v>
      </c>
      <c r="W292" s="7">
        <f>E292*0.1+G292*0.1+I292*0.1+O292*0.2+R292*0.2</f>
        <v>59.6</v>
      </c>
      <c r="X292" s="21">
        <f>W292/0.7+K292+T292</f>
        <v>85.1428571428572</v>
      </c>
    </row>
    <row r="293" s="3" customFormat="1" ht="15.6" spans="1:24">
      <c r="A293" s="6">
        <v>113</v>
      </c>
      <c r="B293" s="29" t="s">
        <v>672</v>
      </c>
      <c r="C293" s="29" t="s">
        <v>46</v>
      </c>
      <c r="D293" s="6">
        <v>19.5</v>
      </c>
      <c r="E293" s="40">
        <f>LOOKUP(D293,{0,0.4,1.2,2,2.8,3.6,4.4,5.7,7,8.3,9.6,10.9,12.2,13.5,14.8,16.1,17.4,19.1,20.8,22.5,24.2},{0,10,20,30,40,50,60,62,64,66,68,70,72,74,76,78,80,85,90,95,100})</f>
        <v>85</v>
      </c>
      <c r="F293" s="6">
        <v>197</v>
      </c>
      <c r="G293" s="40">
        <f>LOOKUP(F293,{0,123,128,133,138,143,148,151,154,157,160,163,166,169,172,175,178,185,192,198,204},{0,10,20,30,40,50,60,62,64,66,68,70,72,74,76,78,80,85,90,95,100})</f>
        <v>90</v>
      </c>
      <c r="H293" s="6">
        <v>52</v>
      </c>
      <c r="I293" s="40">
        <f>LOOKUP(H293,{0,13,15,17,19,21,23,25,27,29,31,33,35,37,39,41,43,46,49,51,53},{0,10,20,30,40,50,60,62,64,66,68,70,72,74,76,78,80,85,90,95,100})</f>
        <v>95</v>
      </c>
      <c r="J293" s="45"/>
      <c r="K293" s="45"/>
      <c r="L293" s="7">
        <f>I293+K293</f>
        <v>95</v>
      </c>
      <c r="M293" s="6">
        <v>8.2</v>
      </c>
      <c r="N293" s="43">
        <f>13-M293</f>
        <v>4.8</v>
      </c>
      <c r="O293" s="40">
        <f>LOOKUP(N293,{0,1.4,1.6,1.8,2,2.2,2.4,2.6,2.8,3,3.2,3.4,3.6,3.8,4,4.2,4.4,4.7,5,5.1,5.2},{0,10,20,30,40,50,60,62,64,66,68,70,72,74,76,78,80,85,90,95,100})</f>
        <v>85</v>
      </c>
      <c r="P293" s="6">
        <v>3.52</v>
      </c>
      <c r="Q293" s="6">
        <f>10-P293</f>
        <v>6.48</v>
      </c>
      <c r="R293" s="40">
        <f>LOOKUP(Q293,{0,4.7,4.8,4.9,5,5.5,5.6,5.65,5.7,5.75,5.8,5.85,5.9,5.95,6,6.45,6.5,6.57,6.64,6.7,6.76},{0,10,20,30,40,50,60,62,64,66,68,70,72,74,76,78,80,85,90,95,100})</f>
        <v>78</v>
      </c>
      <c r="S293" s="45"/>
      <c r="T293" s="45"/>
      <c r="U293" s="7">
        <f>R293+T293</f>
        <v>78</v>
      </c>
      <c r="V293" s="6"/>
      <c r="W293" s="7">
        <f>E293*0.1+G293*0.1+I293*0.1+O293*0.2+R293*0.2</f>
        <v>59.6</v>
      </c>
      <c r="X293" s="21">
        <f>W293/0.7+K293+T293</f>
        <v>85.1428571428572</v>
      </c>
    </row>
    <row r="294" ht="15.6" spans="1:24">
      <c r="A294" s="6">
        <v>102</v>
      </c>
      <c r="B294" s="29" t="s">
        <v>111</v>
      </c>
      <c r="C294" s="29" t="s">
        <v>46</v>
      </c>
      <c r="D294" s="6">
        <v>22.6</v>
      </c>
      <c r="E294" s="40">
        <f>LOOKUP(D294,{0,0.4,1.2,2,2.8,3.6,4.4,5.7,7,8.3,9.6,10.9,12.2,13.5,14.8,16.1,17.4,19.1,20.8,22.5,24.2},{0,10,20,30,40,50,60,62,64,66,68,70,72,74,76,78,80,85,90,95,100})</f>
        <v>95</v>
      </c>
      <c r="F294" s="6">
        <v>170</v>
      </c>
      <c r="G294" s="40">
        <f>LOOKUP(F294,{0,123,128,133,138,143,148,151,154,157,160,163,166,169,172,175,178,185,192,198,204},{0,10,20,30,40,50,60,62,64,66,68,70,72,74,76,78,80,85,90,95,100})</f>
        <v>74</v>
      </c>
      <c r="H294" s="6">
        <v>49</v>
      </c>
      <c r="I294" s="40">
        <f>LOOKUP(H294,{0,13,15,17,19,21,23,25,27,29,31,33,35,37,39,41,43,46,49,51,53},{0,10,20,30,40,50,60,62,64,66,68,70,72,74,76,78,80,85,90,95,100})</f>
        <v>90</v>
      </c>
      <c r="J294" s="45"/>
      <c r="K294" s="45"/>
      <c r="L294" s="7">
        <f>I294+K294</f>
        <v>90</v>
      </c>
      <c r="M294" s="6">
        <v>8.8</v>
      </c>
      <c r="N294" s="43">
        <f>13-M294</f>
        <v>4.2</v>
      </c>
      <c r="O294" s="40">
        <f>LOOKUP(N294,{0,1.4,1.6,1.8,2,2.2,2.4,2.6,2.8,3,3.2,3.4,3.6,3.8,4,4.2,4.4,4.7,5,5.1,5.2},{0,10,20,30,40,50,60,62,64,66,68,70,72,74,76,78,80,85,90,95,100})</f>
        <v>78</v>
      </c>
      <c r="P294" s="6">
        <v>3.32</v>
      </c>
      <c r="Q294" s="6">
        <f>10-P294</f>
        <v>6.68</v>
      </c>
      <c r="R294" s="40">
        <f>LOOKUP(Q294,{0,4.7,4.8,4.9,5,5.5,5.6,5.65,5.7,5.75,5.8,5.85,5.9,5.95,6,6.45,6.5,6.57,6.64,6.7,6.76},{0,10,20,30,40,50,60,62,64,66,68,70,72,74,76,78,80,85,90,95,100})</f>
        <v>90</v>
      </c>
      <c r="S294" s="45"/>
      <c r="T294" s="45"/>
      <c r="U294" s="7">
        <f>R294+T294</f>
        <v>90</v>
      </c>
      <c r="W294" s="7">
        <f>E294*0.1+G294*0.1+I294*0.1+O294*0.2+R294*0.2</f>
        <v>59.5</v>
      </c>
      <c r="X294" s="21">
        <f>W294/0.7+K294+T294</f>
        <v>85</v>
      </c>
    </row>
    <row r="295" ht="15.6" spans="1:24">
      <c r="A295" s="6">
        <v>104</v>
      </c>
      <c r="B295" s="29" t="s">
        <v>214</v>
      </c>
      <c r="C295" s="29" t="s">
        <v>46</v>
      </c>
      <c r="D295" s="6">
        <v>19</v>
      </c>
      <c r="E295" s="40">
        <f>LOOKUP(D295,{0,0.4,1.2,2,2.8,3.6,4.4,5.7,7,8.3,9.6,10.9,12.2,13.5,14.8,16.1,17.4,19.1,20.8,22.5,24.2},{0,10,20,30,40,50,60,62,64,66,68,70,72,74,76,78,80,85,90,95,100})</f>
        <v>80</v>
      </c>
      <c r="F295" s="6">
        <v>175</v>
      </c>
      <c r="G295" s="40">
        <f>LOOKUP(F295,{0,123,128,133,138,143,148,151,154,157,160,163,166,169,172,175,178,185,192,198,204},{0,10,20,30,40,50,60,62,64,66,68,70,72,74,76,78,80,85,90,95,100})</f>
        <v>78</v>
      </c>
      <c r="H295" s="6">
        <v>40</v>
      </c>
      <c r="I295" s="40">
        <f>LOOKUP(H295,{0,13,15,17,19,21,23,25,27,29,31,33,35,37,39,41,43,46,49,51,53},{0,10,20,30,40,50,60,62,64,66,68,70,72,74,76,78,80,85,90,95,100})</f>
        <v>76</v>
      </c>
      <c r="J295" s="45"/>
      <c r="K295" s="45"/>
      <c r="L295" s="7">
        <f>I295+K295</f>
        <v>76</v>
      </c>
      <c r="M295" s="6">
        <v>8.1</v>
      </c>
      <c r="N295" s="43">
        <f>13-M295</f>
        <v>4.9</v>
      </c>
      <c r="O295" s="40">
        <f>LOOKUP(N295,{0,1.4,1.6,1.8,2,2.2,2.4,2.6,2.8,3,3.2,3.4,3.6,3.8,4,4.2,4.4,4.7,5,5.1,5.2},{0,10,20,30,40,50,60,62,64,66,68,70,72,74,76,78,80,85,90,95,100})</f>
        <v>85</v>
      </c>
      <c r="P295" s="6">
        <v>3.29</v>
      </c>
      <c r="Q295" s="6">
        <f>10-P295</f>
        <v>6.71</v>
      </c>
      <c r="R295" s="40">
        <f>LOOKUP(Q295,{0,4.7,4.8,4.9,5,5.5,5.6,5.65,5.7,5.75,5.8,5.85,5.9,5.95,6,6.45,6.5,6.57,6.64,6.7,6.76},{0,10,20,30,40,50,60,62,64,66,68,70,72,74,76,78,80,85,90,95,100})</f>
        <v>95</v>
      </c>
      <c r="S295" s="45"/>
      <c r="T295" s="45"/>
      <c r="U295" s="7">
        <f>R295+T295</f>
        <v>95</v>
      </c>
      <c r="W295" s="7">
        <f>E295*0.1+G295*0.1+I295*0.1+O295*0.2+R295*0.2</f>
        <v>59.4</v>
      </c>
      <c r="X295" s="21">
        <f>W295/0.7+K295+T295</f>
        <v>84.8571428571429</v>
      </c>
    </row>
    <row r="296" ht="15.6" spans="1:24">
      <c r="A296" s="6">
        <v>114</v>
      </c>
      <c r="B296" s="39" t="s">
        <v>717</v>
      </c>
      <c r="C296" s="29" t="s">
        <v>46</v>
      </c>
      <c r="D296" s="6">
        <v>16</v>
      </c>
      <c r="E296" s="40">
        <f>LOOKUP(D296,{0,0.4,1.2,2,2.8,3.6,4.4,5.7,7,8.3,9.6,10.9,12.2,13.5,14.8,16.1,17.4,19.1,20.8,22.5,24.2},{0,10,20,30,40,50,60,62,64,66,68,70,72,74,76,78,80,85,90,95,100})</f>
        <v>76</v>
      </c>
      <c r="F296" s="6">
        <v>175</v>
      </c>
      <c r="G296" s="40">
        <f>LOOKUP(F296,{0,123,128,133,138,143,148,151,154,157,160,163,166,169,172,175,178,185,192,198,204},{0,10,20,30,40,50,60,62,64,66,68,70,72,74,76,78,80,85,90,95,100})</f>
        <v>78</v>
      </c>
      <c r="H296" s="6">
        <v>53</v>
      </c>
      <c r="I296" s="40">
        <f>LOOKUP(H296,{0,13,15,17,19,21,23,25,27,29,31,33,35,37,39,41,43,46,49,51,53},{0,10,20,30,40,50,60,62,64,66,68,70,72,74,76,78,80,85,90,95,100})</f>
        <v>100</v>
      </c>
      <c r="J296" s="45">
        <f>H296-53</f>
        <v>0</v>
      </c>
      <c r="K296" s="40">
        <f>LOOKUP(J296,{0,2,4,6,7,8,9,10,11,12,13},{0,1,2,3,4,5,6,7,8,9,10})</f>
        <v>0</v>
      </c>
      <c r="L296" s="7">
        <f>I296+K296</f>
        <v>100</v>
      </c>
      <c r="M296" s="6">
        <v>8.5</v>
      </c>
      <c r="N296" s="43">
        <f>13-M296</f>
        <v>4.5</v>
      </c>
      <c r="O296" s="40">
        <f>LOOKUP(N296,{0,1.4,1.6,1.8,2,2.2,2.4,2.6,2.8,3,3.2,3.4,3.6,3.8,4,4.2,4.4,4.7,5,5.1,5.2},{0,10,20,30,40,50,60,62,64,66,68,70,72,74,76,78,80,85,90,95,100})</f>
        <v>80</v>
      </c>
      <c r="P296" s="6">
        <v>3.34</v>
      </c>
      <c r="Q296" s="6">
        <f>10-P296</f>
        <v>6.66</v>
      </c>
      <c r="R296" s="40">
        <f>LOOKUP(Q296,{0,4.7,4.8,4.9,5,5.5,5.6,5.65,5.7,5.75,5.8,5.85,5.9,5.95,6,6.45,6.5,6.57,6.64,6.7,6.76},{0,10,20,30,40,50,60,62,64,66,68,70,72,74,76,78,80,85,90,95,100})</f>
        <v>90</v>
      </c>
      <c r="S296" s="45"/>
      <c r="T296" s="45"/>
      <c r="U296" s="7">
        <f>R296+T296</f>
        <v>90</v>
      </c>
      <c r="W296" s="7">
        <f>E296*0.1+G296*0.1+I296*0.1+O296*0.2+R296*0.2</f>
        <v>59.4</v>
      </c>
      <c r="X296" s="21">
        <f>W296/0.7+K296+T296</f>
        <v>84.8571428571429</v>
      </c>
    </row>
    <row r="297" ht="15.6" spans="1:24">
      <c r="A297" s="6">
        <v>115</v>
      </c>
      <c r="B297" s="29" t="s">
        <v>768</v>
      </c>
      <c r="C297" s="29" t="s">
        <v>46</v>
      </c>
      <c r="D297" s="6">
        <v>14</v>
      </c>
      <c r="E297" s="40">
        <f>LOOKUP(D297,{0,0.4,1.2,2,2.8,3.6,4.4,5.7,7,8.3,9.6,10.9,12.2,13.5,14.8,16.1,17.4,19.1,20.8,22.5,24.2},{0,10,20,30,40,50,60,62,64,66,68,70,72,74,76,78,80,85,90,95,100})</f>
        <v>74</v>
      </c>
      <c r="F297" s="6">
        <v>198</v>
      </c>
      <c r="G297" s="40">
        <f>LOOKUP(F297,{0,123,128,133,138,143,148,151,154,157,160,163,166,169,172,175,178,185,192,198,204},{0,10,20,30,40,50,60,62,64,66,68,70,72,74,76,78,80,85,90,95,100})</f>
        <v>95</v>
      </c>
      <c r="H297" s="6">
        <v>52</v>
      </c>
      <c r="I297" s="40">
        <f>LOOKUP(H297,{0,13,15,17,19,21,23,25,27,29,31,33,35,37,39,41,43,46,49,51,53},{0,10,20,30,40,50,60,62,64,66,68,70,72,74,76,78,80,85,90,95,100})</f>
        <v>95</v>
      </c>
      <c r="J297" s="45"/>
      <c r="K297" s="45"/>
      <c r="L297" s="7">
        <f>I297+K297</f>
        <v>95</v>
      </c>
      <c r="M297" s="6">
        <v>8.6</v>
      </c>
      <c r="N297" s="43">
        <f>13-M297</f>
        <v>4.4</v>
      </c>
      <c r="O297" s="40">
        <f>LOOKUP(N297,{0,1.4,1.6,1.8,2,2.2,2.4,2.6,2.8,3,3.2,3.4,3.6,3.8,4,4.2,4.4,4.7,5,5.1,5.2},{0,10,20,30,40,50,60,62,64,66,68,70,72,74,76,78,80,85,90,95,100})</f>
        <v>80</v>
      </c>
      <c r="P297" s="6">
        <v>3.4</v>
      </c>
      <c r="Q297" s="6">
        <f>10-P297</f>
        <v>6.6</v>
      </c>
      <c r="R297" s="40">
        <f>LOOKUP(Q297,{0,4.7,4.8,4.9,5,5.5,5.6,5.65,5.7,5.75,5.8,5.85,5.9,5.95,6,6.45,6.5,6.57,6.64,6.7,6.76},{0,10,20,30,40,50,60,62,64,66,68,70,72,74,76,78,80,85,90,95,100})</f>
        <v>85</v>
      </c>
      <c r="S297" s="45"/>
      <c r="T297" s="45"/>
      <c r="U297" s="7">
        <f>R297+T297</f>
        <v>85</v>
      </c>
      <c r="W297" s="7">
        <f>E297*0.1+G297*0.1+I297*0.1+O297*0.2+R297*0.2</f>
        <v>59.4</v>
      </c>
      <c r="X297" s="21">
        <f>W297/0.7+K297+T297</f>
        <v>84.8571428571429</v>
      </c>
    </row>
    <row r="298" ht="15.6" spans="1:24">
      <c r="A298" s="6">
        <v>101</v>
      </c>
      <c r="B298" s="29" t="s">
        <v>50</v>
      </c>
      <c r="C298" s="29" t="s">
        <v>46</v>
      </c>
      <c r="D298" s="6">
        <v>25.5</v>
      </c>
      <c r="E298" s="40">
        <f>LOOKUP(D298,{0,0.4,1.2,2,2.8,3.6,4.4,5.7,7,8.3,9.6,10.9,12.2,13.5,14.8,16.1,17.4,19.1,20.8,22.5,24.2},{0,10,20,30,40,50,60,62,64,66,68,70,72,74,76,78,80,85,90,95,100})</f>
        <v>100</v>
      </c>
      <c r="F298" s="6">
        <v>173</v>
      </c>
      <c r="G298" s="40">
        <f>LOOKUP(F298,{0,123,128,133,138,143,148,151,154,157,160,163,166,169,172,175,178,185,192,198,204},{0,10,20,30,40,50,60,62,64,66,68,70,72,74,76,78,80,85,90,95,100})</f>
        <v>76</v>
      </c>
      <c r="H298" s="6">
        <v>46</v>
      </c>
      <c r="I298" s="40">
        <f>LOOKUP(H298,{0,13,15,17,19,21,23,25,27,29,31,33,35,37,39,41,43,46,49,51,53},{0,10,20,30,40,50,60,62,64,66,68,70,72,74,76,78,80,85,90,95,100})</f>
        <v>85</v>
      </c>
      <c r="J298" s="45"/>
      <c r="K298" s="45"/>
      <c r="L298" s="7">
        <f>I298+K298</f>
        <v>85</v>
      </c>
      <c r="M298" s="6">
        <v>8.87</v>
      </c>
      <c r="N298" s="43">
        <f>13-M298</f>
        <v>4.13</v>
      </c>
      <c r="O298" s="40">
        <f>LOOKUP(N298,{0,1.4,1.6,1.8,2,2.2,2.4,2.6,2.8,3,3.2,3.4,3.6,3.8,4,4.2,4.4,4.7,5,5.1,5.2},{0,10,20,30,40,50,60,62,64,66,68,70,72,74,76,78,80,85,90,95,100})</f>
        <v>76</v>
      </c>
      <c r="P298" s="6">
        <v>3.31</v>
      </c>
      <c r="Q298" s="6">
        <f>10-P298</f>
        <v>6.69</v>
      </c>
      <c r="R298" s="40">
        <f>LOOKUP(Q298,{0,4.7,4.8,4.9,5,5.5,5.6,5.65,5.7,5.75,5.8,5.85,5.9,5.95,6,6.45,6.5,6.57,6.64,6.7,6.76},{0,10,20,30,40,50,60,62,64,66,68,70,72,74,76,78,80,85,90,95,100})</f>
        <v>90</v>
      </c>
      <c r="S298" s="45"/>
      <c r="T298" s="45"/>
      <c r="U298" s="7">
        <f>R298+T298</f>
        <v>90</v>
      </c>
      <c r="W298" s="7">
        <f>E298*0.1+G298*0.1+I298*0.1+O298*0.2+R298*0.2</f>
        <v>59.3</v>
      </c>
      <c r="X298" s="21">
        <f>W298/0.7+K298+T298</f>
        <v>84.7142857142857</v>
      </c>
    </row>
    <row r="299" ht="15.6" spans="1:24">
      <c r="A299" s="6">
        <v>104</v>
      </c>
      <c r="B299" s="29" t="s">
        <v>212</v>
      </c>
      <c r="C299" s="29" t="s">
        <v>46</v>
      </c>
      <c r="D299" s="6">
        <v>21.1</v>
      </c>
      <c r="E299" s="40">
        <f>LOOKUP(D299,{0,0.4,1.2,2,2.8,3.6,4.4,5.7,7,8.3,9.6,10.9,12.2,13.5,14.8,16.1,17.4,19.1,20.8,22.5,24.2},{0,10,20,30,40,50,60,62,64,66,68,70,72,74,76,78,80,85,90,95,100})</f>
        <v>90</v>
      </c>
      <c r="F299" s="6">
        <v>198</v>
      </c>
      <c r="G299" s="40">
        <f>LOOKUP(F299,{0,123,128,133,138,143,148,151,154,157,160,163,166,169,172,175,178,185,192,198,204},{0,10,20,30,40,50,60,62,64,66,68,70,72,74,76,78,80,85,90,95,100})</f>
        <v>95</v>
      </c>
      <c r="H299" s="6">
        <v>49</v>
      </c>
      <c r="I299" s="40">
        <f>LOOKUP(H299,{0,13,15,17,19,21,23,25,27,29,31,33,35,37,39,41,43,46,49,51,53},{0,10,20,30,40,50,60,62,64,66,68,70,72,74,76,78,80,85,90,95,100})</f>
        <v>90</v>
      </c>
      <c r="J299" s="45"/>
      <c r="K299" s="45"/>
      <c r="L299" s="7">
        <f>I299+K299</f>
        <v>90</v>
      </c>
      <c r="M299" s="6">
        <v>9.1</v>
      </c>
      <c r="N299" s="43">
        <f>13-M299</f>
        <v>3.9</v>
      </c>
      <c r="O299" s="40">
        <f>LOOKUP(N299,{0,1.4,1.6,1.8,2,2.2,2.4,2.6,2.8,3,3.2,3.4,3.6,3.8,4,4.2,4.4,4.7,5,5.1,5.2},{0,10,20,30,40,50,60,62,64,66,68,70,72,74,76,78,80,85,90,95,100})</f>
        <v>74</v>
      </c>
      <c r="P299" s="6">
        <v>3.41</v>
      </c>
      <c r="Q299" s="6">
        <f>10-P299</f>
        <v>6.59</v>
      </c>
      <c r="R299" s="40">
        <f>LOOKUP(Q299,{0,4.7,4.8,4.9,5,5.5,5.6,5.65,5.7,5.75,5.8,5.85,5.9,5.95,6,6.45,6.5,6.57,6.64,6.7,6.76},{0,10,20,30,40,50,60,62,64,66,68,70,72,74,76,78,80,85,90,95,100})</f>
        <v>85</v>
      </c>
      <c r="S299" s="45"/>
      <c r="T299" s="45"/>
      <c r="U299" s="7">
        <f>R299+T299</f>
        <v>85</v>
      </c>
      <c r="W299" s="7">
        <f>E299*0.1+G299*0.1+I299*0.1+O299*0.2+R299*0.2</f>
        <v>59.3</v>
      </c>
      <c r="X299" s="21">
        <f>W299/0.7+K299+T299</f>
        <v>84.7142857142857</v>
      </c>
    </row>
    <row r="300" ht="15.6" spans="1:24">
      <c r="A300" s="6">
        <v>115</v>
      </c>
      <c r="B300" s="29" t="s">
        <v>778</v>
      </c>
      <c r="C300" s="29" t="s">
        <v>46</v>
      </c>
      <c r="D300" s="6">
        <v>24.5</v>
      </c>
      <c r="E300" s="40">
        <f>LOOKUP(D300,{0,0.4,1.2,2,2.8,3.6,4.4,5.7,7,8.3,9.6,10.9,12.2,13.5,14.8,16.1,17.4,19.1,20.8,22.5,24.2},{0,10,20,30,40,50,60,62,64,66,68,70,72,74,76,78,80,85,90,95,100})</f>
        <v>100</v>
      </c>
      <c r="F300" s="6">
        <v>190</v>
      </c>
      <c r="G300" s="40">
        <f>LOOKUP(F300,{0,123,128,133,138,143,148,151,154,157,160,163,166,169,172,175,178,185,192,198,204},{0,10,20,30,40,50,60,62,64,66,68,70,72,74,76,78,80,85,90,95,100})</f>
        <v>85</v>
      </c>
      <c r="H300" s="6">
        <v>53</v>
      </c>
      <c r="I300" s="40">
        <f>LOOKUP(H300,{0,13,15,17,19,21,23,25,27,29,31,33,35,37,39,41,43,46,49,51,53},{0,10,20,30,40,50,60,62,64,66,68,70,72,74,76,78,80,85,90,95,100})</f>
        <v>100</v>
      </c>
      <c r="J300" s="45">
        <f>H300-53</f>
        <v>0</v>
      </c>
      <c r="K300" s="40">
        <f>LOOKUP(J300,{0,2,4,6,7,8,9,10,11,12,13},{0,1,2,3,4,5,6,7,8,9,10})</f>
        <v>0</v>
      </c>
      <c r="L300" s="7">
        <f>I300+K300</f>
        <v>100</v>
      </c>
      <c r="M300" s="6">
        <v>8.6</v>
      </c>
      <c r="N300" s="43">
        <f>13-M300</f>
        <v>4.4</v>
      </c>
      <c r="O300" s="40">
        <f>LOOKUP(N300,{0,1.4,1.6,1.8,2,2.2,2.4,2.6,2.8,3,3.2,3.4,3.6,3.8,4,4.2,4.4,4.7,5,5.1,5.2},{0,10,20,30,40,50,60,62,64,66,68,70,72,74,76,78,80,85,90,95,100})</f>
        <v>80</v>
      </c>
      <c r="P300" s="6">
        <v>4.02</v>
      </c>
      <c r="Q300" s="6">
        <f>10-P300</f>
        <v>5.98</v>
      </c>
      <c r="R300" s="40">
        <f>LOOKUP(Q300,{0,4.7,4.8,4.9,5,5.5,5.6,5.65,5.7,5.75,5.8,5.85,5.9,5.95,6,6.45,6.5,6.57,6.64,6.7,6.76},{0,10,20,30,40,50,60,62,64,66,68,70,72,74,76,78,80,85,90,95,100})</f>
        <v>74</v>
      </c>
      <c r="S300" s="45"/>
      <c r="T300" s="45"/>
      <c r="U300" s="7">
        <f>R300+T300</f>
        <v>74</v>
      </c>
      <c r="W300" s="7">
        <f>E300*0.1+G300*0.1+I300*0.1+O300*0.2+R300*0.2</f>
        <v>59.3</v>
      </c>
      <c r="X300" s="21">
        <f>W300/0.7+K300+T300</f>
        <v>84.7142857142857</v>
      </c>
    </row>
    <row r="301" ht="15.6" spans="1:24">
      <c r="A301" s="6">
        <v>116</v>
      </c>
      <c r="B301" s="29" t="s">
        <v>824</v>
      </c>
      <c r="C301" s="29" t="s">
        <v>46</v>
      </c>
      <c r="D301" s="6">
        <v>17</v>
      </c>
      <c r="E301" s="40">
        <f>LOOKUP(D301,{0,0.4,1.2,2,2.8,3.6,4.4,5.7,7,8.3,9.6,10.9,12.2,13.5,14.8,16.1,17.4,19.1,20.8,22.5,24.2},{0,10,20,30,40,50,60,62,64,66,68,70,72,74,76,78,80,85,90,95,100})</f>
        <v>78</v>
      </c>
      <c r="F301" s="6">
        <v>170</v>
      </c>
      <c r="G301" s="40">
        <f>LOOKUP(F301,{0,123,128,133,138,143,148,151,154,157,160,163,166,169,172,175,178,185,192,198,204},{0,10,20,30,40,50,60,62,64,66,68,70,72,74,76,78,80,85,90,95,100})</f>
        <v>74</v>
      </c>
      <c r="H301" s="6">
        <v>44</v>
      </c>
      <c r="I301" s="40">
        <f>LOOKUP(H301,{0,13,15,17,19,21,23,25,27,29,31,33,35,37,39,41,43,46,49,51,53},{0,10,20,30,40,50,60,62,64,66,68,70,72,74,76,78,80,85,90,95,100})</f>
        <v>80</v>
      </c>
      <c r="J301" s="45"/>
      <c r="K301" s="45"/>
      <c r="L301" s="7">
        <f>I301+K301</f>
        <v>80</v>
      </c>
      <c r="M301" s="6">
        <v>8.5</v>
      </c>
      <c r="N301" s="43">
        <f>13-M301</f>
        <v>4.5</v>
      </c>
      <c r="O301" s="40">
        <f>LOOKUP(N301,{0,1.4,1.6,1.8,2,2.2,2.4,2.6,2.8,3,3.2,3.4,3.6,3.8,4,4.2,4.4,4.7,5,5.1,5.2},{0,10,20,30,40,50,60,62,64,66,68,70,72,74,76,78,80,85,90,95,100})</f>
        <v>80</v>
      </c>
      <c r="P301" s="6">
        <v>3.24</v>
      </c>
      <c r="Q301" s="6">
        <f>10-P301</f>
        <v>6.76</v>
      </c>
      <c r="R301" s="40">
        <f>LOOKUP(Q301,{0,4.7,4.8,4.9,5,5.5,5.6,5.65,5.7,5.75,5.8,5.85,5.9,5.95,6,6.45,6.5,6.57,6.64,6.7,6.76},{0,10,20,30,40,50,60,62,64,66,68,70,72,74,76,78,80,85,90,95,100})</f>
        <v>100</v>
      </c>
      <c r="S301" s="48">
        <f>3.24-P301</f>
        <v>0</v>
      </c>
      <c r="T301" s="40">
        <f>LOOKUP(S301,{0,0.05,0.1,0.15,0.2,0.25,0.3,0.35,0.4,0.45,0.5},{0,1,2,3,4,5,6,7,8,9,10})</f>
        <v>0</v>
      </c>
      <c r="U301" s="7">
        <f>R301+T301</f>
        <v>100</v>
      </c>
      <c r="W301" s="7">
        <f>E301*0.1+G301*0.1+I301*0.1+O301*0.2+R301*0.2</f>
        <v>59.2</v>
      </c>
      <c r="X301" s="21">
        <f>W301/0.7+K301+T301</f>
        <v>84.5714285714286</v>
      </c>
    </row>
    <row r="302" ht="15.6" spans="1:24">
      <c r="A302" s="6">
        <v>116</v>
      </c>
      <c r="B302" s="29" t="s">
        <v>814</v>
      </c>
      <c r="C302" s="29" t="s">
        <v>46</v>
      </c>
      <c r="D302" s="6">
        <v>25.5</v>
      </c>
      <c r="E302" s="40">
        <f>LOOKUP(D302,{0,0.4,1.2,2,2.8,3.6,4.4,5.7,7,8.3,9.6,10.9,12.2,13.5,14.8,16.1,17.4,19.1,20.8,22.5,24.2},{0,10,20,30,40,50,60,62,64,66,68,70,72,74,76,78,80,85,90,95,100})</f>
        <v>100</v>
      </c>
      <c r="F302" s="6">
        <v>171</v>
      </c>
      <c r="G302" s="40">
        <f>LOOKUP(F302,{0,123,128,133,138,143,148,151,154,157,160,163,166,169,172,175,178,185,192,198,204},{0,10,20,30,40,50,60,62,64,66,68,70,72,74,76,78,80,85,90,95,100})</f>
        <v>74</v>
      </c>
      <c r="H302" s="6">
        <v>45</v>
      </c>
      <c r="I302" s="40">
        <f>LOOKUP(H302,{0,13,15,17,19,21,23,25,27,29,31,33,35,37,39,41,43,46,49,51,53},{0,10,20,30,40,50,60,62,64,66,68,70,72,74,76,78,80,85,90,95,100})</f>
        <v>80</v>
      </c>
      <c r="J302" s="45"/>
      <c r="K302" s="45"/>
      <c r="L302" s="7">
        <f>I302+K302</f>
        <v>80</v>
      </c>
      <c r="M302" s="6">
        <v>9.2</v>
      </c>
      <c r="N302" s="43">
        <f>13-M302</f>
        <v>3.8</v>
      </c>
      <c r="O302" s="40">
        <f>LOOKUP(N302,{0,1.4,1.6,1.8,2,2.2,2.4,2.6,2.8,3,3.2,3.4,3.6,3.8,4,4.2,4.4,4.7,5,5.1,5.2},{0,10,20,30,40,50,60,62,64,66,68,70,72,74,76,78,80,85,90,95,100})</f>
        <v>74</v>
      </c>
      <c r="P302" s="6">
        <v>3.3</v>
      </c>
      <c r="Q302" s="6">
        <f>10-P302</f>
        <v>6.7</v>
      </c>
      <c r="R302" s="40">
        <f>LOOKUP(Q302,{0,4.7,4.8,4.9,5,5.5,5.6,5.65,5.7,5.75,5.8,5.85,5.9,5.95,6,6.45,6.5,6.57,6.64,6.7,6.76},{0,10,20,30,40,50,60,62,64,66,68,70,72,74,76,78,80,85,90,95,100})</f>
        <v>95</v>
      </c>
      <c r="S302" s="45"/>
      <c r="T302" s="45"/>
      <c r="U302" s="7">
        <f>R302+T302</f>
        <v>95</v>
      </c>
      <c r="W302" s="7">
        <f>E302*0.1+G302*0.1+I302*0.1+O302*0.2+R302*0.2</f>
        <v>59.2</v>
      </c>
      <c r="X302" s="21">
        <f>W302/0.7+K302+T302</f>
        <v>84.5714285714286</v>
      </c>
    </row>
    <row r="303" ht="15.6" spans="1:24">
      <c r="A303" s="6">
        <v>116</v>
      </c>
      <c r="B303" s="29" t="s">
        <v>818</v>
      </c>
      <c r="C303" s="29" t="s">
        <v>46</v>
      </c>
      <c r="D303" s="6">
        <v>29</v>
      </c>
      <c r="E303" s="40">
        <f>LOOKUP(D303,{0,0.4,1.2,2,2.8,3.6,4.4,5.7,7,8.3,9.6,10.9,12.2,13.5,14.8,16.1,17.4,19.1,20.8,22.5,24.2},{0,10,20,30,40,50,60,62,64,66,68,70,72,74,76,78,80,85,90,95,100})</f>
        <v>100</v>
      </c>
      <c r="F303" s="6">
        <v>196</v>
      </c>
      <c r="G303" s="40">
        <f>LOOKUP(F303,{0,123,128,133,138,143,148,151,154,157,160,163,166,169,172,175,178,185,192,198,204},{0,10,20,30,40,50,60,62,64,66,68,70,72,74,76,78,80,85,90,95,100})</f>
        <v>90</v>
      </c>
      <c r="H303" s="6">
        <v>50</v>
      </c>
      <c r="I303" s="40">
        <f>LOOKUP(H303,{0,13,15,17,19,21,23,25,27,29,31,33,35,37,39,41,43,46,49,51,53},{0,10,20,30,40,50,60,62,64,66,68,70,72,74,76,78,80,85,90,95,100})</f>
        <v>90</v>
      </c>
      <c r="J303" s="45"/>
      <c r="K303" s="45"/>
      <c r="L303" s="7">
        <f>I303+K303</f>
        <v>90</v>
      </c>
      <c r="M303" s="6">
        <v>9</v>
      </c>
      <c r="N303" s="43">
        <f>13-M303</f>
        <v>4</v>
      </c>
      <c r="O303" s="40">
        <f>LOOKUP(N303,{0,1.4,1.6,1.8,2,2.2,2.4,2.6,2.8,3,3.2,3.4,3.6,3.8,4,4.2,4.4,4.7,5,5.1,5.2},{0,10,20,30,40,50,60,62,64,66,68,70,72,74,76,78,80,85,90,95,100})</f>
        <v>76</v>
      </c>
      <c r="P303" s="6">
        <v>3.5</v>
      </c>
      <c r="Q303" s="6">
        <f>10-P303</f>
        <v>6.5</v>
      </c>
      <c r="R303" s="40">
        <f>LOOKUP(Q303,{0,4.7,4.8,4.9,5,5.5,5.6,5.65,5.7,5.75,5.8,5.85,5.9,5.95,6,6.45,6.5,6.57,6.64,6.7,6.76},{0,10,20,30,40,50,60,62,64,66,68,70,72,74,76,78,80,85,90,95,100})</f>
        <v>80</v>
      </c>
      <c r="S303" s="45"/>
      <c r="T303" s="45"/>
      <c r="U303" s="7">
        <f>R303+T303</f>
        <v>80</v>
      </c>
      <c r="W303" s="7">
        <f>E303*0.1+G303*0.1+I303*0.1+O303*0.2+R303*0.2</f>
        <v>59.2</v>
      </c>
      <c r="X303" s="21">
        <f>W303/0.7+K303+T303</f>
        <v>84.5714285714286</v>
      </c>
    </row>
    <row r="304" ht="15.6" hidden="1" spans="1:24">
      <c r="A304" s="6">
        <v>113</v>
      </c>
      <c r="B304" s="29" t="s">
        <v>634</v>
      </c>
      <c r="C304" s="29" t="s">
        <v>11</v>
      </c>
      <c r="D304" s="6">
        <v>7.5</v>
      </c>
      <c r="E304" s="40">
        <f>LOOKUP(D304,{0,-4,-3,-2,-1,0,1,2.4,3.8,5.2,6.6,8,9.4,10.8,12.2,13.6,15,17.2,19.4,21.5,23.6},{0,10,20,30,40,50,60,62,64,66,68,70,72,74,76,78,80,85,90,95,100})</f>
        <v>68</v>
      </c>
      <c r="F304" s="6">
        <v>218</v>
      </c>
      <c r="G304" s="40">
        <f>LOOKUP(F304,{0,170,175,180,185,190,195,199,203,207,211,215,219,223,227,231,235,243,250,255,260},{0,10,20,30,40,50,60,62,64,66,68,70,72,74,76,78,80,85,90,95,100})</f>
        <v>70</v>
      </c>
      <c r="H304" s="6">
        <v>0</v>
      </c>
      <c r="I304" s="40">
        <f>LOOKUP(H304,{0,2,3,4,5,6,7,8,9,10,11,12,13,14,15,16},{0,10,20,30,40,50,60,64,68,72,76,80,85,90,95,100})</f>
        <v>0</v>
      </c>
      <c r="J304" s="7"/>
      <c r="K304" s="7"/>
      <c r="L304" s="7">
        <f>I304+K304</f>
        <v>0</v>
      </c>
      <c r="M304" s="6">
        <v>7.3</v>
      </c>
      <c r="N304" s="43">
        <f>13-M304</f>
        <v>5.7</v>
      </c>
      <c r="O304" s="40">
        <f>LOOKUP(N304,{0,2.5,2.7,2.9,3.1,3.3,3.5,3.7,3.9,4.1,4.3,4.5,4.7,4.9,5.1,5.3,5.5,5.6,5.7,5.8,5.9},{0,10,20,30,40,50,60,62,64,66,68,70,72,74,76,78,80,85,90,95,100})</f>
        <v>90</v>
      </c>
      <c r="P304" s="6">
        <v>3.57</v>
      </c>
      <c r="Q304" s="6">
        <f>10-P304</f>
        <v>6.43</v>
      </c>
      <c r="R304" s="40">
        <f>LOOKUP(Q304,{0,3.75,3.95,4.55,4.75,4.95,5.55,5.6,5.65,5.7,5.75,5.8,5.85,5.9,5.95,6,6.45,6.53,6.6,6.65,6.7},{0,10,20,30,40,50,60,62,64,66,68,70,72,74,76,78,80,85,90,95,100})</f>
        <v>78</v>
      </c>
      <c r="S304" s="7"/>
      <c r="T304" s="7"/>
      <c r="U304" s="7">
        <f>R304+T304</f>
        <v>78</v>
      </c>
      <c r="W304" s="7">
        <f>E304*0.1+G304*0.1+I304*0.1+O304*0.2+R304*0.2</f>
        <v>47.4</v>
      </c>
      <c r="X304" s="21">
        <f>W304/0.7+K304+T304</f>
        <v>67.7142857142857</v>
      </c>
    </row>
    <row r="305" ht="15.6" hidden="1" spans="1:24">
      <c r="A305" s="6">
        <v>104</v>
      </c>
      <c r="B305" s="29" t="s">
        <v>171</v>
      </c>
      <c r="C305" s="29" t="s">
        <v>11</v>
      </c>
      <c r="D305" s="6">
        <v>13.2</v>
      </c>
      <c r="E305" s="40">
        <f>LOOKUP(D305,{0,-4,-3,-2,-1,0,1,2.4,3.8,5.2,6.6,8,9.4,10.8,12.2,13.6,15,17.2,19.4,21.5,23.6},{0,10,20,30,40,50,60,62,64,66,68,70,72,74,76,78,80,85,90,95,100})</f>
        <v>76</v>
      </c>
      <c r="F305" s="6">
        <v>235</v>
      </c>
      <c r="G305" s="40">
        <f>LOOKUP(F305,{0,170,175,180,185,190,195,199,203,207,211,215,219,223,227,231,235,243,250,255,260},{0,10,20,30,40,50,60,62,64,66,68,70,72,74,76,78,80,85,90,95,100})</f>
        <v>80</v>
      </c>
      <c r="H305" s="6">
        <v>5</v>
      </c>
      <c r="I305" s="40">
        <f>LOOKUP(H305,{0,2,3,4,5,6,7,8,9,10,11,12,13,14,15,16},{0,10,20,30,40,50,60,64,68,72,76,80,85,90,95,100})</f>
        <v>40</v>
      </c>
      <c r="J305" s="7"/>
      <c r="K305" s="7"/>
      <c r="L305" s="7">
        <f>I305+K305</f>
        <v>40</v>
      </c>
      <c r="M305" s="6">
        <v>7.3</v>
      </c>
      <c r="N305" s="43">
        <f>13-M305</f>
        <v>5.7</v>
      </c>
      <c r="O305" s="40">
        <f>LOOKUP(N305,{0,2.5,2.7,2.9,3.1,3.3,3.5,3.7,3.9,4.1,4.3,4.5,4.7,4.9,5.1,5.3,5.5,5.6,5.7,5.8,5.9},{0,10,20,30,40,50,60,62,64,66,68,70,72,74,76,78,80,85,90,95,100})</f>
        <v>90</v>
      </c>
      <c r="P305" s="6">
        <v>4.02</v>
      </c>
      <c r="Q305" s="6">
        <f>10-P305</f>
        <v>5.98</v>
      </c>
      <c r="R305" s="40">
        <f>LOOKUP(Q305,{0,3.75,3.95,4.55,4.75,4.95,5.55,5.6,5.65,5.7,5.75,5.8,5.85,5.9,5.95,6,6.45,6.53,6.6,6.65,6.7},{0,10,20,30,40,50,60,62,64,66,68,70,72,74,76,78,80,85,90,95,100})</f>
        <v>76</v>
      </c>
      <c r="S305" s="7"/>
      <c r="T305" s="7"/>
      <c r="U305" s="7">
        <f>R305+T305</f>
        <v>76</v>
      </c>
      <c r="W305" s="7">
        <f>E305*0.1+G305*0.1+I305*0.1+O305*0.2+R305*0.2</f>
        <v>52.8</v>
      </c>
      <c r="X305" s="21">
        <f>W305/0.7+K305+T305</f>
        <v>75.4285714285714</v>
      </c>
    </row>
    <row r="306" s="3" customFormat="1" ht="15.6" hidden="1" spans="1:24">
      <c r="A306" s="6">
        <v>104</v>
      </c>
      <c r="B306" s="39" t="s">
        <v>168</v>
      </c>
      <c r="C306" s="29" t="s">
        <v>11</v>
      </c>
      <c r="D306" s="6">
        <v>13</v>
      </c>
      <c r="E306" s="40">
        <f>LOOKUP(D306,{0,-4,-3,-2,-1,0,1,2.4,3.8,5.2,6.6,8,9.4,10.8,12.2,13.6,15,17.2,19.4,21.5,23.6},{0,10,20,30,40,50,60,62,64,66,68,70,72,74,76,78,80,85,90,95,100})</f>
        <v>76</v>
      </c>
      <c r="F306" s="6">
        <v>206</v>
      </c>
      <c r="G306" s="40">
        <f>LOOKUP(F306,{0,170,175,180,185,190,195,199,203,207,211,215,219,223,227,231,235,243,250,255,260},{0,10,20,30,40,50,60,62,64,66,68,70,72,74,76,78,80,85,90,95,100})</f>
        <v>64</v>
      </c>
      <c r="H306" s="6">
        <v>0</v>
      </c>
      <c r="I306" s="40">
        <f>LOOKUP(H306,{0,2,3,4,5,6,7,8,9,10,11,12,13,14,15,16},{0,10,20,30,40,50,60,64,68,72,76,80,85,90,95,100})</f>
        <v>0</v>
      </c>
      <c r="J306" s="7"/>
      <c r="K306" s="7"/>
      <c r="L306" s="7">
        <f>I306+K306</f>
        <v>0</v>
      </c>
      <c r="M306" s="6">
        <v>7.3</v>
      </c>
      <c r="N306" s="43">
        <f>13-M306</f>
        <v>5.7</v>
      </c>
      <c r="O306" s="40">
        <f>LOOKUP(N306,{0,2.5,2.7,2.9,3.1,3.3,3.5,3.7,3.9,4.1,4.3,4.5,4.7,4.9,5.1,5.3,5.5,5.6,5.7,5.8,5.9},{0,10,20,30,40,50,60,62,64,66,68,70,72,74,76,78,80,85,90,95,100})</f>
        <v>90</v>
      </c>
      <c r="P306" s="6">
        <v>4.06</v>
      </c>
      <c r="Q306" s="6">
        <f>10-P306</f>
        <v>5.94</v>
      </c>
      <c r="R306" s="40">
        <f>LOOKUP(Q306,{0,3.75,3.95,4.55,4.75,4.95,5.55,5.6,5.65,5.7,5.75,5.8,5.85,5.9,5.95,6,6.45,6.53,6.6,6.65,6.7},{0,10,20,30,40,50,60,62,64,66,68,70,72,74,76,78,80,85,90,95,100})</f>
        <v>74</v>
      </c>
      <c r="S306" s="7"/>
      <c r="T306" s="7"/>
      <c r="U306" s="7">
        <f>R306+T306</f>
        <v>74</v>
      </c>
      <c r="V306" s="6"/>
      <c r="W306" s="7">
        <f>E306*0.1+G306*0.1+I306*0.1+O306*0.2+R306*0.2</f>
        <v>46.8</v>
      </c>
      <c r="X306" s="21">
        <f>W306/0.7+K306+T306</f>
        <v>66.8571428571429</v>
      </c>
    </row>
    <row r="307" ht="15.6" hidden="1" spans="1:24">
      <c r="A307" s="6">
        <v>104</v>
      </c>
      <c r="B307" s="29" t="s">
        <v>173</v>
      </c>
      <c r="C307" s="29" t="s">
        <v>11</v>
      </c>
      <c r="D307" s="6">
        <v>10.7</v>
      </c>
      <c r="E307" s="40">
        <f>LOOKUP(D307,{0,-4,-3,-2,-1,0,1,2.4,3.8,5.2,6.6,8,9.4,10.8,12.2,13.6,15,17.2,19.4,21.5,23.6},{0,10,20,30,40,50,60,62,64,66,68,70,72,74,76,78,80,85,90,95,100})</f>
        <v>72</v>
      </c>
      <c r="F307" s="6">
        <v>220</v>
      </c>
      <c r="G307" s="40">
        <f>LOOKUP(F307,{0,170,175,180,185,190,195,199,203,207,211,215,219,223,227,231,235,243,250,255,260},{0,10,20,30,40,50,60,62,64,66,68,70,72,74,76,78,80,85,90,95,100})</f>
        <v>72</v>
      </c>
      <c r="H307" s="6">
        <v>20</v>
      </c>
      <c r="I307" s="40">
        <f>LOOKUP(H307,{0,2,3,4,5,6,7,8,9,10,11,12,13,14,15,16},{0,10,20,30,40,50,60,64,68,72,76,80,85,90,95,100})</f>
        <v>100</v>
      </c>
      <c r="J307" s="7">
        <f>H307-16</f>
        <v>4</v>
      </c>
      <c r="K307" s="40">
        <f>LOOKUP(J307,{0,1,2,3,4,5,6,7,8,9,10},{0,1,2,3,4,5,6,7,8,9,10})</f>
        <v>4</v>
      </c>
      <c r="L307" s="7">
        <f>I307+K307</f>
        <v>104</v>
      </c>
      <c r="M307" s="6">
        <v>7.3</v>
      </c>
      <c r="N307" s="43">
        <f>13-M307</f>
        <v>5.7</v>
      </c>
      <c r="O307" s="40">
        <f>LOOKUP(N307,{0,2.5,2.7,2.9,3.1,3.3,3.5,3.7,3.9,4.1,4.3,4.5,4.7,4.9,5.1,5.3,5.5,5.6,5.7,5.8,5.9},{0,10,20,30,40,50,60,62,64,66,68,70,72,74,76,78,80,85,90,95,100})</f>
        <v>90</v>
      </c>
      <c r="P307" s="6">
        <v>4.09</v>
      </c>
      <c r="Q307" s="6">
        <f>10-P307</f>
        <v>5.91</v>
      </c>
      <c r="R307" s="40">
        <f>LOOKUP(Q307,{0,3.75,3.95,4.55,4.75,4.95,5.55,5.6,5.65,5.7,5.75,5.8,5.85,5.9,5.95,6,6.45,6.53,6.6,6.65,6.7},{0,10,20,30,40,50,60,62,64,66,68,70,72,74,76,78,80,85,90,95,100})</f>
        <v>74</v>
      </c>
      <c r="S307" s="7"/>
      <c r="T307" s="7"/>
      <c r="U307" s="7">
        <f>R307+T307</f>
        <v>74</v>
      </c>
      <c r="W307" s="7">
        <f>E307*0.1+G307*0.1+I307*0.1+O307*0.2+R307*0.2</f>
        <v>57.2</v>
      </c>
      <c r="X307" s="21">
        <f>W307/0.7+K307+T307</f>
        <v>85.7142857142857</v>
      </c>
    </row>
    <row r="308" ht="15.6" hidden="1" spans="1:24">
      <c r="A308" s="6">
        <v>104</v>
      </c>
      <c r="B308" s="29" t="s">
        <v>172</v>
      </c>
      <c r="C308" s="29" t="s">
        <v>11</v>
      </c>
      <c r="D308" s="6">
        <v>19.4</v>
      </c>
      <c r="E308" s="40">
        <f>LOOKUP(D308,{0,-4,-3,-2,-1,0,1,2.4,3.8,5.2,6.6,8,9.4,10.8,12.2,13.6,15,17.2,19.4,21.5,23.6},{0,10,20,30,40,50,60,62,64,66,68,70,72,74,76,78,80,85,90,95,100})</f>
        <v>90</v>
      </c>
      <c r="F308" s="6">
        <v>234</v>
      </c>
      <c r="G308" s="40">
        <f>LOOKUP(F308,{0,170,175,180,185,190,195,199,203,207,211,215,219,223,227,231,235,243,250,255,260},{0,10,20,30,40,50,60,62,64,66,68,70,72,74,76,78,80,85,90,95,100})</f>
        <v>78</v>
      </c>
      <c r="H308" s="6">
        <v>11</v>
      </c>
      <c r="I308" s="40">
        <f>LOOKUP(H308,{0,2,3,4,5,6,7,8,9,10,11,12,13,14,15,16},{0,10,20,30,40,50,60,64,68,72,76,80,85,90,95,100})</f>
        <v>76</v>
      </c>
      <c r="J308" s="7"/>
      <c r="K308" s="7"/>
      <c r="L308" s="7">
        <f>I308+K308</f>
        <v>76</v>
      </c>
      <c r="M308" s="6">
        <v>7.3</v>
      </c>
      <c r="N308" s="43">
        <f>13-M308</f>
        <v>5.7</v>
      </c>
      <c r="O308" s="40">
        <f>LOOKUP(N308,{0,2.5,2.7,2.9,3.1,3.3,3.5,3.7,3.9,4.1,4.3,4.5,4.7,4.9,5.1,5.3,5.5,5.6,5.7,5.8,5.9},{0,10,20,30,40,50,60,62,64,66,68,70,72,74,76,78,80,85,90,95,100})</f>
        <v>90</v>
      </c>
      <c r="P308" s="6">
        <v>4.16</v>
      </c>
      <c r="Q308" s="6">
        <f>10-P308</f>
        <v>5.84</v>
      </c>
      <c r="R308" s="40">
        <f>LOOKUP(Q308,{0,3.75,3.95,4.55,4.75,4.95,5.55,5.6,5.65,5.7,5.75,5.8,5.85,5.9,5.95,6,6.45,6.53,6.6,6.65,6.7},{0,10,20,30,40,50,60,62,64,66,68,70,72,74,76,78,80,85,90,95,100})</f>
        <v>70</v>
      </c>
      <c r="S308" s="7"/>
      <c r="T308" s="7"/>
      <c r="U308" s="7">
        <f>R308+T308</f>
        <v>70</v>
      </c>
      <c r="W308" s="7">
        <f>E308*0.1+G308*0.1+I308*0.1+O308*0.2+R308*0.2</f>
        <v>56.4</v>
      </c>
      <c r="X308" s="21">
        <f>W308/0.7+K308+T308</f>
        <v>80.5714285714286</v>
      </c>
    </row>
    <row r="309" ht="15.6" hidden="1" spans="1:24">
      <c r="A309" s="6">
        <v>112</v>
      </c>
      <c r="B309" s="29" t="s">
        <v>582</v>
      </c>
      <c r="C309" s="29" t="s">
        <v>11</v>
      </c>
      <c r="D309" s="6">
        <v>16</v>
      </c>
      <c r="E309" s="40">
        <f>LOOKUP(D309,{0,-4,-3,-2,-1,0,1,2.4,3.8,5.2,6.6,8,9.4,10.8,12.2,13.6,15,17.2,19.4,21.5,23.6},{0,10,20,30,40,50,60,62,64,66,68,70,72,74,76,78,80,85,90,95,100})</f>
        <v>80</v>
      </c>
      <c r="F309" s="6">
        <v>235</v>
      </c>
      <c r="G309" s="40">
        <f>LOOKUP(F309,{0,170,175,180,185,190,195,199,203,207,211,215,219,223,227,231,235,243,250,255,260},{0,10,20,30,40,50,60,62,64,66,68,70,72,74,76,78,80,85,90,95,100})</f>
        <v>80</v>
      </c>
      <c r="H309" s="6">
        <v>10</v>
      </c>
      <c r="I309" s="40">
        <f>LOOKUP(H309,{0,2,3,4,5,6,7,8,9,10,11,12,13,14,15,16},{0,10,20,30,40,50,60,64,68,72,76,80,85,90,95,100})</f>
        <v>72</v>
      </c>
      <c r="J309" s="7"/>
      <c r="K309" s="7"/>
      <c r="L309" s="7">
        <f>I309+K309</f>
        <v>72</v>
      </c>
      <c r="M309" s="6">
        <v>7.3</v>
      </c>
      <c r="N309" s="43">
        <f>13-M309</f>
        <v>5.7</v>
      </c>
      <c r="O309" s="40">
        <f>LOOKUP(N309,{0,2.5,2.7,2.9,3.1,3.3,3.5,3.7,3.9,4.1,4.3,4.5,4.7,4.9,5.1,5.3,5.5,5.6,5.7,5.8,5.9},{0,10,20,30,40,50,60,62,64,66,68,70,72,74,76,78,80,85,90,95,100})</f>
        <v>90</v>
      </c>
      <c r="P309" s="6">
        <v>4.16</v>
      </c>
      <c r="Q309" s="6">
        <f>10-P309</f>
        <v>5.84</v>
      </c>
      <c r="R309" s="40">
        <f>LOOKUP(Q309,{0,3.75,3.95,4.55,4.75,4.95,5.55,5.6,5.65,5.7,5.75,5.8,5.85,5.9,5.95,6,6.45,6.53,6.6,6.65,6.7},{0,10,20,30,40,50,60,62,64,66,68,70,72,74,76,78,80,85,90,95,100})</f>
        <v>70</v>
      </c>
      <c r="S309" s="7"/>
      <c r="T309" s="7"/>
      <c r="U309" s="7">
        <f>R309+T309</f>
        <v>70</v>
      </c>
      <c r="W309" s="7">
        <f>E309*0.1+G309*0.1+I309*0.1+O309*0.2+R309*0.2</f>
        <v>55.2</v>
      </c>
      <c r="X309" s="21">
        <f>W309/0.7+K309+T309</f>
        <v>78.8571428571429</v>
      </c>
    </row>
    <row r="310" ht="15.6" hidden="1" spans="1:24">
      <c r="A310" s="6">
        <v>107</v>
      </c>
      <c r="B310" s="29" t="s">
        <v>303</v>
      </c>
      <c r="C310" s="29" t="s">
        <v>11</v>
      </c>
      <c r="D310" s="6">
        <v>1.5</v>
      </c>
      <c r="E310" s="40">
        <f>LOOKUP(D310,{0,-4,-3,-2,-1,0,1,2.4,3.8,5.2,6.6,8,9.4,10.8,12.2,13.6,15,17.2,19.4,21.5,23.6},{0,10,20,30,40,50,60,62,64,66,68,70,72,74,76,78,80,85,90,95,100})</f>
        <v>60</v>
      </c>
      <c r="F310" s="6">
        <v>190</v>
      </c>
      <c r="G310" s="40">
        <f>LOOKUP(F310,{0,170,175,180,185,190,195,199,203,207,211,215,219,223,227,231,235,243,250,255,260},{0,10,20,30,40,50,60,62,64,66,68,70,72,74,76,78,80,85,90,95,100})</f>
        <v>50</v>
      </c>
      <c r="H310" s="6">
        <v>20</v>
      </c>
      <c r="I310" s="40">
        <f>LOOKUP(H310,{0,2,3,4,5,6,7,8,9,10,11,12,13,14,15,16},{0,10,20,30,40,50,60,64,68,72,76,80,85,90,95,100})</f>
        <v>100</v>
      </c>
      <c r="J310" s="7">
        <f>H310-16</f>
        <v>4</v>
      </c>
      <c r="K310" s="40">
        <f>LOOKUP(J310,{0,1,2,3,4,5,6,7,8,9,10},{0,1,2,3,4,5,6,7,8,9,10})</f>
        <v>4</v>
      </c>
      <c r="L310" s="7">
        <f>I310+K310</f>
        <v>104</v>
      </c>
      <c r="M310" s="6">
        <v>7.3</v>
      </c>
      <c r="N310" s="43">
        <f>13-M310</f>
        <v>5.7</v>
      </c>
      <c r="O310" s="40">
        <f>LOOKUP(N310,{0,2.5,2.7,2.9,3.1,3.3,3.5,3.7,3.9,4.1,4.3,4.5,4.7,4.9,5.1,5.3,5.5,5.6,5.7,5.8,5.9},{0,10,20,30,40,50,60,62,64,66,68,70,72,74,76,78,80,85,90,95,100})</f>
        <v>90</v>
      </c>
      <c r="P310" s="6">
        <v>4.22</v>
      </c>
      <c r="Q310" s="6">
        <f>10-P310</f>
        <v>5.78</v>
      </c>
      <c r="R310" s="40">
        <f>LOOKUP(Q310,{0,3.75,3.95,4.55,4.75,4.95,5.55,5.6,5.65,5.7,5.75,5.8,5.85,5.9,5.95,6,6.45,6.53,6.6,6.65,6.7},{0,10,20,30,40,50,60,62,64,66,68,70,72,74,76,78,80,85,90,95,100})</f>
        <v>68</v>
      </c>
      <c r="S310" s="7"/>
      <c r="T310" s="7"/>
      <c r="U310" s="7">
        <f>R310+T310</f>
        <v>68</v>
      </c>
      <c r="W310" s="7">
        <f>E310*0.1+G310*0.1+I310*0.1+O310*0.2+R310*0.2</f>
        <v>52.6</v>
      </c>
      <c r="X310" s="21">
        <f>W310/0.7+K310+T310</f>
        <v>79.1428571428572</v>
      </c>
    </row>
    <row r="311" ht="15.6" hidden="1" spans="1:24">
      <c r="A311" s="6">
        <v>109</v>
      </c>
      <c r="B311" s="29" t="s">
        <v>414</v>
      </c>
      <c r="C311" s="29" t="s">
        <v>11</v>
      </c>
      <c r="D311" s="6">
        <v>1.1</v>
      </c>
      <c r="E311" s="40">
        <f>LOOKUP(D311,{0,-4,-3,-2,-1,0,1,2.4,3.8,5.2,6.6,8,9.4,10.8,12.2,13.6,15,17.2,19.4,21.5,23.6},{0,10,20,30,40,50,60,62,64,66,68,70,72,74,76,78,80,85,90,95,100})</f>
        <v>60</v>
      </c>
      <c r="F311" s="6">
        <v>235</v>
      </c>
      <c r="G311" s="40">
        <f>LOOKUP(F311,{0,170,175,180,185,190,195,199,203,207,211,215,219,223,227,231,235,243,250,255,260},{0,10,20,30,40,50,60,62,64,66,68,70,72,74,76,78,80,85,90,95,100})</f>
        <v>80</v>
      </c>
      <c r="H311" s="6">
        <v>17</v>
      </c>
      <c r="I311" s="40">
        <f>LOOKUP(H311,{0,2,3,4,5,6,7,8,9,10,11,12,13,14,15,16},{0,10,20,30,40,50,60,64,68,72,76,80,85,90,95,100})</f>
        <v>100</v>
      </c>
      <c r="J311" s="7">
        <f>H311-16</f>
        <v>1</v>
      </c>
      <c r="K311" s="40">
        <f>LOOKUP(J311,{0,1,2,3,4,5,6,7,8,9,10},{0,1,2,3,4,5,6,7,8,9,10})</f>
        <v>1</v>
      </c>
      <c r="L311" s="7">
        <f>I311+K311</f>
        <v>101</v>
      </c>
      <c r="M311" s="6">
        <v>7.3</v>
      </c>
      <c r="N311" s="43">
        <f>13-M311</f>
        <v>5.7</v>
      </c>
      <c r="O311" s="40">
        <f>LOOKUP(N311,{0,2.5,2.7,2.9,3.1,3.3,3.5,3.7,3.9,4.1,4.3,4.5,4.7,4.9,5.1,5.3,5.5,5.6,5.7,5.8,5.9},{0,10,20,30,40,50,60,62,64,66,68,70,72,74,76,78,80,85,90,95,100})</f>
        <v>90</v>
      </c>
      <c r="P311" s="6">
        <v>4.36</v>
      </c>
      <c r="Q311" s="6">
        <f>10-P311</f>
        <v>5.64</v>
      </c>
      <c r="R311" s="40">
        <f>LOOKUP(Q311,{0,3.75,3.95,4.55,4.75,4.95,5.55,5.6,5.65,5.7,5.75,5.8,5.85,5.9,5.95,6,6.45,6.53,6.6,6.65,6.7},{0,10,20,30,40,50,60,62,64,66,68,70,72,74,76,78,80,85,90,95,100})</f>
        <v>62</v>
      </c>
      <c r="S311" s="7"/>
      <c r="T311" s="7"/>
      <c r="U311" s="7">
        <f>R311+T311</f>
        <v>62</v>
      </c>
      <c r="W311" s="7">
        <f>E311*0.1+G311*0.1+I311*0.1+O311*0.2+R311*0.2</f>
        <v>54.4</v>
      </c>
      <c r="X311" s="21">
        <f>W311/0.7+K311+T311</f>
        <v>78.7142857142857</v>
      </c>
    </row>
    <row r="312" ht="15.6" hidden="1" spans="1:24">
      <c r="A312" s="6">
        <v>109</v>
      </c>
      <c r="B312" s="29" t="s">
        <v>420</v>
      </c>
      <c r="C312" s="29" t="s">
        <v>11</v>
      </c>
      <c r="D312" s="6">
        <v>0.4</v>
      </c>
      <c r="E312" s="40">
        <f>LOOKUP(D312,{0,-4,-3,-2,-1,0,1,2.4,3.8,5.2,6.6,8,9.4,10.8,12.2,13.6,15,17.2,19.4,21.5,23.6},{0,10,20,30,40,50,60,62,64,66,68,70,72,74,76,78,80,85,90,95,100})</f>
        <v>50</v>
      </c>
      <c r="F312" s="6">
        <v>215</v>
      </c>
      <c r="G312" s="40">
        <f>LOOKUP(F312,{0,170,175,180,185,190,195,199,203,207,211,215,219,223,227,231,235,243,250,255,260},{0,10,20,30,40,50,60,62,64,66,68,70,72,74,76,78,80,85,90,95,100})</f>
        <v>70</v>
      </c>
      <c r="H312" s="6">
        <v>0</v>
      </c>
      <c r="I312" s="40">
        <f>LOOKUP(H312,{0,2,3,4,5,6,7,8,9,10,11,12,13,14,15,16},{0,10,20,30,40,50,60,64,68,72,76,80,85,90,95,100})</f>
        <v>0</v>
      </c>
      <c r="J312" s="7"/>
      <c r="K312" s="7"/>
      <c r="L312" s="7">
        <f>I312+K312</f>
        <v>0</v>
      </c>
      <c r="M312" s="6">
        <v>7.3</v>
      </c>
      <c r="N312" s="43">
        <f>13-M312</f>
        <v>5.7</v>
      </c>
      <c r="O312" s="40">
        <f>LOOKUP(N312,{0,2.5,2.7,2.9,3.1,3.3,3.5,3.7,3.9,4.1,4.3,4.5,4.7,4.9,5.1,5.3,5.5,5.6,5.7,5.8,5.9},{0,10,20,30,40,50,60,62,64,66,68,70,72,74,76,78,80,85,90,95,100})</f>
        <v>90</v>
      </c>
      <c r="P312" s="6">
        <v>4.38</v>
      </c>
      <c r="Q312" s="6">
        <f>10-P312</f>
        <v>5.62</v>
      </c>
      <c r="R312" s="40">
        <f>LOOKUP(Q312,{0,3.75,3.95,4.55,4.75,4.95,5.55,5.6,5.65,5.7,5.75,5.8,5.85,5.9,5.95,6,6.45,6.53,6.6,6.65,6.7},{0,10,20,30,40,50,60,62,64,66,68,70,72,74,76,78,80,85,90,95,100})</f>
        <v>62</v>
      </c>
      <c r="S312" s="7"/>
      <c r="T312" s="7"/>
      <c r="U312" s="7">
        <f>R312+T312</f>
        <v>62</v>
      </c>
      <c r="W312" s="7">
        <f>E312*0.1+G312*0.1+I312*0.1+O312*0.2+R312*0.2</f>
        <v>42.4</v>
      </c>
      <c r="X312" s="21">
        <f>W312/0.7+K312+T312</f>
        <v>60.5714285714286</v>
      </c>
    </row>
    <row r="313" ht="15.6" hidden="1" spans="1:24">
      <c r="A313" s="6">
        <v>106</v>
      </c>
      <c r="B313" s="39" t="s">
        <v>256</v>
      </c>
      <c r="C313" s="29" t="s">
        <v>11</v>
      </c>
      <c r="D313" s="6">
        <v>-2.8</v>
      </c>
      <c r="E313" s="40">
        <f>LOOKUP(D313,{0,-4,-3,-2,-1,0,1,2.4,3.8,5.2,6.6,8,9.4,10.8,12.2,13.6,15,17.2,19.4,21.5,23.6},{0,10,20,30,40,50,60,62,64,66,68,70,72,74,76,78,80,85,90,95,100})</f>
        <v>20</v>
      </c>
      <c r="F313" s="6">
        <v>220</v>
      </c>
      <c r="G313" s="40">
        <f>LOOKUP(F313,{0,170,175,180,185,190,195,199,203,207,211,215,219,223,227,231,235,243,250,255,260},{0,10,20,30,40,50,60,62,64,66,68,70,72,74,76,78,80,85,90,95,100})</f>
        <v>72</v>
      </c>
      <c r="H313" s="6">
        <v>23</v>
      </c>
      <c r="I313" s="40">
        <f>LOOKUP(H313,{0,2,3,4,5,6,7,8,9,10,11,12,13,14,15,16},{0,10,20,30,40,50,60,64,68,72,76,80,85,90,95,100})</f>
        <v>100</v>
      </c>
      <c r="J313" s="7">
        <f>H313-16</f>
        <v>7</v>
      </c>
      <c r="K313" s="40">
        <f>LOOKUP(J313,{0,1,2,3,4,5,6,7,8,9,10},{0,1,2,3,4,5,6,7,8,9,10})</f>
        <v>7</v>
      </c>
      <c r="L313" s="7">
        <f>I313+K313</f>
        <v>107</v>
      </c>
      <c r="M313" s="6">
        <v>7.3</v>
      </c>
      <c r="N313" s="43">
        <f>13-M313</f>
        <v>5.7</v>
      </c>
      <c r="O313" s="40">
        <f>LOOKUP(N313,{0,2.5,2.7,2.9,3.1,3.3,3.5,3.7,3.9,4.1,4.3,4.5,4.7,4.9,5.1,5.3,5.5,5.6,5.7,5.8,5.9},{0,10,20,30,40,50,60,62,64,66,68,70,72,74,76,78,80,85,90,95,100})</f>
        <v>90</v>
      </c>
      <c r="R313" s="40"/>
      <c r="S313" s="7"/>
      <c r="T313" s="40"/>
      <c r="U313" s="7"/>
      <c r="V313" s="6" t="s">
        <v>26</v>
      </c>
      <c r="W313" s="7">
        <f>E313*0.1+G313*0.1+I313*0.1+O313*0.2+R313*0.2</f>
        <v>37.2</v>
      </c>
      <c r="X313" s="21">
        <f>W313/0.7+K313+T313</f>
        <v>60.1428571428572</v>
      </c>
    </row>
    <row r="314" ht="15.6" hidden="1" spans="1:24">
      <c r="A314" s="6">
        <v>105</v>
      </c>
      <c r="B314" s="52" t="s">
        <v>242</v>
      </c>
      <c r="C314" s="52" t="s">
        <v>11</v>
      </c>
      <c r="D314" s="6"/>
      <c r="E314" s="40"/>
      <c r="F314" s="6"/>
      <c r="G314" s="40"/>
      <c r="H314" s="6"/>
      <c r="I314" s="40"/>
      <c r="J314" s="7"/>
      <c r="K314" s="7"/>
      <c r="L314" s="7"/>
      <c r="M314" s="6">
        <v>7.3</v>
      </c>
      <c r="N314" s="43">
        <f>13-M314</f>
        <v>5.7</v>
      </c>
      <c r="O314" s="40">
        <f>LOOKUP(N314,{0,2.5,2.7,2.9,3.1,3.3,3.5,3.7,3.9,4.1,4.3,4.5,4.7,4.9,5.1,5.3,5.5,5.6,5.7,5.8,5.9},{0,10,20,30,40,50,60,62,64,66,68,70,72,74,76,78,80,85,90,95,100})</f>
        <v>90</v>
      </c>
      <c r="R314" s="40"/>
      <c r="S314" s="7"/>
      <c r="T314" s="40"/>
      <c r="U314" s="7"/>
      <c r="V314" s="6" t="s">
        <v>222</v>
      </c>
      <c r="W314" s="7">
        <f>E314*0.1+G314*0.1+I314*0.1+O314*0.2+R314*0.2</f>
        <v>18</v>
      </c>
      <c r="X314" s="21">
        <v>50</v>
      </c>
    </row>
    <row r="315" ht="15.6" hidden="1" spans="1:24">
      <c r="A315" s="6">
        <v>115</v>
      </c>
      <c r="B315" s="29" t="s">
        <v>96</v>
      </c>
      <c r="C315" s="29" t="s">
        <v>11</v>
      </c>
      <c r="D315" s="6">
        <v>8</v>
      </c>
      <c r="E315" s="40">
        <f>LOOKUP(D315,{0,-4,-3,-2,-1,0,1,2.4,3.8,5.2,6.6,8,9.4,10.8,12.2,13.6,15,17.2,19.4,21.5,23.6},{0,10,20,30,40,50,60,62,64,66,68,70,72,74,76,78,80,85,90,95,100})</f>
        <v>70</v>
      </c>
      <c r="F315" s="6">
        <v>222</v>
      </c>
      <c r="G315" s="40">
        <f>LOOKUP(F315,{0,170,175,180,185,190,195,199,203,207,211,215,219,223,227,231,235,243,250,255,260},{0,10,20,30,40,50,60,62,64,66,68,70,72,74,76,78,80,85,90,95,100})</f>
        <v>72</v>
      </c>
      <c r="H315" s="6">
        <v>4</v>
      </c>
      <c r="I315" s="40">
        <f>LOOKUP(H315,{0,2,3,4,5,6,7,8,9,10,11,12,13,14,15,16},{0,10,20,30,40,50,60,64,68,72,76,80,85,90,95,100})</f>
        <v>30</v>
      </c>
      <c r="J315" s="7"/>
      <c r="K315" s="7"/>
      <c r="L315" s="7">
        <f>I315+K315</f>
        <v>30</v>
      </c>
      <c r="M315" s="6">
        <v>7.4</v>
      </c>
      <c r="N315" s="43">
        <f>13-M315</f>
        <v>5.6</v>
      </c>
      <c r="O315" s="40">
        <f>LOOKUP(N315,{0,2.5,2.7,2.9,3.1,3.3,3.5,3.7,3.9,4.1,4.3,4.5,4.7,4.9,5.1,5.3,5.5,5.6,5.7,5.8,5.9},{0,10,20,30,40,50,60,62,64,66,68,70,72,74,76,78,80,85,90,95,100})</f>
        <v>85</v>
      </c>
      <c r="P315" s="6">
        <v>3.28</v>
      </c>
      <c r="Q315" s="6">
        <f>10-P315</f>
        <v>6.72</v>
      </c>
      <c r="R315" s="40">
        <f>LOOKUP(Q315,{0,3.75,3.95,4.55,4.75,4.95,5.55,5.6,5.65,5.7,5.75,5.8,5.85,5.9,5.95,6,6.45,6.53,6.6,6.65,6.7},{0,10,20,30,40,50,60,62,64,66,68,70,72,74,76,78,80,85,90,95,100})</f>
        <v>100</v>
      </c>
      <c r="S315" s="7">
        <f>3.3-P315</f>
        <v>0.02</v>
      </c>
      <c r="T315" s="40">
        <f>LOOKUP(S315,{0,0.04,0.08,0.12,0.16,0.2,0.23,0.26,0.29,0.32,0.35},{0,1,2,3,4,5,6,7,8,9,10})</f>
        <v>0</v>
      </c>
      <c r="U315" s="7">
        <f>R315+T315</f>
        <v>100</v>
      </c>
      <c r="W315" s="7">
        <f>E315*0.1+G315*0.1+I315*0.1+O315*0.2+R315*0.2</f>
        <v>54.2</v>
      </c>
      <c r="X315" s="21">
        <f>W315/0.7+K315+T315</f>
        <v>77.4285714285714</v>
      </c>
    </row>
    <row r="316" s="3" customFormat="1" ht="15.6" hidden="1" spans="1:24">
      <c r="A316" s="6">
        <v>116</v>
      </c>
      <c r="B316" s="29" t="s">
        <v>791</v>
      </c>
      <c r="C316" s="29" t="s">
        <v>11</v>
      </c>
      <c r="D316" s="6">
        <v>13</v>
      </c>
      <c r="E316" s="40">
        <f>LOOKUP(D316,{0,-4,-3,-2,-1,0,1,2.4,3.8,5.2,6.6,8,9.4,10.8,12.2,13.6,15,17.2,19.4,21.5,23.6},{0,10,20,30,40,50,60,62,64,66,68,70,72,74,76,78,80,85,90,95,100})</f>
        <v>76</v>
      </c>
      <c r="F316" s="6">
        <v>221</v>
      </c>
      <c r="G316" s="40">
        <f>LOOKUP(F316,{0,170,175,180,185,190,195,199,203,207,211,215,219,223,227,231,235,243,250,255,260},{0,10,20,30,40,50,60,62,64,66,68,70,72,74,76,78,80,85,90,95,100})</f>
        <v>72</v>
      </c>
      <c r="H316" s="6">
        <v>18</v>
      </c>
      <c r="I316" s="40">
        <f>LOOKUP(H316,{0,2,3,4,5,6,7,8,9,10,11,12,13,14,15,16},{0,10,20,30,40,50,60,64,68,72,76,80,85,90,95,100})</f>
        <v>100</v>
      </c>
      <c r="J316" s="7">
        <f>H316-16</f>
        <v>2</v>
      </c>
      <c r="K316" s="40">
        <f>LOOKUP(J316,{0,1,2,3,4,5,6,7,8,9,10},{0,1,2,3,4,5,6,7,8,9,10})</f>
        <v>2</v>
      </c>
      <c r="L316" s="7">
        <f>I316+K316</f>
        <v>102</v>
      </c>
      <c r="M316" s="6">
        <v>7.4</v>
      </c>
      <c r="N316" s="43">
        <f>13-M316</f>
        <v>5.6</v>
      </c>
      <c r="O316" s="40">
        <f>LOOKUP(N316,{0,2.5,2.7,2.9,3.1,3.3,3.5,3.7,3.9,4.1,4.3,4.5,4.7,4.9,5.1,5.3,5.5,5.6,5.7,5.8,5.9},{0,10,20,30,40,50,60,62,64,66,68,70,72,74,76,78,80,85,90,95,100})</f>
        <v>85</v>
      </c>
      <c r="P316" s="6">
        <v>3.3</v>
      </c>
      <c r="Q316" s="6">
        <f>10-P316</f>
        <v>6.7</v>
      </c>
      <c r="R316" s="40">
        <f>LOOKUP(Q316,{0,3.75,3.95,4.55,4.75,4.95,5.55,5.6,5.65,5.7,5.75,5.8,5.85,5.9,5.95,6,6.45,6.53,6.6,6.65,6.7},{0,10,20,30,40,50,60,62,64,66,68,70,72,74,76,78,80,85,90,95,100})</f>
        <v>100</v>
      </c>
      <c r="S316" s="7">
        <f>3.3-P316</f>
        <v>0</v>
      </c>
      <c r="T316" s="40">
        <f>LOOKUP(S316,{0,0.04,0.08,0.12,0.16,0.2,0.23,0.26,0.29,0.32,0.35},{0,1,2,3,4,5,6,7,8,9,10})</f>
        <v>0</v>
      </c>
      <c r="U316" s="7">
        <f>R316+T316</f>
        <v>100</v>
      </c>
      <c r="V316" s="6"/>
      <c r="W316" s="7">
        <f>E316*0.1+G316*0.1+I316*0.1+O316*0.2+R316*0.2</f>
        <v>61.8</v>
      </c>
      <c r="X316" s="21">
        <f>W316/0.7+K316+T316</f>
        <v>90.2857142857143</v>
      </c>
    </row>
    <row r="317" ht="15.6" hidden="1" spans="1:24">
      <c r="A317" s="6">
        <v>102</v>
      </c>
      <c r="B317" s="29" t="s">
        <v>79</v>
      </c>
      <c r="C317" s="29" t="s">
        <v>11</v>
      </c>
      <c r="D317" s="6">
        <v>9.6</v>
      </c>
      <c r="E317" s="40">
        <f>LOOKUP(D317,{0,-4,-3,-2,-1,0,1,2.4,3.8,5.2,6.6,8,9.4,10.8,12.2,13.6,15,17.2,19.4,21.5,23.6},{0,10,20,30,40,50,60,62,64,66,68,70,72,74,76,78,80,85,90,95,100})</f>
        <v>72</v>
      </c>
      <c r="F317" s="6">
        <v>224</v>
      </c>
      <c r="G317" s="40">
        <f>LOOKUP(F317,{0,170,175,180,185,190,195,199,203,207,211,215,219,223,227,231,235,243,250,255,260},{0,10,20,30,40,50,60,62,64,66,68,70,72,74,76,78,80,85,90,95,100})</f>
        <v>74</v>
      </c>
      <c r="H317" s="6">
        <v>20</v>
      </c>
      <c r="I317" s="40">
        <f>LOOKUP(H317,{0,2,3,4,5,6,7,8,9,10,11,12,13,14,15,16},{0,10,20,30,40,50,60,64,68,72,76,80,85,90,95,100})</f>
        <v>100</v>
      </c>
      <c r="J317" s="7">
        <f>H317-16</f>
        <v>4</v>
      </c>
      <c r="K317" s="40">
        <f>LOOKUP(J317,{0,1,2,3,4,5,6,7,8,9,10},{0,1,2,3,4,5,6,7,8,9,10})</f>
        <v>4</v>
      </c>
      <c r="L317" s="7">
        <f>I317+K317</f>
        <v>104</v>
      </c>
      <c r="M317" s="6">
        <v>7.4</v>
      </c>
      <c r="N317" s="43">
        <f>13-M317</f>
        <v>5.6</v>
      </c>
      <c r="O317" s="40">
        <f>LOOKUP(N317,{0,2.5,2.7,2.9,3.1,3.3,3.5,3.7,3.9,4.1,4.3,4.5,4.7,4.9,5.1,5.3,5.5,5.6,5.7,5.8,5.9},{0,10,20,30,40,50,60,62,64,66,68,70,72,74,76,78,80,85,90,95,100})</f>
        <v>85</v>
      </c>
      <c r="P317" s="6">
        <v>3.31</v>
      </c>
      <c r="Q317" s="6">
        <f>10-P317</f>
        <v>6.69</v>
      </c>
      <c r="R317" s="40">
        <f>LOOKUP(Q317,{0,3.75,3.95,4.55,4.75,4.95,5.55,5.6,5.65,5.7,5.75,5.8,5.85,5.9,5.95,6,6.45,6.53,6.6,6.65,6.7},{0,10,20,30,40,50,60,62,64,66,68,70,72,74,76,78,80,85,90,95,100})</f>
        <v>95</v>
      </c>
      <c r="S317" s="7"/>
      <c r="T317" s="7"/>
      <c r="U317" s="7">
        <f>R317+T317</f>
        <v>95</v>
      </c>
      <c r="W317" s="7">
        <f>E317*0.1+G317*0.1+I317*0.1+O317*0.2+R317*0.2</f>
        <v>60.6</v>
      </c>
      <c r="X317" s="21">
        <f>W317/0.7+K317+T317</f>
        <v>90.5714285714286</v>
      </c>
    </row>
    <row r="318" ht="15.6" hidden="1" spans="1:24">
      <c r="A318" s="6">
        <v>104</v>
      </c>
      <c r="B318" s="29" t="s">
        <v>186</v>
      </c>
      <c r="C318" s="29" t="s">
        <v>11</v>
      </c>
      <c r="D318" s="6">
        <v>9.6</v>
      </c>
      <c r="E318" s="40">
        <f>LOOKUP(D318,{0,-4,-3,-2,-1,0,1,2.4,3.8,5.2,6.6,8,9.4,10.8,12.2,13.6,15,17.2,19.4,21.5,23.6},{0,10,20,30,40,50,60,62,64,66,68,70,72,74,76,78,80,85,90,95,100})</f>
        <v>72</v>
      </c>
      <c r="F318" s="6">
        <v>198</v>
      </c>
      <c r="G318" s="40">
        <f>LOOKUP(F318,{0,170,175,180,185,190,195,199,203,207,211,215,219,223,227,231,235,243,250,255,260},{0,10,20,30,40,50,60,62,64,66,68,70,72,74,76,78,80,85,90,95,100})</f>
        <v>60</v>
      </c>
      <c r="H318" s="6">
        <v>4</v>
      </c>
      <c r="I318" s="40">
        <f>LOOKUP(H318,{0,2,3,4,5,6,7,8,9,10,11,12,13,14,15,16},{0,10,20,30,40,50,60,64,68,72,76,80,85,90,95,100})</f>
        <v>30</v>
      </c>
      <c r="J318" s="7"/>
      <c r="K318" s="7"/>
      <c r="L318" s="7">
        <f>I318+K318</f>
        <v>30</v>
      </c>
      <c r="M318" s="6">
        <v>7.4</v>
      </c>
      <c r="N318" s="43">
        <f>13-M318</f>
        <v>5.6</v>
      </c>
      <c r="O318" s="40">
        <f>LOOKUP(N318,{0,2.5,2.7,2.9,3.1,3.3,3.5,3.7,3.9,4.1,4.3,4.5,4.7,4.9,5.1,5.3,5.5,5.6,5.7,5.8,5.9},{0,10,20,30,40,50,60,62,64,66,68,70,72,74,76,78,80,85,90,95,100})</f>
        <v>85</v>
      </c>
      <c r="P318" s="6">
        <v>3.31</v>
      </c>
      <c r="Q318" s="6">
        <f>10-P318</f>
        <v>6.69</v>
      </c>
      <c r="R318" s="40">
        <f>LOOKUP(Q318,{0,3.75,3.95,4.55,4.75,4.95,5.55,5.6,5.65,5.7,5.75,5.8,5.85,5.9,5.95,6,6.45,6.53,6.6,6.65,6.7},{0,10,20,30,40,50,60,62,64,66,68,70,72,74,76,78,80,85,90,95,100})</f>
        <v>95</v>
      </c>
      <c r="S318" s="7"/>
      <c r="T318" s="7"/>
      <c r="U318" s="7">
        <f>R318+T318</f>
        <v>95</v>
      </c>
      <c r="W318" s="7">
        <f>E318*0.1+G318*0.1+I318*0.1+O318*0.2+R318*0.2</f>
        <v>52.2</v>
      </c>
      <c r="X318" s="21">
        <f>W318/0.7+K318+T318</f>
        <v>74.5714285714286</v>
      </c>
    </row>
    <row r="319" ht="15.6" hidden="1" spans="1:24">
      <c r="A319" s="6">
        <v>101</v>
      </c>
      <c r="B319" s="29" t="s">
        <v>13</v>
      </c>
      <c r="C319" s="29" t="s">
        <v>11</v>
      </c>
      <c r="D319" s="6">
        <v>5.5</v>
      </c>
      <c r="E319" s="40">
        <f>LOOKUP(D319,{0,-4,-3,-2,-1,0,1,2.4,3.8,5.2,6.6,8,9.4,10.8,12.2,13.6,15,17.2,19.4,21.5,23.6},{0,10,20,30,40,50,60,62,64,66,68,70,72,74,76,78,80,85,90,95,100})</f>
        <v>66</v>
      </c>
      <c r="F319" s="6">
        <v>223</v>
      </c>
      <c r="G319" s="40">
        <f>LOOKUP(F319,{0,170,175,180,185,190,195,199,203,207,211,215,219,223,227,231,235,243,250,255,260},{0,10,20,30,40,50,60,62,64,66,68,70,72,74,76,78,80,85,90,95,100})</f>
        <v>74</v>
      </c>
      <c r="H319" s="6">
        <v>13</v>
      </c>
      <c r="I319" s="40">
        <f>LOOKUP(H319,{0,2,3,4,5,6,7,8,9,10,11,12,13,14,15,16},{0,10,20,30,40,50,60,64,68,72,76,80,85,90,95,100})</f>
        <v>85</v>
      </c>
      <c r="J319" s="7"/>
      <c r="K319" s="7"/>
      <c r="L319" s="7">
        <f>I319+K319</f>
        <v>85</v>
      </c>
      <c r="M319" s="6">
        <v>7.4</v>
      </c>
      <c r="N319" s="43">
        <f>13-M319</f>
        <v>5.6</v>
      </c>
      <c r="O319" s="40">
        <f>LOOKUP(N319,{0,2.5,2.7,2.9,3.1,3.3,3.5,3.7,3.9,4.1,4.3,4.5,4.7,4.9,5.1,5.3,5.5,5.6,5.7,5.8,5.9},{0,10,20,30,40,50,60,62,64,66,68,70,72,74,76,78,80,85,90,95,100})</f>
        <v>85</v>
      </c>
      <c r="P319" s="6">
        <v>3.33</v>
      </c>
      <c r="Q319" s="6">
        <f>10-P319</f>
        <v>6.67</v>
      </c>
      <c r="R319" s="40">
        <f>LOOKUP(Q319,{0,3.75,3.95,4.55,4.75,4.95,5.55,5.6,5.65,5.7,5.75,5.8,5.85,5.9,5.95,6,6.45,6.53,6.6,6.65,6.7},{0,10,20,30,40,50,60,62,64,66,68,70,72,74,76,78,80,85,90,95,100})</f>
        <v>95</v>
      </c>
      <c r="S319" s="7"/>
      <c r="T319" s="7"/>
      <c r="U319" s="7">
        <f>R319+T319</f>
        <v>95</v>
      </c>
      <c r="W319" s="7">
        <f>E319*0.1+G319*0.1+I319*0.1+O319*0.2+R319*0.2</f>
        <v>58.5</v>
      </c>
      <c r="X319" s="21">
        <f>W319/0.7+K319+T319</f>
        <v>83.5714285714286</v>
      </c>
    </row>
    <row r="320" ht="15.6" hidden="1" spans="1:24">
      <c r="A320" s="6">
        <v>112</v>
      </c>
      <c r="B320" s="29" t="s">
        <v>576</v>
      </c>
      <c r="C320" s="29" t="s">
        <v>11</v>
      </c>
      <c r="D320" s="6">
        <v>20.5</v>
      </c>
      <c r="E320" s="40">
        <f>LOOKUP(D320,{0,-4,-3,-2,-1,0,1,2.4,3.8,5.2,6.6,8,9.4,10.8,12.2,13.6,15,17.2,19.4,21.5,23.6},{0,10,20,30,40,50,60,62,64,66,68,70,72,74,76,78,80,85,90,95,100})</f>
        <v>90</v>
      </c>
      <c r="F320" s="6">
        <v>230</v>
      </c>
      <c r="G320" s="40">
        <f>LOOKUP(F320,{0,170,175,180,185,190,195,199,203,207,211,215,219,223,227,231,235,243,250,255,260},{0,10,20,30,40,50,60,62,64,66,68,70,72,74,76,78,80,85,90,95,100})</f>
        <v>76</v>
      </c>
      <c r="H320" s="6">
        <v>6</v>
      </c>
      <c r="I320" s="40">
        <f>LOOKUP(H320,{0,2,3,4,5,6,7,8,9,10,11,12,13,14,15,16},{0,10,20,30,40,50,60,64,68,72,76,80,85,90,95,100})</f>
        <v>50</v>
      </c>
      <c r="J320" s="7"/>
      <c r="K320" s="7"/>
      <c r="L320" s="7">
        <f>I320+K320</f>
        <v>50</v>
      </c>
      <c r="M320" s="6">
        <v>7.4</v>
      </c>
      <c r="N320" s="43">
        <f>13-M320</f>
        <v>5.6</v>
      </c>
      <c r="O320" s="40">
        <f>LOOKUP(N320,{0,2.5,2.7,2.9,3.1,3.3,3.5,3.7,3.9,4.1,4.3,4.5,4.7,4.9,5.1,5.3,5.5,5.6,5.7,5.8,5.9},{0,10,20,30,40,50,60,62,64,66,68,70,72,74,76,78,80,85,90,95,100})</f>
        <v>85</v>
      </c>
      <c r="P320" s="6">
        <v>3.35</v>
      </c>
      <c r="Q320" s="6">
        <f>10-P320</f>
        <v>6.65</v>
      </c>
      <c r="R320" s="40">
        <f>LOOKUP(Q320,{0,3.75,3.95,4.55,4.75,4.95,5.55,5.6,5.65,5.7,5.75,5.8,5.85,5.9,5.95,6,6.45,6.53,6.6,6.65,6.7},{0,10,20,30,40,50,60,62,64,66,68,70,72,74,76,78,80,85,90,95,100})</f>
        <v>95</v>
      </c>
      <c r="S320" s="7"/>
      <c r="T320" s="7"/>
      <c r="U320" s="7">
        <f>R320+T320</f>
        <v>95</v>
      </c>
      <c r="W320" s="7">
        <f>E320*0.1+G320*0.1+I320*0.1+O320*0.2+R320*0.2</f>
        <v>57.6</v>
      </c>
      <c r="X320" s="21">
        <f>W320/0.7+K320+T320</f>
        <v>82.2857142857143</v>
      </c>
    </row>
    <row r="321" ht="15.6" hidden="1" spans="1:24">
      <c r="A321" s="6">
        <v>115</v>
      </c>
      <c r="B321" s="29" t="s">
        <v>744</v>
      </c>
      <c r="C321" s="29" t="s">
        <v>11</v>
      </c>
      <c r="D321" s="6">
        <v>13</v>
      </c>
      <c r="E321" s="40">
        <f>LOOKUP(D321,{0,-4,-3,-2,-1,0,1,2.4,3.8,5.2,6.6,8,9.4,10.8,12.2,13.6,15,17.2,19.4,21.5,23.6},{0,10,20,30,40,50,60,62,64,66,68,70,72,74,76,78,80,85,90,95,100})</f>
        <v>76</v>
      </c>
      <c r="F321" s="6">
        <v>210</v>
      </c>
      <c r="G321" s="40">
        <f>LOOKUP(F321,{0,170,175,180,185,190,195,199,203,207,211,215,219,223,227,231,235,243,250,255,260},{0,10,20,30,40,50,60,62,64,66,68,70,72,74,76,78,80,85,90,95,100})</f>
        <v>66</v>
      </c>
      <c r="H321" s="6">
        <v>0</v>
      </c>
      <c r="I321" s="40">
        <f>LOOKUP(H321,{0,2,3,4,5,6,7,8,9,10,11,12,13,14,15,16},{0,10,20,30,40,50,60,64,68,72,76,80,85,90,95,100})</f>
        <v>0</v>
      </c>
      <c r="J321" s="7"/>
      <c r="K321" s="7"/>
      <c r="L321" s="7">
        <f>I321+K321</f>
        <v>0</v>
      </c>
      <c r="M321" s="6">
        <v>7.4</v>
      </c>
      <c r="N321" s="43">
        <f>13-M321</f>
        <v>5.6</v>
      </c>
      <c r="O321" s="40">
        <f>LOOKUP(N321,{0,2.5,2.7,2.9,3.1,3.3,3.5,3.7,3.9,4.1,4.3,4.5,4.7,4.9,5.1,5.3,5.5,5.6,5.7,5.8,5.9},{0,10,20,30,40,50,60,62,64,66,68,70,72,74,76,78,80,85,90,95,100})</f>
        <v>85</v>
      </c>
      <c r="P321" s="6">
        <v>3.36</v>
      </c>
      <c r="Q321" s="6">
        <f>10-P321</f>
        <v>6.64</v>
      </c>
      <c r="R321" s="40">
        <f>LOOKUP(Q321,{0,3.75,3.95,4.55,4.75,4.95,5.55,5.6,5.65,5.7,5.75,5.8,5.85,5.9,5.95,6,6.45,6.53,6.6,6.65,6.7},{0,10,20,30,40,50,60,62,64,66,68,70,72,74,76,78,80,85,90,95,100})</f>
        <v>90</v>
      </c>
      <c r="S321" s="7"/>
      <c r="T321" s="7"/>
      <c r="U321" s="7">
        <f>R321+T321</f>
        <v>90</v>
      </c>
      <c r="W321" s="7">
        <f>E321*0.1+G321*0.1+I321*0.1+O321*0.2+R321*0.2</f>
        <v>49.2</v>
      </c>
      <c r="X321" s="21">
        <f>W321/0.7+K321+T321</f>
        <v>70.2857142857143</v>
      </c>
    </row>
    <row r="322" ht="15.6" hidden="1" spans="1:24">
      <c r="A322" s="6">
        <v>107</v>
      </c>
      <c r="B322" s="29" t="s">
        <v>322</v>
      </c>
      <c r="C322" s="29" t="s">
        <v>11</v>
      </c>
      <c r="D322" s="6">
        <v>16.8</v>
      </c>
      <c r="E322" s="40">
        <f>LOOKUP(D322,{0,-4,-3,-2,-1,0,1,2.4,3.8,5.2,6.6,8,9.4,10.8,12.2,13.6,15,17.2,19.4,21.5,23.6},{0,10,20,30,40,50,60,62,64,66,68,70,72,74,76,78,80,85,90,95,100})</f>
        <v>80</v>
      </c>
      <c r="F322" s="6">
        <v>240</v>
      </c>
      <c r="G322" s="40">
        <f>LOOKUP(F322,{0,170,175,180,185,190,195,199,203,207,211,215,219,223,227,231,235,243,250,255,260},{0,10,20,30,40,50,60,62,64,66,68,70,72,74,76,78,80,85,90,95,100})</f>
        <v>80</v>
      </c>
      <c r="H322" s="6">
        <v>7</v>
      </c>
      <c r="I322" s="40">
        <f>LOOKUP(H322,{0,2,3,4,5,6,7,8,9,10,11,12,13,14,15,16},{0,10,20,30,40,50,60,64,68,72,76,80,85,90,95,100})</f>
        <v>60</v>
      </c>
      <c r="J322" s="7"/>
      <c r="K322" s="7"/>
      <c r="L322" s="7">
        <f>I322+K322</f>
        <v>60</v>
      </c>
      <c r="M322" s="6">
        <v>7.4</v>
      </c>
      <c r="N322" s="43">
        <f>13-M322</f>
        <v>5.6</v>
      </c>
      <c r="O322" s="40">
        <f>LOOKUP(N322,{0,2.5,2.7,2.9,3.1,3.3,3.5,3.7,3.9,4.1,4.3,4.5,4.7,4.9,5.1,5.3,5.5,5.6,5.7,5.8,5.9},{0,10,20,30,40,50,60,62,64,66,68,70,72,74,76,78,80,85,90,95,100})</f>
        <v>85</v>
      </c>
      <c r="P322" s="6">
        <v>3.37</v>
      </c>
      <c r="Q322" s="6">
        <f>10-P322</f>
        <v>6.63</v>
      </c>
      <c r="R322" s="40">
        <f>LOOKUP(Q322,{0,3.75,3.95,4.55,4.75,4.95,5.55,5.6,5.65,5.7,5.75,5.8,5.85,5.9,5.95,6,6.45,6.53,6.6,6.65,6.7},{0,10,20,30,40,50,60,62,64,66,68,70,72,74,76,78,80,85,90,95,100})</f>
        <v>90</v>
      </c>
      <c r="S322" s="7"/>
      <c r="T322" s="7"/>
      <c r="U322" s="7">
        <f>R322+T322</f>
        <v>90</v>
      </c>
      <c r="W322" s="7">
        <f>E322*0.1+G322*0.1+I322*0.1+O322*0.2+R322*0.2</f>
        <v>57</v>
      </c>
      <c r="X322" s="21">
        <f>W322/0.7+K322+T322</f>
        <v>81.4285714285714</v>
      </c>
    </row>
    <row r="323" ht="15.6" hidden="1" spans="1:24">
      <c r="A323" s="6">
        <v>107</v>
      </c>
      <c r="B323" s="29" t="s">
        <v>299</v>
      </c>
      <c r="C323" s="29" t="s">
        <v>11</v>
      </c>
      <c r="D323" s="6">
        <v>10.3</v>
      </c>
      <c r="E323" s="40">
        <f>LOOKUP(D323,{0,-4,-3,-2,-1,0,1,2.4,3.8,5.2,6.6,8,9.4,10.8,12.2,13.6,15,17.2,19.4,21.5,23.6},{0,10,20,30,40,50,60,62,64,66,68,70,72,74,76,78,80,85,90,95,100})</f>
        <v>72</v>
      </c>
      <c r="F323" s="6">
        <v>215</v>
      </c>
      <c r="G323" s="40">
        <f>LOOKUP(F323,{0,170,175,180,185,190,195,199,203,207,211,215,219,223,227,231,235,243,250,255,260},{0,10,20,30,40,50,60,62,64,66,68,70,72,74,76,78,80,85,90,95,100})</f>
        <v>70</v>
      </c>
      <c r="H323" s="6">
        <v>7</v>
      </c>
      <c r="I323" s="40">
        <f>LOOKUP(H323,{0,2,3,4,5,6,7,8,9,10,11,12,13,14,15,16},{0,10,20,30,40,50,60,64,68,72,76,80,85,90,95,100})</f>
        <v>60</v>
      </c>
      <c r="J323" s="7"/>
      <c r="K323" s="7"/>
      <c r="L323" s="7">
        <f>I323+K323</f>
        <v>60</v>
      </c>
      <c r="M323" s="6">
        <v>7.4</v>
      </c>
      <c r="N323" s="43">
        <f>13-M323</f>
        <v>5.6</v>
      </c>
      <c r="O323" s="40">
        <f>LOOKUP(N323,{0,2.5,2.7,2.9,3.1,3.3,3.5,3.7,3.9,4.1,4.3,4.5,4.7,4.9,5.1,5.3,5.5,5.6,5.7,5.8,5.9},{0,10,20,30,40,50,60,62,64,66,68,70,72,74,76,78,80,85,90,95,100})</f>
        <v>85</v>
      </c>
      <c r="P323" s="6">
        <v>3.38</v>
      </c>
      <c r="Q323" s="6">
        <f>10-P323</f>
        <v>6.62</v>
      </c>
      <c r="R323" s="40">
        <f>LOOKUP(Q323,{0,3.75,3.95,4.55,4.75,4.95,5.55,5.6,5.65,5.7,5.75,5.8,5.85,5.9,5.95,6,6.45,6.53,6.6,6.65,6.7},{0,10,20,30,40,50,60,62,64,66,68,70,72,74,76,78,80,85,90,95,100})</f>
        <v>90</v>
      </c>
      <c r="S323" s="7"/>
      <c r="T323" s="7"/>
      <c r="U323" s="7">
        <f>R323+T323</f>
        <v>90</v>
      </c>
      <c r="W323" s="7">
        <f>E323*0.1+G323*0.1+I323*0.1+O323*0.2+R323*0.2</f>
        <v>55.2</v>
      </c>
      <c r="X323" s="21">
        <f>W323/0.7+K323+T323</f>
        <v>78.8571428571429</v>
      </c>
    </row>
    <row r="324" ht="15.6" hidden="1" spans="1:24">
      <c r="A324" s="6">
        <v>112</v>
      </c>
      <c r="B324" s="39" t="s">
        <v>579</v>
      </c>
      <c r="C324" s="29" t="s">
        <v>11</v>
      </c>
      <c r="D324" s="6">
        <v>3</v>
      </c>
      <c r="E324" s="40">
        <f>LOOKUP(D324,{0,-4,-3,-2,-1,0,1,2.4,3.8,5.2,6.6,8,9.4,10.8,12.2,13.6,15,17.2,19.4,21.5,23.6},{0,10,20,30,40,50,60,62,64,66,68,70,72,74,76,78,80,85,90,95,100})</f>
        <v>62</v>
      </c>
      <c r="F324" s="6">
        <v>220</v>
      </c>
      <c r="G324" s="40">
        <f>LOOKUP(F324,{0,170,175,180,185,190,195,199,203,207,211,215,219,223,227,231,235,243,250,255,260},{0,10,20,30,40,50,60,62,64,66,68,70,72,74,76,78,80,85,90,95,100})</f>
        <v>72</v>
      </c>
      <c r="H324" s="6">
        <v>6</v>
      </c>
      <c r="I324" s="40">
        <f>LOOKUP(H324,{0,2,3,4,5,6,7,8,9,10,11,12,13,14,15,16},{0,10,20,30,40,50,60,64,68,72,76,80,85,90,95,100})</f>
        <v>50</v>
      </c>
      <c r="J324" s="7"/>
      <c r="K324" s="7"/>
      <c r="L324" s="7">
        <f>I324+K324</f>
        <v>50</v>
      </c>
      <c r="M324" s="6">
        <v>7.4</v>
      </c>
      <c r="N324" s="43">
        <f>13-M324</f>
        <v>5.6</v>
      </c>
      <c r="O324" s="40">
        <f>LOOKUP(N324,{0,2.5,2.7,2.9,3.1,3.3,3.5,3.7,3.9,4.1,4.3,4.5,4.7,4.9,5.1,5.3,5.5,5.6,5.7,5.8,5.9},{0,10,20,30,40,50,60,62,64,66,68,70,72,74,76,78,80,85,90,95,100})</f>
        <v>85</v>
      </c>
      <c r="P324" s="6">
        <v>3.4</v>
      </c>
      <c r="Q324" s="6">
        <f>10-P324</f>
        <v>6.6</v>
      </c>
      <c r="R324" s="40">
        <f>LOOKUP(Q324,{0,3.75,3.95,4.55,4.75,4.95,5.55,5.6,5.65,5.7,5.75,5.8,5.85,5.9,5.95,6,6.45,6.53,6.6,6.65,6.7},{0,10,20,30,40,50,60,62,64,66,68,70,72,74,76,78,80,85,90,95,100})</f>
        <v>90</v>
      </c>
      <c r="S324" s="7"/>
      <c r="T324" s="7"/>
      <c r="U324" s="7">
        <f>R324+T324</f>
        <v>90</v>
      </c>
      <c r="W324" s="7">
        <f>E324*0.1+G324*0.1+I324*0.1+O324*0.2+R324*0.2</f>
        <v>53.4</v>
      </c>
      <c r="X324" s="21">
        <f>W324/0.7+K324+T324</f>
        <v>76.2857142857143</v>
      </c>
    </row>
    <row r="325" ht="15.6" hidden="1" spans="1:24">
      <c r="A325" s="6">
        <v>114</v>
      </c>
      <c r="B325" s="29" t="s">
        <v>682</v>
      </c>
      <c r="C325" s="29" t="s">
        <v>11</v>
      </c>
      <c r="D325" s="6">
        <v>6</v>
      </c>
      <c r="E325" s="40">
        <f>LOOKUP(D325,{0,-4,-3,-2,-1,0,1,2.4,3.8,5.2,6.6,8,9.4,10.8,12.2,13.6,15,17.2,19.4,21.5,23.6},{0,10,20,30,40,50,60,62,64,66,68,70,72,74,76,78,80,85,90,95,100})</f>
        <v>66</v>
      </c>
      <c r="F325" s="6">
        <v>220</v>
      </c>
      <c r="G325" s="40">
        <f>LOOKUP(F325,{0,170,175,180,185,190,195,199,203,207,211,215,219,223,227,231,235,243,250,255,260},{0,10,20,30,40,50,60,62,64,66,68,70,72,74,76,78,80,85,90,95,100})</f>
        <v>72</v>
      </c>
      <c r="H325" s="6">
        <v>3</v>
      </c>
      <c r="I325" s="40">
        <f>LOOKUP(H325,{0,2,3,4,5,6,7,8,9,10,11,12,13,14,15,16},{0,10,20,30,40,50,60,64,68,72,76,80,85,90,95,100})</f>
        <v>20</v>
      </c>
      <c r="J325" s="7"/>
      <c r="K325" s="7"/>
      <c r="L325" s="7">
        <f>I325+K325</f>
        <v>20</v>
      </c>
      <c r="M325" s="6">
        <v>7.4</v>
      </c>
      <c r="N325" s="43">
        <f>13-M325</f>
        <v>5.6</v>
      </c>
      <c r="O325" s="40">
        <f>LOOKUP(N325,{0,2.5,2.7,2.9,3.1,3.3,3.5,3.7,3.9,4.1,4.3,4.5,4.7,4.9,5.1,5.3,5.5,5.6,5.7,5.8,5.9},{0,10,20,30,40,50,60,62,64,66,68,70,72,74,76,78,80,85,90,95,100})</f>
        <v>85</v>
      </c>
      <c r="P325" s="6">
        <v>3.4</v>
      </c>
      <c r="Q325" s="6">
        <f>10-P325</f>
        <v>6.6</v>
      </c>
      <c r="R325" s="40">
        <f>LOOKUP(Q325,{0,3.75,3.95,4.55,4.75,4.95,5.55,5.6,5.65,5.7,5.75,5.8,5.85,5.9,5.95,6,6.45,6.53,6.6,6.65,6.7},{0,10,20,30,40,50,60,62,64,66,68,70,72,74,76,78,80,85,90,95,100})</f>
        <v>90</v>
      </c>
      <c r="S325" s="7"/>
      <c r="T325" s="7"/>
      <c r="U325" s="7">
        <f>R325+T325</f>
        <v>90</v>
      </c>
      <c r="W325" s="7">
        <f>E325*0.1+G325*0.1+I325*0.1+O325*0.2+R325*0.2</f>
        <v>50.8</v>
      </c>
      <c r="X325" s="21">
        <f>W325/0.7+K325+T325</f>
        <v>72.5714285714286</v>
      </c>
    </row>
    <row r="326" ht="15.6" hidden="1" spans="1:24">
      <c r="A326" s="6">
        <v>107</v>
      </c>
      <c r="B326" s="29" t="s">
        <v>300</v>
      </c>
      <c r="C326" s="29" t="s">
        <v>11</v>
      </c>
      <c r="D326" s="6">
        <v>15.4</v>
      </c>
      <c r="E326" s="40">
        <f>LOOKUP(D326,{0,-4,-3,-2,-1,0,1,2.4,3.8,5.2,6.6,8,9.4,10.8,12.2,13.6,15,17.2,19.4,21.5,23.6},{0,10,20,30,40,50,60,62,64,66,68,70,72,74,76,78,80,85,90,95,100})</f>
        <v>80</v>
      </c>
      <c r="F326" s="6">
        <v>225</v>
      </c>
      <c r="G326" s="40">
        <f>LOOKUP(F326,{0,170,175,180,185,190,195,199,203,207,211,215,219,223,227,231,235,243,250,255,260},{0,10,20,30,40,50,60,62,64,66,68,70,72,74,76,78,80,85,90,95,100})</f>
        <v>74</v>
      </c>
      <c r="H326" s="6">
        <v>15</v>
      </c>
      <c r="I326" s="40">
        <f>LOOKUP(H326,{0,2,3,4,5,6,7,8,9,10,11,12,13,14,15,16},{0,10,20,30,40,50,60,64,68,72,76,80,85,90,95,100})</f>
        <v>95</v>
      </c>
      <c r="J326" s="7"/>
      <c r="K326" s="7"/>
      <c r="L326" s="7">
        <f>I326+K326</f>
        <v>95</v>
      </c>
      <c r="M326" s="6">
        <v>7.4</v>
      </c>
      <c r="N326" s="43">
        <f>13-M326</f>
        <v>5.6</v>
      </c>
      <c r="O326" s="40">
        <f>LOOKUP(N326,{0,2.5,2.7,2.9,3.1,3.3,3.5,3.7,3.9,4.1,4.3,4.5,4.7,4.9,5.1,5.3,5.5,5.6,5.7,5.8,5.9},{0,10,20,30,40,50,60,62,64,66,68,70,72,74,76,78,80,85,90,95,100})</f>
        <v>85</v>
      </c>
      <c r="P326" s="6">
        <v>3.42</v>
      </c>
      <c r="Q326" s="6">
        <f>10-P326</f>
        <v>6.58</v>
      </c>
      <c r="R326" s="40">
        <f>LOOKUP(Q326,{0,3.75,3.95,4.55,4.75,4.95,5.55,5.6,5.65,5.7,5.75,5.8,5.85,5.9,5.95,6,6.45,6.53,6.6,6.65,6.7},{0,10,20,30,40,50,60,62,64,66,68,70,72,74,76,78,80,85,90,95,100})</f>
        <v>85</v>
      </c>
      <c r="S326" s="7"/>
      <c r="T326" s="7"/>
      <c r="U326" s="7">
        <f>R326+T326</f>
        <v>85</v>
      </c>
      <c r="W326" s="7">
        <f>E326*0.1+G326*0.1+I326*0.1+O326*0.2+R326*0.2</f>
        <v>58.9</v>
      </c>
      <c r="X326" s="21">
        <f>W326/0.7+K326+T326</f>
        <v>84.1428571428572</v>
      </c>
    </row>
    <row r="327" ht="15.6" hidden="1" spans="1:24">
      <c r="A327" s="6">
        <v>105</v>
      </c>
      <c r="B327" s="52" t="s">
        <v>239</v>
      </c>
      <c r="C327" s="52" t="s">
        <v>11</v>
      </c>
      <c r="D327" s="6">
        <v>6.9</v>
      </c>
      <c r="E327" s="40">
        <f>LOOKUP(D327,{0,-4,-3,-2,-1,0,1,2.4,3.8,5.2,6.6,8,9.4,10.8,12.2,13.6,15,17.2,19.4,21.5,23.6},{0,10,20,30,40,50,60,62,64,66,68,70,72,74,76,78,80,85,90,95,100})</f>
        <v>68</v>
      </c>
      <c r="F327" s="6">
        <v>214</v>
      </c>
      <c r="G327" s="40">
        <f>LOOKUP(F327,{0,170,175,180,185,190,195,199,203,207,211,215,219,223,227,231,235,243,250,255,260},{0,10,20,30,40,50,60,62,64,66,68,70,72,74,76,78,80,85,90,95,100})</f>
        <v>68</v>
      </c>
      <c r="H327" s="6">
        <v>0</v>
      </c>
      <c r="I327" s="40">
        <f>LOOKUP(H327,{0,2,3,4,5,6,7,8,9,10,11,12,13,14,15,16},{0,10,20,30,40,50,60,64,68,72,76,80,85,90,95,100})</f>
        <v>0</v>
      </c>
      <c r="J327" s="7"/>
      <c r="K327" s="7"/>
      <c r="L327" s="7">
        <f>I327+K327</f>
        <v>0</v>
      </c>
      <c r="M327" s="6">
        <v>7.4</v>
      </c>
      <c r="N327" s="43">
        <f>13-M327</f>
        <v>5.6</v>
      </c>
      <c r="O327" s="40">
        <f>LOOKUP(N327,{0,2.5,2.7,2.9,3.1,3.3,3.5,3.7,3.9,4.1,4.3,4.5,4.7,4.9,5.1,5.3,5.5,5.6,5.7,5.8,5.9},{0,10,20,30,40,50,60,62,64,66,68,70,72,74,76,78,80,85,90,95,100})</f>
        <v>85</v>
      </c>
      <c r="P327" s="6">
        <v>3.42</v>
      </c>
      <c r="Q327" s="6">
        <f>10-P327</f>
        <v>6.58</v>
      </c>
      <c r="R327" s="40">
        <f>LOOKUP(Q327,{0,3.75,3.95,4.55,4.75,4.95,5.55,5.6,5.65,5.7,5.75,5.8,5.85,5.9,5.95,6,6.45,6.53,6.6,6.65,6.7},{0,10,20,30,40,50,60,62,64,66,68,70,72,74,76,78,80,85,90,95,100})</f>
        <v>85</v>
      </c>
      <c r="S327" s="7"/>
      <c r="T327" s="7"/>
      <c r="U327" s="7">
        <f>R327+T327</f>
        <v>85</v>
      </c>
      <c r="W327" s="7">
        <f>E327*0.1+G327*0.1+I327*0.1+O327*0.2+R327*0.2</f>
        <v>47.6</v>
      </c>
      <c r="X327" s="21">
        <f>W327/0.7+K327+T327</f>
        <v>68</v>
      </c>
    </row>
    <row r="328" s="3" customFormat="1" ht="15.6" hidden="1" spans="1:24">
      <c r="A328" s="6">
        <v>114</v>
      </c>
      <c r="B328" s="29" t="s">
        <v>681</v>
      </c>
      <c r="C328" s="29" t="s">
        <v>11</v>
      </c>
      <c r="D328" s="6">
        <v>-2</v>
      </c>
      <c r="E328" s="40">
        <f>LOOKUP(D328,{0,-4,-3,-2,-1,0,1,2.4,3.8,5.2,6.6,8,9.4,10.8,12.2,13.6,15,17.2,19.4,21.5,23.6},{0,10,20,30,40,50,60,62,64,66,68,70,72,74,76,78,80,85,90,95,100})</f>
        <v>30</v>
      </c>
      <c r="F328" s="6">
        <v>210</v>
      </c>
      <c r="G328" s="40">
        <f>LOOKUP(F328,{0,170,175,180,185,190,195,199,203,207,211,215,219,223,227,231,235,243,250,255,260},{0,10,20,30,40,50,60,62,64,66,68,70,72,74,76,78,80,85,90,95,100})</f>
        <v>66</v>
      </c>
      <c r="H328" s="6">
        <v>0</v>
      </c>
      <c r="I328" s="40">
        <f>LOOKUP(H328,{0,2,3,4,5,6,7,8,9,10,11,12,13,14,15,16},{0,10,20,30,40,50,60,64,68,72,76,80,85,90,95,100})</f>
        <v>0</v>
      </c>
      <c r="J328" s="7"/>
      <c r="K328" s="7"/>
      <c r="L328" s="7">
        <f>I328+K328</f>
        <v>0</v>
      </c>
      <c r="M328" s="6">
        <v>7.4</v>
      </c>
      <c r="N328" s="43">
        <f>13-M328</f>
        <v>5.6</v>
      </c>
      <c r="O328" s="40">
        <f>LOOKUP(N328,{0,2.5,2.7,2.9,3.1,3.3,3.5,3.7,3.9,4.1,4.3,4.5,4.7,4.9,5.1,5.3,5.5,5.6,5.7,5.8,5.9},{0,10,20,30,40,50,60,62,64,66,68,70,72,74,76,78,80,85,90,95,100})</f>
        <v>85</v>
      </c>
      <c r="P328" s="6">
        <v>3.44</v>
      </c>
      <c r="Q328" s="6">
        <f>10-P328</f>
        <v>6.56</v>
      </c>
      <c r="R328" s="40">
        <f>LOOKUP(Q328,{0,3.75,3.95,4.55,4.75,4.95,5.55,5.6,5.65,5.7,5.75,5.8,5.85,5.9,5.95,6,6.45,6.53,6.6,6.65,6.7},{0,10,20,30,40,50,60,62,64,66,68,70,72,74,76,78,80,85,90,95,100})</f>
        <v>85</v>
      </c>
      <c r="S328" s="7"/>
      <c r="T328" s="7"/>
      <c r="U328" s="7">
        <f>R328+T328</f>
        <v>85</v>
      </c>
      <c r="V328" s="6"/>
      <c r="W328" s="7">
        <f>E328*0.1+G328*0.1+I328*0.1+O328*0.2+R328*0.2</f>
        <v>43.6</v>
      </c>
      <c r="X328" s="21">
        <f>W328/0.7+K328+T328</f>
        <v>62.2857142857143</v>
      </c>
    </row>
    <row r="329" ht="15.6" hidden="1" spans="1:24">
      <c r="A329" s="6">
        <v>102</v>
      </c>
      <c r="B329" s="29" t="s">
        <v>93</v>
      </c>
      <c r="C329" s="29" t="s">
        <v>11</v>
      </c>
      <c r="D329" s="6">
        <v>9.5</v>
      </c>
      <c r="E329" s="40">
        <f>LOOKUP(D329,{0,-4,-3,-2,-1,0,1,2.4,3.8,5.2,6.6,8,9.4,10.8,12.2,13.6,15,17.2,19.4,21.5,23.6},{0,10,20,30,40,50,60,62,64,66,68,70,72,74,76,78,80,85,90,95,100})</f>
        <v>72</v>
      </c>
      <c r="F329" s="6">
        <v>217</v>
      </c>
      <c r="G329" s="40">
        <f>LOOKUP(F329,{0,170,175,180,185,190,195,199,203,207,211,215,219,223,227,231,235,243,250,255,260},{0,10,20,30,40,50,60,62,64,66,68,70,72,74,76,78,80,85,90,95,100})</f>
        <v>70</v>
      </c>
      <c r="H329" s="6">
        <v>6</v>
      </c>
      <c r="I329" s="40">
        <f>LOOKUP(H329,{0,2,3,4,5,6,7,8,9,10,11,12,13,14,15,16},{0,10,20,30,40,50,60,64,68,72,76,80,85,90,95,100})</f>
        <v>50</v>
      </c>
      <c r="J329" s="7"/>
      <c r="K329" s="7"/>
      <c r="L329" s="7">
        <f>I329+K329</f>
        <v>50</v>
      </c>
      <c r="M329" s="6">
        <v>7.4</v>
      </c>
      <c r="N329" s="43">
        <f>13-M329</f>
        <v>5.6</v>
      </c>
      <c r="O329" s="40">
        <f>LOOKUP(N329,{0,2.5,2.7,2.9,3.1,3.3,3.5,3.7,3.9,4.1,4.3,4.5,4.7,4.9,5.1,5.3,5.5,5.6,5.7,5.8,5.9},{0,10,20,30,40,50,60,62,64,66,68,70,72,74,76,78,80,85,90,95,100})</f>
        <v>85</v>
      </c>
      <c r="P329" s="6">
        <v>3.47</v>
      </c>
      <c r="Q329" s="6">
        <f>10-P329</f>
        <v>6.53</v>
      </c>
      <c r="R329" s="40">
        <f>LOOKUP(Q329,{0,3.75,3.95,4.55,4.75,4.95,5.55,5.6,5.65,5.7,5.75,5.8,5.85,5.9,5.95,6,6.45,6.53,6.6,6.65,6.7},{0,10,20,30,40,50,60,62,64,66,68,70,72,74,76,78,80,85,90,95,100})</f>
        <v>85</v>
      </c>
      <c r="S329" s="7"/>
      <c r="T329" s="7"/>
      <c r="U329" s="7">
        <f>R329+T329</f>
        <v>85</v>
      </c>
      <c r="W329" s="7">
        <f>E329*0.1+G329*0.1+I329*0.1+O329*0.2+R329*0.2</f>
        <v>53.2</v>
      </c>
      <c r="X329" s="21">
        <f>W329/0.7+K329+T329</f>
        <v>76</v>
      </c>
    </row>
    <row r="330" ht="15.6" hidden="1" spans="1:24">
      <c r="A330" s="6">
        <v>108</v>
      </c>
      <c r="B330" s="29" t="s">
        <v>358</v>
      </c>
      <c r="C330" s="29" t="s">
        <v>11</v>
      </c>
      <c r="D330" s="6">
        <v>10.6</v>
      </c>
      <c r="E330" s="40">
        <f>LOOKUP(D330,{0,-4,-3,-2,-1,0,1,2.4,3.8,5.2,6.6,8,9.4,10.8,12.2,13.6,15,17.2,19.4,21.5,23.6},{0,10,20,30,40,50,60,62,64,66,68,70,72,74,76,78,80,85,90,95,100})</f>
        <v>72</v>
      </c>
      <c r="F330" s="6">
        <v>200</v>
      </c>
      <c r="G330" s="40">
        <f>LOOKUP(F330,{0,170,175,180,185,190,195,199,203,207,211,215,219,223,227,231,235,243,250,255,260},{0,10,20,30,40,50,60,62,64,66,68,70,72,74,76,78,80,85,90,95,100})</f>
        <v>62</v>
      </c>
      <c r="H330" s="6">
        <v>13</v>
      </c>
      <c r="I330" s="40">
        <f>LOOKUP(H330,{0,2,3,4,5,6,7,8,9,10,11,12,13,14,15,16},{0,10,20,30,40,50,60,64,68,72,76,80,85,90,95,100})</f>
        <v>85</v>
      </c>
      <c r="J330" s="7"/>
      <c r="K330" s="7"/>
      <c r="L330" s="7">
        <f>I330+K330</f>
        <v>85</v>
      </c>
      <c r="M330" s="6">
        <v>7.4</v>
      </c>
      <c r="N330" s="43">
        <f>13-M330</f>
        <v>5.6</v>
      </c>
      <c r="O330" s="40">
        <f>LOOKUP(N330,{0,2.5,2.7,2.9,3.1,3.3,3.5,3.7,3.9,4.1,4.3,4.5,4.7,4.9,5.1,5.3,5.5,5.6,5.7,5.8,5.9},{0,10,20,30,40,50,60,62,64,66,68,70,72,74,76,78,80,85,90,95,100})</f>
        <v>85</v>
      </c>
      <c r="P330" s="6">
        <v>3.48</v>
      </c>
      <c r="Q330" s="6">
        <f>10-P330</f>
        <v>6.52</v>
      </c>
      <c r="R330" s="40">
        <f>LOOKUP(Q330,{0,3.75,3.95,4.55,4.75,4.95,5.55,5.6,5.65,5.7,5.75,5.8,5.85,5.9,5.95,6,6.45,6.53,6.6,6.65,6.7},{0,10,20,30,40,50,60,62,64,66,68,70,72,74,76,78,80,85,90,95,100})</f>
        <v>80</v>
      </c>
      <c r="S330" s="7"/>
      <c r="T330" s="7"/>
      <c r="U330" s="7">
        <f>R330+T330</f>
        <v>80</v>
      </c>
      <c r="W330" s="7">
        <f>E330*0.1+G330*0.1+I330*0.1+O330*0.2+R330*0.2</f>
        <v>54.9</v>
      </c>
      <c r="X330" s="21">
        <f>W330/0.7+K330+T330</f>
        <v>78.4285714285714</v>
      </c>
    </row>
    <row r="331" ht="15.6" hidden="1" spans="1:24">
      <c r="A331" s="6">
        <v>114</v>
      </c>
      <c r="B331" s="29" t="s">
        <v>699</v>
      </c>
      <c r="C331" s="29" t="s">
        <v>11</v>
      </c>
      <c r="D331" s="6">
        <v>-1.8</v>
      </c>
      <c r="E331" s="40">
        <f>LOOKUP(D331,{0,-4,-3,-2,-1,0,1,2.4,3.8,5.2,6.6,8,9.4,10.8,12.2,13.6,15,17.2,19.4,21.5,23.6},{0,10,20,30,40,50,60,62,64,66,68,70,72,74,76,78,80,85,90,95,100})</f>
        <v>30</v>
      </c>
      <c r="F331" s="6">
        <v>218</v>
      </c>
      <c r="G331" s="40">
        <f>LOOKUP(F331,{0,170,175,180,185,190,195,199,203,207,211,215,219,223,227,231,235,243,250,255,260},{0,10,20,30,40,50,60,62,64,66,68,70,72,74,76,78,80,85,90,95,100})</f>
        <v>70</v>
      </c>
      <c r="H331" s="6">
        <v>0</v>
      </c>
      <c r="I331" s="40">
        <f>LOOKUP(H331,{0,2,3,4,5,6,7,8,9,10,11,12,13,14,15,16},{0,10,20,30,40,50,60,64,68,72,76,80,85,90,95,100})</f>
        <v>0</v>
      </c>
      <c r="J331" s="7"/>
      <c r="K331" s="7"/>
      <c r="L331" s="7">
        <f>I331+K331</f>
        <v>0</v>
      </c>
      <c r="M331" s="6">
        <v>7.4</v>
      </c>
      <c r="N331" s="43">
        <f>13-M331</f>
        <v>5.6</v>
      </c>
      <c r="O331" s="40">
        <f>LOOKUP(N331,{0,2.5,2.7,2.9,3.1,3.3,3.5,3.7,3.9,4.1,4.3,4.5,4.7,4.9,5.1,5.3,5.5,5.6,5.7,5.8,5.9},{0,10,20,30,40,50,60,62,64,66,68,70,72,74,76,78,80,85,90,95,100})</f>
        <v>85</v>
      </c>
      <c r="P331" s="6">
        <v>3.48</v>
      </c>
      <c r="Q331" s="6">
        <f>10-P331</f>
        <v>6.52</v>
      </c>
      <c r="R331" s="40">
        <f>LOOKUP(Q331,{0,3.75,3.95,4.55,4.75,4.95,5.55,5.6,5.65,5.7,5.75,5.8,5.85,5.9,5.95,6,6.45,6.53,6.6,6.65,6.7},{0,10,20,30,40,50,60,62,64,66,68,70,72,74,76,78,80,85,90,95,100})</f>
        <v>80</v>
      </c>
      <c r="S331" s="7"/>
      <c r="T331" s="7"/>
      <c r="U331" s="7">
        <f>R331+T331</f>
        <v>80</v>
      </c>
      <c r="W331" s="7">
        <f>E331*0.1+G331*0.1+I331*0.1+O331*0.2+R331*0.2</f>
        <v>43</v>
      </c>
      <c r="X331" s="21">
        <f>W331/0.7+K331+T331</f>
        <v>61.4285714285714</v>
      </c>
    </row>
    <row r="332" ht="15.6" hidden="1" spans="1:24">
      <c r="A332" s="6">
        <v>112</v>
      </c>
      <c r="B332" s="29" t="s">
        <v>573</v>
      </c>
      <c r="C332" s="29" t="s">
        <v>11</v>
      </c>
      <c r="D332" s="6">
        <v>10</v>
      </c>
      <c r="E332" s="40">
        <f>LOOKUP(D332,{0,-4,-3,-2,-1,0,1,2.4,3.8,5.2,6.6,8,9.4,10.8,12.2,13.6,15,17.2,19.4,21.5,23.6},{0,10,20,30,40,50,60,62,64,66,68,70,72,74,76,78,80,85,90,95,100})</f>
        <v>72</v>
      </c>
      <c r="F332" s="6">
        <v>240</v>
      </c>
      <c r="G332" s="40">
        <f>LOOKUP(F332,{0,170,175,180,185,190,195,199,203,207,211,215,219,223,227,231,235,243,250,255,260},{0,10,20,30,40,50,60,62,64,66,68,70,72,74,76,78,80,85,90,95,100})</f>
        <v>80</v>
      </c>
      <c r="H332" s="6">
        <v>20</v>
      </c>
      <c r="I332" s="40">
        <f>LOOKUP(H332,{0,2,3,4,5,6,7,8,9,10,11,12,13,14,15,16},{0,10,20,30,40,50,60,64,68,72,76,80,85,90,95,100})</f>
        <v>100</v>
      </c>
      <c r="J332" s="7">
        <f>H332-16</f>
        <v>4</v>
      </c>
      <c r="K332" s="40">
        <f>LOOKUP(J332,{0,1,2,3,4,5,6,7,8,9,10},{0,1,2,3,4,5,6,7,8,9,10})</f>
        <v>4</v>
      </c>
      <c r="L332" s="7">
        <f>I332+K332</f>
        <v>104</v>
      </c>
      <c r="M332" s="6">
        <v>7.4</v>
      </c>
      <c r="N332" s="43">
        <f>13-M332</f>
        <v>5.6</v>
      </c>
      <c r="O332" s="40">
        <f>LOOKUP(N332,{0,2.5,2.7,2.9,3.1,3.3,3.5,3.7,3.9,4.1,4.3,4.5,4.7,4.9,5.1,5.3,5.5,5.6,5.7,5.8,5.9},{0,10,20,30,40,50,60,62,64,66,68,70,72,74,76,78,80,85,90,95,100})</f>
        <v>85</v>
      </c>
      <c r="P332" s="6">
        <v>3.49</v>
      </c>
      <c r="Q332" s="6">
        <f>10-P332</f>
        <v>6.51</v>
      </c>
      <c r="R332" s="40">
        <f>LOOKUP(Q332,{0,3.75,3.95,4.55,4.75,4.95,5.55,5.6,5.65,5.7,5.75,5.8,5.85,5.9,5.95,6,6.45,6.53,6.6,6.65,6.7},{0,10,20,30,40,50,60,62,64,66,68,70,72,74,76,78,80,85,90,95,100})</f>
        <v>80</v>
      </c>
      <c r="S332" s="7"/>
      <c r="T332" s="7"/>
      <c r="U332" s="7">
        <f>R332+T332</f>
        <v>80</v>
      </c>
      <c r="W332" s="7">
        <f>E332*0.1+G332*0.1+I332*0.1+O332*0.2+R332*0.2</f>
        <v>58.2</v>
      </c>
      <c r="X332" s="21">
        <f>W332/0.7+K332+T332</f>
        <v>87.1428571428572</v>
      </c>
    </row>
    <row r="333" ht="15.6" spans="1:24">
      <c r="A333" s="6">
        <v>116</v>
      </c>
      <c r="B333" s="29" t="s">
        <v>830</v>
      </c>
      <c r="C333" s="29" t="s">
        <v>46</v>
      </c>
      <c r="D333" s="6">
        <v>26.3</v>
      </c>
      <c r="E333" s="40">
        <f>LOOKUP(D333,{0,0.4,1.2,2,2.8,3.6,4.4,5.7,7,8.3,9.6,10.9,12.2,13.5,14.8,16.1,17.4,19.1,20.8,22.5,24.2},{0,10,20,30,40,50,60,62,64,66,68,70,72,74,76,78,80,85,90,95,100})</f>
        <v>100</v>
      </c>
      <c r="F333" s="6">
        <v>185</v>
      </c>
      <c r="G333" s="40">
        <f>LOOKUP(F333,{0,123,128,133,138,143,148,151,154,157,160,163,166,169,172,175,178,185,192,198,204},{0,10,20,30,40,50,60,62,64,66,68,70,72,74,76,78,80,85,90,95,100})</f>
        <v>85</v>
      </c>
      <c r="H333" s="6">
        <v>30</v>
      </c>
      <c r="I333" s="40">
        <f>LOOKUP(H333,{0,13,15,17,19,21,23,25,27,29,31,33,35,37,39,41,43,46,49,51,53},{0,10,20,30,40,50,60,62,64,66,68,70,72,74,76,78,80,85,90,95,100})</f>
        <v>66</v>
      </c>
      <c r="J333" s="45"/>
      <c r="K333" s="45"/>
      <c r="L333" s="7">
        <f>I333+K333</f>
        <v>66</v>
      </c>
      <c r="M333" s="6">
        <v>8.5</v>
      </c>
      <c r="N333" s="43">
        <f>13-M333</f>
        <v>4.5</v>
      </c>
      <c r="O333" s="40">
        <f>LOOKUP(N333,{0,1.4,1.6,1.8,2,2.2,2.4,2.6,2.8,3,3.2,3.4,3.6,3.8,4,4.2,4.4,4.7,5,5.1,5.2},{0,10,20,30,40,50,60,62,64,66,68,70,72,74,76,78,80,85,90,95,100})</f>
        <v>80</v>
      </c>
      <c r="P333" s="6">
        <v>3.35</v>
      </c>
      <c r="Q333" s="6">
        <f>10-P333</f>
        <v>6.65</v>
      </c>
      <c r="R333" s="40">
        <f>LOOKUP(Q333,{0,4.7,4.8,4.9,5,5.5,5.6,5.65,5.7,5.75,5.8,5.85,5.9,5.95,6,6.45,6.5,6.57,6.64,6.7,6.76},{0,10,20,30,40,50,60,62,64,66,68,70,72,74,76,78,80,85,90,95,100})</f>
        <v>90</v>
      </c>
      <c r="S333" s="45"/>
      <c r="T333" s="45"/>
      <c r="U333" s="7">
        <f>R333+T333</f>
        <v>90</v>
      </c>
      <c r="W333" s="7">
        <f>E333*0.1+G333*0.1+I333*0.1+O333*0.2+R333*0.2</f>
        <v>59.1</v>
      </c>
      <c r="X333" s="21">
        <f>W333/0.7+K333+T333</f>
        <v>84.4285714285714</v>
      </c>
    </row>
    <row r="334" ht="15.6" spans="1:24">
      <c r="A334" s="6">
        <v>116</v>
      </c>
      <c r="B334" s="29" t="s">
        <v>808</v>
      </c>
      <c r="C334" s="29" t="s">
        <v>46</v>
      </c>
      <c r="D334" s="6">
        <v>19.6</v>
      </c>
      <c r="E334" s="40">
        <f>LOOKUP(D334,{0,0.4,1.2,2,2.8,3.6,4.4,5.7,7,8.3,9.6,10.9,12.2,13.5,14.8,16.1,17.4,19.1,20.8,22.5,24.2},{0,10,20,30,40,50,60,62,64,66,68,70,72,74,76,78,80,85,90,95,100})</f>
        <v>85</v>
      </c>
      <c r="F334" s="6">
        <v>208</v>
      </c>
      <c r="G334" s="40">
        <f>LOOKUP(F334,{0,123,128,133,138,143,148,151,154,157,160,163,166,169,172,175,178,185,192,198,204},{0,10,20,30,40,50,60,62,64,66,68,70,72,74,76,78,80,85,90,95,100})</f>
        <v>100</v>
      </c>
      <c r="H334" s="6">
        <v>40</v>
      </c>
      <c r="I334" s="40">
        <f>LOOKUP(H334,{0,13,15,17,19,21,23,25,27,29,31,33,35,37,39,41,43,46,49,51,53},{0,10,20,30,40,50,60,62,64,66,68,70,72,74,76,78,80,85,90,95,100})</f>
        <v>76</v>
      </c>
      <c r="J334" s="45"/>
      <c r="K334" s="45"/>
      <c r="L334" s="7">
        <f>I334+K334</f>
        <v>76</v>
      </c>
      <c r="M334" s="6">
        <v>8.5</v>
      </c>
      <c r="N334" s="43">
        <f>13-M334</f>
        <v>4.5</v>
      </c>
      <c r="O334" s="40">
        <f>LOOKUP(N334,{0,1.4,1.6,1.8,2,2.2,2.4,2.6,2.8,3,3.2,3.4,3.6,3.8,4,4.2,4.4,4.7,5,5.1,5.2},{0,10,20,30,40,50,60,62,64,66,68,70,72,74,76,78,80,85,90,95,100})</f>
        <v>80</v>
      </c>
      <c r="P334" s="6">
        <v>3.4</v>
      </c>
      <c r="Q334" s="6">
        <f>10-P334</f>
        <v>6.6</v>
      </c>
      <c r="R334" s="40">
        <f>LOOKUP(Q334,{0,4.7,4.8,4.9,5,5.5,5.6,5.65,5.7,5.75,5.8,5.85,5.9,5.95,6,6.45,6.5,6.57,6.64,6.7,6.76},{0,10,20,30,40,50,60,62,64,66,68,70,72,74,76,78,80,85,90,95,100})</f>
        <v>85</v>
      </c>
      <c r="S334" s="45"/>
      <c r="T334" s="45"/>
      <c r="U334" s="7">
        <f>R334+T334</f>
        <v>85</v>
      </c>
      <c r="W334" s="7">
        <f>E334*0.1+G334*0.1+I334*0.1+O334*0.2+R334*0.2</f>
        <v>59.1</v>
      </c>
      <c r="X334" s="21">
        <f>W334/0.7+K334+T334</f>
        <v>84.4285714285714</v>
      </c>
    </row>
    <row r="335" ht="15.6" spans="1:24">
      <c r="A335" s="6">
        <v>114</v>
      </c>
      <c r="B335" s="29" t="s">
        <v>705</v>
      </c>
      <c r="C335" s="29" t="s">
        <v>46</v>
      </c>
      <c r="D335" s="6">
        <v>11</v>
      </c>
      <c r="E335" s="40">
        <f>LOOKUP(D335,{0,0.4,1.2,2,2.8,3.6,4.4,5.7,7,8.3,9.6,10.9,12.2,13.5,14.8,16.1,17.4,19.1,20.8,22.5,24.2},{0,10,20,30,40,50,60,62,64,66,68,70,72,74,76,78,80,85,90,95,100})</f>
        <v>70</v>
      </c>
      <c r="F335" s="6">
        <v>189</v>
      </c>
      <c r="G335" s="40">
        <f>LOOKUP(F335,{0,123,128,133,138,143,148,151,154,157,160,163,166,169,172,175,178,185,192,198,204},{0,10,20,30,40,50,60,62,64,66,68,70,72,74,76,78,80,85,90,95,100})</f>
        <v>85</v>
      </c>
      <c r="H335" s="6">
        <v>48</v>
      </c>
      <c r="I335" s="40">
        <f>LOOKUP(H335,{0,13,15,17,19,21,23,25,27,29,31,33,35,37,39,41,43,46,49,51,53},{0,10,20,30,40,50,60,62,64,66,68,70,72,74,76,78,80,85,90,95,100})</f>
        <v>85</v>
      </c>
      <c r="J335" s="45"/>
      <c r="K335" s="45"/>
      <c r="L335" s="7">
        <f>I335+K335</f>
        <v>85</v>
      </c>
      <c r="M335" s="6">
        <v>8.3</v>
      </c>
      <c r="N335" s="43">
        <f>13-M335</f>
        <v>4.7</v>
      </c>
      <c r="O335" s="40">
        <f>LOOKUP(N335,{0,1.4,1.6,1.8,2,2.2,2.4,2.6,2.8,3,3.2,3.4,3.6,3.8,4,4.2,4.4,4.7,5,5.1,5.2},{0,10,20,30,40,50,60,62,64,66,68,70,72,74,76,78,80,85,90,95,100})</f>
        <v>85</v>
      </c>
      <c r="P335" s="6">
        <v>3.36</v>
      </c>
      <c r="Q335" s="6">
        <f>10-P335</f>
        <v>6.64</v>
      </c>
      <c r="R335" s="40">
        <f>LOOKUP(Q335,{0,4.7,4.8,4.9,5,5.5,5.6,5.65,5.7,5.75,5.8,5.85,5.9,5.95,6,6.45,6.5,6.57,6.64,6.7,6.76},{0,10,20,30,40,50,60,62,64,66,68,70,72,74,76,78,80,85,90,95,100})</f>
        <v>90</v>
      </c>
      <c r="S335" s="45"/>
      <c r="T335" s="45"/>
      <c r="U335" s="7">
        <f>R335+T335</f>
        <v>90</v>
      </c>
      <c r="W335" s="7">
        <f>E335*0.1+G335*0.1+I335*0.1+O335*0.2+R335*0.2</f>
        <v>59</v>
      </c>
      <c r="X335" s="21">
        <f>W335/0.7+K335+T335</f>
        <v>84.2857142857143</v>
      </c>
    </row>
    <row r="336" ht="15.6" spans="1:24">
      <c r="A336" s="6">
        <v>104</v>
      </c>
      <c r="B336" s="29" t="s">
        <v>200</v>
      </c>
      <c r="C336" s="29" t="s">
        <v>46</v>
      </c>
      <c r="D336" s="6">
        <v>22.2</v>
      </c>
      <c r="E336" s="40">
        <f>LOOKUP(D336,{0,0.4,1.2,2,2.8,3.6,4.4,5.7,7,8.3,9.6,10.9,12.2,13.5,14.8,16.1,17.4,19.1,20.8,22.5,24.2},{0,10,20,30,40,50,60,62,64,66,68,70,72,74,76,78,80,85,90,95,100})</f>
        <v>90</v>
      </c>
      <c r="F336" s="6">
        <v>170</v>
      </c>
      <c r="G336" s="40">
        <f>LOOKUP(F336,{0,123,128,133,138,143,148,151,154,157,160,163,166,169,172,175,178,185,192,198,204},{0,10,20,30,40,50,60,62,64,66,68,70,72,74,76,78,80,85,90,95,100})</f>
        <v>74</v>
      </c>
      <c r="H336" s="6">
        <v>54</v>
      </c>
      <c r="I336" s="40">
        <f>LOOKUP(H336,{0,13,15,17,19,21,23,25,27,29,31,33,35,37,39,41,43,46,49,51,53},{0,10,20,30,40,50,60,62,64,66,68,70,72,74,76,78,80,85,90,95,100})</f>
        <v>100</v>
      </c>
      <c r="J336" s="45">
        <f>H336-53</f>
        <v>1</v>
      </c>
      <c r="K336" s="40">
        <f>LOOKUP(J336,{0,2,4,6,7,8,9,10,11,12,13},{0,1,2,3,4,5,6,7,8,9,10})</f>
        <v>0</v>
      </c>
      <c r="L336" s="7">
        <f>I336+K336</f>
        <v>100</v>
      </c>
      <c r="M336" s="6">
        <v>8.8</v>
      </c>
      <c r="N336" s="43">
        <f>13-M336</f>
        <v>4.2</v>
      </c>
      <c r="O336" s="40">
        <f>LOOKUP(N336,{0,1.4,1.6,1.8,2,2.2,2.4,2.6,2.8,3,3.2,3.4,3.6,3.8,4,4.2,4.4,4.7,5,5.1,5.2},{0,10,20,30,40,50,60,62,64,66,68,70,72,74,76,78,80,85,90,95,100})</f>
        <v>78</v>
      </c>
      <c r="P336" s="6">
        <v>3.39</v>
      </c>
      <c r="Q336" s="6">
        <f>10-P336</f>
        <v>6.61</v>
      </c>
      <c r="R336" s="40">
        <f>LOOKUP(Q336,{0,4.7,4.8,4.9,5,5.5,5.6,5.65,5.7,5.75,5.8,5.85,5.9,5.95,6,6.45,6.5,6.57,6.64,6.7,6.76},{0,10,20,30,40,50,60,62,64,66,68,70,72,74,76,78,80,85,90,95,100})</f>
        <v>85</v>
      </c>
      <c r="S336" s="45"/>
      <c r="T336" s="45"/>
      <c r="U336" s="7">
        <f>R336+T336</f>
        <v>85</v>
      </c>
      <c r="W336" s="7">
        <f>E336*0.1+G336*0.1+I336*0.1+O336*0.2+R336*0.2</f>
        <v>59</v>
      </c>
      <c r="X336" s="21">
        <f>W336/0.7+K336+T336</f>
        <v>84.2857142857143</v>
      </c>
    </row>
    <row r="337" ht="15.6" spans="1:24">
      <c r="A337" s="6">
        <v>114</v>
      </c>
      <c r="B337" s="29" t="s">
        <v>712</v>
      </c>
      <c r="C337" s="29" t="s">
        <v>46</v>
      </c>
      <c r="D337" s="6">
        <v>22.9</v>
      </c>
      <c r="E337" s="40">
        <f>LOOKUP(D337,{0,0.4,1.2,2,2.8,3.6,4.4,5.7,7,8.3,9.6,10.9,12.2,13.5,14.8,16.1,17.4,19.1,20.8,22.5,24.2},{0,10,20,30,40,50,60,62,64,66,68,70,72,74,76,78,80,85,90,95,100})</f>
        <v>95</v>
      </c>
      <c r="F337" s="6">
        <v>186</v>
      </c>
      <c r="G337" s="40">
        <f>LOOKUP(F337,{0,123,128,133,138,143,148,151,154,157,160,163,166,169,172,175,178,185,192,198,204},{0,10,20,30,40,50,60,62,64,66,68,70,72,74,76,78,80,85,90,95,100})</f>
        <v>85</v>
      </c>
      <c r="H337" s="6">
        <v>49</v>
      </c>
      <c r="I337" s="40">
        <f>LOOKUP(H337,{0,13,15,17,19,21,23,25,27,29,31,33,35,37,39,41,43,46,49,51,53},{0,10,20,30,40,50,60,62,64,66,68,70,72,74,76,78,80,85,90,95,100})</f>
        <v>90</v>
      </c>
      <c r="J337" s="45"/>
      <c r="K337" s="45"/>
      <c r="L337" s="7">
        <f>I337+K337</f>
        <v>90</v>
      </c>
      <c r="M337" s="6">
        <v>8.5</v>
      </c>
      <c r="N337" s="43">
        <f>13-M337</f>
        <v>4.5</v>
      </c>
      <c r="O337" s="40">
        <f>LOOKUP(N337,{0,1.4,1.6,1.8,2,2.2,2.4,2.6,2.8,3,3.2,3.4,3.6,3.8,4,4.2,4.4,4.7,5,5.1,5.2},{0,10,20,30,40,50,60,62,64,66,68,70,72,74,76,78,80,85,90,95,100})</f>
        <v>80</v>
      </c>
      <c r="P337" s="6">
        <v>3.5</v>
      </c>
      <c r="Q337" s="6">
        <f>10-P337</f>
        <v>6.5</v>
      </c>
      <c r="R337" s="40">
        <f>LOOKUP(Q337,{0,4.7,4.8,4.9,5,5.5,5.6,5.65,5.7,5.75,5.8,5.85,5.9,5.95,6,6.45,6.5,6.57,6.64,6.7,6.76},{0,10,20,30,40,50,60,62,64,66,68,70,72,74,76,78,80,85,90,95,100})</f>
        <v>80</v>
      </c>
      <c r="S337" s="45"/>
      <c r="T337" s="45"/>
      <c r="U337" s="7">
        <f>R337+T337</f>
        <v>80</v>
      </c>
      <c r="W337" s="7">
        <f>E337*0.1+G337*0.1+I337*0.1+O337*0.2+R337*0.2</f>
        <v>59</v>
      </c>
      <c r="X337" s="21">
        <f>W337/0.7+K337+T337</f>
        <v>84.2857142857143</v>
      </c>
    </row>
    <row r="338" ht="15.6" spans="1:24">
      <c r="A338" s="6">
        <v>112</v>
      </c>
      <c r="B338" s="29" t="s">
        <v>619</v>
      </c>
      <c r="C338" s="29" t="s">
        <v>46</v>
      </c>
      <c r="D338" s="6">
        <v>6.2</v>
      </c>
      <c r="E338" s="40">
        <f>LOOKUP(D338,{0,0.4,1.2,2,2.8,3.6,4.4,5.7,7,8.3,9.6,10.9,12.2,13.5,14.8,16.1,17.4,19.1,20.8,22.5,24.2},{0,10,20,30,40,50,60,62,64,66,68,70,72,74,76,78,80,85,90,95,100})</f>
        <v>62</v>
      </c>
      <c r="F338" s="6">
        <v>167</v>
      </c>
      <c r="G338" s="40">
        <f>LOOKUP(F338,{0,123,128,133,138,143,148,151,154,157,160,163,166,169,172,175,178,185,192,198,204},{0,10,20,30,40,50,60,62,64,66,68,70,72,74,76,78,80,85,90,95,100})</f>
        <v>72</v>
      </c>
      <c r="H338" s="6">
        <v>46</v>
      </c>
      <c r="I338" s="40">
        <f>LOOKUP(H338,{0,13,15,17,19,21,23,25,27,29,31,33,35,37,39,41,43,46,49,51,53},{0,10,20,30,40,50,60,62,64,66,68,70,72,74,76,78,80,85,90,95,100})</f>
        <v>85</v>
      </c>
      <c r="J338" s="45"/>
      <c r="K338" s="45"/>
      <c r="L338" s="7">
        <f>I338+K338</f>
        <v>85</v>
      </c>
      <c r="M338" s="6">
        <v>8.1</v>
      </c>
      <c r="N338" s="43">
        <f>13-M338</f>
        <v>4.9</v>
      </c>
      <c r="O338" s="40">
        <f>LOOKUP(N338,{0,1.4,1.6,1.8,2,2.2,2.4,2.6,2.8,3,3.2,3.4,3.6,3.8,4,4.2,4.4,4.7,5,5.1,5.2},{0,10,20,30,40,50,60,62,64,66,68,70,72,74,76,78,80,85,90,95,100})</f>
        <v>85</v>
      </c>
      <c r="P338" s="6">
        <v>3.22</v>
      </c>
      <c r="Q338" s="6">
        <f>10-P338</f>
        <v>6.78</v>
      </c>
      <c r="R338" s="40">
        <f>LOOKUP(Q338,{0,4.7,4.8,4.9,5,5.5,5.6,5.65,5.7,5.75,5.8,5.85,5.9,5.95,6,6.45,6.5,6.57,6.64,6.7,6.76},{0,10,20,30,40,50,60,62,64,66,68,70,72,74,76,78,80,85,90,95,100})</f>
        <v>100</v>
      </c>
      <c r="S338" s="48">
        <f>3.24-P338</f>
        <v>0.02</v>
      </c>
      <c r="T338" s="40">
        <f>LOOKUP(S338,{0,0.05,0.1,0.15,0.2,0.25,0.3,0.35,0.4,0.45,0.5},{0,1,2,3,4,5,6,7,8,9,10})</f>
        <v>0</v>
      </c>
      <c r="U338" s="7">
        <f>R338+T338</f>
        <v>100</v>
      </c>
      <c r="W338" s="7">
        <f>E338*0.1+G338*0.1+I338*0.1+O338*0.2+R338*0.2</f>
        <v>58.9</v>
      </c>
      <c r="X338" s="21">
        <f>W338/0.7+K338+T338</f>
        <v>84.1428571428572</v>
      </c>
    </row>
    <row r="339" ht="15.6" spans="1:24">
      <c r="A339" s="6">
        <v>116</v>
      </c>
      <c r="B339" s="29" t="s">
        <v>815</v>
      </c>
      <c r="C339" s="29" t="s">
        <v>46</v>
      </c>
      <c r="D339" s="6">
        <v>19.7</v>
      </c>
      <c r="E339" s="40">
        <f>LOOKUP(D339,{0,0.4,1.2,2,2.8,3.6,4.4,5.7,7,8.3,9.6,10.9,12.2,13.5,14.8,16.1,17.4,19.1,20.8,22.5,24.2},{0,10,20,30,40,50,60,62,64,66,68,70,72,74,76,78,80,85,90,95,100})</f>
        <v>85</v>
      </c>
      <c r="F339" s="6">
        <v>181</v>
      </c>
      <c r="G339" s="40">
        <f>LOOKUP(F339,{0,123,128,133,138,143,148,151,154,157,160,163,166,169,172,175,178,185,192,198,204},{0,10,20,30,40,50,60,62,64,66,68,70,72,74,76,78,80,85,90,95,100})</f>
        <v>80</v>
      </c>
      <c r="H339" s="6">
        <v>28</v>
      </c>
      <c r="I339" s="40">
        <f>LOOKUP(H339,{0,13,15,17,19,21,23,25,27,29,31,33,35,37,39,41,43,46,49,51,53},{0,10,20,30,40,50,60,62,64,66,68,70,72,74,76,78,80,85,90,95,100})</f>
        <v>64</v>
      </c>
      <c r="J339" s="45"/>
      <c r="K339" s="45"/>
      <c r="L339" s="7">
        <f>I339+K339</f>
        <v>64</v>
      </c>
      <c r="M339" s="6">
        <v>8.2</v>
      </c>
      <c r="N339" s="43">
        <f>13-M339</f>
        <v>4.8</v>
      </c>
      <c r="O339" s="40">
        <f>LOOKUP(N339,{0,1.4,1.6,1.8,2,2.2,2.4,2.6,2.8,3,3.2,3.4,3.6,3.8,4,4.2,4.4,4.7,5,5.1,5.2},{0,10,20,30,40,50,60,62,64,66,68,70,72,74,76,78,80,85,90,95,100})</f>
        <v>85</v>
      </c>
      <c r="P339" s="6">
        <v>3.26</v>
      </c>
      <c r="Q339" s="6">
        <f>10-P339</f>
        <v>6.74</v>
      </c>
      <c r="R339" s="40">
        <f>LOOKUP(Q339,{0,4.7,4.8,4.9,5,5.5,5.6,5.65,5.7,5.75,5.8,5.85,5.9,5.95,6,6.45,6.5,6.57,6.64,6.7,6.76},{0,10,20,30,40,50,60,62,64,66,68,70,72,74,76,78,80,85,90,95,100})</f>
        <v>95</v>
      </c>
      <c r="S339" s="45"/>
      <c r="T339" s="45"/>
      <c r="U339" s="7">
        <f>R339+T339</f>
        <v>95</v>
      </c>
      <c r="W339" s="7">
        <f>E339*0.1+G339*0.1+I339*0.1+O339*0.2+R339*0.2</f>
        <v>58.9</v>
      </c>
      <c r="X339" s="21">
        <f>W339/0.7+K339+T339</f>
        <v>84.1428571428572</v>
      </c>
    </row>
    <row r="340" ht="15.6" spans="1:24">
      <c r="A340" s="6">
        <v>107</v>
      </c>
      <c r="B340" s="29" t="s">
        <v>342</v>
      </c>
      <c r="C340" s="29" t="s">
        <v>46</v>
      </c>
      <c r="D340" s="6">
        <v>19.2</v>
      </c>
      <c r="E340" s="40">
        <f>LOOKUP(D340,{0,0.4,1.2,2,2.8,3.6,4.4,5.7,7,8.3,9.6,10.9,12.2,13.5,14.8,16.1,17.4,19.1,20.8,22.5,24.2},{0,10,20,30,40,50,60,62,64,66,68,70,72,74,76,78,80,85,90,95,100})</f>
        <v>85</v>
      </c>
      <c r="F340" s="6">
        <v>193</v>
      </c>
      <c r="G340" s="40">
        <f>LOOKUP(F340,{0,123,128,133,138,143,148,151,154,157,160,163,166,169,172,175,178,185,192,198,204},{0,10,20,30,40,50,60,62,64,66,68,70,72,74,76,78,80,85,90,95,100})</f>
        <v>90</v>
      </c>
      <c r="H340" s="6">
        <v>36</v>
      </c>
      <c r="I340" s="40">
        <f>LOOKUP(H340,{0,13,15,17,19,21,23,25,27,29,31,33,35,37,39,41,43,46,49,51,53},{0,10,20,30,40,50,60,62,64,66,68,70,72,74,76,78,80,85,90,95,100})</f>
        <v>72</v>
      </c>
      <c r="J340" s="45"/>
      <c r="K340" s="45"/>
      <c r="L340" s="7">
        <f>I340+K340</f>
        <v>72</v>
      </c>
      <c r="M340" s="6">
        <v>8.4</v>
      </c>
      <c r="N340" s="43">
        <f>13-M340</f>
        <v>4.6</v>
      </c>
      <c r="O340" s="40">
        <f>LOOKUP(N340,{0,1.4,1.6,1.8,2,2.2,2.4,2.6,2.8,3,3.2,3.4,3.6,3.8,4,4.2,4.4,4.7,5,5.1,5.2},{0,10,20,30,40,50,60,62,64,66,68,70,72,74,76,78,80,85,90,95,100})</f>
        <v>80</v>
      </c>
      <c r="P340" s="6">
        <v>3.31</v>
      </c>
      <c r="Q340" s="6">
        <f>10-P340</f>
        <v>6.69</v>
      </c>
      <c r="R340" s="40">
        <f>LOOKUP(Q340,{0,4.7,4.8,4.9,5,5.5,5.6,5.65,5.7,5.75,5.8,5.85,5.9,5.95,6,6.45,6.5,6.57,6.64,6.7,6.76},{0,10,20,30,40,50,60,62,64,66,68,70,72,74,76,78,80,85,90,95,100})</f>
        <v>90</v>
      </c>
      <c r="S340" s="45"/>
      <c r="T340" s="45"/>
      <c r="U340" s="7">
        <f>R340+T340</f>
        <v>90</v>
      </c>
      <c r="W340" s="7">
        <f>E340*0.1+G340*0.1+I340*0.1+O340*0.2+R340*0.2</f>
        <v>58.7</v>
      </c>
      <c r="X340" s="21">
        <f>W340/0.7+K340+T340</f>
        <v>83.8571428571429</v>
      </c>
    </row>
    <row r="341" s="3" customFormat="1" ht="15.6" spans="1:24">
      <c r="A341" s="6">
        <v>111</v>
      </c>
      <c r="B341" s="29" t="s">
        <v>559</v>
      </c>
      <c r="C341" s="29" t="s">
        <v>46</v>
      </c>
      <c r="D341" s="6">
        <v>11.5</v>
      </c>
      <c r="E341" s="40">
        <f>LOOKUP(D341,{0,0.4,1.2,2,2.8,3.6,4.4,5.7,7,8.3,9.6,10.9,12.2,13.5,14.8,16.1,17.4,19.1,20.8,22.5,24.2},{0,10,20,30,40,50,60,62,64,66,68,70,72,74,76,78,80,85,90,95,100})</f>
        <v>70</v>
      </c>
      <c r="F341" s="6">
        <v>195</v>
      </c>
      <c r="G341" s="40">
        <f>LOOKUP(F341,{0,123,128,133,138,143,148,151,154,157,160,163,166,169,172,175,178,185,192,198,204},{0,10,20,30,40,50,60,62,64,66,68,70,72,74,76,78,80,85,90,95,100})</f>
        <v>90</v>
      </c>
      <c r="H341" s="6">
        <v>51</v>
      </c>
      <c r="I341" s="40">
        <f>LOOKUP(H341,{0,13,15,17,19,21,23,25,27,29,31,33,35,37,39,41,43,46,49,51,53},{0,10,20,30,40,50,60,62,64,66,68,70,72,74,76,78,80,85,90,95,100})</f>
        <v>95</v>
      </c>
      <c r="J341" s="45"/>
      <c r="K341" s="45"/>
      <c r="L341" s="7">
        <f>I341+K341</f>
        <v>95</v>
      </c>
      <c r="M341" s="6">
        <v>9</v>
      </c>
      <c r="N341" s="43">
        <f>13-M341</f>
        <v>4</v>
      </c>
      <c r="O341" s="40">
        <f>LOOKUP(N341,{0,1.4,1.6,1.8,2,2.2,2.4,2.6,2.8,3,3.2,3.4,3.6,3.8,4,4.2,4.4,4.7,5,5.1,5.2},{0,10,20,30,40,50,60,62,64,66,68,70,72,74,76,78,80,85,90,95,100})</f>
        <v>76</v>
      </c>
      <c r="P341" s="6">
        <v>3.31</v>
      </c>
      <c r="Q341" s="6">
        <f>10-P341</f>
        <v>6.69</v>
      </c>
      <c r="R341" s="40">
        <f>LOOKUP(Q341,{0,4.7,4.8,4.9,5,5.5,5.6,5.65,5.7,5.75,5.8,5.85,5.9,5.95,6,6.45,6.5,6.57,6.64,6.7,6.76},{0,10,20,30,40,50,60,62,64,66,68,70,72,74,76,78,80,85,90,95,100})</f>
        <v>90</v>
      </c>
      <c r="S341" s="45"/>
      <c r="T341" s="45"/>
      <c r="U341" s="7">
        <f>R341+T341</f>
        <v>90</v>
      </c>
      <c r="V341" s="6"/>
      <c r="W341" s="7">
        <f>E341*0.1+G341*0.1+I341*0.1+O341*0.2+R341*0.2</f>
        <v>58.7</v>
      </c>
      <c r="X341" s="21">
        <f>W341/0.7+K341+T341</f>
        <v>83.8571428571429</v>
      </c>
    </row>
    <row r="342" ht="15.6" spans="1:24">
      <c r="A342" s="6">
        <v>104</v>
      </c>
      <c r="B342" s="29" t="s">
        <v>202</v>
      </c>
      <c r="C342" s="29" t="s">
        <v>46</v>
      </c>
      <c r="D342" s="6">
        <v>22.1</v>
      </c>
      <c r="E342" s="40">
        <f>LOOKUP(D342,{0,0.4,1.2,2,2.8,3.6,4.4,5.7,7,8.3,9.6,10.9,12.2,13.5,14.8,16.1,17.4,19.1,20.8,22.5,24.2},{0,10,20,30,40,50,60,62,64,66,68,70,72,74,76,78,80,85,90,95,100})</f>
        <v>90</v>
      </c>
      <c r="F342" s="6">
        <v>196</v>
      </c>
      <c r="G342" s="40">
        <f>LOOKUP(F342,{0,123,128,133,138,143,148,151,154,157,160,163,166,169,172,175,178,185,192,198,204},{0,10,20,30,40,50,60,62,64,66,68,70,72,74,76,78,80,85,90,95,100})</f>
        <v>90</v>
      </c>
      <c r="H342" s="6">
        <v>51</v>
      </c>
      <c r="I342" s="40">
        <f>LOOKUP(H342,{0,13,15,17,19,21,23,25,27,29,31,33,35,37,39,41,43,46,49,51,53},{0,10,20,30,40,50,60,62,64,66,68,70,72,74,76,78,80,85,90,95,100})</f>
        <v>95</v>
      </c>
      <c r="J342" s="45"/>
      <c r="K342" s="45"/>
      <c r="L342" s="7">
        <f>I342+K342</f>
        <v>95</v>
      </c>
      <c r="M342" s="6">
        <v>8.6</v>
      </c>
      <c r="N342" s="43">
        <f>13-M342</f>
        <v>4.4</v>
      </c>
      <c r="O342" s="40">
        <f>LOOKUP(N342,{0,1.4,1.6,1.8,2,2.2,2.4,2.6,2.8,3,3.2,3.4,3.6,3.8,4,4.2,4.4,4.7,5,5.1,5.2},{0,10,20,30,40,50,60,62,64,66,68,70,72,74,76,78,80,85,90,95,100})</f>
        <v>80</v>
      </c>
      <c r="P342" s="6">
        <v>3.56</v>
      </c>
      <c r="Q342" s="6">
        <f>10-P342</f>
        <v>6.44</v>
      </c>
      <c r="R342" s="40">
        <f>LOOKUP(Q342,{0,4.7,4.8,4.9,5,5.5,5.6,5.65,5.7,5.75,5.8,5.85,5.9,5.95,6,6.45,6.5,6.57,6.64,6.7,6.76},{0,10,20,30,40,50,60,62,64,66,68,70,72,74,76,78,80,85,90,95,100})</f>
        <v>76</v>
      </c>
      <c r="S342" s="45"/>
      <c r="T342" s="45"/>
      <c r="U342" s="7">
        <f>R342+T342</f>
        <v>76</v>
      </c>
      <c r="W342" s="7">
        <f>E342*0.1+G342*0.1+I342*0.1+O342*0.2+R342*0.2</f>
        <v>58.7</v>
      </c>
      <c r="X342" s="21">
        <f>W342/0.7+K342+T342</f>
        <v>83.8571428571429</v>
      </c>
    </row>
    <row r="343" ht="15.6" spans="1:24">
      <c r="A343" s="6">
        <v>115</v>
      </c>
      <c r="B343" s="29" t="s">
        <v>769</v>
      </c>
      <c r="C343" s="29" t="s">
        <v>46</v>
      </c>
      <c r="D343" s="6">
        <v>13</v>
      </c>
      <c r="E343" s="40">
        <f>LOOKUP(D343,{0,0.4,1.2,2,2.8,3.6,4.4,5.7,7,8.3,9.6,10.9,12.2,13.5,14.8,16.1,17.4,19.1,20.8,22.5,24.2},{0,10,20,30,40,50,60,62,64,66,68,70,72,74,76,78,80,85,90,95,100})</f>
        <v>72</v>
      </c>
      <c r="F343" s="6">
        <v>170</v>
      </c>
      <c r="G343" s="40">
        <f>LOOKUP(F343,{0,123,128,133,138,143,148,151,154,157,160,163,166,169,172,175,178,185,192,198,204},{0,10,20,30,40,50,60,62,64,66,68,70,72,74,76,78,80,85,90,95,100})</f>
        <v>74</v>
      </c>
      <c r="H343" s="6">
        <v>50</v>
      </c>
      <c r="I343" s="40">
        <f>LOOKUP(H343,{0,13,15,17,19,21,23,25,27,29,31,33,35,37,39,41,43,46,49,51,53},{0,10,20,30,40,50,60,62,64,66,68,70,72,74,76,78,80,85,90,95,100})</f>
        <v>90</v>
      </c>
      <c r="J343" s="45"/>
      <c r="K343" s="45"/>
      <c r="L343" s="7">
        <f>I343+K343</f>
        <v>90</v>
      </c>
      <c r="M343" s="6">
        <v>8.1</v>
      </c>
      <c r="N343" s="43">
        <f>13-M343</f>
        <v>4.9</v>
      </c>
      <c r="O343" s="40">
        <f>LOOKUP(N343,{0,1.4,1.6,1.8,2,2.2,2.4,2.6,2.8,3,3.2,3.4,3.6,3.8,4,4.2,4.4,4.7,5,5.1,5.2},{0,10,20,30,40,50,60,62,64,66,68,70,72,74,76,78,80,85,90,95,100})</f>
        <v>85</v>
      </c>
      <c r="P343" s="6">
        <v>3.32</v>
      </c>
      <c r="Q343" s="6">
        <f>10-P343</f>
        <v>6.68</v>
      </c>
      <c r="R343" s="40">
        <f>LOOKUP(Q343,{0,4.7,4.8,4.9,5,5.5,5.6,5.65,5.7,5.75,5.8,5.85,5.9,5.95,6,6.45,6.5,6.57,6.64,6.7,6.76},{0,10,20,30,40,50,60,62,64,66,68,70,72,74,76,78,80,85,90,95,100})</f>
        <v>90</v>
      </c>
      <c r="S343" s="45"/>
      <c r="T343" s="45"/>
      <c r="U343" s="7">
        <f>R343+T343</f>
        <v>90</v>
      </c>
      <c r="W343" s="7">
        <f>E343*0.1+G343*0.1+I343*0.1+O343*0.2+R343*0.2</f>
        <v>58.6</v>
      </c>
      <c r="X343" s="21">
        <f>W343/0.7+K343+T343</f>
        <v>83.7142857142857</v>
      </c>
    </row>
    <row r="344" ht="15.6" spans="1:24">
      <c r="A344" s="6">
        <v>110</v>
      </c>
      <c r="B344" s="29" t="s">
        <v>507</v>
      </c>
      <c r="C344" s="29" t="s">
        <v>46</v>
      </c>
      <c r="D344" s="6">
        <v>15</v>
      </c>
      <c r="E344" s="40">
        <f>LOOKUP(D344,{0,0.4,1.2,2,2.8,3.6,4.4,5.7,7,8.3,9.6,10.9,12.2,13.5,14.8,16.1,17.4,19.1,20.8,22.5,24.2},{0,10,20,30,40,50,60,62,64,66,68,70,72,74,76,78,80,85,90,95,100})</f>
        <v>76</v>
      </c>
      <c r="F344" s="6">
        <v>180</v>
      </c>
      <c r="G344" s="40">
        <f>LOOKUP(F344,{0,123,128,133,138,143,148,151,154,157,160,163,166,169,172,175,178,185,192,198,204},{0,10,20,30,40,50,60,62,64,66,68,70,72,74,76,78,80,85,90,95,100})</f>
        <v>80</v>
      </c>
      <c r="H344" s="6">
        <v>54</v>
      </c>
      <c r="I344" s="40">
        <f>LOOKUP(H344,{0,13,15,17,19,21,23,25,27,29,31,33,35,37,39,41,43,46,49,51,53},{0,10,20,30,40,50,60,62,64,66,68,70,72,74,76,78,80,85,90,95,100})</f>
        <v>100</v>
      </c>
      <c r="J344" s="45">
        <f>H344-53</f>
        <v>1</v>
      </c>
      <c r="K344" s="40">
        <f>LOOKUP(J344,{0,2,4,6,7,8,9,10,11,12,13},{0,1,2,3,4,5,6,7,8,9,10})</f>
        <v>0</v>
      </c>
      <c r="L344" s="7">
        <f>I344+K344</f>
        <v>100</v>
      </c>
      <c r="M344" s="6">
        <v>8.6</v>
      </c>
      <c r="N344" s="43">
        <f>13-M344</f>
        <v>4.4</v>
      </c>
      <c r="O344" s="40">
        <f>LOOKUP(N344,{0,1.4,1.6,1.8,2,2.2,2.4,2.6,2.8,3,3.2,3.4,3.6,3.8,4,4.2,4.4,4.7,5,5.1,5.2},{0,10,20,30,40,50,60,62,64,66,68,70,72,74,76,78,80,85,90,95,100})</f>
        <v>80</v>
      </c>
      <c r="P344" s="6">
        <v>3.37</v>
      </c>
      <c r="Q344" s="6">
        <f>10-P344</f>
        <v>6.63</v>
      </c>
      <c r="R344" s="40">
        <f>LOOKUP(Q344,{0,4.7,4.8,4.9,5,5.5,5.6,5.65,5.7,5.75,5.8,5.85,5.9,5.95,6,6.45,6.5,6.57,6.64,6.7,6.76},{0,10,20,30,40,50,60,62,64,66,68,70,72,74,76,78,80,85,90,95,100})</f>
        <v>85</v>
      </c>
      <c r="S344" s="45"/>
      <c r="T344" s="45"/>
      <c r="U344" s="7">
        <f>R344+T344</f>
        <v>85</v>
      </c>
      <c r="W344" s="7">
        <f>E344*0.1+G344*0.1+I344*0.1+O344*0.2+R344*0.2</f>
        <v>58.6</v>
      </c>
      <c r="X344" s="21">
        <f>W344/0.7+K344+T344</f>
        <v>83.7142857142857</v>
      </c>
    </row>
    <row r="345" ht="15.6" spans="1:24">
      <c r="A345" s="6">
        <v>115</v>
      </c>
      <c r="B345" s="29" t="s">
        <v>773</v>
      </c>
      <c r="C345" s="29" t="s">
        <v>46</v>
      </c>
      <c r="D345" s="6">
        <v>15</v>
      </c>
      <c r="E345" s="40">
        <f>LOOKUP(D345,{0,0.4,1.2,2,2.8,3.6,4.4,5.7,7,8.3,9.6,10.9,12.2,13.5,14.8,16.1,17.4,19.1,20.8,22.5,24.2},{0,10,20,30,40,50,60,62,64,66,68,70,72,74,76,78,80,85,90,95,100})</f>
        <v>76</v>
      </c>
      <c r="F345" s="6">
        <v>185</v>
      </c>
      <c r="G345" s="40">
        <f>LOOKUP(F345,{0,123,128,133,138,143,148,151,154,157,160,163,166,169,172,175,178,185,192,198,204},{0,10,20,30,40,50,60,62,64,66,68,70,72,74,76,78,80,85,90,95,100})</f>
        <v>85</v>
      </c>
      <c r="H345" s="6">
        <v>51</v>
      </c>
      <c r="I345" s="40">
        <f>LOOKUP(H345,{0,13,15,17,19,21,23,25,27,29,31,33,35,37,39,41,43,46,49,51,53},{0,10,20,30,40,50,60,62,64,66,68,70,72,74,76,78,80,85,90,95,100})</f>
        <v>95</v>
      </c>
      <c r="J345" s="45"/>
      <c r="K345" s="45"/>
      <c r="L345" s="7">
        <f>I345+K345</f>
        <v>95</v>
      </c>
      <c r="M345" s="6">
        <v>8.5</v>
      </c>
      <c r="N345" s="43">
        <f>13-M345</f>
        <v>4.5</v>
      </c>
      <c r="O345" s="40">
        <f>LOOKUP(N345,{0,1.4,1.6,1.8,2,2.2,2.4,2.6,2.8,3,3.2,3.4,3.6,3.8,4,4.2,4.4,4.7,5,5.1,5.2},{0,10,20,30,40,50,60,62,64,66,68,70,72,74,76,78,80,85,90,95,100})</f>
        <v>80</v>
      </c>
      <c r="P345" s="6">
        <v>3.39</v>
      </c>
      <c r="Q345" s="6">
        <f>10-P345</f>
        <v>6.61</v>
      </c>
      <c r="R345" s="40">
        <f>LOOKUP(Q345,{0,4.7,4.8,4.9,5,5.5,5.6,5.65,5.7,5.75,5.8,5.85,5.9,5.95,6,6.45,6.5,6.57,6.64,6.7,6.76},{0,10,20,30,40,50,60,62,64,66,68,70,72,74,76,78,80,85,90,95,100})</f>
        <v>85</v>
      </c>
      <c r="S345" s="45"/>
      <c r="T345" s="45"/>
      <c r="U345" s="7">
        <f>R345+T345</f>
        <v>85</v>
      </c>
      <c r="W345" s="7">
        <f>E345*0.1+G345*0.1+I345*0.1+O345*0.2+R345*0.2</f>
        <v>58.6</v>
      </c>
      <c r="X345" s="21">
        <f>W345/0.7+K345+T345</f>
        <v>83.7142857142857</v>
      </c>
    </row>
    <row r="346" ht="15.6" spans="1:24">
      <c r="A346" s="6">
        <v>106</v>
      </c>
      <c r="B346" s="29" t="s">
        <v>291</v>
      </c>
      <c r="C346" s="29" t="s">
        <v>46</v>
      </c>
      <c r="D346" s="6">
        <v>17</v>
      </c>
      <c r="E346" s="40">
        <f>LOOKUP(D346,{0,0.4,1.2,2,2.8,3.6,4.4,5.7,7,8.3,9.6,10.9,12.2,13.5,14.8,16.1,17.4,19.1,20.8,22.5,24.2},{0,10,20,30,40,50,60,62,64,66,68,70,72,74,76,78,80,85,90,95,100})</f>
        <v>78</v>
      </c>
      <c r="F346" s="6">
        <v>200</v>
      </c>
      <c r="G346" s="40">
        <f>LOOKUP(F346,{0,123,128,133,138,143,148,151,154,157,160,163,166,169,172,175,178,185,192,198,204},{0,10,20,30,40,50,60,62,64,66,68,70,72,74,76,78,80,85,90,95,100})</f>
        <v>95</v>
      </c>
      <c r="H346" s="6">
        <v>50</v>
      </c>
      <c r="I346" s="40">
        <f>LOOKUP(H346,{0,13,15,17,19,21,23,25,27,29,31,33,35,37,39,41,43,46,49,51,53},{0,10,20,30,40,50,60,62,64,66,68,70,72,74,76,78,80,85,90,95,100})</f>
        <v>90</v>
      </c>
      <c r="J346" s="45"/>
      <c r="K346" s="45"/>
      <c r="L346" s="7">
        <f>I346+K346</f>
        <v>90</v>
      </c>
      <c r="M346" s="6">
        <v>8.9</v>
      </c>
      <c r="N346" s="43">
        <f>13-M346</f>
        <v>4.1</v>
      </c>
      <c r="O346" s="40">
        <f>LOOKUP(N346,{0,1.4,1.6,1.8,2,2.2,2.4,2.6,2.8,3,3.2,3.4,3.6,3.8,4,4.2,4.4,4.7,5,5.1,5.2},{0,10,20,30,40,50,60,62,64,66,68,70,72,74,76,78,80,85,90,95,100})</f>
        <v>76</v>
      </c>
      <c r="P346" s="6">
        <v>3.42</v>
      </c>
      <c r="Q346" s="6">
        <f>10-P346</f>
        <v>6.58</v>
      </c>
      <c r="R346" s="40">
        <f>LOOKUP(Q346,{0,4.7,4.8,4.9,5,5.5,5.6,5.65,5.7,5.75,5.8,5.85,5.9,5.95,6,6.45,6.5,6.57,6.64,6.7,6.76},{0,10,20,30,40,50,60,62,64,66,68,70,72,74,76,78,80,85,90,95,100})</f>
        <v>85</v>
      </c>
      <c r="S346" s="45"/>
      <c r="T346" s="45"/>
      <c r="U346" s="7">
        <f>R346+T346</f>
        <v>85</v>
      </c>
      <c r="W346" s="7">
        <f>E346*0.1+G346*0.1+I346*0.1+O346*0.2+R346*0.2</f>
        <v>58.5</v>
      </c>
      <c r="X346" s="21">
        <f>W346/0.7+K346+T346</f>
        <v>83.5714285714286</v>
      </c>
    </row>
    <row r="347" ht="15.6" spans="1:24">
      <c r="A347" s="6">
        <v>103</v>
      </c>
      <c r="B347" s="29" t="s">
        <v>149</v>
      </c>
      <c r="C347" s="29" t="s">
        <v>46</v>
      </c>
      <c r="D347" s="6">
        <v>22.7</v>
      </c>
      <c r="E347" s="40">
        <f>LOOKUP(D347,{0,0.4,1.2,2,2.8,3.6,4.4,5.7,7,8.3,9.6,10.9,12.2,13.5,14.8,16.1,17.4,19.1,20.8,22.5,24.2},{0,10,20,30,40,50,60,62,64,66,68,70,72,74,76,78,80,85,90,95,100})</f>
        <v>95</v>
      </c>
      <c r="F347" s="6">
        <v>175</v>
      </c>
      <c r="G347" s="40">
        <f>LOOKUP(F347,{0,123,128,133,138,143,148,151,154,157,160,163,166,169,172,175,178,185,192,198,204},{0,10,20,30,40,50,60,62,64,66,68,70,72,74,76,78,80,85,90,95,100})</f>
        <v>78</v>
      </c>
      <c r="H347" s="6">
        <v>50</v>
      </c>
      <c r="I347" s="40">
        <f>LOOKUP(H347,{0,13,15,17,19,21,23,25,27,29,31,33,35,37,39,41,43,46,49,51,53},{0,10,20,30,40,50,60,62,64,66,68,70,72,74,76,78,80,85,90,95,100})</f>
        <v>90</v>
      </c>
      <c r="J347" s="45"/>
      <c r="K347" s="45"/>
      <c r="L347" s="7">
        <f>I347+K347</f>
        <v>90</v>
      </c>
      <c r="M347" s="6">
        <v>8.3</v>
      </c>
      <c r="N347" s="43">
        <f>13-M347</f>
        <v>4.7</v>
      </c>
      <c r="O347" s="40">
        <f>LOOKUP(N347,{0,1.4,1.6,1.8,2,2.2,2.4,2.6,2.8,3,3.2,3.4,3.6,3.8,4,4.2,4.4,4.7,5,5.1,5.2},{0,10,20,30,40,50,60,62,64,66,68,70,72,74,76,78,80,85,90,95,100})</f>
        <v>85</v>
      </c>
      <c r="P347" s="6">
        <v>3.57</v>
      </c>
      <c r="Q347" s="6">
        <f>10-P347</f>
        <v>6.43</v>
      </c>
      <c r="R347" s="40">
        <f>LOOKUP(Q347,{0,4.7,4.8,4.9,5,5.5,5.6,5.65,5.7,5.75,5.8,5.85,5.9,5.95,6,6.45,6.5,6.57,6.64,6.7,6.76},{0,10,20,30,40,50,60,62,64,66,68,70,72,74,76,78,80,85,90,95,100})</f>
        <v>76</v>
      </c>
      <c r="S347" s="45"/>
      <c r="T347" s="45"/>
      <c r="U347" s="7">
        <f>R347+T347</f>
        <v>76</v>
      </c>
      <c r="W347" s="7">
        <f>E347*0.1+G347*0.1+I347*0.1+O347*0.2+R347*0.2</f>
        <v>58.5</v>
      </c>
      <c r="X347" s="21">
        <f>W347/0.7+K347+T347</f>
        <v>83.5714285714286</v>
      </c>
    </row>
    <row r="348" ht="15.6" spans="1:24">
      <c r="A348" s="6">
        <v>115</v>
      </c>
      <c r="B348" s="29" t="s">
        <v>765</v>
      </c>
      <c r="C348" s="29" t="s">
        <v>46</v>
      </c>
      <c r="D348" s="6">
        <v>18.6</v>
      </c>
      <c r="E348" s="40">
        <f>LOOKUP(D348,{0,0.4,1.2,2,2.8,3.6,4.4,5.7,7,8.3,9.6,10.9,12.2,13.5,14.8,16.1,17.4,19.1,20.8,22.5,24.2},{0,10,20,30,40,50,60,62,64,66,68,70,72,74,76,78,80,85,90,95,100})</f>
        <v>80</v>
      </c>
      <c r="F348" s="6">
        <v>192</v>
      </c>
      <c r="G348" s="40">
        <f>LOOKUP(F348,{0,123,128,133,138,143,148,151,154,157,160,163,166,169,172,175,178,185,192,198,204},{0,10,20,30,40,50,60,62,64,66,68,70,72,74,76,78,80,85,90,95,100})</f>
        <v>90</v>
      </c>
      <c r="H348" s="6">
        <v>37</v>
      </c>
      <c r="I348" s="40">
        <f>LOOKUP(H348,{0,13,15,17,19,21,23,25,27,29,31,33,35,37,39,41,43,46,49,51,53},{0,10,20,30,40,50,60,62,64,66,68,70,72,74,76,78,80,85,90,95,100})</f>
        <v>74</v>
      </c>
      <c r="J348" s="45"/>
      <c r="K348" s="45"/>
      <c r="L348" s="7">
        <f>I348+K348</f>
        <v>74</v>
      </c>
      <c r="M348" s="6">
        <v>8.5</v>
      </c>
      <c r="N348" s="43">
        <f>13-M348</f>
        <v>4.5</v>
      </c>
      <c r="O348" s="40">
        <f>LOOKUP(N348,{0,1.4,1.6,1.8,2,2.2,2.4,2.6,2.8,3,3.2,3.4,3.6,3.8,4,4.2,4.4,4.7,5,5.1,5.2},{0,10,20,30,40,50,60,62,64,66,68,70,72,74,76,78,80,85,90,95,100})</f>
        <v>80</v>
      </c>
      <c r="P348" s="6">
        <v>3.33</v>
      </c>
      <c r="Q348" s="6">
        <f>10-P348</f>
        <v>6.67</v>
      </c>
      <c r="R348" s="40">
        <f>LOOKUP(Q348,{0,4.7,4.8,4.9,5,5.5,5.6,5.65,5.7,5.75,5.8,5.85,5.9,5.95,6,6.45,6.5,6.57,6.64,6.7,6.76},{0,10,20,30,40,50,60,62,64,66,68,70,72,74,76,78,80,85,90,95,100})</f>
        <v>90</v>
      </c>
      <c r="S348" s="45"/>
      <c r="T348" s="45"/>
      <c r="U348" s="7">
        <f>R348+T348</f>
        <v>90</v>
      </c>
      <c r="W348" s="7">
        <f>E348*0.1+G348*0.1+I348*0.1+O348*0.2+R348*0.2</f>
        <v>58.4</v>
      </c>
      <c r="X348" s="21">
        <f>W348/0.7+K348+T348</f>
        <v>83.4285714285714</v>
      </c>
    </row>
    <row r="349" ht="15.6" spans="1:24">
      <c r="A349" s="6">
        <v>108</v>
      </c>
      <c r="B349" s="29" t="s">
        <v>385</v>
      </c>
      <c r="C349" s="29" t="s">
        <v>46</v>
      </c>
      <c r="D349" s="6">
        <v>20.5</v>
      </c>
      <c r="E349" s="40">
        <f>LOOKUP(D349,{0,0.4,1.2,2,2.8,3.6,4.4,5.7,7,8.3,9.6,10.9,12.2,13.5,14.8,16.1,17.4,19.1,20.8,22.5,24.2},{0,10,20,30,40,50,60,62,64,66,68,70,72,74,76,78,80,85,90,95,100})</f>
        <v>85</v>
      </c>
      <c r="F349" s="6">
        <v>180</v>
      </c>
      <c r="G349" s="40">
        <f>LOOKUP(F349,{0,123,128,133,138,143,148,151,154,157,160,163,166,169,172,175,178,185,192,198,204},{0,10,20,30,40,50,60,62,64,66,68,70,72,74,76,78,80,85,90,95,100})</f>
        <v>80</v>
      </c>
      <c r="H349" s="6">
        <v>42</v>
      </c>
      <c r="I349" s="40">
        <f>LOOKUP(H349,{0,13,15,17,19,21,23,25,27,29,31,33,35,37,39,41,43,46,49,51,53},{0,10,20,30,40,50,60,62,64,66,68,70,72,74,76,78,80,85,90,95,100})</f>
        <v>78</v>
      </c>
      <c r="J349" s="45"/>
      <c r="K349" s="45"/>
      <c r="L349" s="7">
        <f>I349+K349</f>
        <v>78</v>
      </c>
      <c r="M349" s="6">
        <v>8.3</v>
      </c>
      <c r="N349" s="43">
        <f>13-M349</f>
        <v>4.7</v>
      </c>
      <c r="O349" s="40">
        <f>LOOKUP(N349,{0,1.4,1.6,1.8,2,2.2,2.4,2.6,2.8,3,3.2,3.4,3.6,3.8,4,4.2,4.4,4.7,5,5.1,5.2},{0,10,20,30,40,50,60,62,64,66,68,70,72,74,76,78,80,85,90,95,100})</f>
        <v>85</v>
      </c>
      <c r="P349" s="6">
        <v>3.37</v>
      </c>
      <c r="Q349" s="6">
        <f>10-P349</f>
        <v>6.63</v>
      </c>
      <c r="R349" s="40">
        <f>LOOKUP(Q349,{0,4.7,4.8,4.9,5,5.5,5.6,5.65,5.7,5.75,5.8,5.85,5.9,5.95,6,6.45,6.5,6.57,6.64,6.7,6.76},{0,10,20,30,40,50,60,62,64,66,68,70,72,74,76,78,80,85,90,95,100})</f>
        <v>85</v>
      </c>
      <c r="S349" s="45"/>
      <c r="T349" s="45"/>
      <c r="U349" s="7">
        <f>R349+T349</f>
        <v>85</v>
      </c>
      <c r="W349" s="7">
        <f>E349*0.1+G349*0.1+I349*0.1+O349*0.2+R349*0.2</f>
        <v>58.3</v>
      </c>
      <c r="X349" s="21">
        <f>W349/0.7+K349+T349</f>
        <v>83.2857142857143</v>
      </c>
    </row>
    <row r="350" ht="15.6" spans="1:24">
      <c r="A350" s="6">
        <v>113</v>
      </c>
      <c r="B350" s="29" t="s">
        <v>658</v>
      </c>
      <c r="C350" s="29" t="s">
        <v>46</v>
      </c>
      <c r="D350" s="6">
        <v>16</v>
      </c>
      <c r="E350" s="40">
        <f>LOOKUP(D350,{0,0.4,1.2,2,2.8,3.6,4.4,5.7,7,8.3,9.6,10.9,12.2,13.5,14.8,16.1,17.4,19.1,20.8,22.5,24.2},{0,10,20,30,40,50,60,62,64,66,68,70,72,74,76,78,80,85,90,95,100})</f>
        <v>76</v>
      </c>
      <c r="F350" s="6">
        <v>190</v>
      </c>
      <c r="G350" s="40">
        <f>LOOKUP(F350,{0,123,128,133,138,143,148,151,154,157,160,163,166,169,172,175,178,185,192,198,204},{0,10,20,30,40,50,60,62,64,66,68,70,72,74,76,78,80,85,90,95,100})</f>
        <v>85</v>
      </c>
      <c r="H350" s="6">
        <v>52</v>
      </c>
      <c r="I350" s="40">
        <f>LOOKUP(H350,{0,13,15,17,19,21,23,25,27,29,31,33,35,37,39,41,43,46,49,51,53},{0,10,20,30,40,50,60,62,64,66,68,70,72,74,76,78,80,85,90,95,100})</f>
        <v>95</v>
      </c>
      <c r="J350" s="45"/>
      <c r="K350" s="45"/>
      <c r="L350" s="7">
        <f>I350+K350</f>
        <v>95</v>
      </c>
      <c r="M350" s="6">
        <v>8.2</v>
      </c>
      <c r="N350" s="43">
        <f>13-M350</f>
        <v>4.8</v>
      </c>
      <c r="O350" s="40">
        <f>LOOKUP(N350,{0,1.4,1.6,1.8,2,2.2,2.4,2.6,2.8,3,3.2,3.4,3.6,3.8,4,4.2,4.4,4.7,5,5.1,5.2},{0,10,20,30,40,50,60,62,64,66,68,70,72,74,76,78,80,85,90,95,100})</f>
        <v>85</v>
      </c>
      <c r="P350" s="6">
        <v>3.55</v>
      </c>
      <c r="Q350" s="6">
        <f>10-P350</f>
        <v>6.45</v>
      </c>
      <c r="R350" s="40">
        <f>LOOKUP(Q350,{0,4.7,4.8,4.9,5,5.5,5.6,5.65,5.7,5.75,5.8,5.85,5.9,5.95,6,6.45,6.5,6.57,6.64,6.7,6.76},{0,10,20,30,40,50,60,62,64,66,68,70,72,74,76,78,80,85,90,95,100})</f>
        <v>78</v>
      </c>
      <c r="S350" s="45"/>
      <c r="T350" s="45"/>
      <c r="U350" s="7">
        <f>R350+T350</f>
        <v>78</v>
      </c>
      <c r="W350" s="7">
        <f>E350*0.1+G350*0.1+I350*0.1+O350*0.2+R350*0.2</f>
        <v>58.2</v>
      </c>
      <c r="X350" s="21">
        <f>W350/0.7+K350+T350</f>
        <v>83.1428571428572</v>
      </c>
    </row>
    <row r="351" s="3" customFormat="1" ht="15.6" spans="1:24">
      <c r="A351" s="6">
        <v>101</v>
      </c>
      <c r="B351" s="29" t="s">
        <v>52</v>
      </c>
      <c r="C351" s="29" t="s">
        <v>46</v>
      </c>
      <c r="D351" s="6">
        <v>19.5</v>
      </c>
      <c r="E351" s="40">
        <f>LOOKUP(D351,{0,0.4,1.2,2,2.8,3.6,4.4,5.7,7,8.3,9.6,10.9,12.2,13.5,14.8,16.1,17.4,19.1,20.8,22.5,24.2},{0,10,20,30,40,50,60,62,64,66,68,70,72,74,76,78,80,85,90,95,100})</f>
        <v>85</v>
      </c>
      <c r="F351" s="6">
        <v>175</v>
      </c>
      <c r="G351" s="40">
        <f>LOOKUP(F351,{0,123,128,133,138,143,148,151,154,157,160,163,166,169,172,175,178,185,192,198,204},{0,10,20,30,40,50,60,62,64,66,68,70,72,74,76,78,80,85,90,95,100})</f>
        <v>78</v>
      </c>
      <c r="H351" s="6">
        <v>42</v>
      </c>
      <c r="I351" s="40">
        <f>LOOKUP(H351,{0,13,15,17,19,21,23,25,27,29,31,33,35,37,39,41,43,46,49,51,53},{0,10,20,30,40,50,60,62,64,66,68,70,72,74,76,78,80,85,90,95,100})</f>
        <v>78</v>
      </c>
      <c r="J351" s="45"/>
      <c r="K351" s="45"/>
      <c r="L351" s="7">
        <f>I351+K351</f>
        <v>78</v>
      </c>
      <c r="M351" s="6">
        <v>8.4</v>
      </c>
      <c r="N351" s="43">
        <f>13-M351</f>
        <v>4.6</v>
      </c>
      <c r="O351" s="40">
        <f>LOOKUP(N351,{0,1.4,1.6,1.8,2,2.2,2.4,2.6,2.8,3,3.2,3.4,3.6,3.8,4,4.2,4.4,4.7,5,5.1,5.2},{0,10,20,30,40,50,60,62,64,66,68,70,72,74,76,78,80,85,90,95,100})</f>
        <v>80</v>
      </c>
      <c r="P351" s="6">
        <v>3.35</v>
      </c>
      <c r="Q351" s="6">
        <f>10-P351</f>
        <v>6.65</v>
      </c>
      <c r="R351" s="40">
        <f>LOOKUP(Q351,{0,4.7,4.8,4.9,5,5.5,5.6,5.65,5.7,5.75,5.8,5.85,5.9,5.95,6,6.45,6.5,6.57,6.64,6.7,6.76},{0,10,20,30,40,50,60,62,64,66,68,70,72,74,76,78,80,85,90,95,100})</f>
        <v>90</v>
      </c>
      <c r="S351" s="45"/>
      <c r="T351" s="45"/>
      <c r="U351" s="7">
        <f>R351+T351</f>
        <v>90</v>
      </c>
      <c r="V351" s="6"/>
      <c r="W351" s="7">
        <f>E351*0.1+G351*0.1+I351*0.1+O351*0.2+R351*0.2</f>
        <v>58.1</v>
      </c>
      <c r="X351" s="21">
        <f>W351/0.7+K351+T351</f>
        <v>83</v>
      </c>
    </row>
    <row r="352" ht="15.6" hidden="1" spans="1:24">
      <c r="A352" s="6">
        <v>112</v>
      </c>
      <c r="B352" s="29" t="s">
        <v>585</v>
      </c>
      <c r="C352" s="29" t="s">
        <v>11</v>
      </c>
      <c r="D352" s="6">
        <v>15</v>
      </c>
      <c r="E352" s="40">
        <f>LOOKUP(D352,{0,-4,-3,-2,-1,0,1,2.4,3.8,5.2,6.6,8,9.4,10.8,12.2,13.6,15,17.2,19.4,21.5,23.6},{0,10,20,30,40,50,60,62,64,66,68,70,72,74,76,78,80,85,90,95,100})</f>
        <v>80</v>
      </c>
      <c r="F352" s="6">
        <v>210</v>
      </c>
      <c r="G352" s="40">
        <f>LOOKUP(F352,{0,170,175,180,185,190,195,199,203,207,211,215,219,223,227,231,235,243,250,255,260},{0,10,20,30,40,50,60,62,64,66,68,70,72,74,76,78,80,85,90,95,100})</f>
        <v>66</v>
      </c>
      <c r="H352" s="6">
        <v>20</v>
      </c>
      <c r="I352" s="40">
        <f>LOOKUP(H352,{0,2,3,4,5,6,7,8,9,10,11,12,13,14,15,16},{0,10,20,30,40,50,60,64,68,72,76,80,85,90,95,100})</f>
        <v>100</v>
      </c>
      <c r="J352" s="7">
        <f>H352-16</f>
        <v>4</v>
      </c>
      <c r="K352" s="40">
        <f>LOOKUP(J352,{0,1,2,3,4,5,6,7,8,9,10},{0,1,2,3,4,5,6,7,8,9,10})</f>
        <v>4</v>
      </c>
      <c r="L352" s="7">
        <f>I352+K352</f>
        <v>104</v>
      </c>
      <c r="M352" s="6">
        <v>7.4</v>
      </c>
      <c r="N352" s="43">
        <f>13-M352</f>
        <v>5.6</v>
      </c>
      <c r="O352" s="40">
        <f>LOOKUP(N352,{0,2.5,2.7,2.9,3.1,3.3,3.5,3.7,3.9,4.1,4.3,4.5,4.7,4.9,5.1,5.3,5.5,5.6,5.7,5.8,5.9},{0,10,20,30,40,50,60,62,64,66,68,70,72,74,76,78,80,85,90,95,100})</f>
        <v>85</v>
      </c>
      <c r="P352" s="6">
        <v>3.49</v>
      </c>
      <c r="Q352" s="6">
        <f>10-P352</f>
        <v>6.51</v>
      </c>
      <c r="R352" s="40">
        <f>LOOKUP(Q352,{0,3.75,3.95,4.55,4.75,4.95,5.55,5.6,5.65,5.7,5.75,5.8,5.85,5.9,5.95,6,6.45,6.53,6.6,6.65,6.7},{0,10,20,30,40,50,60,62,64,66,68,70,72,74,76,78,80,85,90,95,100})</f>
        <v>80</v>
      </c>
      <c r="S352" s="7"/>
      <c r="T352" s="7"/>
      <c r="U352" s="7">
        <f>R352+T352</f>
        <v>80</v>
      </c>
      <c r="W352" s="7">
        <f>E352*0.1+G352*0.1+I352*0.1+O352*0.2+R352*0.2</f>
        <v>57.6</v>
      </c>
      <c r="X352" s="21">
        <f>W352/0.7+K352+T352</f>
        <v>86.2857142857143</v>
      </c>
    </row>
    <row r="353" ht="15.6" hidden="1" spans="1:24">
      <c r="A353" s="6">
        <v>113</v>
      </c>
      <c r="B353" s="29" t="s">
        <v>643</v>
      </c>
      <c r="C353" s="29" t="s">
        <v>11</v>
      </c>
      <c r="D353" s="6">
        <v>8.5</v>
      </c>
      <c r="E353" s="40">
        <f>LOOKUP(D353,{0,-4,-3,-2,-1,0,1,2.4,3.8,5.2,6.6,8,9.4,10.8,12.2,13.6,15,17.2,19.4,21.5,23.6},{0,10,20,30,40,50,60,62,64,66,68,70,72,74,76,78,80,85,90,95,100})</f>
        <v>70</v>
      </c>
      <c r="F353" s="6">
        <v>200</v>
      </c>
      <c r="G353" s="40">
        <f>LOOKUP(F353,{0,170,175,180,185,190,195,199,203,207,211,215,219,223,227,231,235,243,250,255,260},{0,10,20,30,40,50,60,62,64,66,68,70,72,74,76,78,80,85,90,95,100})</f>
        <v>62</v>
      </c>
      <c r="H353" s="6">
        <v>13</v>
      </c>
      <c r="I353" s="40">
        <f>LOOKUP(H353,{0,2,3,4,5,6,7,8,9,10,11,12,13,14,15,16},{0,10,20,30,40,50,60,64,68,72,76,80,85,90,95,100})</f>
        <v>85</v>
      </c>
      <c r="J353" s="7"/>
      <c r="K353" s="7"/>
      <c r="L353" s="7">
        <f>I353+K353</f>
        <v>85</v>
      </c>
      <c r="M353" s="6">
        <v>7.4</v>
      </c>
      <c r="N353" s="43">
        <f>13-M353</f>
        <v>5.6</v>
      </c>
      <c r="O353" s="40">
        <f>LOOKUP(N353,{0,2.5,2.7,2.9,3.1,3.3,3.5,3.7,3.9,4.1,4.3,4.5,4.7,4.9,5.1,5.3,5.5,5.6,5.7,5.8,5.9},{0,10,20,30,40,50,60,62,64,66,68,70,72,74,76,78,80,85,90,95,100})</f>
        <v>85</v>
      </c>
      <c r="P353" s="6">
        <v>3.49</v>
      </c>
      <c r="Q353" s="6">
        <f>10-P353</f>
        <v>6.51</v>
      </c>
      <c r="R353" s="40">
        <f>LOOKUP(Q353,{0,3.75,3.95,4.55,4.75,4.95,5.55,5.6,5.65,5.7,5.75,5.8,5.85,5.9,5.95,6,6.45,6.53,6.6,6.65,6.7},{0,10,20,30,40,50,60,62,64,66,68,70,72,74,76,78,80,85,90,95,100})</f>
        <v>80</v>
      </c>
      <c r="S353" s="7"/>
      <c r="T353" s="7"/>
      <c r="U353" s="7">
        <f>R353+T353</f>
        <v>80</v>
      </c>
      <c r="W353" s="7">
        <f>E353*0.1+G353*0.1+I353*0.1+O353*0.2+R353*0.2</f>
        <v>54.7</v>
      </c>
      <c r="X353" s="21">
        <f>W353/0.7+K353+T353</f>
        <v>78.1428571428572</v>
      </c>
    </row>
    <row r="354" ht="15.6" hidden="1" spans="1:24">
      <c r="A354" s="6">
        <v>115</v>
      </c>
      <c r="B354" s="29" t="s">
        <v>734</v>
      </c>
      <c r="C354" s="29" t="s">
        <v>11</v>
      </c>
      <c r="D354" s="6">
        <v>9.4</v>
      </c>
      <c r="E354" s="40">
        <f>LOOKUP(D354,{0,-4,-3,-2,-1,0,1,2.4,3.8,5.2,6.6,8,9.4,10.8,12.2,13.6,15,17.2,19.4,21.5,23.6},{0,10,20,30,40,50,60,62,64,66,68,70,72,74,76,78,80,85,90,95,100})</f>
        <v>72</v>
      </c>
      <c r="F354" s="6">
        <v>221</v>
      </c>
      <c r="G354" s="40">
        <f>LOOKUP(F354,{0,170,175,180,185,190,195,199,203,207,211,215,219,223,227,231,235,243,250,255,260},{0,10,20,30,40,50,60,62,64,66,68,70,72,74,76,78,80,85,90,95,100})</f>
        <v>72</v>
      </c>
      <c r="H354" s="6">
        <v>3</v>
      </c>
      <c r="I354" s="40">
        <f>LOOKUP(H354,{0,2,3,4,5,6,7,8,9,10,11,12,13,14,15,16},{0,10,20,30,40,50,60,64,68,72,76,80,85,90,95,100})</f>
        <v>20</v>
      </c>
      <c r="J354" s="7"/>
      <c r="K354" s="7"/>
      <c r="L354" s="7">
        <f>I354+K354</f>
        <v>20</v>
      </c>
      <c r="M354" s="6">
        <v>7.4</v>
      </c>
      <c r="N354" s="43">
        <f>13-M354</f>
        <v>5.6</v>
      </c>
      <c r="O354" s="40">
        <f>LOOKUP(N354,{0,2.5,2.7,2.9,3.1,3.3,3.5,3.7,3.9,4.1,4.3,4.5,4.7,4.9,5.1,5.3,5.5,5.6,5.7,5.8,5.9},{0,10,20,30,40,50,60,62,64,66,68,70,72,74,76,78,80,85,90,95,100})</f>
        <v>85</v>
      </c>
      <c r="P354" s="6">
        <v>3.5</v>
      </c>
      <c r="Q354" s="6">
        <f>10-P354</f>
        <v>6.5</v>
      </c>
      <c r="R354" s="40">
        <f>LOOKUP(Q354,{0,3.75,3.95,4.55,4.75,4.95,5.55,5.6,5.65,5.7,5.75,5.8,5.85,5.9,5.95,6,6.45,6.53,6.6,6.65,6.7},{0,10,20,30,40,50,60,62,64,66,68,70,72,74,76,78,80,85,90,95,100})</f>
        <v>80</v>
      </c>
      <c r="S354" s="7"/>
      <c r="T354" s="7"/>
      <c r="U354" s="7">
        <f>R354+T354</f>
        <v>80</v>
      </c>
      <c r="W354" s="7">
        <f>E354*0.1+G354*0.1+I354*0.1+O354*0.2+R354*0.2</f>
        <v>49.4</v>
      </c>
      <c r="X354" s="21">
        <f>W354/0.7+K354+T354</f>
        <v>70.5714285714286</v>
      </c>
    </row>
    <row r="355" ht="15.6" hidden="1" spans="1:24">
      <c r="A355" s="6">
        <v>108</v>
      </c>
      <c r="B355" s="29" t="s">
        <v>363</v>
      </c>
      <c r="C355" s="29" t="s">
        <v>11</v>
      </c>
      <c r="D355" s="6">
        <v>5.3</v>
      </c>
      <c r="E355" s="40">
        <f>LOOKUP(D355,{0,-4,-3,-2,-1,0,1,2.4,3.8,5.2,6.6,8,9.4,10.8,12.2,13.6,15,17.2,19.4,21.5,23.6},{0,10,20,30,40,50,60,62,64,66,68,70,72,74,76,78,80,85,90,95,100})</f>
        <v>66</v>
      </c>
      <c r="F355" s="6">
        <v>223</v>
      </c>
      <c r="G355" s="40">
        <f>LOOKUP(F355,{0,170,175,180,185,190,195,199,203,207,211,215,219,223,227,231,235,243,250,255,260},{0,10,20,30,40,50,60,62,64,66,68,70,72,74,76,78,80,85,90,95,100})</f>
        <v>74</v>
      </c>
      <c r="H355" s="6">
        <v>24</v>
      </c>
      <c r="I355" s="40">
        <f>LOOKUP(H355,{0,2,3,4,5,6,7,8,9,10,11,12,13,14,15,16},{0,10,20,30,40,50,60,64,68,72,76,80,85,90,95,100})</f>
        <v>100</v>
      </c>
      <c r="J355" s="7">
        <f>H355-16</f>
        <v>8</v>
      </c>
      <c r="K355" s="40">
        <f>LOOKUP(J355,{0,1,2,3,4,5,6,7,8,9,10},{0,1,2,3,4,5,6,7,8,9,10})</f>
        <v>8</v>
      </c>
      <c r="L355" s="7">
        <f>I355+K355</f>
        <v>108</v>
      </c>
      <c r="M355" s="6">
        <v>7.4</v>
      </c>
      <c r="N355" s="43">
        <f>13-M355</f>
        <v>5.6</v>
      </c>
      <c r="O355" s="40">
        <f>LOOKUP(N355,{0,2.5,2.7,2.9,3.1,3.3,3.5,3.7,3.9,4.1,4.3,4.5,4.7,4.9,5.1,5.3,5.5,5.6,5.7,5.8,5.9},{0,10,20,30,40,50,60,62,64,66,68,70,72,74,76,78,80,85,90,95,100})</f>
        <v>85</v>
      </c>
      <c r="P355" s="6">
        <v>3.52</v>
      </c>
      <c r="Q355" s="6">
        <f>10-P355</f>
        <v>6.48</v>
      </c>
      <c r="R355" s="40">
        <f>LOOKUP(Q355,{0,3.75,3.95,4.55,4.75,4.95,5.55,5.6,5.65,5.7,5.75,5.8,5.85,5.9,5.95,6,6.45,6.53,6.6,6.65,6.7},{0,10,20,30,40,50,60,62,64,66,68,70,72,74,76,78,80,85,90,95,100})</f>
        <v>80</v>
      </c>
      <c r="S355" s="7"/>
      <c r="T355" s="7"/>
      <c r="U355" s="7">
        <f>R355+T355</f>
        <v>80</v>
      </c>
      <c r="W355" s="7">
        <f>E355*0.1+G355*0.1+I355*0.1+O355*0.2+R355*0.2</f>
        <v>57</v>
      </c>
      <c r="X355" s="21">
        <f>W355/0.7+K355+T355</f>
        <v>89.4285714285714</v>
      </c>
    </row>
    <row r="356" ht="15.6" hidden="1" spans="1:24">
      <c r="A356" s="6">
        <v>114</v>
      </c>
      <c r="B356" s="6" t="s">
        <v>702</v>
      </c>
      <c r="C356" s="30" t="s">
        <v>11</v>
      </c>
      <c r="D356" s="6">
        <v>3</v>
      </c>
      <c r="E356" s="40">
        <f>LOOKUP(D356,{0,-4,-3,-2,-1,0,1,2.4,3.8,5.2,6.6,8,9.4,10.8,12.2,13.6,15,17.2,19.4,21.5,23.6},{0,10,20,30,40,50,60,62,64,66,68,70,72,74,76,78,80,85,90,95,100})</f>
        <v>62</v>
      </c>
      <c r="G356" s="40"/>
      <c r="H356" s="6">
        <v>2</v>
      </c>
      <c r="I356" s="40">
        <f>LOOKUP(H356,{0,2,3,4,5,6,7,8,9,10,11,12,13,14,15,16},{0,10,20,30,40,50,60,64,68,72,76,80,85,90,95,100})</f>
        <v>10</v>
      </c>
      <c r="J356" s="7"/>
      <c r="K356" s="7"/>
      <c r="L356" s="7">
        <f>I356+K356</f>
        <v>10</v>
      </c>
      <c r="M356" s="6">
        <v>7.4</v>
      </c>
      <c r="N356" s="43">
        <f>13-M356</f>
        <v>5.6</v>
      </c>
      <c r="O356" s="40">
        <f>LOOKUP(N356,{0,2.5,2.7,2.9,3.1,3.3,3.5,3.7,3.9,4.1,4.3,4.5,4.7,4.9,5.1,5.3,5.5,5.6,5.7,5.8,5.9},{0,10,20,30,40,50,60,62,64,66,68,70,72,74,76,78,80,85,90,95,100})</f>
        <v>85</v>
      </c>
      <c r="P356" s="6">
        <v>3.54</v>
      </c>
      <c r="Q356" s="6">
        <f>10-P356</f>
        <v>6.46</v>
      </c>
      <c r="R356" s="40">
        <f>LOOKUP(Q356,{0,3.75,3.95,4.55,4.75,4.95,5.55,5.6,5.65,5.7,5.75,5.8,5.85,5.9,5.95,6,6.45,6.53,6.6,6.65,6.7},{0,10,20,30,40,50,60,62,64,66,68,70,72,74,76,78,80,85,90,95,100})</f>
        <v>80</v>
      </c>
      <c r="S356" s="7"/>
      <c r="T356" s="7"/>
      <c r="U356" s="7">
        <f>R356+T356</f>
        <v>80</v>
      </c>
      <c r="W356" s="7">
        <f>E356*0.1+G356*0.1+I356*0.1+O356*0.2+R356*0.2</f>
        <v>40.2</v>
      </c>
      <c r="X356" s="21">
        <f>W356/0.7+K356+T356</f>
        <v>57.4285714285714</v>
      </c>
    </row>
    <row r="357" s="34" customFormat="1" ht="15.6" hidden="1" spans="1:24">
      <c r="A357" s="6">
        <v>101</v>
      </c>
      <c r="B357" s="29" t="s">
        <v>37</v>
      </c>
      <c r="C357" s="29" t="s">
        <v>11</v>
      </c>
      <c r="D357" s="6">
        <v>6</v>
      </c>
      <c r="E357" s="40">
        <f>LOOKUP(D357,{0,-4,-3,-2,-1,0,1,2.4,3.8,5.2,6.6,8,9.4,10.8,12.2,13.6,15,17.2,19.4,21.5,23.6},{0,10,20,30,40,50,60,62,64,66,68,70,72,74,76,78,80,85,90,95,100})</f>
        <v>66</v>
      </c>
      <c r="F357" s="6">
        <v>230</v>
      </c>
      <c r="G357" s="40">
        <f>LOOKUP(F357,{0,170,175,180,185,190,195,199,203,207,211,215,219,223,227,231,235,243,250,255,260},{0,10,20,30,40,50,60,62,64,66,68,70,72,74,76,78,80,85,90,95,100})</f>
        <v>76</v>
      </c>
      <c r="H357" s="6">
        <v>11</v>
      </c>
      <c r="I357" s="40">
        <f>LOOKUP(H357,{0,2,3,4,5,6,7,8,9,10,11,12,13,14,15,16},{0,10,20,30,40,50,60,64,68,72,76,80,85,90,95,100})</f>
        <v>76</v>
      </c>
      <c r="J357" s="7"/>
      <c r="K357" s="7"/>
      <c r="L357" s="7">
        <f>I357+K357</f>
        <v>76</v>
      </c>
      <c r="M357" s="6">
        <v>7.4</v>
      </c>
      <c r="N357" s="43">
        <f>13-M357</f>
        <v>5.6</v>
      </c>
      <c r="O357" s="40">
        <f>LOOKUP(N357,{0,2.5,2.7,2.9,3.1,3.3,3.5,3.7,3.9,4.1,4.3,4.5,4.7,4.9,5.1,5.3,5.5,5.6,5.7,5.8,5.9},{0,10,20,30,40,50,60,62,64,66,68,70,72,74,76,78,80,85,90,95,100})</f>
        <v>85</v>
      </c>
      <c r="P357" s="6">
        <v>3.57</v>
      </c>
      <c r="Q357" s="6">
        <f>10-P357</f>
        <v>6.43</v>
      </c>
      <c r="R357" s="40">
        <f>LOOKUP(Q357,{0,3.75,3.95,4.55,4.75,4.95,5.55,5.6,5.65,5.7,5.75,5.8,5.85,5.9,5.95,6,6.45,6.53,6.6,6.65,6.7},{0,10,20,30,40,50,60,62,64,66,68,70,72,74,76,78,80,85,90,95,100})</f>
        <v>78</v>
      </c>
      <c r="S357" s="7"/>
      <c r="T357" s="7"/>
      <c r="U357" s="7">
        <f>R357+T357</f>
        <v>78</v>
      </c>
      <c r="V357" s="6"/>
      <c r="W357" s="7">
        <f>E357*0.1+G357*0.1+I357*0.1+O357*0.2+R357*0.2</f>
        <v>54.4</v>
      </c>
      <c r="X357" s="21">
        <f>W357/0.7+K357+T357</f>
        <v>77.7142857142857</v>
      </c>
    </row>
    <row r="358" ht="15.6" hidden="1" spans="1:24">
      <c r="A358" s="6">
        <v>108</v>
      </c>
      <c r="B358" s="29" t="s">
        <v>355</v>
      </c>
      <c r="C358" s="29" t="s">
        <v>11</v>
      </c>
      <c r="D358" s="6">
        <v>17</v>
      </c>
      <c r="E358" s="40">
        <f>LOOKUP(D358,{0,-4,-3,-2,-1,0,1,2.4,3.8,5.2,6.6,8,9.4,10.8,12.2,13.6,15,17.2,19.4,21.5,23.6},{0,10,20,30,40,50,60,62,64,66,68,70,72,74,76,78,80,85,90,95,100})</f>
        <v>80</v>
      </c>
      <c r="F358" s="6">
        <v>245</v>
      </c>
      <c r="G358" s="40">
        <f>LOOKUP(F358,{0,170,175,180,185,190,195,199,203,207,211,215,219,223,227,231,235,243,250,255,260},{0,10,20,30,40,50,60,62,64,66,68,70,72,74,76,78,80,85,90,95,100})</f>
        <v>85</v>
      </c>
      <c r="H358" s="6">
        <v>3</v>
      </c>
      <c r="I358" s="40">
        <f>LOOKUP(H358,{0,2,3,4,5,6,7,8,9,10,11,12,13,14,15,16},{0,10,20,30,40,50,60,64,68,72,76,80,85,90,95,100})</f>
        <v>20</v>
      </c>
      <c r="J358" s="7"/>
      <c r="K358" s="7"/>
      <c r="L358" s="7">
        <f>I358+K358</f>
        <v>20</v>
      </c>
      <c r="M358" s="6">
        <v>7.4</v>
      </c>
      <c r="N358" s="43">
        <f>13-M358</f>
        <v>5.6</v>
      </c>
      <c r="O358" s="40">
        <f>LOOKUP(N358,{0,2.5,2.7,2.9,3.1,3.3,3.5,3.7,3.9,4.1,4.3,4.5,4.7,4.9,5.1,5.3,5.5,5.6,5.7,5.8,5.9},{0,10,20,30,40,50,60,62,64,66,68,70,72,74,76,78,80,85,90,95,100})</f>
        <v>85</v>
      </c>
      <c r="P358" s="6">
        <v>3.57</v>
      </c>
      <c r="Q358" s="6">
        <f>10-P358</f>
        <v>6.43</v>
      </c>
      <c r="R358" s="40">
        <f>LOOKUP(Q358,{0,3.75,3.95,4.55,4.75,4.95,5.55,5.6,5.65,5.7,5.75,5.8,5.85,5.9,5.95,6,6.45,6.53,6.6,6.65,6.7},{0,10,20,30,40,50,60,62,64,66,68,70,72,74,76,78,80,85,90,95,100})</f>
        <v>78</v>
      </c>
      <c r="S358" s="7"/>
      <c r="T358" s="7"/>
      <c r="U358" s="7">
        <f>R358+T358</f>
        <v>78</v>
      </c>
      <c r="W358" s="7">
        <f>E358*0.1+G358*0.1+I358*0.1+O358*0.2+R358*0.2</f>
        <v>51.1</v>
      </c>
      <c r="X358" s="21">
        <f>W358/0.7+K358+T358</f>
        <v>73</v>
      </c>
    </row>
    <row r="359" ht="15.6" hidden="1" spans="1:24">
      <c r="A359" s="6">
        <v>104</v>
      </c>
      <c r="B359" s="29" t="s">
        <v>174</v>
      </c>
      <c r="C359" s="29" t="s">
        <v>11</v>
      </c>
      <c r="D359" s="6">
        <v>12</v>
      </c>
      <c r="E359" s="40">
        <f>LOOKUP(D359,{0,-4,-3,-2,-1,0,1,2.4,3.8,5.2,6.6,8,9.4,10.8,12.2,13.6,15,17.2,19.4,21.5,23.6},{0,10,20,30,40,50,60,62,64,66,68,70,72,74,76,78,80,85,90,95,100})</f>
        <v>74</v>
      </c>
      <c r="F359" s="6">
        <v>224</v>
      </c>
      <c r="G359" s="40">
        <f>LOOKUP(F359,{0,170,175,180,185,190,195,199,203,207,211,215,219,223,227,231,235,243,250,255,260},{0,10,20,30,40,50,60,62,64,66,68,70,72,74,76,78,80,85,90,95,100})</f>
        <v>74</v>
      </c>
      <c r="H359" s="6">
        <v>10</v>
      </c>
      <c r="I359" s="40">
        <f>LOOKUP(H359,{0,2,3,4,5,6,7,8,9,10,11,12,13,14,15,16},{0,10,20,30,40,50,60,64,68,72,76,80,85,90,95,100})</f>
        <v>72</v>
      </c>
      <c r="J359" s="7"/>
      <c r="K359" s="7"/>
      <c r="L359" s="7">
        <f>I359+K359</f>
        <v>72</v>
      </c>
      <c r="M359" s="6">
        <v>7.4</v>
      </c>
      <c r="N359" s="43">
        <f>13-M359</f>
        <v>5.6</v>
      </c>
      <c r="O359" s="40">
        <f>LOOKUP(N359,{0,2.5,2.7,2.9,3.1,3.3,3.5,3.7,3.9,4.1,4.3,4.5,4.7,4.9,5.1,5.3,5.5,5.6,5.7,5.8,5.9},{0,10,20,30,40,50,60,62,64,66,68,70,72,74,76,78,80,85,90,95,100})</f>
        <v>85</v>
      </c>
      <c r="P359" s="6">
        <v>3.58</v>
      </c>
      <c r="Q359" s="6">
        <f>10-P359</f>
        <v>6.42</v>
      </c>
      <c r="R359" s="40">
        <f>LOOKUP(Q359,{0,3.75,3.95,4.55,4.75,4.95,5.55,5.6,5.65,5.7,5.75,5.8,5.85,5.9,5.95,6,6.45,6.53,6.6,6.65,6.7},{0,10,20,30,40,50,60,62,64,66,68,70,72,74,76,78,80,85,90,95,100})</f>
        <v>78</v>
      </c>
      <c r="S359" s="7"/>
      <c r="T359" s="7"/>
      <c r="U359" s="7">
        <f>R359+T359</f>
        <v>78</v>
      </c>
      <c r="W359" s="7">
        <f>E359*0.1+G359*0.1+I359*0.1+O359*0.2+R359*0.2</f>
        <v>54.6</v>
      </c>
      <c r="X359" s="21">
        <f>W359/0.7+K359+T359</f>
        <v>78</v>
      </c>
    </row>
    <row r="360" ht="15.6" hidden="1" spans="1:24">
      <c r="A360" s="6">
        <v>114</v>
      </c>
      <c r="B360" s="29" t="s">
        <v>686</v>
      </c>
      <c r="C360" s="29" t="s">
        <v>11</v>
      </c>
      <c r="D360" s="6">
        <v>7</v>
      </c>
      <c r="E360" s="40">
        <f>LOOKUP(D360,{0,-4,-3,-2,-1,0,1,2.4,3.8,5.2,6.6,8,9.4,10.8,12.2,13.6,15,17.2,19.4,21.5,23.6},{0,10,20,30,40,50,60,62,64,66,68,70,72,74,76,78,80,85,90,95,100})</f>
        <v>68</v>
      </c>
      <c r="F360" s="6">
        <v>220</v>
      </c>
      <c r="G360" s="40">
        <f>LOOKUP(F360,{0,170,175,180,185,190,195,199,203,207,211,215,219,223,227,231,235,243,250,255,260},{0,10,20,30,40,50,60,62,64,66,68,70,72,74,76,78,80,85,90,95,100})</f>
        <v>72</v>
      </c>
      <c r="H360" s="6">
        <v>19</v>
      </c>
      <c r="I360" s="40">
        <f>LOOKUP(H360,{0,2,3,4,5,6,7,8,9,10,11,12,13,14,15,16},{0,10,20,30,40,50,60,64,68,72,76,80,85,90,95,100})</f>
        <v>100</v>
      </c>
      <c r="J360" s="7">
        <f>H360-16</f>
        <v>3</v>
      </c>
      <c r="K360" s="40">
        <f>LOOKUP(J360,{0,1,2,3,4,5,6,7,8,9,10},{0,1,2,3,4,5,6,7,8,9,10})</f>
        <v>3</v>
      </c>
      <c r="L360" s="7">
        <f>I360+K360</f>
        <v>103</v>
      </c>
      <c r="M360" s="6">
        <v>7.4</v>
      </c>
      <c r="N360" s="43">
        <f>13-M360</f>
        <v>5.6</v>
      </c>
      <c r="O360" s="40">
        <f>LOOKUP(N360,{0,2.5,2.7,2.9,3.1,3.3,3.5,3.7,3.9,4.1,4.3,4.5,4.7,4.9,5.1,5.3,5.5,5.6,5.7,5.8,5.9},{0,10,20,30,40,50,60,62,64,66,68,70,72,74,76,78,80,85,90,95,100})</f>
        <v>85</v>
      </c>
      <c r="P360" s="6">
        <v>3.59</v>
      </c>
      <c r="Q360" s="6">
        <f>10-P360</f>
        <v>6.41</v>
      </c>
      <c r="R360" s="40">
        <f>LOOKUP(Q360,{0,3.75,3.95,4.55,4.75,4.95,5.55,5.6,5.65,5.7,5.75,5.8,5.85,5.9,5.95,6,6.45,6.53,6.6,6.65,6.7},{0,10,20,30,40,50,60,62,64,66,68,70,72,74,76,78,80,85,90,95,100})</f>
        <v>78</v>
      </c>
      <c r="S360" s="7"/>
      <c r="T360" s="7"/>
      <c r="U360" s="7">
        <f>R360+T360</f>
        <v>78</v>
      </c>
      <c r="W360" s="7">
        <f>E360*0.1+G360*0.1+I360*0.1+O360*0.2+R360*0.2</f>
        <v>56.6</v>
      </c>
      <c r="X360" s="21">
        <f>W360/0.7+K360+T360</f>
        <v>83.8571428571429</v>
      </c>
    </row>
    <row r="361" ht="15.6" hidden="1" spans="1:24">
      <c r="A361" s="6">
        <v>111</v>
      </c>
      <c r="B361" s="29" t="s">
        <v>518</v>
      </c>
      <c r="C361" s="29" t="s">
        <v>11</v>
      </c>
      <c r="D361" s="6">
        <v>4.6</v>
      </c>
      <c r="E361" s="40">
        <f>LOOKUP(D361,{0,-4,-3,-2,-1,0,1,2.4,3.8,5.2,6.6,8,9.4,10.8,12.2,13.6,15,17.2,19.4,21.5,23.6},{0,10,20,30,40,50,60,62,64,66,68,70,72,74,76,78,80,85,90,95,100})</f>
        <v>64</v>
      </c>
      <c r="F361" s="6">
        <v>228</v>
      </c>
      <c r="G361" s="40">
        <f>LOOKUP(F361,{0,170,175,180,185,190,195,199,203,207,211,215,219,223,227,231,235,243,250,255,260},{0,10,20,30,40,50,60,62,64,66,68,70,72,74,76,78,80,85,90,95,100})</f>
        <v>76</v>
      </c>
      <c r="H361" s="6">
        <v>5</v>
      </c>
      <c r="I361" s="40">
        <f>LOOKUP(H361,{0,2,3,4,5,6,7,8,9,10,11,12,13,14,15,16},{0,10,20,30,40,50,60,64,68,72,76,80,85,90,95,100})</f>
        <v>40</v>
      </c>
      <c r="J361" s="7"/>
      <c r="K361" s="7"/>
      <c r="L361" s="7">
        <f>I361+K361</f>
        <v>40</v>
      </c>
      <c r="M361" s="6">
        <v>7.4</v>
      </c>
      <c r="N361" s="43">
        <f>13-M361</f>
        <v>5.6</v>
      </c>
      <c r="O361" s="40">
        <f>LOOKUP(N361,{0,2.5,2.7,2.9,3.1,3.3,3.5,3.7,3.9,4.1,4.3,4.5,4.7,4.9,5.1,5.3,5.5,5.6,5.7,5.8,5.9},{0,10,20,30,40,50,60,62,64,66,68,70,72,74,76,78,80,85,90,95,100})</f>
        <v>85</v>
      </c>
      <c r="P361" s="6">
        <v>4</v>
      </c>
      <c r="Q361" s="6">
        <f>10-P361</f>
        <v>6</v>
      </c>
      <c r="R361" s="40">
        <f>LOOKUP(Q361,{0,3.75,3.95,4.55,4.75,4.95,5.55,5.6,5.65,5.7,5.75,5.8,5.85,5.9,5.95,6,6.45,6.53,6.6,6.65,6.7},{0,10,20,30,40,50,60,62,64,66,68,70,72,74,76,78,80,85,90,95,100})</f>
        <v>78</v>
      </c>
      <c r="S361" s="7"/>
      <c r="T361" s="7"/>
      <c r="U361" s="7">
        <f>R361+T361</f>
        <v>78</v>
      </c>
      <c r="W361" s="7">
        <f>E361*0.1+G361*0.1+I361*0.1+O361*0.2+R361*0.2</f>
        <v>50.6</v>
      </c>
      <c r="X361" s="21">
        <f>W361/0.7+K361+T361</f>
        <v>72.2857142857143</v>
      </c>
    </row>
    <row r="362" ht="15.6" hidden="1" spans="1:24">
      <c r="A362" s="6">
        <v>101</v>
      </c>
      <c r="B362" s="29" t="s">
        <v>18</v>
      </c>
      <c r="C362" s="29" t="s">
        <v>11</v>
      </c>
      <c r="D362" s="6">
        <v>22.2</v>
      </c>
      <c r="E362" s="40">
        <f>LOOKUP(D362,{0,-4,-3,-2,-1,0,1,2.4,3.8,5.2,6.6,8,9.4,10.8,12.2,13.6,15,17.2,19.4,21.5,23.6},{0,10,20,30,40,50,60,62,64,66,68,70,72,74,76,78,80,85,90,95,100})</f>
        <v>95</v>
      </c>
      <c r="F362" s="6">
        <v>230</v>
      </c>
      <c r="G362" s="40">
        <f>LOOKUP(F362,{0,170,175,180,185,190,195,199,203,207,211,215,219,223,227,231,235,243,250,255,260},{0,10,20,30,40,50,60,62,64,66,68,70,72,74,76,78,80,85,90,95,100})</f>
        <v>76</v>
      </c>
      <c r="H362" s="6">
        <v>3</v>
      </c>
      <c r="I362" s="40">
        <f>LOOKUP(H362,{0,2,3,4,5,6,7,8,9,10,11,12,13,14,15,16},{0,10,20,30,40,50,60,64,68,72,76,80,85,90,95,100})</f>
        <v>20</v>
      </c>
      <c r="J362" s="7"/>
      <c r="K362" s="7"/>
      <c r="L362" s="7">
        <f>I362+K362</f>
        <v>20</v>
      </c>
      <c r="M362" s="6">
        <v>7.4</v>
      </c>
      <c r="N362" s="43">
        <f>13-M362</f>
        <v>5.6</v>
      </c>
      <c r="O362" s="40">
        <f>LOOKUP(N362,{0,2.5,2.7,2.9,3.1,3.3,3.5,3.7,3.9,4.1,4.3,4.5,4.7,4.9,5.1,5.3,5.5,5.6,5.7,5.8,5.9},{0,10,20,30,40,50,60,62,64,66,68,70,72,74,76,78,80,85,90,95,100})</f>
        <v>85</v>
      </c>
      <c r="P362" s="6">
        <v>4</v>
      </c>
      <c r="Q362" s="6">
        <f>10-P362</f>
        <v>6</v>
      </c>
      <c r="R362" s="40">
        <f>LOOKUP(Q362,{0,3.75,3.95,4.55,4.75,4.95,5.55,5.6,5.65,5.7,5.75,5.8,5.85,5.9,5.95,6,6.45,6.53,6.6,6.65,6.7},{0,10,20,30,40,50,60,62,64,66,68,70,72,74,76,78,80,85,90,95,100})</f>
        <v>78</v>
      </c>
      <c r="S362" s="7"/>
      <c r="T362" s="7"/>
      <c r="U362" s="7">
        <f>R362+T362</f>
        <v>78</v>
      </c>
      <c r="W362" s="7">
        <f>E362*0.1+G362*0.1+I362*0.1+O362*0.2+R362*0.2</f>
        <v>51.7</v>
      </c>
      <c r="X362" s="21">
        <f>W362/0.7+K362+T362</f>
        <v>73.8571428571429</v>
      </c>
    </row>
    <row r="363" s="3" customFormat="1" ht="15.6" hidden="1" spans="1:24">
      <c r="A363" s="6">
        <v>105</v>
      </c>
      <c r="B363" s="52" t="s">
        <v>240</v>
      </c>
      <c r="C363" s="52" t="s">
        <v>11</v>
      </c>
      <c r="D363" s="6">
        <v>12</v>
      </c>
      <c r="E363" s="40">
        <f>LOOKUP(D363,{0,-4,-3,-2,-1,0,1,2.4,3.8,5.2,6.6,8,9.4,10.8,12.2,13.6,15,17.2,19.4,21.5,23.6},{0,10,20,30,40,50,60,62,64,66,68,70,72,74,76,78,80,85,90,95,100})</f>
        <v>74</v>
      </c>
      <c r="F363" s="6">
        <v>210</v>
      </c>
      <c r="G363" s="40">
        <f>LOOKUP(F363,{0,170,175,180,185,190,195,199,203,207,211,215,219,223,227,231,235,243,250,255,260},{0,10,20,30,40,50,60,62,64,66,68,70,72,74,76,78,80,85,90,95,100})</f>
        <v>66</v>
      </c>
      <c r="H363" s="6">
        <v>0</v>
      </c>
      <c r="I363" s="40">
        <f>LOOKUP(H363,{0,2,3,4,5,6,7,8,9,10,11,12,13,14,15,16},{0,10,20,30,40,50,60,64,68,72,76,80,85,90,95,100})</f>
        <v>0</v>
      </c>
      <c r="J363" s="7"/>
      <c r="K363" s="7"/>
      <c r="L363" s="7">
        <f>I363+K363</f>
        <v>0</v>
      </c>
      <c r="M363" s="6">
        <v>7.4</v>
      </c>
      <c r="N363" s="43">
        <f>13-M363</f>
        <v>5.6</v>
      </c>
      <c r="O363" s="40">
        <f>LOOKUP(N363,{0,2.5,2.7,2.9,3.1,3.3,3.5,3.7,3.9,4.1,4.3,4.5,4.7,4.9,5.1,5.3,5.5,5.6,5.7,5.8,5.9},{0,10,20,30,40,50,60,62,64,66,68,70,72,74,76,78,80,85,90,95,100})</f>
        <v>85</v>
      </c>
      <c r="P363" s="6">
        <v>4.02</v>
      </c>
      <c r="Q363" s="6">
        <f>10-P363</f>
        <v>5.98</v>
      </c>
      <c r="R363" s="40">
        <f>LOOKUP(Q363,{0,3.75,3.95,4.55,4.75,4.95,5.55,5.6,5.65,5.7,5.75,5.8,5.85,5.9,5.95,6,6.45,6.53,6.6,6.65,6.7},{0,10,20,30,40,50,60,62,64,66,68,70,72,74,76,78,80,85,90,95,100})</f>
        <v>76</v>
      </c>
      <c r="S363" s="7"/>
      <c r="T363" s="7"/>
      <c r="U363" s="7">
        <f>R363+T363</f>
        <v>76</v>
      </c>
      <c r="V363" s="6"/>
      <c r="W363" s="7">
        <f>E363*0.1+G363*0.1+I363*0.1+O363*0.2+R363*0.2</f>
        <v>46.2</v>
      </c>
      <c r="X363" s="21">
        <f>W363/0.7+K363+T363</f>
        <v>66</v>
      </c>
    </row>
    <row r="364" ht="15.6" hidden="1" spans="1:24">
      <c r="A364" s="6">
        <v>102</v>
      </c>
      <c r="B364" s="29" t="s">
        <v>80</v>
      </c>
      <c r="C364" s="29" t="s">
        <v>11</v>
      </c>
      <c r="D364" s="6">
        <v>17.2</v>
      </c>
      <c r="E364" s="40">
        <f>LOOKUP(D364,{0,-4,-3,-2,-1,0,1,2.4,3.8,5.2,6.6,8,9.4,10.8,12.2,13.6,15,17.2,19.4,21.5,23.6},{0,10,20,30,40,50,60,62,64,66,68,70,72,74,76,78,80,85,90,95,100})</f>
        <v>85</v>
      </c>
      <c r="F364" s="6">
        <v>223</v>
      </c>
      <c r="G364" s="40">
        <f>LOOKUP(F364,{0,170,175,180,185,190,195,199,203,207,211,215,219,223,227,231,235,243,250,255,260},{0,10,20,30,40,50,60,62,64,66,68,70,72,74,76,78,80,85,90,95,100})</f>
        <v>74</v>
      </c>
      <c r="H364" s="6">
        <v>11</v>
      </c>
      <c r="I364" s="40">
        <f>LOOKUP(H364,{0,2,3,4,5,6,7,8,9,10,11,12,13,14,15,16},{0,10,20,30,40,50,60,64,68,72,76,80,85,90,95,100})</f>
        <v>76</v>
      </c>
      <c r="J364" s="7"/>
      <c r="K364" s="7"/>
      <c r="L364" s="7">
        <f>I364+K364</f>
        <v>76</v>
      </c>
      <c r="M364" s="6">
        <v>7.4</v>
      </c>
      <c r="N364" s="43">
        <f>13-M364</f>
        <v>5.6</v>
      </c>
      <c r="O364" s="40">
        <f>LOOKUP(N364,{0,2.5,2.7,2.9,3.1,3.3,3.5,3.7,3.9,4.1,4.3,4.5,4.7,4.9,5.1,5.3,5.5,5.6,5.7,5.8,5.9},{0,10,20,30,40,50,60,62,64,66,68,70,72,74,76,78,80,85,90,95,100})</f>
        <v>85</v>
      </c>
      <c r="P364" s="6">
        <v>4.03</v>
      </c>
      <c r="Q364" s="6">
        <f>10-P364</f>
        <v>5.97</v>
      </c>
      <c r="R364" s="40">
        <f>LOOKUP(Q364,{0,3.75,3.95,4.55,4.75,4.95,5.55,5.6,5.65,5.7,5.75,5.8,5.85,5.9,5.95,6,6.45,6.53,6.6,6.65,6.7},{0,10,20,30,40,50,60,62,64,66,68,70,72,74,76,78,80,85,90,95,100})</f>
        <v>76</v>
      </c>
      <c r="S364" s="7"/>
      <c r="T364" s="7"/>
      <c r="U364" s="7">
        <f>R364+T364</f>
        <v>76</v>
      </c>
      <c r="W364" s="7">
        <f>E364*0.1+G364*0.1+I364*0.1+O364*0.2+R364*0.2</f>
        <v>55.7</v>
      </c>
      <c r="X364" s="21">
        <f>W364/0.7+K364+T364</f>
        <v>79.5714285714286</v>
      </c>
    </row>
    <row r="365" ht="15.6" hidden="1" spans="1:24">
      <c r="A365" s="6">
        <v>108</v>
      </c>
      <c r="B365" s="29" t="s">
        <v>378</v>
      </c>
      <c r="C365" s="29" t="s">
        <v>11</v>
      </c>
      <c r="D365" s="6">
        <v>5</v>
      </c>
      <c r="E365" s="40">
        <f>LOOKUP(D365,{0,-4,-3,-2,-1,0,1,2.4,3.8,5.2,6.6,8,9.4,10.8,12.2,13.6,15,17.2,19.4,21.5,23.6},{0,10,20,30,40,50,60,62,64,66,68,70,72,74,76,78,80,85,90,95,100})</f>
        <v>64</v>
      </c>
      <c r="F365" s="6">
        <v>212</v>
      </c>
      <c r="G365" s="40">
        <f>LOOKUP(F365,{0,170,175,180,185,190,195,199,203,207,211,215,219,223,227,231,235,243,250,255,260},{0,10,20,30,40,50,60,62,64,66,68,70,72,74,76,78,80,85,90,95,100})</f>
        <v>68</v>
      </c>
      <c r="H365" s="6">
        <v>3</v>
      </c>
      <c r="I365" s="40">
        <f>LOOKUP(H365,{0,2,3,4,5,6,7,8,9,10,11,12,13,14,15,16},{0,10,20,30,40,50,60,64,68,72,76,80,85,90,95,100})</f>
        <v>20</v>
      </c>
      <c r="J365" s="7"/>
      <c r="K365" s="7"/>
      <c r="L365" s="7">
        <f>I365+K365</f>
        <v>20</v>
      </c>
      <c r="M365" s="6">
        <v>7.4</v>
      </c>
      <c r="N365" s="43">
        <f>13-M365</f>
        <v>5.6</v>
      </c>
      <c r="O365" s="40">
        <f>LOOKUP(N365,{0,2.5,2.7,2.9,3.1,3.3,3.5,3.7,3.9,4.1,4.3,4.5,4.7,4.9,5.1,5.3,5.5,5.6,5.7,5.8,5.9},{0,10,20,30,40,50,60,62,64,66,68,70,72,74,76,78,80,85,90,95,100})</f>
        <v>85</v>
      </c>
      <c r="P365" s="6">
        <v>4.04</v>
      </c>
      <c r="Q365" s="6">
        <f>10-P365</f>
        <v>5.96</v>
      </c>
      <c r="R365" s="40">
        <f>LOOKUP(Q365,{0,3.75,3.95,4.55,4.75,4.95,5.55,5.6,5.65,5.7,5.75,5.8,5.85,5.9,5.95,6,6.45,6.53,6.6,6.65,6.7},{0,10,20,30,40,50,60,62,64,66,68,70,72,74,76,78,80,85,90,95,100})</f>
        <v>76</v>
      </c>
      <c r="S365" s="7"/>
      <c r="T365" s="7"/>
      <c r="U365" s="7">
        <f>R365+T365</f>
        <v>76</v>
      </c>
      <c r="W365" s="7">
        <f>E365*0.1+G365*0.1+I365*0.1+O365*0.2+R365*0.2</f>
        <v>47.4</v>
      </c>
      <c r="X365" s="21">
        <f>W365/0.7+K365+T365</f>
        <v>67.7142857142857</v>
      </c>
    </row>
    <row r="366" ht="15.6" hidden="1" spans="1:24">
      <c r="A366" s="6">
        <v>106</v>
      </c>
      <c r="B366" s="29" t="s">
        <v>259</v>
      </c>
      <c r="C366" s="29" t="s">
        <v>11</v>
      </c>
      <c r="D366" s="6">
        <v>-8.8</v>
      </c>
      <c r="E366" s="40">
        <v>0</v>
      </c>
      <c r="F366" s="6">
        <v>195</v>
      </c>
      <c r="G366" s="40">
        <f>LOOKUP(F366,{0,170,175,180,185,190,195,199,203,207,211,215,219,223,227,231,235,243,250,255,260},{0,10,20,30,40,50,60,62,64,66,68,70,72,74,76,78,80,85,90,95,100})</f>
        <v>60</v>
      </c>
      <c r="H366" s="6">
        <v>1</v>
      </c>
      <c r="I366" s="40">
        <f>LOOKUP(H366,{0,2,3,4,5,6,7,8,9,10,11,12,13,14,15,16},{0,10,20,30,40,50,60,64,68,72,76,80,85,90,95,100})</f>
        <v>0</v>
      </c>
      <c r="J366" s="7"/>
      <c r="K366" s="7"/>
      <c r="L366" s="7">
        <f>I366+K366</f>
        <v>0</v>
      </c>
      <c r="M366" s="6">
        <v>7.4</v>
      </c>
      <c r="N366" s="43">
        <f>13-M366</f>
        <v>5.6</v>
      </c>
      <c r="O366" s="40">
        <f>LOOKUP(N366,{0,2.5,2.7,2.9,3.1,3.3,3.5,3.7,3.9,4.1,4.3,4.5,4.7,4.9,5.1,5.3,5.5,5.6,5.7,5.8,5.9},{0,10,20,30,40,50,60,62,64,66,68,70,72,74,76,78,80,85,90,95,100})</f>
        <v>85</v>
      </c>
      <c r="P366" s="6">
        <v>4.05</v>
      </c>
      <c r="Q366" s="6">
        <f>10-P366</f>
        <v>5.95</v>
      </c>
      <c r="R366" s="40">
        <f>LOOKUP(Q366,{0,3.75,3.95,4.55,4.75,4.95,5.55,5.6,5.65,5.7,5.75,5.8,5.85,5.9,5.95,6,6.45,6.53,6.6,6.65,6.7},{0,10,20,30,40,50,60,62,64,66,68,70,72,74,76,78,80,85,90,95,100})</f>
        <v>76</v>
      </c>
      <c r="S366" s="7"/>
      <c r="T366" s="7"/>
      <c r="U366" s="7">
        <f>R366+T366</f>
        <v>76</v>
      </c>
      <c r="W366" s="7">
        <f>E366*0.1+G366*0.1+I366*0.1+O366*0.2+R366*0.2</f>
        <v>38.2</v>
      </c>
      <c r="X366" s="21">
        <f>W366/0.7+K366+T366</f>
        <v>54.5714285714286</v>
      </c>
    </row>
    <row r="367" ht="15.6" hidden="1" spans="1:24">
      <c r="A367" s="6">
        <v>107</v>
      </c>
      <c r="B367" s="29" t="s">
        <v>317</v>
      </c>
      <c r="C367" s="29" t="s">
        <v>11</v>
      </c>
      <c r="D367" s="6">
        <v>8</v>
      </c>
      <c r="E367" s="40">
        <f>LOOKUP(D367,{0,-4,-3,-2,-1,0,1,2.4,3.8,5.2,6.6,8,9.4,10.8,12.2,13.6,15,17.2,19.4,21.5,23.6},{0,10,20,30,40,50,60,62,64,66,68,70,72,74,76,78,80,85,90,95,100})</f>
        <v>70</v>
      </c>
      <c r="F367" s="6">
        <v>213</v>
      </c>
      <c r="G367" s="40">
        <f>LOOKUP(F367,{0,170,175,180,185,190,195,199,203,207,211,215,219,223,227,231,235,243,250,255,260},{0,10,20,30,40,50,60,62,64,66,68,70,72,74,76,78,80,85,90,95,100})</f>
        <v>68</v>
      </c>
      <c r="H367" s="6">
        <v>0</v>
      </c>
      <c r="I367" s="40">
        <f>LOOKUP(H367,{0,2,3,4,5,6,7,8,9,10,11,12,13,14,15,16},{0,10,20,30,40,50,60,64,68,72,76,80,85,90,95,100})</f>
        <v>0</v>
      </c>
      <c r="J367" s="7"/>
      <c r="K367" s="7"/>
      <c r="L367" s="7">
        <f>I367+K367</f>
        <v>0</v>
      </c>
      <c r="M367" s="6">
        <v>7.4</v>
      </c>
      <c r="N367" s="43">
        <f>13-M367</f>
        <v>5.6</v>
      </c>
      <c r="O367" s="40">
        <f>LOOKUP(N367,{0,2.5,2.7,2.9,3.1,3.3,3.5,3.7,3.9,4.1,4.3,4.5,4.7,4.9,5.1,5.3,5.5,5.6,5.7,5.8,5.9},{0,10,20,30,40,50,60,62,64,66,68,70,72,74,76,78,80,85,90,95,100})</f>
        <v>85</v>
      </c>
      <c r="P367" s="6">
        <v>4.1</v>
      </c>
      <c r="Q367" s="6">
        <f>10-P367</f>
        <v>5.9</v>
      </c>
      <c r="R367" s="40">
        <f>LOOKUP(Q367,{0,3.75,3.95,4.55,4.75,4.95,5.55,5.6,5.65,5.7,5.75,5.8,5.85,5.9,5.95,6,6.45,6.53,6.6,6.65,6.7},{0,10,20,30,40,50,60,62,64,66,68,70,72,74,76,78,80,85,90,95,100})</f>
        <v>74</v>
      </c>
      <c r="S367" s="7"/>
      <c r="T367" s="7"/>
      <c r="U367" s="7">
        <f>R367+T367</f>
        <v>74</v>
      </c>
      <c r="W367" s="7">
        <f>E367*0.1+G367*0.1+I367*0.1+O367*0.2+R367*0.2</f>
        <v>45.6</v>
      </c>
      <c r="X367" s="21">
        <f>W367/0.7+K367+T367</f>
        <v>65.1428571428572</v>
      </c>
    </row>
    <row r="368" ht="15.6" hidden="1" spans="1:24">
      <c r="A368" s="6">
        <v>114</v>
      </c>
      <c r="B368" s="29" t="s">
        <v>683</v>
      </c>
      <c r="C368" s="29" t="s">
        <v>11</v>
      </c>
      <c r="D368" s="6">
        <v>7</v>
      </c>
      <c r="E368" s="40">
        <f>LOOKUP(D368,{0,-4,-3,-2,-1,0,1,2.4,3.8,5.2,6.6,8,9.4,10.8,12.2,13.6,15,17.2,19.4,21.5,23.6},{0,10,20,30,40,50,60,62,64,66,68,70,72,74,76,78,80,85,90,95,100})</f>
        <v>68</v>
      </c>
      <c r="F368" s="6">
        <v>240</v>
      </c>
      <c r="G368" s="40">
        <f>LOOKUP(F368,{0,170,175,180,185,190,195,199,203,207,211,215,219,223,227,231,235,243,250,255,260},{0,10,20,30,40,50,60,62,64,66,68,70,72,74,76,78,80,85,90,95,100})</f>
        <v>80</v>
      </c>
      <c r="H368" s="6">
        <v>10</v>
      </c>
      <c r="I368" s="40">
        <f>LOOKUP(H368,{0,2,3,4,5,6,7,8,9,10,11,12,13,14,15,16},{0,10,20,30,40,50,60,64,68,72,76,80,85,90,95,100})</f>
        <v>72</v>
      </c>
      <c r="J368" s="7"/>
      <c r="K368" s="7"/>
      <c r="L368" s="7">
        <f>I368+K368</f>
        <v>72</v>
      </c>
      <c r="M368" s="6">
        <v>7.4</v>
      </c>
      <c r="N368" s="43">
        <f>13-M368</f>
        <v>5.6</v>
      </c>
      <c r="O368" s="40">
        <f>LOOKUP(N368,{0,2.5,2.7,2.9,3.1,3.3,3.5,3.7,3.9,4.1,4.3,4.5,4.7,4.9,5.1,5.3,5.5,5.6,5.7,5.8,5.9},{0,10,20,30,40,50,60,62,64,66,68,70,72,74,76,78,80,85,90,95,100})</f>
        <v>85</v>
      </c>
      <c r="P368" s="6">
        <v>4.15</v>
      </c>
      <c r="Q368" s="6">
        <f>10-P368</f>
        <v>5.85</v>
      </c>
      <c r="R368" s="40">
        <f>LOOKUP(Q368,{0,3.75,3.95,4.55,4.75,4.95,5.55,5.6,5.65,5.7,5.75,5.8,5.85,5.9,5.95,6,6.45,6.53,6.6,6.65,6.7},{0,10,20,30,40,50,60,62,64,66,68,70,72,74,76,78,80,85,90,95,100})</f>
        <v>72</v>
      </c>
      <c r="S368" s="7"/>
      <c r="T368" s="7"/>
      <c r="U368" s="7">
        <f>R368+T368</f>
        <v>72</v>
      </c>
      <c r="W368" s="7">
        <f>E368*0.1+G368*0.1+I368*0.1+O368*0.2+R368*0.2</f>
        <v>53.4</v>
      </c>
      <c r="X368" s="21">
        <f>W368/0.7+K368+T368</f>
        <v>76.2857142857143</v>
      </c>
    </row>
    <row r="369" ht="15.6" hidden="1" spans="1:24">
      <c r="A369" s="6">
        <v>116</v>
      </c>
      <c r="B369" s="29" t="s">
        <v>800</v>
      </c>
      <c r="C369" s="29" t="s">
        <v>11</v>
      </c>
      <c r="D369" s="6">
        <v>16</v>
      </c>
      <c r="E369" s="40">
        <f>LOOKUP(D369,{0,-4,-3,-2,-1,0,1,2.4,3.8,5.2,6.6,8,9.4,10.8,12.2,13.6,15,17.2,19.4,21.5,23.6},{0,10,20,30,40,50,60,62,64,66,68,70,72,74,76,78,80,85,90,95,100})</f>
        <v>80</v>
      </c>
      <c r="F369" s="6">
        <v>230</v>
      </c>
      <c r="G369" s="40">
        <f>LOOKUP(F369,{0,170,175,180,185,190,195,199,203,207,211,215,219,223,227,231,235,243,250,255,260},{0,10,20,30,40,50,60,62,64,66,68,70,72,74,76,78,80,85,90,95,100})</f>
        <v>76</v>
      </c>
      <c r="H369" s="6">
        <v>16</v>
      </c>
      <c r="I369" s="40">
        <f>LOOKUP(H369,{0,2,3,4,5,6,7,8,9,10,11,12,13,14,15,16},{0,10,20,30,40,50,60,64,68,72,76,80,85,90,95,100})</f>
        <v>100</v>
      </c>
      <c r="J369" s="7">
        <f>H369-16</f>
        <v>0</v>
      </c>
      <c r="K369" s="40">
        <f>LOOKUP(J369,{0,1,2,3,4,5,6,7,8,9,10},{0,1,2,3,4,5,6,7,8,9,10})</f>
        <v>0</v>
      </c>
      <c r="L369" s="7">
        <f>I369+K369</f>
        <v>100</v>
      </c>
      <c r="M369" s="6">
        <v>7.4</v>
      </c>
      <c r="N369" s="43">
        <f>13-M369</f>
        <v>5.6</v>
      </c>
      <c r="O369" s="40">
        <f>LOOKUP(N369,{0,2.5,2.7,2.9,3.1,3.3,3.5,3.7,3.9,4.1,4.3,4.5,4.7,4.9,5.1,5.3,5.5,5.6,5.7,5.8,5.9},{0,10,20,30,40,50,60,62,64,66,68,70,72,74,76,78,80,85,90,95,100})</f>
        <v>85</v>
      </c>
      <c r="P369" s="6">
        <v>4.22</v>
      </c>
      <c r="Q369" s="6">
        <f>10-P369</f>
        <v>5.78</v>
      </c>
      <c r="R369" s="40">
        <f>LOOKUP(Q369,{0,3.75,3.95,4.55,4.75,4.95,5.55,5.6,5.65,5.7,5.75,5.8,5.85,5.9,5.95,6,6.45,6.53,6.6,6.65,6.7},{0,10,20,30,40,50,60,62,64,66,68,70,72,74,76,78,80,85,90,95,100})</f>
        <v>68</v>
      </c>
      <c r="S369" s="7"/>
      <c r="T369" s="7"/>
      <c r="U369" s="7">
        <f>R369+T369</f>
        <v>68</v>
      </c>
      <c r="W369" s="7">
        <f>E369*0.1+G369*0.1+I369*0.1+O369*0.2+R369*0.2</f>
        <v>56.2</v>
      </c>
      <c r="X369" s="21">
        <f>W369/0.7+K369+T369</f>
        <v>80.2857142857143</v>
      </c>
    </row>
    <row r="370" ht="15.6" hidden="1" spans="1:24">
      <c r="A370" s="6">
        <v>103</v>
      </c>
      <c r="B370" s="29" t="s">
        <v>124</v>
      </c>
      <c r="C370" s="29" t="s">
        <v>11</v>
      </c>
      <c r="D370" s="6">
        <v>14</v>
      </c>
      <c r="E370" s="40">
        <f>LOOKUP(D370,{0,-4,-3,-2,-1,0,1,2.4,3.8,5.2,6.6,8,9.4,10.8,12.2,13.6,15,17.2,19.4,21.5,23.6},{0,10,20,30,40,50,60,62,64,66,68,70,72,74,76,78,80,85,90,95,100})</f>
        <v>78</v>
      </c>
      <c r="F370" s="6">
        <v>235</v>
      </c>
      <c r="G370" s="40">
        <f>LOOKUP(F370,{0,170,175,180,185,190,195,199,203,207,211,215,219,223,227,231,235,243,250,255,260},{0,10,20,30,40,50,60,62,64,66,68,70,72,74,76,78,80,85,90,95,100})</f>
        <v>80</v>
      </c>
      <c r="H370" s="6">
        <v>16</v>
      </c>
      <c r="I370" s="40">
        <f>LOOKUP(H370,{0,2,3,4,5,6,7,8,9,10,11,12,13,14,15,16},{0,10,20,30,40,50,60,64,68,72,76,80,85,90,95,100})</f>
        <v>100</v>
      </c>
      <c r="J370" s="7">
        <f>H370-16</f>
        <v>0</v>
      </c>
      <c r="K370" s="40">
        <f>LOOKUP(J370,{0,1,2,3,4,5,6,7,8,9,10},{0,1,2,3,4,5,6,7,8,9,10})</f>
        <v>0</v>
      </c>
      <c r="L370" s="7">
        <f>I370+K370</f>
        <v>100</v>
      </c>
      <c r="M370" s="6">
        <v>7.4</v>
      </c>
      <c r="N370" s="43">
        <f>13-M370</f>
        <v>5.6</v>
      </c>
      <c r="O370" s="40">
        <f>LOOKUP(N370,{0,2.5,2.7,2.9,3.1,3.3,3.5,3.7,3.9,4.1,4.3,4.5,4.7,4.9,5.1,5.3,5.5,5.6,5.7,5.8,5.9},{0,10,20,30,40,50,60,62,64,66,68,70,72,74,76,78,80,85,90,95,100})</f>
        <v>85</v>
      </c>
      <c r="P370" s="6">
        <v>4.24</v>
      </c>
      <c r="Q370" s="6">
        <f>10-P370</f>
        <v>5.76</v>
      </c>
      <c r="R370" s="40">
        <f>LOOKUP(Q370,{0,3.75,3.95,4.55,4.75,4.95,5.55,5.6,5.65,5.7,5.75,5.8,5.85,5.9,5.95,6,6.45,6.53,6.6,6.65,6.7},{0,10,20,30,40,50,60,62,64,66,68,70,72,74,76,78,80,85,90,95,100})</f>
        <v>68</v>
      </c>
      <c r="S370" s="7"/>
      <c r="T370" s="7"/>
      <c r="U370" s="7">
        <f>R370+T370</f>
        <v>68</v>
      </c>
      <c r="W370" s="7">
        <f>E370*0.1+G370*0.1+I370*0.1+O370*0.2+R370*0.2</f>
        <v>56.4</v>
      </c>
      <c r="X370" s="21">
        <f>W370/0.7+K370+T370</f>
        <v>80.5714285714286</v>
      </c>
    </row>
    <row r="371" ht="15.6" hidden="1" spans="1:24">
      <c r="A371" s="6">
        <v>115</v>
      </c>
      <c r="B371" s="29" t="s">
        <v>752</v>
      </c>
      <c r="C371" s="29" t="s">
        <v>11</v>
      </c>
      <c r="D371" s="6">
        <v>3.5</v>
      </c>
      <c r="E371" s="40">
        <f>LOOKUP(D371,{0,-4,-3,-2,-1,0,1,2.4,3.8,5.2,6.6,8,9.4,10.8,12.2,13.6,15,17.2,19.4,21.5,23.6},{0,10,20,30,40,50,60,62,64,66,68,70,72,74,76,78,80,85,90,95,100})</f>
        <v>62</v>
      </c>
      <c r="F371" s="6">
        <v>215</v>
      </c>
      <c r="G371" s="40">
        <f>LOOKUP(F371,{0,170,175,180,185,190,195,199,203,207,211,215,219,223,227,231,235,243,250,255,260},{0,10,20,30,40,50,60,62,64,66,68,70,72,74,76,78,80,85,90,95,100})</f>
        <v>70</v>
      </c>
      <c r="H371" s="6">
        <v>10</v>
      </c>
      <c r="I371" s="40">
        <f>LOOKUP(H371,{0,2,3,4,5,6,7,8,9,10,11,12,13,14,15,16},{0,10,20,30,40,50,60,64,68,72,76,80,85,90,95,100})</f>
        <v>72</v>
      </c>
      <c r="J371" s="7"/>
      <c r="K371" s="7"/>
      <c r="L371" s="7">
        <f>I371+K371</f>
        <v>72</v>
      </c>
      <c r="M371" s="6">
        <v>7.4</v>
      </c>
      <c r="N371" s="43">
        <f>13-M371</f>
        <v>5.6</v>
      </c>
      <c r="O371" s="40">
        <f>LOOKUP(N371,{0,2.5,2.7,2.9,3.1,3.3,3.5,3.7,3.9,4.1,4.3,4.5,4.7,4.9,5.1,5.3,5.5,5.6,5.7,5.8,5.9},{0,10,20,30,40,50,60,62,64,66,68,70,72,74,76,78,80,85,90,95,100})</f>
        <v>85</v>
      </c>
      <c r="P371" s="6">
        <v>4.24</v>
      </c>
      <c r="Q371" s="6">
        <f>10-P371</f>
        <v>5.76</v>
      </c>
      <c r="R371" s="40">
        <f>LOOKUP(Q371,{0,3.75,3.95,4.55,4.75,4.95,5.55,5.6,5.65,5.7,5.75,5.8,5.85,5.9,5.95,6,6.45,6.53,6.6,6.65,6.7},{0,10,20,30,40,50,60,62,64,66,68,70,72,74,76,78,80,85,90,95,100})</f>
        <v>68</v>
      </c>
      <c r="S371" s="7"/>
      <c r="T371" s="7"/>
      <c r="U371" s="7">
        <f>R371+T371</f>
        <v>68</v>
      </c>
      <c r="W371" s="7">
        <f>E371*0.1+G371*0.1+I371*0.1+O371*0.2+R371*0.2</f>
        <v>51</v>
      </c>
      <c r="X371" s="21">
        <f>W371/0.7+K371+T371</f>
        <v>72.8571428571429</v>
      </c>
    </row>
    <row r="372" ht="15.6" hidden="1" spans="1:24">
      <c r="A372" s="6">
        <v>108</v>
      </c>
      <c r="B372" s="29" t="s">
        <v>360</v>
      </c>
      <c r="C372" s="29" t="s">
        <v>11</v>
      </c>
      <c r="D372" s="6">
        <v>11</v>
      </c>
      <c r="E372" s="40">
        <f>LOOKUP(D372,{0,-4,-3,-2,-1,0,1,2.4,3.8,5.2,6.6,8,9.4,10.8,12.2,13.6,15,17.2,19.4,21.5,23.6},{0,10,20,30,40,50,60,62,64,66,68,70,72,74,76,78,80,85,90,95,100})</f>
        <v>74</v>
      </c>
      <c r="F372" s="6">
        <v>232</v>
      </c>
      <c r="G372" s="40">
        <f>LOOKUP(F372,{0,170,175,180,185,190,195,199,203,207,211,215,219,223,227,231,235,243,250,255,260},{0,10,20,30,40,50,60,62,64,66,68,70,72,74,76,78,80,85,90,95,100})</f>
        <v>78</v>
      </c>
      <c r="H372" s="6">
        <v>10</v>
      </c>
      <c r="I372" s="40">
        <f>LOOKUP(H372,{0,2,3,4,5,6,7,8,9,10,11,12,13,14,15,16},{0,10,20,30,40,50,60,64,68,72,76,80,85,90,95,100})</f>
        <v>72</v>
      </c>
      <c r="J372" s="7"/>
      <c r="K372" s="7"/>
      <c r="L372" s="7">
        <f>I372+K372</f>
        <v>72</v>
      </c>
      <c r="M372" s="6">
        <v>7.4</v>
      </c>
      <c r="N372" s="43">
        <f>13-M372</f>
        <v>5.6</v>
      </c>
      <c r="O372" s="40">
        <f>LOOKUP(N372,{0,2.5,2.7,2.9,3.1,3.3,3.5,3.7,3.9,4.1,4.3,4.5,4.7,4.9,5.1,5.3,5.5,5.6,5.7,5.8,5.9},{0,10,20,30,40,50,60,62,64,66,68,70,72,74,76,78,80,85,90,95,100})</f>
        <v>85</v>
      </c>
      <c r="P372" s="6">
        <v>4.35</v>
      </c>
      <c r="Q372" s="6">
        <f>10-P372</f>
        <v>5.65</v>
      </c>
      <c r="R372" s="40">
        <f>LOOKUP(Q372,{0,3.75,3.95,4.55,4.75,4.95,5.55,5.6,5.65,5.7,5.75,5.8,5.85,5.9,5.95,6,6.45,6.53,6.6,6.65,6.7},{0,10,20,30,40,50,60,62,64,66,68,70,72,74,76,78,80,85,90,95,100})</f>
        <v>64</v>
      </c>
      <c r="S372" s="7"/>
      <c r="T372" s="7"/>
      <c r="U372" s="7">
        <f>R372+T372</f>
        <v>64</v>
      </c>
      <c r="W372" s="7">
        <f>E372*0.1+G372*0.1+I372*0.1+O372*0.2+R372*0.2</f>
        <v>52.2</v>
      </c>
      <c r="X372" s="21">
        <f>W372/0.7+K372+T372</f>
        <v>74.5714285714286</v>
      </c>
    </row>
    <row r="373" ht="15.6" hidden="1" spans="1:24">
      <c r="A373" s="6">
        <v>109</v>
      </c>
      <c r="B373" s="29" t="s">
        <v>407</v>
      </c>
      <c r="C373" s="29" t="s">
        <v>11</v>
      </c>
      <c r="D373" s="6">
        <v>13</v>
      </c>
      <c r="E373" s="40">
        <f>LOOKUP(D373,{0,-4,-3,-2,-1,0,1,2.4,3.8,5.2,6.6,8,9.4,10.8,12.2,13.6,15,17.2,19.4,21.5,23.6},{0,10,20,30,40,50,60,62,64,66,68,70,72,74,76,78,80,85,90,95,100})</f>
        <v>76</v>
      </c>
      <c r="F373" s="6">
        <v>210</v>
      </c>
      <c r="G373" s="40">
        <f>LOOKUP(F373,{0,170,175,180,185,190,195,199,203,207,211,215,219,223,227,231,235,243,250,255,260},{0,10,20,30,40,50,60,62,64,66,68,70,72,74,76,78,80,85,90,95,100})</f>
        <v>66</v>
      </c>
      <c r="H373" s="6">
        <v>0</v>
      </c>
      <c r="I373" s="40">
        <f>LOOKUP(H373,{0,2,3,4,5,6,7,8,9,10,11,12,13,14,15,16},{0,10,20,30,40,50,60,64,68,72,76,80,85,90,95,100})</f>
        <v>0</v>
      </c>
      <c r="J373" s="7"/>
      <c r="K373" s="7"/>
      <c r="L373" s="7">
        <f>I373+K373</f>
        <v>0</v>
      </c>
      <c r="M373" s="6">
        <v>7.4</v>
      </c>
      <c r="N373" s="43">
        <f>13-M373</f>
        <v>5.6</v>
      </c>
      <c r="O373" s="40">
        <f>LOOKUP(N373,{0,2.5,2.7,2.9,3.1,3.3,3.5,3.7,3.9,4.1,4.3,4.5,4.7,4.9,5.1,5.3,5.5,5.6,5.7,5.8,5.9},{0,10,20,30,40,50,60,62,64,66,68,70,72,74,76,78,80,85,90,95,100})</f>
        <v>85</v>
      </c>
      <c r="P373" s="6">
        <v>5.36</v>
      </c>
      <c r="Q373" s="6">
        <f>10-P373</f>
        <v>4.64</v>
      </c>
      <c r="R373" s="40">
        <f>LOOKUP(Q373,{0,3.75,3.95,4.55,4.75,4.95,5.55,5.6,5.65,5.7,5.75,5.8,5.85,5.9,5.95,6,6.45,6.53,6.6,6.65,6.7},{0,10,20,30,40,50,60,62,64,66,68,70,72,74,76,78,80,85,90,95,100})</f>
        <v>30</v>
      </c>
      <c r="S373" s="7"/>
      <c r="T373" s="7"/>
      <c r="U373" s="7">
        <f>R373+T373</f>
        <v>30</v>
      </c>
      <c r="W373" s="7">
        <f>E373*0.1+G373*0.1+I373*0.1+O373*0.2+R373*0.2</f>
        <v>37.2</v>
      </c>
      <c r="X373" s="21">
        <f>W373/0.7+K373+T373</f>
        <v>53.1428571428572</v>
      </c>
    </row>
    <row r="374" ht="15.6" hidden="1" spans="1:24">
      <c r="A374" s="6">
        <v>107</v>
      </c>
      <c r="B374" s="29" t="s">
        <v>314</v>
      </c>
      <c r="C374" s="29" t="s">
        <v>11</v>
      </c>
      <c r="D374" s="6">
        <v>15.5</v>
      </c>
      <c r="E374" s="40">
        <f>LOOKUP(D374,{0,-4,-3,-2,-1,0,1,2.4,3.8,5.2,6.6,8,9.4,10.8,12.2,13.6,15,17.2,19.4,21.5,23.6},{0,10,20,30,40,50,60,62,64,66,68,70,72,74,76,78,80,85,90,95,100})</f>
        <v>80</v>
      </c>
      <c r="F374" s="6">
        <v>235</v>
      </c>
      <c r="G374" s="40">
        <f>LOOKUP(F374,{0,170,175,180,185,190,195,199,203,207,211,215,219,223,227,231,235,243,250,255,260},{0,10,20,30,40,50,60,62,64,66,68,70,72,74,76,78,80,85,90,95,100})</f>
        <v>80</v>
      </c>
      <c r="H374" s="6">
        <v>16</v>
      </c>
      <c r="I374" s="40">
        <f>LOOKUP(H374,{0,2,3,4,5,6,7,8,9,10,11,12,13,14,15,16},{0,10,20,30,40,50,60,64,68,72,76,80,85,90,95,100})</f>
        <v>100</v>
      </c>
      <c r="J374" s="7">
        <f>H374-16</f>
        <v>0</v>
      </c>
      <c r="K374" s="40">
        <f>LOOKUP(J374,{0,1,2,3,4,5,6,7,8,9,10},{0,1,2,3,4,5,6,7,8,9,10})</f>
        <v>0</v>
      </c>
      <c r="L374" s="7">
        <f>I374+K374</f>
        <v>100</v>
      </c>
      <c r="M374" s="6">
        <v>7.5</v>
      </c>
      <c r="N374" s="43">
        <f>13-M374</f>
        <v>5.5</v>
      </c>
      <c r="O374" s="40">
        <f>LOOKUP(N374,{0,2.5,2.7,2.9,3.1,3.3,3.5,3.7,3.9,4.1,4.3,4.5,4.7,4.9,5.1,5.3,5.5,5.6,5.7,5.8,5.9},{0,10,20,30,40,50,60,62,64,66,68,70,72,74,76,78,80,85,90,95,100})</f>
        <v>80</v>
      </c>
      <c r="P374" s="6">
        <v>3.21</v>
      </c>
      <c r="Q374" s="6">
        <f>10-P374</f>
        <v>6.79</v>
      </c>
      <c r="R374" s="40">
        <f>LOOKUP(Q374,{0,3.75,3.95,4.55,4.75,4.95,5.55,5.6,5.65,5.7,5.75,5.8,5.85,5.9,5.95,6,6.45,6.53,6.6,6.65,6.7},{0,10,20,30,40,50,60,62,64,66,68,70,72,74,76,78,80,85,90,95,100})</f>
        <v>100</v>
      </c>
      <c r="S374" s="7">
        <f>3.3-P374</f>
        <v>0.0899999999999999</v>
      </c>
      <c r="T374" s="40">
        <f>LOOKUP(S374,{0,0.04,0.08,0.12,0.16,0.2,0.23,0.26,0.29,0.32,0.35},{0,1,2,3,4,5,6,7,8,9,10})</f>
        <v>2</v>
      </c>
      <c r="U374" s="7">
        <f>R374+T374</f>
        <v>102</v>
      </c>
      <c r="W374" s="7">
        <f>E374*0.1+G374*0.1+I374*0.1+O374*0.2+R374*0.2</f>
        <v>62</v>
      </c>
      <c r="X374" s="21">
        <f>W374/0.7+K374+T374</f>
        <v>90.5714285714286</v>
      </c>
    </row>
    <row r="375" s="3" customFormat="1" ht="15.6" hidden="1" spans="1:24">
      <c r="A375" s="6">
        <v>102</v>
      </c>
      <c r="B375" s="29" t="s">
        <v>91</v>
      </c>
      <c r="C375" s="29" t="s">
        <v>11</v>
      </c>
      <c r="D375" s="6">
        <v>18</v>
      </c>
      <c r="E375" s="40">
        <f>LOOKUP(D375,{0,-4,-3,-2,-1,0,1,2.4,3.8,5.2,6.6,8,9.4,10.8,12.2,13.6,15,17.2,19.4,21.5,23.6},{0,10,20,30,40,50,60,62,64,66,68,70,72,74,76,78,80,85,90,95,100})</f>
        <v>85</v>
      </c>
      <c r="F375" s="6">
        <v>221</v>
      </c>
      <c r="G375" s="40">
        <f>LOOKUP(F375,{0,170,175,180,185,190,195,199,203,207,211,215,219,223,227,231,235,243,250,255,260},{0,10,20,30,40,50,60,62,64,66,68,70,72,74,76,78,80,85,90,95,100})</f>
        <v>72</v>
      </c>
      <c r="H375" s="6">
        <v>6</v>
      </c>
      <c r="I375" s="40">
        <f>LOOKUP(H375,{0,2,3,4,5,6,7,8,9,10,11,12,13,14,15,16},{0,10,20,30,40,50,60,64,68,72,76,80,85,90,95,100})</f>
        <v>50</v>
      </c>
      <c r="J375" s="7"/>
      <c r="K375" s="7"/>
      <c r="L375" s="7">
        <f>I375+K375</f>
        <v>50</v>
      </c>
      <c r="M375" s="6">
        <v>7.5</v>
      </c>
      <c r="N375" s="43">
        <f>13-M375</f>
        <v>5.5</v>
      </c>
      <c r="O375" s="40">
        <f>LOOKUP(N375,{0,2.5,2.7,2.9,3.1,3.3,3.5,3.7,3.9,4.1,4.3,4.5,4.7,4.9,5.1,5.3,5.5,5.6,5.7,5.8,5.9},{0,10,20,30,40,50,60,62,64,66,68,70,72,74,76,78,80,85,90,95,100})</f>
        <v>80</v>
      </c>
      <c r="P375" s="6">
        <v>3.32</v>
      </c>
      <c r="Q375" s="6">
        <f>10-P375</f>
        <v>6.68</v>
      </c>
      <c r="R375" s="40">
        <f>LOOKUP(Q375,{0,3.75,3.95,4.55,4.75,4.95,5.55,5.6,5.65,5.7,5.75,5.8,5.85,5.9,5.95,6,6.45,6.53,6.6,6.65,6.7},{0,10,20,30,40,50,60,62,64,66,68,70,72,74,76,78,80,85,90,95,100})</f>
        <v>95</v>
      </c>
      <c r="S375" s="7"/>
      <c r="T375" s="7"/>
      <c r="U375" s="7">
        <f>R375+T375</f>
        <v>95</v>
      </c>
      <c r="V375" s="6"/>
      <c r="W375" s="7">
        <f>E375*0.1+G375*0.1+I375*0.1+O375*0.2+R375*0.2</f>
        <v>55.7</v>
      </c>
      <c r="X375" s="21">
        <f>W375/0.7+K375+T375</f>
        <v>79.5714285714286</v>
      </c>
    </row>
    <row r="376" ht="15.6" hidden="1" spans="1:24">
      <c r="A376" s="6">
        <v>115</v>
      </c>
      <c r="B376" s="29" t="s">
        <v>743</v>
      </c>
      <c r="C376" s="29" t="s">
        <v>11</v>
      </c>
      <c r="D376" s="6">
        <v>6.9</v>
      </c>
      <c r="E376" s="40">
        <f>LOOKUP(D376,{0,-4,-3,-2,-1,0,1,2.4,3.8,5.2,6.6,8,9.4,10.8,12.2,13.6,15,17.2,19.4,21.5,23.6},{0,10,20,30,40,50,60,62,64,66,68,70,72,74,76,78,80,85,90,95,100})</f>
        <v>68</v>
      </c>
      <c r="F376" s="6">
        <v>230</v>
      </c>
      <c r="G376" s="40">
        <f>LOOKUP(F376,{0,170,175,180,185,190,195,199,203,207,211,215,219,223,227,231,235,243,250,255,260},{0,10,20,30,40,50,60,62,64,66,68,70,72,74,76,78,80,85,90,95,100})</f>
        <v>76</v>
      </c>
      <c r="H376" s="6">
        <v>12</v>
      </c>
      <c r="I376" s="40">
        <f>LOOKUP(H376,{0,2,3,4,5,6,7,8,9,10,11,12,13,14,15,16},{0,10,20,30,40,50,60,64,68,72,76,80,85,90,95,100})</f>
        <v>80</v>
      </c>
      <c r="J376" s="7"/>
      <c r="K376" s="7"/>
      <c r="L376" s="7">
        <f>I376+K376</f>
        <v>80</v>
      </c>
      <c r="M376" s="6">
        <v>7.5</v>
      </c>
      <c r="N376" s="43">
        <f>13-M376</f>
        <v>5.5</v>
      </c>
      <c r="O376" s="40">
        <f>LOOKUP(N376,{0,2.5,2.7,2.9,3.1,3.3,3.5,3.7,3.9,4.1,4.3,4.5,4.7,4.9,5.1,5.3,5.5,5.6,5.7,5.8,5.9},{0,10,20,30,40,50,60,62,64,66,68,70,72,74,76,78,80,85,90,95,100})</f>
        <v>80</v>
      </c>
      <c r="P376" s="6">
        <v>3.34</v>
      </c>
      <c r="Q376" s="6">
        <f>10-P376</f>
        <v>6.66</v>
      </c>
      <c r="R376" s="40">
        <f>LOOKUP(Q376,{0,3.75,3.95,4.55,4.75,4.95,5.55,5.6,5.65,5.7,5.75,5.8,5.85,5.9,5.95,6,6.45,6.53,6.6,6.65,6.7},{0,10,20,30,40,50,60,62,64,66,68,70,72,74,76,78,80,85,90,95,100})</f>
        <v>95</v>
      </c>
      <c r="S376" s="7"/>
      <c r="T376" s="7"/>
      <c r="U376" s="7">
        <f>R376+T376</f>
        <v>95</v>
      </c>
      <c r="W376" s="7">
        <f>E376*0.1+G376*0.1+I376*0.1+O376*0.2+R376*0.2</f>
        <v>57.4</v>
      </c>
      <c r="X376" s="21">
        <f>W376/0.7+K376+T376</f>
        <v>82</v>
      </c>
    </row>
    <row r="377" ht="15.6" hidden="1" spans="1:24">
      <c r="A377" s="6">
        <v>104</v>
      </c>
      <c r="B377" s="29" t="s">
        <v>196</v>
      </c>
      <c r="C377" s="29" t="s">
        <v>11</v>
      </c>
      <c r="D377" s="6">
        <v>14.5</v>
      </c>
      <c r="E377" s="40">
        <f>LOOKUP(D377,{0,-4,-3,-2,-1,0,1,2.4,3.8,5.2,6.6,8,9.4,10.8,12.2,13.6,15,17.2,19.4,21.5,23.6},{0,10,20,30,40,50,60,62,64,66,68,70,72,74,76,78,80,85,90,95,100})</f>
        <v>78</v>
      </c>
      <c r="F377" s="6">
        <v>234</v>
      </c>
      <c r="G377" s="40">
        <f>LOOKUP(F377,{0,170,175,180,185,190,195,199,203,207,211,215,219,223,227,231,235,243,250,255,260},{0,10,20,30,40,50,60,62,64,66,68,70,72,74,76,78,80,85,90,95,100})</f>
        <v>78</v>
      </c>
      <c r="H377" s="6">
        <v>8</v>
      </c>
      <c r="I377" s="40">
        <f>LOOKUP(H377,{0,2,3,4,5,6,7,8,9,10,11,12,13,14,15,16},{0,10,20,30,40,50,60,64,68,72,76,80,85,90,95,100})</f>
        <v>64</v>
      </c>
      <c r="J377" s="7"/>
      <c r="K377" s="7"/>
      <c r="L377" s="7">
        <f>I377+K377</f>
        <v>64</v>
      </c>
      <c r="M377" s="6">
        <v>7.5</v>
      </c>
      <c r="N377" s="43">
        <f>13-M377</f>
        <v>5.5</v>
      </c>
      <c r="O377" s="40">
        <f>LOOKUP(N377,{0,2.5,2.7,2.9,3.1,3.3,3.5,3.7,3.9,4.1,4.3,4.5,4.7,4.9,5.1,5.3,5.5,5.6,5.7,5.8,5.9},{0,10,20,30,40,50,60,62,64,66,68,70,72,74,76,78,80,85,90,95,100})</f>
        <v>80</v>
      </c>
      <c r="P377" s="6">
        <v>3.37</v>
      </c>
      <c r="Q377" s="6">
        <f>10-P377</f>
        <v>6.63</v>
      </c>
      <c r="R377" s="40">
        <f>LOOKUP(Q377,{0,3.75,3.95,4.55,4.75,4.95,5.55,5.6,5.65,5.7,5.75,5.8,5.85,5.9,5.95,6,6.45,6.53,6.6,6.65,6.7},{0,10,20,30,40,50,60,62,64,66,68,70,72,74,76,78,80,85,90,95,100})</f>
        <v>90</v>
      </c>
      <c r="S377" s="7"/>
      <c r="T377" s="7"/>
      <c r="U377" s="7">
        <f>R377+T377</f>
        <v>90</v>
      </c>
      <c r="W377" s="7">
        <f>E377*0.1+G377*0.1+I377*0.1+O377*0.2+R377*0.2</f>
        <v>56</v>
      </c>
      <c r="X377" s="21">
        <f>W377/0.7+K377+T377</f>
        <v>80</v>
      </c>
    </row>
    <row r="378" ht="15.6" hidden="1" spans="1:24">
      <c r="A378" s="6">
        <v>113</v>
      </c>
      <c r="B378" s="29" t="s">
        <v>639</v>
      </c>
      <c r="C378" s="29" t="s">
        <v>11</v>
      </c>
      <c r="D378" s="6">
        <v>7</v>
      </c>
      <c r="E378" s="40">
        <f>LOOKUP(D378,{0,-4,-3,-2,-1,0,1,2.4,3.8,5.2,6.6,8,9.4,10.8,12.2,13.6,15,17.2,19.4,21.5,23.6},{0,10,20,30,40,50,60,62,64,66,68,70,72,74,76,78,80,85,90,95,100})</f>
        <v>68</v>
      </c>
      <c r="F378" s="6">
        <v>260</v>
      </c>
      <c r="G378" s="40">
        <f>LOOKUP(F378,{0,170,175,180,185,190,195,199,203,207,211,215,219,223,227,231,235,243,250,255,260},{0,10,20,30,40,50,60,62,64,66,68,70,72,74,76,78,80,85,90,95,100})</f>
        <v>100</v>
      </c>
      <c r="H378" s="6">
        <v>18</v>
      </c>
      <c r="I378" s="40">
        <f>LOOKUP(H378,{0,2,3,4,5,6,7,8,9,10,11,12,13,14,15,16},{0,10,20,30,40,50,60,64,68,72,76,80,85,90,95,100})</f>
        <v>100</v>
      </c>
      <c r="J378" s="7">
        <f>H378-16</f>
        <v>2</v>
      </c>
      <c r="K378" s="40">
        <f>LOOKUP(J378,{0,1,2,3,4,5,6,7,8,9,10},{0,1,2,3,4,5,6,7,8,9,10})</f>
        <v>2</v>
      </c>
      <c r="L378" s="7">
        <f>I378+K378</f>
        <v>102</v>
      </c>
      <c r="M378" s="6">
        <v>7.5</v>
      </c>
      <c r="N378" s="43">
        <f>13-M378</f>
        <v>5.5</v>
      </c>
      <c r="O378" s="40">
        <f>LOOKUP(N378,{0,2.5,2.7,2.9,3.1,3.3,3.5,3.7,3.9,4.1,4.3,4.5,4.7,4.9,5.1,5.3,5.5,5.6,5.7,5.8,5.9},{0,10,20,30,40,50,60,62,64,66,68,70,72,74,76,78,80,85,90,95,100})</f>
        <v>80</v>
      </c>
      <c r="P378" s="6">
        <v>3.41</v>
      </c>
      <c r="Q378" s="6">
        <f>10-P378</f>
        <v>6.59</v>
      </c>
      <c r="R378" s="40">
        <f>LOOKUP(Q378,{0,3.75,3.95,4.55,4.75,4.95,5.55,5.6,5.65,5.7,5.75,5.8,5.85,5.9,5.95,6,6.45,6.53,6.6,6.65,6.7},{0,10,20,30,40,50,60,62,64,66,68,70,72,74,76,78,80,85,90,95,100})</f>
        <v>85</v>
      </c>
      <c r="S378" s="7"/>
      <c r="T378" s="7"/>
      <c r="U378" s="7">
        <f>R378+T378</f>
        <v>85</v>
      </c>
      <c r="W378" s="7">
        <f>E378*0.1+G378*0.1+I378*0.1+O378*0.2+R378*0.2</f>
        <v>59.8</v>
      </c>
      <c r="X378" s="21">
        <f>W378/0.7+K378+T378</f>
        <v>87.4285714285714</v>
      </c>
    </row>
    <row r="379" ht="15.6" hidden="1" spans="1:24">
      <c r="A379" s="6">
        <v>112</v>
      </c>
      <c r="B379" s="30" t="s">
        <v>595</v>
      </c>
      <c r="C379" s="30" t="s">
        <v>11</v>
      </c>
      <c r="D379" s="6">
        <v>14.2</v>
      </c>
      <c r="E379" s="40">
        <f>LOOKUP(D379,{0,-4,-3,-2,-1,0,1,2.4,3.8,5.2,6.6,8,9.4,10.8,12.2,13.6,15,17.2,19.4,21.5,23.6},{0,10,20,30,40,50,60,62,64,66,68,70,72,74,76,78,80,85,90,95,100})</f>
        <v>78</v>
      </c>
      <c r="F379" s="6">
        <v>235</v>
      </c>
      <c r="G379" s="40">
        <f>LOOKUP(F379,{0,170,175,180,185,190,195,199,203,207,211,215,219,223,227,231,235,243,250,255,260},{0,10,20,30,40,50,60,62,64,66,68,70,72,74,76,78,80,85,90,95,100})</f>
        <v>80</v>
      </c>
      <c r="H379" s="6">
        <v>15</v>
      </c>
      <c r="I379" s="40">
        <f>LOOKUP(H379,{0,2,3,4,5,6,7,8,9,10,11,12,13,14,15,16},{0,10,20,30,40,50,60,64,68,72,76,80,85,90,95,100})</f>
        <v>95</v>
      </c>
      <c r="J379" s="7"/>
      <c r="K379" s="7"/>
      <c r="L379" s="7">
        <f>I379+K379</f>
        <v>95</v>
      </c>
      <c r="M379" s="6">
        <v>7.5</v>
      </c>
      <c r="N379" s="43">
        <f>13-M379</f>
        <v>5.5</v>
      </c>
      <c r="O379" s="40">
        <f>LOOKUP(N379,{0,2.5,2.7,2.9,3.1,3.3,3.5,3.7,3.9,4.1,4.3,4.5,4.7,4.9,5.1,5.3,5.5,5.6,5.7,5.8,5.9},{0,10,20,30,40,50,60,62,64,66,68,70,72,74,76,78,80,85,90,95,100})</f>
        <v>80</v>
      </c>
      <c r="P379" s="6">
        <v>3.41</v>
      </c>
      <c r="Q379" s="6">
        <f>10-P379</f>
        <v>6.59</v>
      </c>
      <c r="R379" s="40">
        <f>LOOKUP(Q379,{0,3.75,3.95,4.55,4.75,4.95,5.55,5.6,5.65,5.7,5.75,5.8,5.85,5.9,5.95,6,6.45,6.53,6.6,6.65,6.7},{0,10,20,30,40,50,60,62,64,66,68,70,72,74,76,78,80,85,90,95,100})</f>
        <v>85</v>
      </c>
      <c r="S379" s="7"/>
      <c r="T379" s="7"/>
      <c r="U379" s="7">
        <f>R379+T379</f>
        <v>85</v>
      </c>
      <c r="W379" s="7">
        <f>E379*0.1+G379*0.1+I379*0.1+O379*0.2+R379*0.2</f>
        <v>58.3</v>
      </c>
      <c r="X379" s="21">
        <f>W379/0.7+K379+T379</f>
        <v>83.2857142857143</v>
      </c>
    </row>
    <row r="380" ht="15.6" spans="1:24">
      <c r="A380" s="6">
        <v>112</v>
      </c>
      <c r="B380" s="29" t="s">
        <v>621</v>
      </c>
      <c r="C380" s="29" t="s">
        <v>46</v>
      </c>
      <c r="D380" s="6">
        <v>11.7</v>
      </c>
      <c r="E380" s="40">
        <f>LOOKUP(D380,{0,0.4,1.2,2,2.8,3.6,4.4,5.7,7,8.3,9.6,10.9,12.2,13.5,14.8,16.1,17.4,19.1,20.8,22.5,24.2},{0,10,20,30,40,50,60,62,64,66,68,70,72,74,76,78,80,85,90,95,100})</f>
        <v>70</v>
      </c>
      <c r="F380" s="6">
        <v>181</v>
      </c>
      <c r="G380" s="40">
        <f>LOOKUP(F380,{0,123,128,133,138,143,148,151,154,157,160,163,166,169,172,175,178,185,192,198,204},{0,10,20,30,40,50,60,62,64,66,68,70,72,74,76,78,80,85,90,95,100})</f>
        <v>80</v>
      </c>
      <c r="H380" s="6">
        <v>49</v>
      </c>
      <c r="I380" s="40">
        <f>LOOKUP(H380,{0,13,15,17,19,21,23,25,27,29,31,33,35,37,39,41,43,46,49,51,53},{0,10,20,30,40,50,60,62,64,66,68,70,72,74,76,78,80,85,90,95,100})</f>
        <v>90</v>
      </c>
      <c r="J380" s="45"/>
      <c r="K380" s="45"/>
      <c r="L380" s="7">
        <f>I380+K380</f>
        <v>90</v>
      </c>
      <c r="M380" s="6">
        <v>8.2</v>
      </c>
      <c r="N380" s="43">
        <f>13-M380</f>
        <v>4.8</v>
      </c>
      <c r="O380" s="40">
        <f>LOOKUP(N380,{0,1.4,1.6,1.8,2,2.2,2.4,2.6,2.8,3,3.2,3.4,3.6,3.8,4,4.2,4.4,4.7,5,5.1,5.2},{0,10,20,30,40,50,60,62,64,66,68,70,72,74,76,78,80,85,90,95,100})</f>
        <v>85</v>
      </c>
      <c r="P380" s="6">
        <v>3.39</v>
      </c>
      <c r="Q380" s="6">
        <f>10-P380</f>
        <v>6.61</v>
      </c>
      <c r="R380" s="40">
        <f>LOOKUP(Q380,{0,4.7,4.8,4.9,5,5.5,5.6,5.65,5.7,5.75,5.8,5.85,5.9,5.95,6,6.45,6.5,6.57,6.64,6.7,6.76},{0,10,20,30,40,50,60,62,64,66,68,70,72,74,76,78,80,85,90,95,100})</f>
        <v>85</v>
      </c>
      <c r="S380" s="45"/>
      <c r="T380" s="45"/>
      <c r="U380" s="7">
        <f>R380+T380</f>
        <v>85</v>
      </c>
      <c r="W380" s="7">
        <f>E380*0.1+G380*0.1+I380*0.1+O380*0.2+R380*0.2</f>
        <v>58</v>
      </c>
      <c r="X380" s="21">
        <f>W380/0.7+K380+T380</f>
        <v>82.8571428571429</v>
      </c>
    </row>
    <row r="381" ht="15.6" spans="1:24">
      <c r="A381" s="6">
        <v>111</v>
      </c>
      <c r="B381" s="29" t="s">
        <v>563</v>
      </c>
      <c r="C381" s="29" t="s">
        <v>46</v>
      </c>
      <c r="D381" s="6">
        <v>15.5</v>
      </c>
      <c r="E381" s="40">
        <f>LOOKUP(D381,{0,0.4,1.2,2,2.8,3.6,4.4,5.7,7,8.3,9.6,10.9,12.2,13.5,14.8,16.1,17.4,19.1,20.8,22.5,24.2},{0,10,20,30,40,50,60,62,64,66,68,70,72,74,76,78,80,85,90,95,100})</f>
        <v>76</v>
      </c>
      <c r="F381" s="6">
        <v>175</v>
      </c>
      <c r="G381" s="40">
        <f>LOOKUP(F381,{0,123,128,133,138,143,148,151,154,157,160,163,166,169,172,175,178,185,192,198,204},{0,10,20,30,40,50,60,62,64,66,68,70,72,74,76,78,80,85,90,95,100})</f>
        <v>78</v>
      </c>
      <c r="H381" s="6">
        <v>53</v>
      </c>
      <c r="I381" s="40">
        <f>LOOKUP(H381,{0,13,15,17,19,21,23,25,27,29,31,33,35,37,39,41,43,46,49,51,53},{0,10,20,30,40,50,60,62,64,66,68,70,72,74,76,78,80,85,90,95,100})</f>
        <v>100</v>
      </c>
      <c r="J381" s="45">
        <f>H381-53</f>
        <v>0</v>
      </c>
      <c r="K381" s="40">
        <f>LOOKUP(J381,{0,2,4,6,7,8,9,10,11,12,13},{0,1,2,3,4,5,6,7,8,9,10})</f>
        <v>0</v>
      </c>
      <c r="L381" s="7">
        <f>I381+K381</f>
        <v>100</v>
      </c>
      <c r="M381" s="6">
        <v>8.8</v>
      </c>
      <c r="N381" s="43">
        <f>13-M381</f>
        <v>4.2</v>
      </c>
      <c r="O381" s="40">
        <f>LOOKUP(N381,{0,1.4,1.6,1.8,2,2.2,2.4,2.6,2.8,3,3.2,3.4,3.6,3.8,4,4.2,4.4,4.7,5,5.1,5.2},{0,10,20,30,40,50,60,62,64,66,68,70,72,74,76,78,80,85,90,95,100})</f>
        <v>78</v>
      </c>
      <c r="P381" s="6">
        <v>3.4</v>
      </c>
      <c r="Q381" s="6">
        <f>10-P381</f>
        <v>6.6</v>
      </c>
      <c r="R381" s="40">
        <f>LOOKUP(Q381,{0,4.7,4.8,4.9,5,5.5,5.6,5.65,5.7,5.75,5.8,5.85,5.9,5.95,6,6.45,6.5,6.57,6.64,6.7,6.76},{0,10,20,30,40,50,60,62,64,66,68,70,72,74,76,78,80,85,90,95,100})</f>
        <v>85</v>
      </c>
      <c r="S381" s="45"/>
      <c r="T381" s="45"/>
      <c r="U381" s="7">
        <f>R381+T381</f>
        <v>85</v>
      </c>
      <c r="W381" s="7">
        <f>E381*0.1+G381*0.1+I381*0.1+O381*0.2+R381*0.2</f>
        <v>58</v>
      </c>
      <c r="X381" s="21">
        <f>W381/0.7+K381+T381</f>
        <v>82.8571428571429</v>
      </c>
    </row>
    <row r="382" ht="15.6" spans="1:24">
      <c r="A382" s="6">
        <v>109</v>
      </c>
      <c r="B382" s="29" t="s">
        <v>442</v>
      </c>
      <c r="C382" s="29" t="s">
        <v>46</v>
      </c>
      <c r="D382" s="6">
        <v>17.4</v>
      </c>
      <c r="E382" s="40">
        <f>LOOKUP(D382,{0,0.4,1.2,2,2.8,3.6,4.4,5.7,7,8.3,9.6,10.9,12.2,13.5,14.8,16.1,17.4,19.1,20.8,22.5,24.2},{0,10,20,30,40,50,60,62,64,66,68,70,72,74,76,78,80,85,90,95,100})</f>
        <v>80</v>
      </c>
      <c r="F382" s="6">
        <v>192</v>
      </c>
      <c r="G382" s="40">
        <f>LOOKUP(F382,{0,123,128,133,138,143,148,151,154,157,160,163,166,169,172,175,178,185,192,198,204},{0,10,20,30,40,50,60,62,64,66,68,70,72,74,76,78,80,85,90,95,100})</f>
        <v>90</v>
      </c>
      <c r="H382" s="6">
        <v>44</v>
      </c>
      <c r="I382" s="40">
        <f>LOOKUP(H382,{0,13,15,17,19,21,23,25,27,29,31,33,35,37,39,41,43,46,49,51,53},{0,10,20,30,40,50,60,62,64,66,68,70,72,74,76,78,80,85,90,95,100})</f>
        <v>80</v>
      </c>
      <c r="J382" s="45"/>
      <c r="K382" s="45"/>
      <c r="L382" s="7">
        <f>I382+K382</f>
        <v>80</v>
      </c>
      <c r="M382" s="6">
        <v>8.3</v>
      </c>
      <c r="N382" s="43">
        <f>13-M382</f>
        <v>4.7</v>
      </c>
      <c r="O382" s="40">
        <f>LOOKUP(N382,{0,1.4,1.6,1.8,2,2.2,2.4,2.6,2.8,3,3.2,3.4,3.6,3.8,4,4.2,4.4,4.7,5,5.1,5.2},{0,10,20,30,40,50,60,62,64,66,68,70,72,74,76,78,80,85,90,95,100})</f>
        <v>85</v>
      </c>
      <c r="P382" s="6">
        <v>3.44</v>
      </c>
      <c r="Q382" s="6">
        <f>10-P382</f>
        <v>6.56</v>
      </c>
      <c r="R382" s="40">
        <f>LOOKUP(Q382,{0,4.7,4.8,4.9,5,5.5,5.6,5.65,5.7,5.75,5.8,5.85,5.9,5.95,6,6.45,6.5,6.57,6.64,6.7,6.76},{0,10,20,30,40,50,60,62,64,66,68,70,72,74,76,78,80,85,90,95,100})</f>
        <v>80</v>
      </c>
      <c r="S382" s="45"/>
      <c r="T382" s="45"/>
      <c r="U382" s="7">
        <f>R382+T382</f>
        <v>80</v>
      </c>
      <c r="W382" s="7">
        <f>E382*0.1+G382*0.1+I382*0.1+O382*0.2+R382*0.2</f>
        <v>58</v>
      </c>
      <c r="X382" s="21">
        <f>W382/0.7+K382+T382</f>
        <v>82.8571428571429</v>
      </c>
    </row>
    <row r="383" ht="15.6" spans="1:24">
      <c r="A383" s="6">
        <v>111</v>
      </c>
      <c r="B383" s="29" t="s">
        <v>549</v>
      </c>
      <c r="C383" s="29" t="s">
        <v>46</v>
      </c>
      <c r="D383" s="6">
        <v>10</v>
      </c>
      <c r="E383" s="40">
        <f>LOOKUP(D383,{0,0.4,1.2,2,2.8,3.6,4.4,5.7,7,8.3,9.6,10.9,12.2,13.5,14.8,16.1,17.4,19.1,20.8,22.5,24.2},{0,10,20,30,40,50,60,62,64,66,68,70,72,74,76,78,80,85,90,95,100})</f>
        <v>68</v>
      </c>
      <c r="F383" s="6">
        <v>170</v>
      </c>
      <c r="G383" s="40">
        <f>LOOKUP(F383,{0,123,128,133,138,143,148,151,154,157,160,163,166,169,172,175,178,185,192,198,204},{0,10,20,30,40,50,60,62,64,66,68,70,72,74,76,78,80,85,90,95,100})</f>
        <v>74</v>
      </c>
      <c r="H383" s="6">
        <v>56</v>
      </c>
      <c r="I383" s="40">
        <f>LOOKUP(H383,{0,13,15,17,19,21,23,25,27,29,31,33,35,37,39,41,43,46,49,51,53},{0,10,20,30,40,50,60,62,64,66,68,70,72,74,76,78,80,85,90,95,100})</f>
        <v>100</v>
      </c>
      <c r="J383" s="45">
        <f>H383-53</f>
        <v>3</v>
      </c>
      <c r="K383" s="40">
        <f>LOOKUP(J383,{0,2,4,6,7,8,9,10,11,12,13},{0,1,2,3,4,5,6,7,8,9,10})</f>
        <v>1</v>
      </c>
      <c r="L383" s="7">
        <f>I383+K383</f>
        <v>101</v>
      </c>
      <c r="M383" s="6">
        <v>8.2</v>
      </c>
      <c r="N383" s="43">
        <f>13-M383</f>
        <v>4.8</v>
      </c>
      <c r="O383" s="40">
        <f>LOOKUP(N383,{0,1.4,1.6,1.8,2,2.2,2.4,2.6,2.8,3,3.2,3.4,3.6,3.8,4,4.2,4.4,4.7,5,5.1,5.2},{0,10,20,30,40,50,60,62,64,66,68,70,72,74,76,78,80,85,90,95,100})</f>
        <v>85</v>
      </c>
      <c r="P383" s="6">
        <v>3.5</v>
      </c>
      <c r="Q383" s="6">
        <f>10-P383</f>
        <v>6.5</v>
      </c>
      <c r="R383" s="40">
        <f>LOOKUP(Q383,{0,4.7,4.8,4.9,5,5.5,5.6,5.65,5.7,5.75,5.8,5.85,5.9,5.95,6,6.45,6.5,6.57,6.64,6.7,6.76},{0,10,20,30,40,50,60,62,64,66,68,70,72,74,76,78,80,85,90,95,100})</f>
        <v>80</v>
      </c>
      <c r="S383" s="45"/>
      <c r="T383" s="45"/>
      <c r="U383" s="7">
        <f>R383+T383</f>
        <v>80</v>
      </c>
      <c r="W383" s="7">
        <f>E383*0.1+G383*0.1+I383*0.1+O383*0.2+R383*0.2</f>
        <v>57.2</v>
      </c>
      <c r="X383" s="21">
        <f>W383/0.7+K383+T383</f>
        <v>82.7142857142857</v>
      </c>
    </row>
    <row r="384" ht="15.6" spans="1:24">
      <c r="A384" s="6">
        <v>109</v>
      </c>
      <c r="B384" s="29" t="s">
        <v>449</v>
      </c>
      <c r="C384" s="29" t="s">
        <v>46</v>
      </c>
      <c r="D384" s="6">
        <v>24.4</v>
      </c>
      <c r="E384" s="40">
        <f>LOOKUP(D384,{0,0.4,1.2,2,2.8,3.6,4.4,5.7,7,8.3,9.6,10.9,12.2,13.5,14.8,16.1,17.4,19.1,20.8,22.5,24.2},{0,10,20,30,40,50,60,62,64,66,68,70,72,74,76,78,80,85,90,95,100})</f>
        <v>100</v>
      </c>
      <c r="F384" s="6">
        <v>195</v>
      </c>
      <c r="G384" s="40">
        <f>LOOKUP(F384,{0,123,128,133,138,143,148,151,154,157,160,163,166,169,172,175,178,185,192,198,204},{0,10,20,30,40,50,60,62,64,66,68,70,72,74,76,78,80,85,90,95,100})</f>
        <v>90</v>
      </c>
      <c r="H384" s="6">
        <v>39</v>
      </c>
      <c r="I384" s="40">
        <f>LOOKUP(H384,{0,13,15,17,19,21,23,25,27,29,31,33,35,37,39,41,43,46,49,51,53},{0,10,20,30,40,50,60,62,64,66,68,70,72,74,76,78,80,85,90,95,100})</f>
        <v>76</v>
      </c>
      <c r="J384" s="45"/>
      <c r="K384" s="45"/>
      <c r="L384" s="7">
        <f>I384+K384</f>
        <v>76</v>
      </c>
      <c r="M384" s="6">
        <v>8.5</v>
      </c>
      <c r="N384" s="43">
        <f>13-M384</f>
        <v>4.5</v>
      </c>
      <c r="O384" s="40">
        <f>LOOKUP(N384,{0,1.4,1.6,1.8,2,2.2,2.4,2.6,2.8,3,3.2,3.4,3.6,3.8,4,4.2,4.4,4.7,5,5.1,5.2},{0,10,20,30,40,50,60,62,64,66,68,70,72,74,76,78,80,85,90,95,100})</f>
        <v>80</v>
      </c>
      <c r="P384" s="6">
        <v>3.56</v>
      </c>
      <c r="Q384" s="6">
        <f>10-P384</f>
        <v>6.44</v>
      </c>
      <c r="R384" s="40">
        <f>LOOKUP(Q384,{0,4.7,4.8,4.9,5,5.5,5.6,5.65,5.7,5.75,5.8,5.85,5.9,5.95,6,6.45,6.5,6.57,6.64,6.7,6.76},{0,10,20,30,40,50,60,62,64,66,68,70,72,74,76,78,80,85,90,95,100})</f>
        <v>76</v>
      </c>
      <c r="S384" s="45"/>
      <c r="T384" s="45"/>
      <c r="U384" s="7">
        <f>R384+T384</f>
        <v>76</v>
      </c>
      <c r="W384" s="7">
        <f>E384*0.1+G384*0.1+I384*0.1+O384*0.2+R384*0.2</f>
        <v>57.8</v>
      </c>
      <c r="X384" s="21">
        <f>W384/0.7+K384+T384</f>
        <v>82.5714285714286</v>
      </c>
    </row>
    <row r="385" ht="15.6" spans="1:24">
      <c r="A385" s="6">
        <v>108</v>
      </c>
      <c r="B385" s="29" t="s">
        <v>396</v>
      </c>
      <c r="C385" s="29" t="s">
        <v>46</v>
      </c>
      <c r="D385" s="6">
        <v>17.5</v>
      </c>
      <c r="E385" s="40">
        <f>LOOKUP(D385,{0,0.4,1.2,2,2.8,3.6,4.4,5.7,7,8.3,9.6,10.9,12.2,13.5,14.8,16.1,17.4,19.1,20.8,22.5,24.2},{0,10,20,30,40,50,60,62,64,66,68,70,72,74,76,78,80,85,90,95,100})</f>
        <v>80</v>
      </c>
      <c r="F385" s="6">
        <v>178</v>
      </c>
      <c r="G385" s="40">
        <f>LOOKUP(F385,{0,123,128,133,138,143,148,151,154,157,160,163,166,169,172,175,178,185,192,198,204},{0,10,20,30,40,50,60,62,64,66,68,70,72,74,76,78,80,85,90,95,100})</f>
        <v>80</v>
      </c>
      <c r="H385" s="6">
        <v>41</v>
      </c>
      <c r="I385" s="40">
        <f>LOOKUP(H385,{0,13,15,17,19,21,23,25,27,29,31,33,35,37,39,41,43,46,49,51,53},{0,10,20,30,40,50,60,62,64,66,68,70,72,74,76,78,80,85,90,95,100})</f>
        <v>78</v>
      </c>
      <c r="J385" s="45"/>
      <c r="K385" s="45"/>
      <c r="L385" s="7">
        <f>I385+K385</f>
        <v>78</v>
      </c>
      <c r="M385" s="6">
        <v>8.4</v>
      </c>
      <c r="N385" s="43">
        <f>13-M385</f>
        <v>4.6</v>
      </c>
      <c r="O385" s="40">
        <f>LOOKUP(N385,{0,1.4,1.6,1.8,2,2.2,2.4,2.6,2.8,3,3.2,3.4,3.6,3.8,4,4.2,4.4,4.7,5,5.1,5.2},{0,10,20,30,40,50,60,62,64,66,68,70,72,74,76,78,80,85,90,95,100})</f>
        <v>80</v>
      </c>
      <c r="P385" s="6">
        <v>3.34</v>
      </c>
      <c r="Q385" s="6">
        <f>10-P385</f>
        <v>6.66</v>
      </c>
      <c r="R385" s="40">
        <f>LOOKUP(Q385,{0,4.7,4.8,4.9,5,5.5,5.6,5.65,5.7,5.75,5.8,5.85,5.9,5.95,6,6.45,6.5,6.57,6.64,6.7,6.76},{0,10,20,30,40,50,60,62,64,66,68,70,72,74,76,78,80,85,90,95,100})</f>
        <v>90</v>
      </c>
      <c r="S385" s="45"/>
      <c r="T385" s="45"/>
      <c r="U385" s="7">
        <f>R385+T385</f>
        <v>90</v>
      </c>
      <c r="W385" s="7">
        <f>E385*0.1+G385*0.1+I385*0.1+O385*0.2+R385*0.2</f>
        <v>57.8</v>
      </c>
      <c r="X385" s="21">
        <f>W385/0.7+K385+T385</f>
        <v>82.5714285714286</v>
      </c>
    </row>
    <row r="386" s="3" customFormat="1" ht="15.6" spans="1:24">
      <c r="A386" s="6">
        <v>111</v>
      </c>
      <c r="B386" s="29" t="s">
        <v>552</v>
      </c>
      <c r="C386" s="29" t="s">
        <v>46</v>
      </c>
      <c r="D386" s="6">
        <v>12.5</v>
      </c>
      <c r="E386" s="40">
        <f>LOOKUP(D386,{0,0.4,1.2,2,2.8,3.6,4.4,5.7,7,8.3,9.6,10.9,12.2,13.5,14.8,16.1,17.4,19.1,20.8,22.5,24.2},{0,10,20,30,40,50,60,62,64,66,68,70,72,74,76,78,80,85,90,95,100})</f>
        <v>72</v>
      </c>
      <c r="F386" s="6">
        <v>180</v>
      </c>
      <c r="G386" s="40">
        <f>LOOKUP(F386,{0,123,128,133,138,143,148,151,154,157,160,163,166,169,172,175,178,185,192,198,204},{0,10,20,30,40,50,60,62,64,66,68,70,72,74,76,78,80,85,90,95,100})</f>
        <v>80</v>
      </c>
      <c r="H386" s="6">
        <v>47</v>
      </c>
      <c r="I386" s="40">
        <f>LOOKUP(H386,{0,13,15,17,19,21,23,25,27,29,31,33,35,37,39,41,43,46,49,51,53},{0,10,20,30,40,50,60,62,64,66,68,70,72,74,76,78,80,85,90,95,100})</f>
        <v>85</v>
      </c>
      <c r="J386" s="45"/>
      <c r="K386" s="45"/>
      <c r="L386" s="7">
        <f>I386+K386</f>
        <v>85</v>
      </c>
      <c r="M386" s="6">
        <v>8.6</v>
      </c>
      <c r="N386" s="43">
        <f>13-M386</f>
        <v>4.4</v>
      </c>
      <c r="O386" s="40">
        <f>LOOKUP(N386,{0,1.4,1.6,1.8,2,2.2,2.4,2.6,2.8,3,3.2,3.4,3.6,3.8,4,4.2,4.4,4.7,5,5.1,5.2},{0,10,20,30,40,50,60,62,64,66,68,70,72,74,76,78,80,85,90,95,100})</f>
        <v>80</v>
      </c>
      <c r="P386" s="6">
        <v>3.32</v>
      </c>
      <c r="Q386" s="6">
        <f>10-P386</f>
        <v>6.68</v>
      </c>
      <c r="R386" s="40">
        <f>LOOKUP(Q386,{0,4.7,4.8,4.9,5,5.5,5.6,5.65,5.7,5.75,5.8,5.85,5.9,5.95,6,6.45,6.5,6.57,6.64,6.7,6.76},{0,10,20,30,40,50,60,62,64,66,68,70,72,74,76,78,80,85,90,95,100})</f>
        <v>90</v>
      </c>
      <c r="S386" s="45"/>
      <c r="T386" s="45"/>
      <c r="U386" s="7">
        <f>R386+T386</f>
        <v>90</v>
      </c>
      <c r="V386" s="6"/>
      <c r="W386" s="7">
        <f>E386*0.1+G386*0.1+I386*0.1+O386*0.2+R386*0.2</f>
        <v>57.7</v>
      </c>
      <c r="X386" s="21">
        <f>W386/0.7+K386+T386</f>
        <v>82.4285714285714</v>
      </c>
    </row>
    <row r="387" ht="15.6" spans="1:24">
      <c r="A387" s="6">
        <v>115</v>
      </c>
      <c r="B387" s="39" t="s">
        <v>767</v>
      </c>
      <c r="C387" s="29" t="s">
        <v>46</v>
      </c>
      <c r="D387" s="6">
        <v>21</v>
      </c>
      <c r="E387" s="40">
        <f>LOOKUP(D387,{0,0.4,1.2,2,2.8,3.6,4.4,5.7,7,8.3,9.6,10.9,12.2,13.5,14.8,16.1,17.4,19.1,20.8,22.5,24.2},{0,10,20,30,40,50,60,62,64,66,68,70,72,74,76,78,80,85,90,95,100})</f>
        <v>90</v>
      </c>
      <c r="F387" s="6">
        <v>180</v>
      </c>
      <c r="G387" s="40">
        <f>LOOKUP(F387,{0,123,128,133,138,143,148,151,154,157,160,163,166,169,172,175,178,185,192,198,204},{0,10,20,30,40,50,60,62,64,66,68,70,72,74,76,78,80,85,90,95,100})</f>
        <v>80</v>
      </c>
      <c r="H387" s="6">
        <v>48</v>
      </c>
      <c r="I387" s="40">
        <f>LOOKUP(H387,{0,13,15,17,19,21,23,25,27,29,31,33,35,37,39,41,43,46,49,51,53},{0,10,20,30,40,50,60,62,64,66,68,70,72,74,76,78,80,85,90,95,100})</f>
        <v>85</v>
      </c>
      <c r="J387" s="45"/>
      <c r="K387" s="45"/>
      <c r="L387" s="7">
        <f>I387+K387</f>
        <v>85</v>
      </c>
      <c r="M387" s="6">
        <v>8.2</v>
      </c>
      <c r="N387" s="43">
        <f>13-M387</f>
        <v>4.8</v>
      </c>
      <c r="O387" s="40">
        <f>LOOKUP(N387,{0,1.4,1.6,1.8,2,2.2,2.4,2.6,2.8,3,3.2,3.4,3.6,3.8,4,4.2,4.4,4.7,5,5.1,5.2},{0,10,20,30,40,50,60,62,64,66,68,70,72,74,76,78,80,85,90,95,100})</f>
        <v>85</v>
      </c>
      <c r="P387" s="6">
        <v>3.56</v>
      </c>
      <c r="Q387" s="6">
        <f>10-P387</f>
        <v>6.44</v>
      </c>
      <c r="R387" s="40">
        <f>LOOKUP(Q387,{0,4.7,4.8,4.9,5,5.5,5.6,5.65,5.7,5.75,5.8,5.85,5.9,5.95,6,6.45,6.5,6.57,6.64,6.7,6.76},{0,10,20,30,40,50,60,62,64,66,68,70,72,74,76,78,80,85,90,95,100})</f>
        <v>76</v>
      </c>
      <c r="S387" s="45"/>
      <c r="T387" s="45"/>
      <c r="U387" s="7">
        <f>R387+T387</f>
        <v>76</v>
      </c>
      <c r="W387" s="7">
        <f>E387*0.1+G387*0.1+I387*0.1+O387*0.2+R387*0.2</f>
        <v>57.7</v>
      </c>
      <c r="X387" s="21">
        <f>W387/0.7+K387+T387</f>
        <v>82.4285714285714</v>
      </c>
    </row>
    <row r="388" ht="15.6" spans="1:24">
      <c r="A388" s="6">
        <v>112</v>
      </c>
      <c r="B388" s="29" t="s">
        <v>603</v>
      </c>
      <c r="C388" s="29" t="s">
        <v>46</v>
      </c>
      <c r="D388" s="6">
        <v>12.5</v>
      </c>
      <c r="E388" s="40">
        <f>LOOKUP(D388,{0,0.4,1.2,2,2.8,3.6,4.4,5.7,7,8.3,9.6,10.9,12.2,13.5,14.8,16.1,17.4,19.1,20.8,22.5,24.2},{0,10,20,30,40,50,60,62,64,66,68,70,72,74,76,78,80,85,90,95,100})</f>
        <v>72</v>
      </c>
      <c r="F388" s="6">
        <v>162</v>
      </c>
      <c r="G388" s="40">
        <f>LOOKUP(F388,{0,123,128,133,138,143,148,151,154,157,160,163,166,169,172,175,178,185,192,198,204},{0,10,20,30,40,50,60,62,64,66,68,70,72,74,76,78,80,85,90,95,100})</f>
        <v>68</v>
      </c>
      <c r="H388" s="6">
        <v>53</v>
      </c>
      <c r="I388" s="40">
        <f>LOOKUP(H388,{0,13,15,17,19,21,23,25,27,29,31,33,35,37,39,41,43,46,49,51,53},{0,10,20,30,40,50,60,62,64,66,68,70,72,74,76,78,80,85,90,95,100})</f>
        <v>100</v>
      </c>
      <c r="J388" s="45">
        <f>H388-53</f>
        <v>0</v>
      </c>
      <c r="K388" s="40">
        <f>LOOKUP(J388,{0,2,4,6,7,8,9,10,11,12,13},{0,1,2,3,4,5,6,7,8,9,10})</f>
        <v>0</v>
      </c>
      <c r="L388" s="7">
        <f>I388+K388</f>
        <v>100</v>
      </c>
      <c r="M388" s="6">
        <v>8.7</v>
      </c>
      <c r="N388" s="43">
        <f>13-M388</f>
        <v>4.3</v>
      </c>
      <c r="O388" s="40">
        <f>LOOKUP(N388,{0,1.4,1.6,1.8,2,2.2,2.4,2.6,2.8,3,3.2,3.4,3.6,3.8,4,4.2,4.4,4.7,5,5.1,5.2},{0,10,20,30,40,50,60,62,64,66,68,70,72,74,76,78,80,85,90,95,100})</f>
        <v>78</v>
      </c>
      <c r="P388" s="6">
        <v>3.34</v>
      </c>
      <c r="Q388" s="6">
        <f>10-P388</f>
        <v>6.66</v>
      </c>
      <c r="R388" s="40">
        <f>LOOKUP(Q388,{0,4.7,4.8,4.9,5,5.5,5.6,5.65,5.7,5.75,5.8,5.85,5.9,5.95,6,6.45,6.5,6.57,6.64,6.7,6.76},{0,10,20,30,40,50,60,62,64,66,68,70,72,74,76,78,80,85,90,95,100})</f>
        <v>90</v>
      </c>
      <c r="S388" s="45"/>
      <c r="T388" s="45"/>
      <c r="U388" s="7">
        <f>R388+T388</f>
        <v>90</v>
      </c>
      <c r="W388" s="7">
        <f>E388*0.1+G388*0.1+I388*0.1+O388*0.2+R388*0.2</f>
        <v>57.6</v>
      </c>
      <c r="X388" s="21">
        <f>W388/0.7+K388+T388</f>
        <v>82.2857142857143</v>
      </c>
    </row>
    <row r="389" ht="15.6" spans="1:24">
      <c r="A389" s="6">
        <v>104</v>
      </c>
      <c r="B389" s="29" t="s">
        <v>201</v>
      </c>
      <c r="C389" s="29" t="s">
        <v>46</v>
      </c>
      <c r="D389" s="6">
        <v>25</v>
      </c>
      <c r="E389" s="40">
        <f>LOOKUP(D389,{0,0.4,1.2,2,2.8,3.6,4.4,5.7,7,8.3,9.6,10.9,12.2,13.5,14.8,16.1,17.4,19.1,20.8,22.5,24.2},{0,10,20,30,40,50,60,62,64,66,68,70,72,74,76,78,80,85,90,95,100})</f>
        <v>100</v>
      </c>
      <c r="F389" s="6">
        <v>165</v>
      </c>
      <c r="G389" s="40">
        <f>LOOKUP(F389,{0,123,128,133,138,143,148,151,154,157,160,163,166,169,172,175,178,185,192,198,204},{0,10,20,30,40,50,60,62,64,66,68,70,72,74,76,78,80,85,90,95,100})</f>
        <v>70</v>
      </c>
      <c r="H389" s="6">
        <v>49</v>
      </c>
      <c r="I389" s="40">
        <f>LOOKUP(H389,{0,13,15,17,19,21,23,25,27,29,31,33,35,37,39,41,43,46,49,51,53},{0,10,20,30,40,50,60,62,64,66,68,70,72,74,76,78,80,85,90,95,100})</f>
        <v>90</v>
      </c>
      <c r="J389" s="45"/>
      <c r="K389" s="45"/>
      <c r="L389" s="7">
        <f>I389+K389</f>
        <v>90</v>
      </c>
      <c r="M389" s="6">
        <v>9.7</v>
      </c>
      <c r="N389" s="43">
        <f>13-M389</f>
        <v>3.3</v>
      </c>
      <c r="O389" s="40">
        <f>LOOKUP(N389,{0,1.4,1.6,1.8,2,2.2,2.4,2.6,2.8,3,3.2,3.4,3.6,3.8,4,4.2,4.4,4.7,5,5.1,5.2},{0,10,20,30,40,50,60,62,64,66,68,70,72,74,76,78,80,85,90,95,100})</f>
        <v>68</v>
      </c>
      <c r="P389" s="6">
        <v>3.35</v>
      </c>
      <c r="Q389" s="6">
        <f>10-P389</f>
        <v>6.65</v>
      </c>
      <c r="R389" s="40">
        <f>LOOKUP(Q389,{0,4.7,4.8,4.9,5,5.5,5.6,5.65,5.7,5.75,5.8,5.85,5.9,5.95,6,6.45,6.5,6.57,6.64,6.7,6.76},{0,10,20,30,40,50,60,62,64,66,68,70,72,74,76,78,80,85,90,95,100})</f>
        <v>90</v>
      </c>
      <c r="S389" s="45"/>
      <c r="T389" s="45"/>
      <c r="U389" s="7">
        <f>R389+T389</f>
        <v>90</v>
      </c>
      <c r="W389" s="7">
        <f>E389*0.1+G389*0.1+I389*0.1+O389*0.2+R389*0.2</f>
        <v>57.6</v>
      </c>
      <c r="X389" s="21">
        <f>W389/0.7+K389+T389</f>
        <v>82.2857142857143</v>
      </c>
    </row>
    <row r="390" ht="15.6" spans="1:24">
      <c r="A390" s="6">
        <v>115</v>
      </c>
      <c r="B390" s="29" t="s">
        <v>772</v>
      </c>
      <c r="C390" s="29" t="s">
        <v>46</v>
      </c>
      <c r="D390" s="6">
        <v>20</v>
      </c>
      <c r="E390" s="40">
        <f>LOOKUP(D390,{0,0.4,1.2,2,2.8,3.6,4.4,5.7,7,8.3,9.6,10.9,12.2,13.5,14.8,16.1,17.4,19.1,20.8,22.5,24.2},{0,10,20,30,40,50,60,62,64,66,68,70,72,74,76,78,80,85,90,95,100})</f>
        <v>85</v>
      </c>
      <c r="F390" s="6">
        <v>174</v>
      </c>
      <c r="G390" s="40">
        <f>LOOKUP(F390,{0,123,128,133,138,143,148,151,154,157,160,163,166,169,172,175,178,185,192,198,204},{0,10,20,30,40,50,60,62,64,66,68,70,72,74,76,78,80,85,90,95,100})</f>
        <v>76</v>
      </c>
      <c r="H390" s="6">
        <v>46</v>
      </c>
      <c r="I390" s="40">
        <f>LOOKUP(H390,{0,13,15,17,19,21,23,25,27,29,31,33,35,37,39,41,43,46,49,51,53},{0,10,20,30,40,50,60,62,64,66,68,70,72,74,76,78,80,85,90,95,100})</f>
        <v>85</v>
      </c>
      <c r="J390" s="45"/>
      <c r="K390" s="45"/>
      <c r="L390" s="7">
        <f>I390+K390</f>
        <v>85</v>
      </c>
      <c r="M390" s="6">
        <v>8.4</v>
      </c>
      <c r="N390" s="43">
        <f>13-M390</f>
        <v>4.6</v>
      </c>
      <c r="O390" s="40">
        <f>LOOKUP(N390,{0,1.4,1.6,1.8,2,2.2,2.4,2.6,2.8,3,3.2,3.4,3.6,3.8,4,4.2,4.4,4.7,5,5.1,5.2},{0,10,20,30,40,50,60,62,64,66,68,70,72,74,76,78,80,85,90,95,100})</f>
        <v>80</v>
      </c>
      <c r="P390" s="6">
        <v>3.43</v>
      </c>
      <c r="Q390" s="6">
        <f>10-P390</f>
        <v>6.57</v>
      </c>
      <c r="R390" s="40">
        <f>LOOKUP(Q390,{0,4.7,4.8,4.9,5,5.5,5.6,5.65,5.7,5.75,5.8,5.85,5.9,5.95,6,6.45,6.5,6.57,6.64,6.7,6.76},{0,10,20,30,40,50,60,62,64,66,68,70,72,74,76,78,80,85,90,95,100})</f>
        <v>85</v>
      </c>
      <c r="S390" s="45"/>
      <c r="T390" s="45"/>
      <c r="U390" s="7">
        <f>R390+T390</f>
        <v>85</v>
      </c>
      <c r="W390" s="7">
        <f>E390*0.1+G390*0.1+I390*0.1+O390*0.2+R390*0.2</f>
        <v>57.6</v>
      </c>
      <c r="X390" s="21">
        <f>W390/0.7+K390+T390</f>
        <v>82.2857142857143</v>
      </c>
    </row>
    <row r="391" ht="15.6" spans="1:24">
      <c r="A391" s="6">
        <v>112</v>
      </c>
      <c r="B391" s="39" t="s">
        <v>611</v>
      </c>
      <c r="C391" s="29" t="s">
        <v>46</v>
      </c>
      <c r="D391" s="6">
        <v>28.3</v>
      </c>
      <c r="E391" s="40">
        <f>LOOKUP(D391,{0,0.4,1.2,2,2.8,3.6,4.4,5.7,7,8.3,9.6,10.9,12.2,13.5,14.8,16.1,17.4,19.1,20.8,22.5,24.2},{0,10,20,30,40,50,60,62,64,66,68,70,72,74,76,78,80,85,90,95,100})</f>
        <v>100</v>
      </c>
      <c r="F391" s="6">
        <v>180</v>
      </c>
      <c r="G391" s="40">
        <f>LOOKUP(F391,{0,123,128,133,138,143,148,151,154,157,160,163,166,169,172,175,178,185,192,198,204},{0,10,20,30,40,50,60,62,64,66,68,70,72,74,76,78,80,85,90,95,100})</f>
        <v>80</v>
      </c>
      <c r="H391" s="6">
        <v>44</v>
      </c>
      <c r="I391" s="40">
        <f>LOOKUP(H391,{0,13,15,17,19,21,23,25,27,29,31,33,35,37,39,41,43,46,49,51,53},{0,10,20,30,40,50,60,62,64,66,68,70,72,74,76,78,80,85,90,95,100})</f>
        <v>80</v>
      </c>
      <c r="J391" s="45"/>
      <c r="K391" s="45"/>
      <c r="L391" s="7">
        <f>I391+K391</f>
        <v>80</v>
      </c>
      <c r="M391" s="6">
        <v>8.7</v>
      </c>
      <c r="N391" s="43">
        <f>13-M391</f>
        <v>4.3</v>
      </c>
      <c r="O391" s="40">
        <f>LOOKUP(N391,{0,1.4,1.6,1.8,2,2.2,2.4,2.6,2.8,3,3.2,3.4,3.6,3.8,4,4.2,4.4,4.7,5,5.1,5.2},{0,10,20,30,40,50,60,62,64,66,68,70,72,74,76,78,80,85,90,95,100})</f>
        <v>78</v>
      </c>
      <c r="P391" s="6">
        <v>3.47</v>
      </c>
      <c r="Q391" s="6">
        <f>10-P391</f>
        <v>6.53</v>
      </c>
      <c r="R391" s="40">
        <f>LOOKUP(Q391,{0,4.7,4.8,4.9,5,5.5,5.6,5.65,5.7,5.75,5.8,5.85,5.9,5.95,6,6.45,6.5,6.57,6.64,6.7,6.76},{0,10,20,30,40,50,60,62,64,66,68,70,72,74,76,78,80,85,90,95,100})</f>
        <v>80</v>
      </c>
      <c r="S391" s="45"/>
      <c r="T391" s="45"/>
      <c r="U391" s="7">
        <f>R391+T391</f>
        <v>80</v>
      </c>
      <c r="W391" s="7">
        <f>E391*0.1+G391*0.1+I391*0.1+O391*0.2+R391*0.2</f>
        <v>57.6</v>
      </c>
      <c r="X391" s="21">
        <f>W391/0.7+K391+T391</f>
        <v>82.2857142857143</v>
      </c>
    </row>
    <row r="392" ht="15.6" spans="1:24">
      <c r="A392" s="6">
        <v>114</v>
      </c>
      <c r="B392" s="29" t="s">
        <v>720</v>
      </c>
      <c r="C392" s="29" t="s">
        <v>46</v>
      </c>
      <c r="D392" s="6">
        <v>22</v>
      </c>
      <c r="E392" s="40">
        <f>LOOKUP(D392,{0,0.4,1.2,2,2.8,3.6,4.4,5.7,7,8.3,9.6,10.9,12.2,13.5,14.8,16.1,17.4,19.1,20.8,22.5,24.2},{0,10,20,30,40,50,60,62,64,66,68,70,72,74,76,78,80,85,90,95,100})</f>
        <v>90</v>
      </c>
      <c r="F392" s="6">
        <v>165</v>
      </c>
      <c r="G392" s="40">
        <f>LOOKUP(F392,{0,123,128,133,138,143,148,151,154,157,160,163,166,169,172,175,178,185,192,198,204},{0,10,20,30,40,50,60,62,64,66,68,70,72,74,76,78,80,85,90,95,100})</f>
        <v>70</v>
      </c>
      <c r="H392" s="6">
        <v>48</v>
      </c>
      <c r="I392" s="40">
        <f>LOOKUP(H392,{0,13,15,17,19,21,23,25,27,29,31,33,35,37,39,41,43,46,49,51,53},{0,10,20,30,40,50,60,62,64,66,68,70,72,74,76,78,80,85,90,95,100})</f>
        <v>85</v>
      </c>
      <c r="J392" s="45"/>
      <c r="K392" s="45"/>
      <c r="L392" s="7">
        <f>I392+K392</f>
        <v>85</v>
      </c>
      <c r="M392" s="6">
        <v>8.4</v>
      </c>
      <c r="N392" s="43">
        <f>13-M392</f>
        <v>4.6</v>
      </c>
      <c r="O392" s="40">
        <f>LOOKUP(N392,{0,1.4,1.6,1.8,2,2.2,2.4,2.6,2.8,3,3.2,3.4,3.6,3.8,4,4.2,4.4,4.7,5,5.1,5.2},{0,10,20,30,40,50,60,62,64,66,68,70,72,74,76,78,80,85,90,95,100})</f>
        <v>80</v>
      </c>
      <c r="P392" s="6">
        <v>3.43</v>
      </c>
      <c r="Q392" s="6">
        <f>10-P392</f>
        <v>6.57</v>
      </c>
      <c r="R392" s="40">
        <f>LOOKUP(Q392,{0,4.7,4.8,4.9,5,5.5,5.6,5.65,5.7,5.75,5.8,5.85,5.9,5.95,6,6.45,6.5,6.57,6.64,6.7,6.76},{0,10,20,30,40,50,60,62,64,66,68,70,72,74,76,78,80,85,90,95,100})</f>
        <v>85</v>
      </c>
      <c r="S392" s="45"/>
      <c r="T392" s="45"/>
      <c r="U392" s="7">
        <f>R392+T392</f>
        <v>85</v>
      </c>
      <c r="W392" s="7">
        <f>E392*0.1+G392*0.1+I392*0.1+O392*0.2+R392*0.2</f>
        <v>57.5</v>
      </c>
      <c r="X392" s="21">
        <f>W392/0.7+K392+T392</f>
        <v>82.1428571428572</v>
      </c>
    </row>
    <row r="393" ht="15.6" spans="1:24">
      <c r="A393" s="6">
        <v>108</v>
      </c>
      <c r="B393" s="29" t="s">
        <v>402</v>
      </c>
      <c r="C393" s="29" t="s">
        <v>46</v>
      </c>
      <c r="D393" s="6">
        <v>25.5</v>
      </c>
      <c r="E393" s="40">
        <f>LOOKUP(D393,{0,0.4,1.2,2,2.8,3.6,4.4,5.7,7,8.3,9.6,10.9,12.2,13.5,14.8,16.1,17.4,19.1,20.8,22.5,24.2},{0,10,20,30,40,50,60,62,64,66,68,70,72,74,76,78,80,85,90,95,100})</f>
        <v>100</v>
      </c>
      <c r="F393" s="6">
        <v>166</v>
      </c>
      <c r="G393" s="40">
        <f>LOOKUP(F393,{0,123,128,133,138,143,148,151,154,157,160,163,166,169,172,175,178,185,192,198,204},{0,10,20,30,40,50,60,62,64,66,68,70,72,74,76,78,80,85,90,95,100})</f>
        <v>72</v>
      </c>
      <c r="H393" s="6">
        <v>48</v>
      </c>
      <c r="I393" s="40">
        <f>LOOKUP(H393,{0,13,15,17,19,21,23,25,27,29,31,33,35,37,39,41,43,46,49,51,53},{0,10,20,30,40,50,60,62,64,66,68,70,72,74,76,78,80,85,90,95,100})</f>
        <v>85</v>
      </c>
      <c r="J393" s="45"/>
      <c r="K393" s="45"/>
      <c r="L393" s="7">
        <f>I393+K393</f>
        <v>85</v>
      </c>
      <c r="M393" s="6">
        <v>8.3</v>
      </c>
      <c r="N393" s="43">
        <f>13-M393</f>
        <v>4.7</v>
      </c>
      <c r="O393" s="40">
        <f>LOOKUP(N393,{0,1.4,1.6,1.8,2,2.2,2.4,2.6,2.8,3,3.2,3.4,3.6,3.8,4,4.2,4.4,4.7,5,5.1,5.2},{0,10,20,30,40,50,60,62,64,66,68,70,72,74,76,78,80,85,90,95,100})</f>
        <v>85</v>
      </c>
      <c r="P393" s="6">
        <v>4.03</v>
      </c>
      <c r="Q393" s="6">
        <f>10-P393</f>
        <v>5.97</v>
      </c>
      <c r="R393" s="40">
        <f>LOOKUP(Q393,{0,4.7,4.8,4.9,5,5.5,5.6,5.65,5.7,5.75,5.8,5.85,5.9,5.95,6,6.45,6.5,6.57,6.64,6.7,6.76},{0,10,20,30,40,50,60,62,64,66,68,70,72,74,76,78,80,85,90,95,100})</f>
        <v>74</v>
      </c>
      <c r="S393" s="45"/>
      <c r="T393" s="45"/>
      <c r="U393" s="7">
        <f>R393+T393</f>
        <v>74</v>
      </c>
      <c r="W393" s="7">
        <f>E393*0.1+G393*0.1+I393*0.1+O393*0.2+R393*0.2</f>
        <v>57.5</v>
      </c>
      <c r="X393" s="21">
        <f>W393/0.7+K393+T393</f>
        <v>82.1428571428572</v>
      </c>
    </row>
    <row r="394" ht="15.6" spans="1:24">
      <c r="A394" s="6">
        <v>114</v>
      </c>
      <c r="B394" s="29" t="s">
        <v>711</v>
      </c>
      <c r="C394" s="29" t="s">
        <v>46</v>
      </c>
      <c r="D394" s="6">
        <v>10.3</v>
      </c>
      <c r="E394" s="40">
        <f>LOOKUP(D394,{0,0.4,1.2,2,2.8,3.6,4.4,5.7,7,8.3,9.6,10.9,12.2,13.5,14.8,16.1,17.4,19.1,20.8,22.5,24.2},{0,10,20,30,40,50,60,62,64,66,68,70,72,74,76,78,80,85,90,95,100})</f>
        <v>68</v>
      </c>
      <c r="F394" s="6">
        <v>210</v>
      </c>
      <c r="G394" s="40">
        <f>LOOKUP(F394,{0,123,128,133,138,143,148,151,154,157,160,163,166,169,172,175,178,185,192,198,204},{0,10,20,30,40,50,60,62,64,66,68,70,72,74,76,78,80,85,90,95,100})</f>
        <v>100</v>
      </c>
      <c r="H394" s="6">
        <v>29</v>
      </c>
      <c r="I394" s="40">
        <f>LOOKUP(H394,{0,13,15,17,19,21,23,25,27,29,31,33,35,37,39,41,43,46,49,51,53},{0,10,20,30,40,50,60,62,64,66,68,70,72,74,76,78,80,85,90,95,100})</f>
        <v>66</v>
      </c>
      <c r="J394" s="45"/>
      <c r="K394" s="45"/>
      <c r="L394" s="7">
        <f>I394+K394</f>
        <v>66</v>
      </c>
      <c r="M394" s="6">
        <v>8</v>
      </c>
      <c r="N394" s="43">
        <f>13-M394</f>
        <v>5</v>
      </c>
      <c r="O394" s="40">
        <f>LOOKUP(N394,{0,1.4,1.6,1.8,2,2.2,2.4,2.6,2.8,3,3.2,3.4,3.6,3.8,4,4.2,4.4,4.7,5,5.1,5.2},{0,10,20,30,40,50,60,62,64,66,68,70,72,74,76,78,80,85,90,95,100})</f>
        <v>90</v>
      </c>
      <c r="P394" s="6">
        <v>3.46</v>
      </c>
      <c r="Q394" s="6">
        <f>10-P394</f>
        <v>6.54</v>
      </c>
      <c r="R394" s="40">
        <f>LOOKUP(Q394,{0,4.7,4.8,4.9,5,5.5,5.6,5.65,5.7,5.75,5.8,5.85,5.9,5.95,6,6.45,6.5,6.57,6.64,6.7,6.76},{0,10,20,30,40,50,60,62,64,66,68,70,72,74,76,78,80,85,90,95,100})</f>
        <v>80</v>
      </c>
      <c r="S394" s="45"/>
      <c r="T394" s="45"/>
      <c r="U394" s="7">
        <f>R394+T394</f>
        <v>80</v>
      </c>
      <c r="W394" s="7">
        <f>E394*0.1+G394*0.1+I394*0.1+O394*0.2+R394*0.2</f>
        <v>57.4</v>
      </c>
      <c r="X394" s="21">
        <f>W394/0.7+K394+T394</f>
        <v>82</v>
      </c>
    </row>
    <row r="395" ht="15.6" spans="1:24">
      <c r="A395" s="6">
        <v>108</v>
      </c>
      <c r="B395" s="39" t="s">
        <v>395</v>
      </c>
      <c r="C395" s="29" t="s">
        <v>46</v>
      </c>
      <c r="D395" s="6">
        <v>13</v>
      </c>
      <c r="E395" s="40">
        <f>LOOKUP(D395,{0,0.4,1.2,2,2.8,3.6,4.4,5.7,7,8.3,9.6,10.9,12.2,13.5,14.8,16.1,17.4,19.1,20.8,22.5,24.2},{0,10,20,30,40,50,60,62,64,66,68,70,72,74,76,78,80,85,90,95,100})</f>
        <v>72</v>
      </c>
      <c r="F395" s="6">
        <v>180</v>
      </c>
      <c r="G395" s="40">
        <f>LOOKUP(F395,{0,123,128,133,138,143,148,151,154,157,160,163,166,169,172,175,178,185,192,198,204},{0,10,20,30,40,50,60,62,64,66,68,70,72,74,76,78,80,85,90,95,100})</f>
        <v>80</v>
      </c>
      <c r="H395" s="6">
        <v>44</v>
      </c>
      <c r="I395" s="40">
        <f>LOOKUP(H395,{0,13,15,17,19,21,23,25,27,29,31,33,35,37,39,41,43,46,49,51,53},{0,10,20,30,40,50,60,62,64,66,68,70,72,74,76,78,80,85,90,95,100})</f>
        <v>80</v>
      </c>
      <c r="J395" s="45"/>
      <c r="K395" s="45"/>
      <c r="L395" s="7">
        <f>I395+K395</f>
        <v>80</v>
      </c>
      <c r="M395" s="6">
        <v>9</v>
      </c>
      <c r="N395" s="43">
        <f>13-M395</f>
        <v>4</v>
      </c>
      <c r="O395" s="40">
        <f>LOOKUP(N395,{0,1.4,1.6,1.8,2,2.2,2.4,2.6,2.8,3,3.2,3.4,3.6,3.8,4,4.2,4.4,4.7,5,5.1,5.2},{0,10,20,30,40,50,60,62,64,66,68,70,72,74,76,78,80,85,90,95,100})</f>
        <v>76</v>
      </c>
      <c r="P395" s="6">
        <v>3.29</v>
      </c>
      <c r="Q395" s="6">
        <f>10-P395</f>
        <v>6.71</v>
      </c>
      <c r="R395" s="40">
        <f>LOOKUP(Q395,{0,4.7,4.8,4.9,5,5.5,5.6,5.65,5.7,5.75,5.8,5.85,5.9,5.95,6,6.45,6.5,6.57,6.64,6.7,6.76},{0,10,20,30,40,50,60,62,64,66,68,70,72,74,76,78,80,85,90,95,100})</f>
        <v>95</v>
      </c>
      <c r="S395" s="45"/>
      <c r="T395" s="45"/>
      <c r="U395" s="7">
        <f>R395+T395</f>
        <v>95</v>
      </c>
      <c r="W395" s="7">
        <f>E395*0.1+G395*0.1+I395*0.1+O395*0.2+R395*0.2</f>
        <v>57.4</v>
      </c>
      <c r="X395" s="21">
        <f>W395/0.7+K395+T395</f>
        <v>82</v>
      </c>
    </row>
    <row r="396" ht="15.6" spans="1:24">
      <c r="A396" s="6">
        <v>111</v>
      </c>
      <c r="B396" s="29" t="s">
        <v>561</v>
      </c>
      <c r="C396" s="29" t="s">
        <v>46</v>
      </c>
      <c r="D396" s="6">
        <v>22</v>
      </c>
      <c r="E396" s="40">
        <f>LOOKUP(D396,{0,0.4,1.2,2,2.8,3.6,4.4,5.7,7,8.3,9.6,10.9,12.2,13.5,14.8,16.1,17.4,19.1,20.8,22.5,24.2},{0,10,20,30,40,50,60,62,64,66,68,70,72,74,76,78,80,85,90,95,100})</f>
        <v>90</v>
      </c>
      <c r="F396" s="6">
        <v>155</v>
      </c>
      <c r="G396" s="40">
        <f>LOOKUP(F396,{0,123,128,133,138,143,148,151,154,157,160,163,166,169,172,175,178,185,192,198,204},{0,10,20,30,40,50,60,62,64,66,68,70,72,74,76,78,80,85,90,95,100})</f>
        <v>64</v>
      </c>
      <c r="H396" s="6">
        <v>45</v>
      </c>
      <c r="I396" s="40">
        <f>LOOKUP(H396,{0,13,15,17,19,21,23,25,27,29,31,33,35,37,39,41,43,46,49,51,53},{0,10,20,30,40,50,60,62,64,66,68,70,72,74,76,78,80,85,90,95,100})</f>
        <v>80</v>
      </c>
      <c r="J396" s="45"/>
      <c r="K396" s="45"/>
      <c r="L396" s="7">
        <f>I396+K396</f>
        <v>80</v>
      </c>
      <c r="M396" s="6">
        <v>8.6</v>
      </c>
      <c r="N396" s="43">
        <f>13-M396</f>
        <v>4.4</v>
      </c>
      <c r="O396" s="40">
        <f>LOOKUP(N396,{0,1.4,1.6,1.8,2,2.2,2.4,2.6,2.8,3,3.2,3.4,3.6,3.8,4,4.2,4.4,4.7,5,5.1,5.2},{0,10,20,30,40,50,60,62,64,66,68,70,72,74,76,78,80,85,90,95,100})</f>
        <v>80</v>
      </c>
      <c r="P396" s="6">
        <v>3.32</v>
      </c>
      <c r="Q396" s="6">
        <f>10-P396</f>
        <v>6.68</v>
      </c>
      <c r="R396" s="40">
        <f>LOOKUP(Q396,{0,4.7,4.8,4.9,5,5.5,5.6,5.65,5.7,5.75,5.8,5.85,5.9,5.95,6,6.45,6.5,6.57,6.64,6.7,6.76},{0,10,20,30,40,50,60,62,64,66,68,70,72,74,76,78,80,85,90,95,100})</f>
        <v>90</v>
      </c>
      <c r="S396" s="45"/>
      <c r="T396" s="45"/>
      <c r="U396" s="7">
        <f>R396+T396</f>
        <v>90</v>
      </c>
      <c r="W396" s="7">
        <f>E396*0.1+G396*0.1+I396*0.1+O396*0.2+R396*0.2</f>
        <v>57.4</v>
      </c>
      <c r="X396" s="21">
        <f>W396/0.7+K396+T396</f>
        <v>82</v>
      </c>
    </row>
    <row r="397" ht="15.6" spans="1:24">
      <c r="A397" s="6">
        <v>113</v>
      </c>
      <c r="B397" s="29" t="s">
        <v>661</v>
      </c>
      <c r="C397" s="29" t="s">
        <v>46</v>
      </c>
      <c r="D397" s="6">
        <v>20</v>
      </c>
      <c r="E397" s="40">
        <f>LOOKUP(D397,{0,0.4,1.2,2,2.8,3.6,4.4,5.7,7,8.3,9.6,10.9,12.2,13.5,14.8,16.1,17.4,19.1,20.8,22.5,24.2},{0,10,20,30,40,50,60,62,64,66,68,70,72,74,76,78,80,85,90,95,100})</f>
        <v>85</v>
      </c>
      <c r="F397" s="6">
        <v>180</v>
      </c>
      <c r="G397" s="40">
        <f>LOOKUP(F397,{0,123,128,133,138,143,148,151,154,157,160,163,166,169,172,175,178,185,192,198,204},{0,10,20,30,40,50,60,62,64,66,68,70,72,74,76,78,80,85,90,95,100})</f>
        <v>80</v>
      </c>
      <c r="H397" s="6">
        <v>50</v>
      </c>
      <c r="I397" s="40">
        <f>LOOKUP(H397,{0,13,15,17,19,21,23,25,27,29,31,33,35,37,39,41,43,46,49,51,53},{0,10,20,30,40,50,60,62,64,66,68,70,72,74,76,78,80,85,90,95,100})</f>
        <v>90</v>
      </c>
      <c r="J397" s="45"/>
      <c r="K397" s="45"/>
      <c r="L397" s="7">
        <f>I397+K397</f>
        <v>90</v>
      </c>
      <c r="M397" s="6">
        <v>9.1</v>
      </c>
      <c r="N397" s="43">
        <f>13-M397</f>
        <v>3.9</v>
      </c>
      <c r="O397" s="40">
        <f>LOOKUP(N397,{0,1.4,1.6,1.8,2,2.2,2.4,2.6,2.8,3,3.2,3.4,3.6,3.8,4,4.2,4.4,4.7,5,5.1,5.2},{0,10,20,30,40,50,60,62,64,66,68,70,72,74,76,78,80,85,90,95,100})</f>
        <v>74</v>
      </c>
      <c r="P397" s="6">
        <v>3.43</v>
      </c>
      <c r="Q397" s="6">
        <f>10-P397</f>
        <v>6.57</v>
      </c>
      <c r="R397" s="40">
        <f>LOOKUP(Q397,{0,4.7,4.8,4.9,5,5.5,5.6,5.65,5.7,5.75,5.8,5.85,5.9,5.95,6,6.45,6.5,6.57,6.64,6.7,6.76},{0,10,20,30,40,50,60,62,64,66,68,70,72,74,76,78,80,85,90,95,100})</f>
        <v>85</v>
      </c>
      <c r="S397" s="45"/>
      <c r="T397" s="45"/>
      <c r="U397" s="7">
        <f>R397+T397</f>
        <v>85</v>
      </c>
      <c r="W397" s="7">
        <f>E397*0.1+G397*0.1+I397*0.1+O397*0.2+R397*0.2</f>
        <v>57.3</v>
      </c>
      <c r="X397" s="21">
        <f>W397/0.7+K397+T397</f>
        <v>81.8571428571429</v>
      </c>
    </row>
    <row r="398" ht="15.6" spans="1:24">
      <c r="A398" s="6">
        <v>112</v>
      </c>
      <c r="B398" s="29" t="s">
        <v>609</v>
      </c>
      <c r="C398" s="29" t="s">
        <v>46</v>
      </c>
      <c r="D398" s="6">
        <v>22.5</v>
      </c>
      <c r="E398" s="40">
        <f>LOOKUP(D398,{0,0.4,1.2,2,2.8,3.6,4.4,5.7,7,8.3,9.6,10.9,12.2,13.5,14.8,16.1,17.4,19.1,20.8,22.5,24.2},{0,10,20,30,40,50,60,62,64,66,68,70,72,74,76,78,80,85,90,95,100})</f>
        <v>95</v>
      </c>
      <c r="F398" s="6">
        <v>185</v>
      </c>
      <c r="G398" s="40">
        <f>LOOKUP(F398,{0,123,128,133,138,143,148,151,154,157,160,163,166,169,172,175,178,185,192,198,204},{0,10,20,30,40,50,60,62,64,66,68,70,72,74,76,78,80,85,90,95,100})</f>
        <v>85</v>
      </c>
      <c r="H398" s="6">
        <v>43</v>
      </c>
      <c r="I398" s="40">
        <f>LOOKUP(H398,{0,13,15,17,19,21,23,25,27,29,31,33,35,37,39,41,43,46,49,51,53},{0,10,20,30,40,50,60,62,64,66,68,70,72,74,76,78,80,85,90,95,100})</f>
        <v>80</v>
      </c>
      <c r="J398" s="45"/>
      <c r="K398" s="45"/>
      <c r="L398" s="7">
        <f>I398+K398</f>
        <v>80</v>
      </c>
      <c r="M398" s="6">
        <v>8.7</v>
      </c>
      <c r="N398" s="43">
        <f>13-M398</f>
        <v>4.3</v>
      </c>
      <c r="O398" s="40">
        <f>LOOKUP(N398,{0,1.4,1.6,1.8,2,2.2,2.4,2.6,2.8,3,3.2,3.4,3.6,3.8,4,4.2,4.4,4.7,5,5.1,5.2},{0,10,20,30,40,50,60,62,64,66,68,70,72,74,76,78,80,85,90,95,100})</f>
        <v>78</v>
      </c>
      <c r="P398" s="6">
        <v>3.53</v>
      </c>
      <c r="Q398" s="6">
        <f>10-P398</f>
        <v>6.47</v>
      </c>
      <c r="R398" s="40">
        <f>LOOKUP(Q398,{0,4.7,4.8,4.9,5,5.5,5.6,5.65,5.7,5.75,5.8,5.85,5.9,5.95,6,6.45,6.5,6.57,6.64,6.7,6.76},{0,10,20,30,40,50,60,62,64,66,68,70,72,74,76,78,80,85,90,95,100})</f>
        <v>78</v>
      </c>
      <c r="S398" s="45"/>
      <c r="T398" s="45"/>
      <c r="U398" s="7">
        <f>R398+T398</f>
        <v>78</v>
      </c>
      <c r="W398" s="7">
        <f>E398*0.1+G398*0.1+I398*0.1+O398*0.2+R398*0.2</f>
        <v>57.2</v>
      </c>
      <c r="X398" s="21">
        <f>W398/0.7+K398+T398</f>
        <v>81.7142857142857</v>
      </c>
    </row>
    <row r="399" s="3" customFormat="1" ht="15.6" spans="1:24">
      <c r="A399" s="6">
        <v>109</v>
      </c>
      <c r="B399" s="39" t="s">
        <v>448</v>
      </c>
      <c r="C399" s="29" t="s">
        <v>46</v>
      </c>
      <c r="D399" s="6">
        <v>14</v>
      </c>
      <c r="E399" s="40">
        <f>LOOKUP(D399,{0,0.4,1.2,2,2.8,3.6,4.4,5.7,7,8.3,9.6,10.9,12.2,13.5,14.8,16.1,17.4,19.1,20.8,22.5,24.2},{0,10,20,30,40,50,60,62,64,66,68,70,72,74,76,78,80,85,90,95,100})</f>
        <v>74</v>
      </c>
      <c r="F399" s="6">
        <v>166</v>
      </c>
      <c r="G399" s="40">
        <f>LOOKUP(F399,{0,123,128,133,138,143,148,151,154,157,160,163,166,169,172,175,178,185,192,198,204},{0,10,20,30,40,50,60,62,64,66,68,70,72,74,76,78,80,85,90,95,100})</f>
        <v>72</v>
      </c>
      <c r="H399" s="6">
        <v>58</v>
      </c>
      <c r="I399" s="40">
        <f>LOOKUP(H399,{0,13,15,17,19,21,23,25,27,29,31,33,35,37,39,41,43,46,49,51,53},{0,10,20,30,40,50,60,62,64,66,68,70,72,74,76,78,80,85,90,95,100})</f>
        <v>100</v>
      </c>
      <c r="J399" s="45">
        <f>H399-53</f>
        <v>5</v>
      </c>
      <c r="K399" s="40">
        <f>LOOKUP(J399,{0,2,4,6,7,8,9,10,11,12,13},{0,1,2,3,4,5,6,7,8,9,10})</f>
        <v>2</v>
      </c>
      <c r="L399" s="7">
        <f>I399+K399</f>
        <v>102</v>
      </c>
      <c r="M399" s="6">
        <v>8.6</v>
      </c>
      <c r="N399" s="43">
        <f>13-M399</f>
        <v>4.4</v>
      </c>
      <c r="O399" s="40">
        <f>LOOKUP(N399,{0,1.4,1.6,1.8,2,2.2,2.4,2.6,2.8,3,3.2,3.4,3.6,3.8,4,4.2,4.4,4.7,5,5.1,5.2},{0,10,20,30,40,50,60,62,64,66,68,70,72,74,76,78,80,85,90,95,100})</f>
        <v>80</v>
      </c>
      <c r="P399" s="6">
        <v>3.59</v>
      </c>
      <c r="Q399" s="6">
        <f>10-P399</f>
        <v>6.41</v>
      </c>
      <c r="R399" s="40">
        <f>LOOKUP(Q399,{0,4.7,4.8,4.9,5,5.5,5.6,5.65,5.7,5.75,5.8,5.85,5.9,5.95,6,6.45,6.5,6.57,6.64,6.7,6.76},{0,10,20,30,40,50,60,62,64,66,68,70,72,74,76,78,80,85,90,95,100})</f>
        <v>76</v>
      </c>
      <c r="S399" s="45"/>
      <c r="T399" s="45"/>
      <c r="U399" s="7">
        <f>R399+T399</f>
        <v>76</v>
      </c>
      <c r="V399" s="6"/>
      <c r="W399" s="7">
        <f>E399*0.1+G399*0.1+I399*0.1+O399*0.2+R399*0.2</f>
        <v>55.8</v>
      </c>
      <c r="X399" s="21">
        <f>W399/0.7+K399+T399</f>
        <v>81.7142857142857</v>
      </c>
    </row>
    <row r="400" ht="15.6" hidden="1" spans="1:24">
      <c r="A400" s="6">
        <v>116</v>
      </c>
      <c r="B400" s="29" t="s">
        <v>796</v>
      </c>
      <c r="C400" s="29" t="s">
        <v>11</v>
      </c>
      <c r="D400" s="6">
        <v>10.1</v>
      </c>
      <c r="E400" s="40">
        <f>LOOKUP(D400,{0,-4,-3,-2,-1,0,1,2.4,3.8,5.2,6.6,8,9.4,10.8,12.2,13.6,15,17.2,19.4,21.5,23.6},{0,10,20,30,40,50,60,62,64,66,68,70,72,74,76,78,80,85,90,95,100})</f>
        <v>72</v>
      </c>
      <c r="F400" s="6">
        <v>260</v>
      </c>
      <c r="G400" s="40">
        <f>LOOKUP(F400,{0,170,175,180,185,190,195,199,203,207,211,215,219,223,227,231,235,243,250,255,260},{0,10,20,30,40,50,60,62,64,66,68,70,72,74,76,78,80,85,90,95,100})</f>
        <v>100</v>
      </c>
      <c r="H400" s="6">
        <v>6</v>
      </c>
      <c r="I400" s="40">
        <f>LOOKUP(H400,{0,2,3,4,5,6,7,8,9,10,11,12,13,14,15,16},{0,10,20,30,40,50,60,64,68,72,76,80,85,90,95,100})</f>
        <v>50</v>
      </c>
      <c r="J400" s="7"/>
      <c r="K400" s="7"/>
      <c r="L400" s="7">
        <f>I400+K400</f>
        <v>50</v>
      </c>
      <c r="M400" s="6">
        <v>7.5</v>
      </c>
      <c r="N400" s="43">
        <f>13-M400</f>
        <v>5.5</v>
      </c>
      <c r="O400" s="40">
        <f>LOOKUP(N400,{0,2.5,2.7,2.9,3.1,3.3,3.5,3.7,3.9,4.1,4.3,4.5,4.7,4.9,5.1,5.3,5.5,5.6,5.7,5.8,5.9},{0,10,20,30,40,50,60,62,64,66,68,70,72,74,76,78,80,85,90,95,100})</f>
        <v>80</v>
      </c>
      <c r="P400" s="6">
        <v>3.42</v>
      </c>
      <c r="Q400" s="6">
        <f>10-P400</f>
        <v>6.58</v>
      </c>
      <c r="R400" s="40">
        <f>LOOKUP(Q400,{0,3.75,3.95,4.55,4.75,4.95,5.55,5.6,5.65,5.7,5.75,5.8,5.85,5.9,5.95,6,6.45,6.53,6.6,6.65,6.7},{0,10,20,30,40,50,60,62,64,66,68,70,72,74,76,78,80,85,90,95,100})</f>
        <v>85</v>
      </c>
      <c r="S400" s="7"/>
      <c r="T400" s="7"/>
      <c r="U400" s="7">
        <f>R400+T400</f>
        <v>85</v>
      </c>
      <c r="W400" s="7">
        <f>E400*0.1+G400*0.1+I400*0.1+O400*0.2+R400*0.2</f>
        <v>55.2</v>
      </c>
      <c r="X400" s="21">
        <f>W400/0.7+K400+T400</f>
        <v>78.8571428571429</v>
      </c>
    </row>
    <row r="401" ht="15.6" hidden="1" spans="1:24">
      <c r="A401" s="6">
        <v>116</v>
      </c>
      <c r="B401" s="29" t="s">
        <v>790</v>
      </c>
      <c r="C401" s="29" t="s">
        <v>11</v>
      </c>
      <c r="D401" s="6">
        <v>16</v>
      </c>
      <c r="E401" s="40">
        <f>LOOKUP(D401,{0,-4,-3,-2,-1,0,1,2.4,3.8,5.2,6.6,8,9.4,10.8,12.2,13.6,15,17.2,19.4,21.5,23.6},{0,10,20,30,40,50,60,62,64,66,68,70,72,74,76,78,80,85,90,95,100})</f>
        <v>80</v>
      </c>
      <c r="F401" s="6">
        <v>228</v>
      </c>
      <c r="G401" s="40">
        <f>LOOKUP(F401,{0,170,175,180,185,190,195,199,203,207,211,215,219,223,227,231,235,243,250,255,260},{0,10,20,30,40,50,60,62,64,66,68,70,72,74,76,78,80,85,90,95,100})</f>
        <v>76</v>
      </c>
      <c r="H401" s="6">
        <v>16</v>
      </c>
      <c r="I401" s="40">
        <f>LOOKUP(H401,{0,2,3,4,5,6,7,8,9,10,11,12,13,14,15,16},{0,10,20,30,40,50,60,64,68,72,76,80,85,90,95,100})</f>
        <v>100</v>
      </c>
      <c r="J401" s="7">
        <f>H401-16</f>
        <v>0</v>
      </c>
      <c r="K401" s="40">
        <f>LOOKUP(J401,{0,1,2,3,4,5,6,7,8,9,10},{0,1,2,3,4,5,6,7,8,9,10})</f>
        <v>0</v>
      </c>
      <c r="L401" s="7">
        <f>I401+K401</f>
        <v>100</v>
      </c>
      <c r="M401" s="6">
        <v>7.5</v>
      </c>
      <c r="N401" s="43">
        <f>13-M401</f>
        <v>5.5</v>
      </c>
      <c r="O401" s="40">
        <f>LOOKUP(N401,{0,2.5,2.7,2.9,3.1,3.3,3.5,3.7,3.9,4.1,4.3,4.5,4.7,4.9,5.1,5.3,5.5,5.6,5.7,5.8,5.9},{0,10,20,30,40,50,60,62,64,66,68,70,72,74,76,78,80,85,90,95,100})</f>
        <v>80</v>
      </c>
      <c r="P401" s="6">
        <v>3.43</v>
      </c>
      <c r="Q401" s="6">
        <f>10-P401</f>
        <v>6.57</v>
      </c>
      <c r="R401" s="40">
        <f>LOOKUP(Q401,{0,3.75,3.95,4.55,4.75,4.95,5.55,5.6,5.65,5.7,5.75,5.8,5.85,5.9,5.95,6,6.45,6.53,6.6,6.65,6.7},{0,10,20,30,40,50,60,62,64,66,68,70,72,74,76,78,80,85,90,95,100})</f>
        <v>85</v>
      </c>
      <c r="S401" s="7"/>
      <c r="T401" s="7"/>
      <c r="U401" s="7">
        <f>R401+T401</f>
        <v>85</v>
      </c>
      <c r="W401" s="7">
        <f>E401*0.1+G401*0.1+I401*0.1+O401*0.2+R401*0.2</f>
        <v>58.6</v>
      </c>
      <c r="X401" s="21">
        <f>W401/0.7+K401+T401</f>
        <v>83.7142857142857</v>
      </c>
    </row>
    <row r="402" ht="15.6" hidden="1" spans="1:24">
      <c r="A402" s="6">
        <v>105</v>
      </c>
      <c r="B402" s="29" t="s">
        <v>227</v>
      </c>
      <c r="C402" s="29" t="s">
        <v>11</v>
      </c>
      <c r="D402" s="6">
        <v>9.5</v>
      </c>
      <c r="E402" s="40">
        <f>LOOKUP(D402,{0,-4,-3,-2,-1,0,1,2.4,3.8,5.2,6.6,8,9.4,10.8,12.2,13.6,15,17.2,19.4,21.5,23.6},{0,10,20,30,40,50,60,62,64,66,68,70,72,74,76,78,80,85,90,95,100})</f>
        <v>72</v>
      </c>
      <c r="F402" s="6">
        <v>223</v>
      </c>
      <c r="G402" s="40">
        <f>LOOKUP(F402,{0,170,175,180,185,190,195,199,203,207,211,215,219,223,227,231,235,243,250,255,260},{0,10,20,30,40,50,60,62,64,66,68,70,72,74,76,78,80,85,90,95,100})</f>
        <v>74</v>
      </c>
      <c r="H402" s="6">
        <v>1</v>
      </c>
      <c r="I402" s="40">
        <f>LOOKUP(H402,{0,2,3,4,5,6,7,8,9,10,11,12,13,14,15,16},{0,10,20,30,40,50,60,64,68,72,76,80,85,90,95,100})</f>
        <v>0</v>
      </c>
      <c r="J402" s="7"/>
      <c r="K402" s="7"/>
      <c r="L402" s="7">
        <f>I402+K402</f>
        <v>0</v>
      </c>
      <c r="M402" s="6">
        <v>7.5</v>
      </c>
      <c r="N402" s="43">
        <f>13-M402</f>
        <v>5.5</v>
      </c>
      <c r="O402" s="40">
        <f>LOOKUP(N402,{0,2.5,2.7,2.9,3.1,3.3,3.5,3.7,3.9,4.1,4.3,4.5,4.7,4.9,5.1,5.3,5.5,5.6,5.7,5.8,5.9},{0,10,20,30,40,50,60,62,64,66,68,70,72,74,76,78,80,85,90,95,100})</f>
        <v>80</v>
      </c>
      <c r="P402" s="6">
        <v>3.44</v>
      </c>
      <c r="Q402" s="6">
        <f>10-P402</f>
        <v>6.56</v>
      </c>
      <c r="R402" s="40">
        <f>LOOKUP(Q402,{0,3.75,3.95,4.55,4.75,4.95,5.55,5.6,5.65,5.7,5.75,5.8,5.85,5.9,5.95,6,6.45,6.53,6.6,6.65,6.7},{0,10,20,30,40,50,60,62,64,66,68,70,72,74,76,78,80,85,90,95,100})</f>
        <v>85</v>
      </c>
      <c r="S402" s="7"/>
      <c r="T402" s="7"/>
      <c r="U402" s="7">
        <f>R402+T402</f>
        <v>85</v>
      </c>
      <c r="W402" s="7">
        <f>E402*0.1+G402*0.1+I402*0.1+O402*0.2+R402*0.2</f>
        <v>47.6</v>
      </c>
      <c r="X402" s="21">
        <f>W402/0.7+K402+T402</f>
        <v>68</v>
      </c>
    </row>
    <row r="403" ht="15.6" hidden="1" spans="1:24">
      <c r="A403" s="6">
        <v>112</v>
      </c>
      <c r="B403" s="29" t="s">
        <v>592</v>
      </c>
      <c r="C403" s="29" t="s">
        <v>11</v>
      </c>
      <c r="D403" s="6">
        <v>7.9</v>
      </c>
      <c r="E403" s="40">
        <f>LOOKUP(D403,{0,-4,-3,-2,-1,0,1,2.4,3.8,5.2,6.6,8,9.4,10.8,12.2,13.6,15,17.2,19.4,21.5,23.6},{0,10,20,30,40,50,60,62,64,66,68,70,72,74,76,78,80,85,90,95,100})</f>
        <v>68</v>
      </c>
      <c r="F403" s="6">
        <v>210</v>
      </c>
      <c r="G403" s="40">
        <f>LOOKUP(F403,{0,170,175,180,185,190,195,199,203,207,211,215,219,223,227,231,235,243,250,255,260},{0,10,20,30,40,50,60,62,64,66,68,70,72,74,76,78,80,85,90,95,100})</f>
        <v>66</v>
      </c>
      <c r="H403" s="6">
        <v>18</v>
      </c>
      <c r="I403" s="40">
        <f>LOOKUP(H403,{0,2,3,4,5,6,7,8,9,10,11,12,13,14,15,16},{0,10,20,30,40,50,60,64,68,72,76,80,85,90,95,100})</f>
        <v>100</v>
      </c>
      <c r="J403" s="7">
        <f>H403-16</f>
        <v>2</v>
      </c>
      <c r="K403" s="40">
        <f>LOOKUP(J403,{0,1,2,3,4,5,6,7,8,9,10},{0,1,2,3,4,5,6,7,8,9,10})</f>
        <v>2</v>
      </c>
      <c r="L403" s="7">
        <f>I403+K403</f>
        <v>102</v>
      </c>
      <c r="M403" s="6">
        <v>7.5</v>
      </c>
      <c r="N403" s="43">
        <f>13-M403</f>
        <v>5.5</v>
      </c>
      <c r="O403" s="40">
        <f>LOOKUP(N403,{0,2.5,2.7,2.9,3.1,3.3,3.5,3.7,3.9,4.1,4.3,4.5,4.7,4.9,5.1,5.3,5.5,5.6,5.7,5.8,5.9},{0,10,20,30,40,50,60,62,64,66,68,70,72,74,76,78,80,85,90,95,100})</f>
        <v>80</v>
      </c>
      <c r="P403" s="6">
        <v>3.46</v>
      </c>
      <c r="Q403" s="6">
        <f>10-P403</f>
        <v>6.54</v>
      </c>
      <c r="R403" s="40">
        <f>LOOKUP(Q403,{0,3.75,3.95,4.55,4.75,4.95,5.55,5.6,5.65,5.7,5.75,5.8,5.85,5.9,5.95,6,6.45,6.53,6.6,6.65,6.7},{0,10,20,30,40,50,60,62,64,66,68,70,72,74,76,78,80,85,90,95,100})</f>
        <v>85</v>
      </c>
      <c r="S403" s="7"/>
      <c r="T403" s="7"/>
      <c r="U403" s="7">
        <f>R403+T403</f>
        <v>85</v>
      </c>
      <c r="W403" s="7">
        <f>E403*0.1+G403*0.1+I403*0.1+O403*0.2+R403*0.2</f>
        <v>56.4</v>
      </c>
      <c r="X403" s="21">
        <f>W403/0.7+K403+T403</f>
        <v>82.5714285714286</v>
      </c>
    </row>
    <row r="404" ht="15.6" hidden="1" spans="1:24">
      <c r="A404" s="6">
        <v>103</v>
      </c>
      <c r="B404" s="29" t="s">
        <v>136</v>
      </c>
      <c r="C404" s="29" t="s">
        <v>11</v>
      </c>
      <c r="D404" s="6">
        <v>2.5</v>
      </c>
      <c r="E404" s="40">
        <f>LOOKUP(D404,{0,-4,-3,-2,-1,0,1,2.4,3.8,5.2,6.6,8,9.4,10.8,12.2,13.6,15,17.2,19.4,21.5,23.6},{0,10,20,30,40,50,60,62,64,66,68,70,72,74,76,78,80,85,90,95,100})</f>
        <v>62</v>
      </c>
      <c r="F404" s="6">
        <v>235</v>
      </c>
      <c r="G404" s="40">
        <f>LOOKUP(F404,{0,170,175,180,185,190,195,199,203,207,211,215,219,223,227,231,235,243,250,255,260},{0,10,20,30,40,50,60,62,64,66,68,70,72,74,76,78,80,85,90,95,100})</f>
        <v>80</v>
      </c>
      <c r="H404" s="6">
        <v>14</v>
      </c>
      <c r="I404" s="40">
        <f>LOOKUP(H404,{0,2,3,4,5,6,7,8,9,10,11,12,13,14,15,16},{0,10,20,30,40,50,60,64,68,72,76,80,85,90,95,100})</f>
        <v>90</v>
      </c>
      <c r="J404" s="7"/>
      <c r="K404" s="7"/>
      <c r="L404" s="7">
        <f>I404+K404</f>
        <v>90</v>
      </c>
      <c r="M404" s="6">
        <v>7.5</v>
      </c>
      <c r="N404" s="43">
        <f>13-M404</f>
        <v>5.5</v>
      </c>
      <c r="O404" s="40">
        <f>LOOKUP(N404,{0,2.5,2.7,2.9,3.1,3.3,3.5,3.7,3.9,4.1,4.3,4.5,4.7,4.9,5.1,5.3,5.5,5.6,5.7,5.8,5.9},{0,10,20,30,40,50,60,62,64,66,68,70,72,74,76,78,80,85,90,95,100})</f>
        <v>80</v>
      </c>
      <c r="P404" s="6">
        <v>3.46</v>
      </c>
      <c r="Q404" s="6">
        <f>10-P404</f>
        <v>6.54</v>
      </c>
      <c r="R404" s="40">
        <f>LOOKUP(Q404,{0,3.75,3.95,4.55,4.75,4.95,5.55,5.6,5.65,5.7,5.75,5.8,5.85,5.9,5.95,6,6.45,6.53,6.6,6.65,6.7},{0,10,20,30,40,50,60,62,64,66,68,70,72,74,76,78,80,85,90,95,100})</f>
        <v>85</v>
      </c>
      <c r="S404" s="7"/>
      <c r="T404" s="7"/>
      <c r="U404" s="7">
        <f>R404+T404</f>
        <v>85</v>
      </c>
      <c r="W404" s="7">
        <f>E404*0.1+G404*0.1+I404*0.1+O404*0.2+R404*0.2</f>
        <v>56.2</v>
      </c>
      <c r="X404" s="21">
        <f>W404/0.7+K404+T404</f>
        <v>80.2857142857143</v>
      </c>
    </row>
    <row r="405" ht="15.6" hidden="1" spans="1:24">
      <c r="A405" s="6">
        <v>109</v>
      </c>
      <c r="B405" s="29" t="s">
        <v>419</v>
      </c>
      <c r="C405" s="29" t="s">
        <v>11</v>
      </c>
      <c r="D405" s="6">
        <v>3.8</v>
      </c>
      <c r="E405" s="40">
        <f>LOOKUP(D405,{0,-4,-3,-2,-1,0,1,2.4,3.8,5.2,6.6,8,9.4,10.8,12.2,13.6,15,17.2,19.4,21.5,23.6},{0,10,20,30,40,50,60,62,64,66,68,70,72,74,76,78,80,85,90,95,100})</f>
        <v>64</v>
      </c>
      <c r="F405" s="6">
        <v>205</v>
      </c>
      <c r="G405" s="40">
        <f>LOOKUP(F405,{0,170,175,180,185,190,195,199,203,207,211,215,219,223,227,231,235,243,250,255,260},{0,10,20,30,40,50,60,62,64,66,68,70,72,74,76,78,80,85,90,95,100})</f>
        <v>64</v>
      </c>
      <c r="H405" s="6">
        <v>3</v>
      </c>
      <c r="I405" s="40">
        <f>LOOKUP(H405,{0,2,3,4,5,6,7,8,9,10,11,12,13,14,15,16},{0,10,20,30,40,50,60,64,68,72,76,80,85,90,95,100})</f>
        <v>20</v>
      </c>
      <c r="J405" s="7"/>
      <c r="K405" s="7"/>
      <c r="L405" s="7">
        <f>I405+K405</f>
        <v>20</v>
      </c>
      <c r="M405" s="6">
        <v>7.5</v>
      </c>
      <c r="N405" s="43">
        <f>13-M405</f>
        <v>5.5</v>
      </c>
      <c r="O405" s="40">
        <f>LOOKUP(N405,{0,2.5,2.7,2.9,3.1,3.3,3.5,3.7,3.9,4.1,4.3,4.5,4.7,4.9,5.1,5.3,5.5,5.6,5.7,5.8,5.9},{0,10,20,30,40,50,60,62,64,66,68,70,72,74,76,78,80,85,90,95,100})</f>
        <v>80</v>
      </c>
      <c r="P405" s="6">
        <v>3.48</v>
      </c>
      <c r="Q405" s="6">
        <f>10-P405</f>
        <v>6.52</v>
      </c>
      <c r="R405" s="40">
        <f>LOOKUP(Q405,{0,3.75,3.95,4.55,4.75,4.95,5.55,5.6,5.65,5.7,5.75,5.8,5.85,5.9,5.95,6,6.45,6.53,6.6,6.65,6.7},{0,10,20,30,40,50,60,62,64,66,68,70,72,74,76,78,80,85,90,95,100})</f>
        <v>80</v>
      </c>
      <c r="S405" s="7"/>
      <c r="T405" s="7"/>
      <c r="U405" s="7">
        <f>R405+T405</f>
        <v>80</v>
      </c>
      <c r="W405" s="7">
        <f>E405*0.1+G405*0.1+I405*0.1+O405*0.2+R405*0.2</f>
        <v>46.8</v>
      </c>
      <c r="X405" s="21">
        <f>W405/0.7+K405+T405</f>
        <v>66.8571428571429</v>
      </c>
    </row>
    <row r="406" ht="15.6" hidden="1" spans="1:24">
      <c r="A406" s="6">
        <v>105</v>
      </c>
      <c r="B406" s="29" t="s">
        <v>224</v>
      </c>
      <c r="C406" s="29" t="s">
        <v>11</v>
      </c>
      <c r="D406" s="6">
        <v>1.5</v>
      </c>
      <c r="E406" s="40">
        <f>LOOKUP(D406,{0,-4,-3,-2,-1,0,1,2.4,3.8,5.2,6.6,8,9.4,10.8,12.2,13.6,15,17.2,19.4,21.5,23.6},{0,10,20,30,40,50,60,62,64,66,68,70,72,74,76,78,80,85,90,95,100})</f>
        <v>60</v>
      </c>
      <c r="F406" s="6">
        <v>216</v>
      </c>
      <c r="G406" s="40">
        <f>LOOKUP(F406,{0,170,175,180,185,190,195,199,203,207,211,215,219,223,227,231,235,243,250,255,260},{0,10,20,30,40,50,60,62,64,66,68,70,72,74,76,78,80,85,90,95,100})</f>
        <v>70</v>
      </c>
      <c r="H406" s="6">
        <v>0</v>
      </c>
      <c r="I406" s="40">
        <f>LOOKUP(H406,{0,2,3,4,5,6,7,8,9,10,11,12,13,14,15,16},{0,10,20,30,40,50,60,64,68,72,76,80,85,90,95,100})</f>
        <v>0</v>
      </c>
      <c r="J406" s="7"/>
      <c r="K406" s="7"/>
      <c r="L406" s="7">
        <f>I406+K406</f>
        <v>0</v>
      </c>
      <c r="M406" s="6">
        <v>7.5</v>
      </c>
      <c r="N406" s="43">
        <f>13-M406</f>
        <v>5.5</v>
      </c>
      <c r="O406" s="40">
        <f>LOOKUP(N406,{0,2.5,2.7,2.9,3.1,3.3,3.5,3.7,3.9,4.1,4.3,4.5,4.7,4.9,5.1,5.3,5.5,5.6,5.7,5.8,5.9},{0,10,20,30,40,50,60,62,64,66,68,70,72,74,76,78,80,85,90,95,100})</f>
        <v>80</v>
      </c>
      <c r="P406" s="6">
        <v>3.52</v>
      </c>
      <c r="Q406" s="6">
        <f>10-P406</f>
        <v>6.48</v>
      </c>
      <c r="R406" s="40">
        <f>LOOKUP(Q406,{0,3.75,3.95,4.55,4.75,4.95,5.55,5.6,5.65,5.7,5.75,5.8,5.85,5.9,5.95,6,6.45,6.53,6.6,6.65,6.7},{0,10,20,30,40,50,60,62,64,66,68,70,72,74,76,78,80,85,90,95,100})</f>
        <v>80</v>
      </c>
      <c r="S406" s="7"/>
      <c r="T406" s="7"/>
      <c r="U406" s="7">
        <f>R406+T406</f>
        <v>80</v>
      </c>
      <c r="W406" s="7">
        <f>E406*0.1+G406*0.1+I406*0.1+O406*0.2+R406*0.2</f>
        <v>45</v>
      </c>
      <c r="X406" s="21">
        <f>W406/0.7+K406+T406</f>
        <v>64.2857142857143</v>
      </c>
    </row>
    <row r="407" ht="15.6" hidden="1" spans="1:24">
      <c r="A407" s="6">
        <v>111</v>
      </c>
      <c r="B407" s="29" t="s">
        <v>517</v>
      </c>
      <c r="C407" s="29" t="s">
        <v>11</v>
      </c>
      <c r="D407" s="6">
        <v>8.5</v>
      </c>
      <c r="E407" s="40">
        <f>LOOKUP(D407,{0,-4,-3,-2,-1,0,1,2.4,3.8,5.2,6.6,8,9.4,10.8,12.2,13.6,15,17.2,19.4,21.5,23.6},{0,10,20,30,40,50,60,62,64,66,68,70,72,74,76,78,80,85,90,95,100})</f>
        <v>70</v>
      </c>
      <c r="F407" s="6">
        <v>230</v>
      </c>
      <c r="G407" s="40">
        <f>LOOKUP(F407,{0,170,175,180,185,190,195,199,203,207,211,215,219,223,227,231,235,243,250,255,260},{0,10,20,30,40,50,60,62,64,66,68,70,72,74,76,78,80,85,90,95,100})</f>
        <v>76</v>
      </c>
      <c r="H407" s="6">
        <v>7</v>
      </c>
      <c r="I407" s="40">
        <f>LOOKUP(H407,{0,2,3,4,5,6,7,8,9,10,11,12,13,14,15,16},{0,10,20,30,40,50,60,64,68,72,76,80,85,90,95,100})</f>
        <v>60</v>
      </c>
      <c r="J407" s="7"/>
      <c r="K407" s="7"/>
      <c r="L407" s="7">
        <f>I407+K407</f>
        <v>60</v>
      </c>
      <c r="M407" s="6">
        <v>7.5</v>
      </c>
      <c r="N407" s="43">
        <f>13-M407</f>
        <v>5.5</v>
      </c>
      <c r="O407" s="40">
        <f>LOOKUP(N407,{0,2.5,2.7,2.9,3.1,3.3,3.5,3.7,3.9,4.1,4.3,4.5,4.7,4.9,5.1,5.3,5.5,5.6,5.7,5.8,5.9},{0,10,20,30,40,50,60,62,64,66,68,70,72,74,76,78,80,85,90,95,100})</f>
        <v>80</v>
      </c>
      <c r="P407" s="6">
        <v>3.55</v>
      </c>
      <c r="Q407" s="6">
        <f>10-P407</f>
        <v>6.45</v>
      </c>
      <c r="R407" s="40">
        <f>LOOKUP(Q407,{0,3.75,3.95,4.55,4.75,4.95,5.55,5.6,5.65,5.7,5.75,5.8,5.85,5.9,5.95,6,6.45,6.53,6.6,6.65,6.7},{0,10,20,30,40,50,60,62,64,66,68,70,72,74,76,78,80,85,90,95,100})</f>
        <v>80</v>
      </c>
      <c r="S407" s="7"/>
      <c r="T407" s="7"/>
      <c r="U407" s="7">
        <f>R407+T407</f>
        <v>80</v>
      </c>
      <c r="W407" s="7">
        <f>E407*0.1+G407*0.1+I407*0.1+O407*0.2+R407*0.2</f>
        <v>52.6</v>
      </c>
      <c r="X407" s="21">
        <f>W407/0.7+K407+T407</f>
        <v>75.1428571428572</v>
      </c>
    </row>
    <row r="408" ht="15.6" hidden="1" spans="1:24">
      <c r="A408" s="6">
        <v>114</v>
      </c>
      <c r="B408" s="29" t="s">
        <v>691</v>
      </c>
      <c r="C408" s="29" t="s">
        <v>11</v>
      </c>
      <c r="D408" s="6">
        <v>8.5</v>
      </c>
      <c r="E408" s="40">
        <f>LOOKUP(D408,{0,-4,-3,-2,-1,0,1,2.4,3.8,5.2,6.6,8,9.4,10.8,12.2,13.6,15,17.2,19.4,21.5,23.6},{0,10,20,30,40,50,60,62,64,66,68,70,72,74,76,78,80,85,90,95,100})</f>
        <v>70</v>
      </c>
      <c r="F408" s="6">
        <v>228</v>
      </c>
      <c r="G408" s="40">
        <f>LOOKUP(F408,{0,170,175,180,185,190,195,199,203,207,211,215,219,223,227,231,235,243,250,255,260},{0,10,20,30,40,50,60,62,64,66,68,70,72,74,76,78,80,85,90,95,100})</f>
        <v>76</v>
      </c>
      <c r="H408" s="6">
        <v>6</v>
      </c>
      <c r="I408" s="40">
        <f>LOOKUP(H408,{0,2,3,4,5,6,7,8,9,10,11,12,13,14,15,16},{0,10,20,30,40,50,60,64,68,72,76,80,85,90,95,100})</f>
        <v>50</v>
      </c>
      <c r="J408" s="7"/>
      <c r="K408" s="7"/>
      <c r="L408" s="7">
        <f>I408+K408</f>
        <v>50</v>
      </c>
      <c r="M408" s="6">
        <v>7.5</v>
      </c>
      <c r="N408" s="43">
        <f>13-M408</f>
        <v>5.5</v>
      </c>
      <c r="O408" s="40">
        <f>LOOKUP(N408,{0,2.5,2.7,2.9,3.1,3.3,3.5,3.7,3.9,4.1,4.3,4.5,4.7,4.9,5.1,5.3,5.5,5.6,5.7,5.8,5.9},{0,10,20,30,40,50,60,62,64,66,68,70,72,74,76,78,80,85,90,95,100})</f>
        <v>80</v>
      </c>
      <c r="P408" s="6">
        <v>3.55</v>
      </c>
      <c r="Q408" s="6">
        <f>10-P408</f>
        <v>6.45</v>
      </c>
      <c r="R408" s="40">
        <f>LOOKUP(Q408,{0,3.75,3.95,4.55,4.75,4.95,5.55,5.6,5.65,5.7,5.75,5.8,5.85,5.9,5.95,6,6.45,6.53,6.6,6.65,6.7},{0,10,20,30,40,50,60,62,64,66,68,70,72,74,76,78,80,85,90,95,100})</f>
        <v>80</v>
      </c>
      <c r="S408" s="7"/>
      <c r="T408" s="7"/>
      <c r="U408" s="7">
        <f>R408+T408</f>
        <v>80</v>
      </c>
      <c r="W408" s="7">
        <f>E408*0.1+G408*0.1+I408*0.1+O408*0.2+R408*0.2</f>
        <v>51.6</v>
      </c>
      <c r="X408" s="21">
        <f>W408/0.7+K408+T408</f>
        <v>73.7142857142857</v>
      </c>
    </row>
    <row r="409" ht="15.6" hidden="1" spans="1:24">
      <c r="A409" s="6">
        <v>108</v>
      </c>
      <c r="B409" s="29" t="s">
        <v>354</v>
      </c>
      <c r="C409" s="29" t="s">
        <v>11</v>
      </c>
      <c r="D409" s="6">
        <v>9</v>
      </c>
      <c r="E409" s="40">
        <f>LOOKUP(D409,{0,-4,-3,-2,-1,0,1,2.4,3.8,5.2,6.6,8,9.4,10.8,12.2,13.6,15,17.2,19.4,21.5,23.6},{0,10,20,30,40,50,60,62,64,66,68,70,72,74,76,78,80,85,90,95,100})</f>
        <v>70</v>
      </c>
      <c r="F409" s="6">
        <v>235</v>
      </c>
      <c r="G409" s="40">
        <f>LOOKUP(F409,{0,170,175,180,185,190,195,199,203,207,211,215,219,223,227,231,235,243,250,255,260},{0,10,20,30,40,50,60,62,64,66,68,70,72,74,76,78,80,85,90,95,100})</f>
        <v>80</v>
      </c>
      <c r="H409" s="6">
        <v>10</v>
      </c>
      <c r="I409" s="40">
        <f>LOOKUP(H409,{0,2,3,4,5,6,7,8,9,10,11,12,13,14,15,16},{0,10,20,30,40,50,60,64,68,72,76,80,85,90,95,100})</f>
        <v>72</v>
      </c>
      <c r="J409" s="7"/>
      <c r="K409" s="7"/>
      <c r="L409" s="7">
        <f>I409+K409</f>
        <v>72</v>
      </c>
      <c r="M409" s="6">
        <v>7.5</v>
      </c>
      <c r="N409" s="43">
        <f>13-M409</f>
        <v>5.5</v>
      </c>
      <c r="O409" s="40">
        <f>LOOKUP(N409,{0,2.5,2.7,2.9,3.1,3.3,3.5,3.7,3.9,4.1,4.3,4.5,4.7,4.9,5.1,5.3,5.5,5.6,5.7,5.8,5.9},{0,10,20,30,40,50,60,62,64,66,68,70,72,74,76,78,80,85,90,95,100})</f>
        <v>80</v>
      </c>
      <c r="P409" s="6">
        <v>3.57</v>
      </c>
      <c r="Q409" s="6">
        <f>10-P409</f>
        <v>6.43</v>
      </c>
      <c r="R409" s="40">
        <f>LOOKUP(Q409,{0,3.75,3.95,4.55,4.75,4.95,5.55,5.6,5.65,5.7,5.75,5.8,5.85,5.9,5.95,6,6.45,6.53,6.6,6.65,6.7},{0,10,20,30,40,50,60,62,64,66,68,70,72,74,76,78,80,85,90,95,100})</f>
        <v>78</v>
      </c>
      <c r="S409" s="7"/>
      <c r="T409" s="7"/>
      <c r="U409" s="7">
        <f>R409+T409</f>
        <v>78</v>
      </c>
      <c r="W409" s="7">
        <f>E409*0.1+G409*0.1+I409*0.1+O409*0.2+R409*0.2</f>
        <v>53.8</v>
      </c>
      <c r="X409" s="21">
        <f>W409/0.7+K409+T409</f>
        <v>76.8571428571429</v>
      </c>
    </row>
    <row r="410" s="3" customFormat="1" ht="15.6" hidden="1" spans="1:24">
      <c r="A410" s="6">
        <v>108</v>
      </c>
      <c r="B410" s="29" t="s">
        <v>372</v>
      </c>
      <c r="C410" s="29" t="s">
        <v>11</v>
      </c>
      <c r="D410" s="6">
        <v>16.4</v>
      </c>
      <c r="E410" s="40">
        <f>LOOKUP(D410,{0,-4,-3,-2,-1,0,1,2.4,3.8,5.2,6.6,8,9.4,10.8,12.2,13.6,15,17.2,19.4,21.5,23.6},{0,10,20,30,40,50,60,62,64,66,68,70,72,74,76,78,80,85,90,95,100})</f>
        <v>80</v>
      </c>
      <c r="F410" s="6">
        <v>197</v>
      </c>
      <c r="G410" s="40">
        <f>LOOKUP(F410,{0,170,175,180,185,190,195,199,203,207,211,215,219,223,227,231,235,243,250,255,260},{0,10,20,30,40,50,60,62,64,66,68,70,72,74,76,78,80,85,90,95,100})</f>
        <v>60</v>
      </c>
      <c r="H410" s="6">
        <v>0</v>
      </c>
      <c r="I410" s="40">
        <f>LOOKUP(H410,{0,2,3,4,5,6,7,8,9,10,11,12,13,14,15,16},{0,10,20,30,40,50,60,64,68,72,76,80,85,90,95,100})</f>
        <v>0</v>
      </c>
      <c r="J410" s="7"/>
      <c r="K410" s="7"/>
      <c r="L410" s="7">
        <f>I410+K410</f>
        <v>0</v>
      </c>
      <c r="M410" s="6">
        <v>7.5</v>
      </c>
      <c r="N410" s="43">
        <f>13-M410</f>
        <v>5.5</v>
      </c>
      <c r="O410" s="40">
        <f>LOOKUP(N410,{0,2.5,2.7,2.9,3.1,3.3,3.5,3.7,3.9,4.1,4.3,4.5,4.7,4.9,5.1,5.3,5.5,5.6,5.7,5.8,5.9},{0,10,20,30,40,50,60,62,64,66,68,70,72,74,76,78,80,85,90,95,100})</f>
        <v>80</v>
      </c>
      <c r="P410" s="6">
        <v>3.57</v>
      </c>
      <c r="Q410" s="6">
        <f>10-P410</f>
        <v>6.43</v>
      </c>
      <c r="R410" s="40">
        <f>LOOKUP(Q410,{0,3.75,3.95,4.55,4.75,4.95,5.55,5.6,5.65,5.7,5.75,5.8,5.85,5.9,5.95,6,6.45,6.53,6.6,6.65,6.7},{0,10,20,30,40,50,60,62,64,66,68,70,72,74,76,78,80,85,90,95,100})</f>
        <v>78</v>
      </c>
      <c r="S410" s="7"/>
      <c r="T410" s="7"/>
      <c r="U410" s="7">
        <f>R410+T410</f>
        <v>78</v>
      </c>
      <c r="V410" s="6"/>
      <c r="W410" s="7">
        <f>E410*0.1+G410*0.1+I410*0.1+O410*0.2+R410*0.2</f>
        <v>45.6</v>
      </c>
      <c r="X410" s="21">
        <f>W410/0.7+K410+T410</f>
        <v>65.1428571428572</v>
      </c>
    </row>
    <row r="411" ht="15.6" hidden="1" spans="1:24">
      <c r="A411" s="6">
        <v>105</v>
      </c>
      <c r="B411" s="29" t="s">
        <v>219</v>
      </c>
      <c r="C411" s="29" t="s">
        <v>11</v>
      </c>
      <c r="D411" s="6">
        <v>10</v>
      </c>
      <c r="E411" s="40">
        <f>LOOKUP(D411,{0,-4,-3,-2,-1,0,1,2.4,3.8,5.2,6.6,8,9.4,10.8,12.2,13.6,15,17.2,19.4,21.5,23.6},{0,10,20,30,40,50,60,62,64,66,68,70,72,74,76,78,80,85,90,95,100})</f>
        <v>72</v>
      </c>
      <c r="F411" s="6">
        <v>217</v>
      </c>
      <c r="G411" s="40">
        <f>LOOKUP(F411,{0,170,175,180,185,190,195,199,203,207,211,215,219,223,227,231,235,243,250,255,260},{0,10,20,30,40,50,60,62,64,66,68,70,72,74,76,78,80,85,90,95,100})</f>
        <v>70</v>
      </c>
      <c r="H411" s="6">
        <v>29</v>
      </c>
      <c r="I411" s="40">
        <f>LOOKUP(H411,{0,2,3,4,5,6,7,8,9,10,11,12,13,14,15,16},{0,10,20,30,40,50,60,64,68,72,76,80,85,90,95,100})</f>
        <v>100</v>
      </c>
      <c r="J411" s="7">
        <f>H411-16</f>
        <v>13</v>
      </c>
      <c r="K411" s="40">
        <f>LOOKUP(J411,{0,1,2,3,4,5,6,7,8,9,10},{0,1,2,3,4,5,6,7,8,9,10})</f>
        <v>10</v>
      </c>
      <c r="L411" s="7">
        <f>I411+K411</f>
        <v>110</v>
      </c>
      <c r="M411" s="6">
        <v>7.5</v>
      </c>
      <c r="N411" s="43">
        <f>13-M411</f>
        <v>5.5</v>
      </c>
      <c r="O411" s="40">
        <f>LOOKUP(N411,{0,2.5,2.7,2.9,3.1,3.3,3.5,3.7,3.9,4.1,4.3,4.5,4.7,4.9,5.1,5.3,5.5,5.6,5.7,5.8,5.9},{0,10,20,30,40,50,60,62,64,66,68,70,72,74,76,78,80,85,90,95,100})</f>
        <v>80</v>
      </c>
      <c r="P411" s="6">
        <v>4.03</v>
      </c>
      <c r="Q411" s="6">
        <f>10-P411</f>
        <v>5.97</v>
      </c>
      <c r="R411" s="40">
        <f>LOOKUP(Q411,{0,3.75,3.95,4.55,4.75,4.95,5.55,5.6,5.65,5.7,5.75,5.8,5.85,5.9,5.95,6,6.45,6.53,6.6,6.65,6.7},{0,10,20,30,40,50,60,62,64,66,68,70,72,74,76,78,80,85,90,95,100})</f>
        <v>76</v>
      </c>
      <c r="S411" s="7"/>
      <c r="T411" s="7"/>
      <c r="U411" s="7">
        <f>R411+T411</f>
        <v>76</v>
      </c>
      <c r="W411" s="7">
        <f>E411*0.1+G411*0.1+I411*0.1+O411*0.2+R411*0.2</f>
        <v>55.4</v>
      </c>
      <c r="X411" s="21">
        <f>W411/0.7+K411+T411</f>
        <v>89.1428571428572</v>
      </c>
    </row>
    <row r="412" ht="15.6" hidden="1" spans="1:24">
      <c r="A412" s="6">
        <v>108</v>
      </c>
      <c r="B412" s="29" t="s">
        <v>382</v>
      </c>
      <c r="C412" s="29" t="s">
        <v>11</v>
      </c>
      <c r="D412" s="6">
        <v>10.2</v>
      </c>
      <c r="E412" s="40">
        <f>LOOKUP(D412,{0,-4,-3,-2,-1,0,1,2.4,3.8,5.2,6.6,8,9.4,10.8,12.2,13.6,15,17.2,19.4,21.5,23.6},{0,10,20,30,40,50,60,62,64,66,68,70,72,74,76,78,80,85,90,95,100})</f>
        <v>72</v>
      </c>
      <c r="F412" s="6">
        <v>198</v>
      </c>
      <c r="G412" s="40">
        <f>LOOKUP(F412,{0,170,175,180,185,190,195,199,203,207,211,215,219,223,227,231,235,243,250,255,260},{0,10,20,30,40,50,60,62,64,66,68,70,72,74,76,78,80,85,90,95,100})</f>
        <v>60</v>
      </c>
      <c r="H412" s="6">
        <v>1</v>
      </c>
      <c r="I412" s="40">
        <f>LOOKUP(H412,{0,2,3,4,5,6,7,8,9,10,11,12,13,14,15,16},{0,10,20,30,40,50,60,64,68,72,76,80,85,90,95,100})</f>
        <v>0</v>
      </c>
      <c r="J412" s="7"/>
      <c r="K412" s="7"/>
      <c r="L412" s="7">
        <f>I412+K412</f>
        <v>0</v>
      </c>
      <c r="M412" s="6">
        <v>7.5</v>
      </c>
      <c r="N412" s="43">
        <f>13-M412</f>
        <v>5.5</v>
      </c>
      <c r="O412" s="40">
        <f>LOOKUP(N412,{0,2.5,2.7,2.9,3.1,3.3,3.5,3.7,3.9,4.1,4.3,4.5,4.7,4.9,5.1,5.3,5.5,5.6,5.7,5.8,5.9},{0,10,20,30,40,50,60,62,64,66,68,70,72,74,76,78,80,85,90,95,100})</f>
        <v>80</v>
      </c>
      <c r="P412" s="6">
        <v>4.1</v>
      </c>
      <c r="Q412" s="6">
        <f>10-P412</f>
        <v>5.9</v>
      </c>
      <c r="R412" s="40">
        <f>LOOKUP(Q412,{0,3.75,3.95,4.55,4.75,4.95,5.55,5.6,5.65,5.7,5.75,5.8,5.85,5.9,5.95,6,6.45,6.53,6.6,6.65,6.7},{0,10,20,30,40,50,60,62,64,66,68,70,72,74,76,78,80,85,90,95,100})</f>
        <v>74</v>
      </c>
      <c r="S412" s="7"/>
      <c r="T412" s="7"/>
      <c r="U412" s="7">
        <f>R412+T412</f>
        <v>74</v>
      </c>
      <c r="W412" s="7">
        <f>E412*0.1+G412*0.1+I412*0.1+O412*0.2+R412*0.2</f>
        <v>44</v>
      </c>
      <c r="X412" s="21">
        <f>W412/0.7+K412+T412</f>
        <v>62.8571428571429</v>
      </c>
    </row>
    <row r="413" ht="15.6" hidden="1" spans="1:24">
      <c r="A413" s="6">
        <v>108</v>
      </c>
      <c r="B413" s="29" t="s">
        <v>379</v>
      </c>
      <c r="C413" s="29" t="s">
        <v>11</v>
      </c>
      <c r="D413" s="6">
        <v>10.6</v>
      </c>
      <c r="E413" s="40">
        <f>LOOKUP(D413,{0,-4,-3,-2,-1,0,1,2.4,3.8,5.2,6.6,8,9.4,10.8,12.2,13.6,15,17.2,19.4,21.5,23.6},{0,10,20,30,40,50,60,62,64,66,68,70,72,74,76,78,80,85,90,95,100})</f>
        <v>72</v>
      </c>
      <c r="F413" s="6">
        <v>233</v>
      </c>
      <c r="G413" s="40">
        <f>LOOKUP(F413,{0,170,175,180,185,190,195,199,203,207,211,215,219,223,227,231,235,243,250,255,260},{0,10,20,30,40,50,60,62,64,66,68,70,72,74,76,78,80,85,90,95,100})</f>
        <v>78</v>
      </c>
      <c r="H413" s="6">
        <v>0</v>
      </c>
      <c r="I413" s="40">
        <f>LOOKUP(H413,{0,2,3,4,5,6,7,8,9,10,11,12,13,14,15,16},{0,10,20,30,40,50,60,64,68,72,76,80,85,90,95,100})</f>
        <v>0</v>
      </c>
      <c r="J413" s="7"/>
      <c r="K413" s="7"/>
      <c r="L413" s="7">
        <f>I413+K413</f>
        <v>0</v>
      </c>
      <c r="M413" s="6">
        <v>7.5</v>
      </c>
      <c r="N413" s="43">
        <f>13-M413</f>
        <v>5.5</v>
      </c>
      <c r="O413" s="40">
        <f>LOOKUP(N413,{0,2.5,2.7,2.9,3.1,3.3,3.5,3.7,3.9,4.1,4.3,4.5,4.7,4.9,5.1,5.3,5.5,5.6,5.7,5.8,5.9},{0,10,20,30,40,50,60,62,64,66,68,70,72,74,76,78,80,85,90,95,100})</f>
        <v>80</v>
      </c>
      <c r="P413" s="6">
        <v>4.11</v>
      </c>
      <c r="Q413" s="6">
        <f>10-P413</f>
        <v>5.89</v>
      </c>
      <c r="R413" s="40">
        <f>LOOKUP(Q413,{0,3.75,3.95,4.55,4.75,4.95,5.55,5.6,5.65,5.7,5.75,5.8,5.85,5.9,5.95,6,6.45,6.53,6.6,6.65,6.7},{0,10,20,30,40,50,60,62,64,66,68,70,72,74,76,78,80,85,90,95,100})</f>
        <v>72</v>
      </c>
      <c r="S413" s="7"/>
      <c r="T413" s="7"/>
      <c r="U413" s="7">
        <f>R413+T413</f>
        <v>72</v>
      </c>
      <c r="W413" s="7">
        <f>E413*0.1+G413*0.1+I413*0.1+O413*0.2+R413*0.2</f>
        <v>45.4</v>
      </c>
      <c r="X413" s="21">
        <f>W413/0.7+K413+T413</f>
        <v>64.8571428571429</v>
      </c>
    </row>
    <row r="414" ht="15.6" hidden="1" spans="1:24">
      <c r="A414" s="6">
        <v>105</v>
      </c>
      <c r="B414" s="29" t="s">
        <v>223</v>
      </c>
      <c r="C414" s="29" t="s">
        <v>11</v>
      </c>
      <c r="D414" s="6">
        <v>9.6</v>
      </c>
      <c r="E414" s="40">
        <f>LOOKUP(D414,{0,-4,-3,-2,-1,0,1,2.4,3.8,5.2,6.6,8,9.4,10.8,12.2,13.6,15,17.2,19.4,21.5,23.6},{0,10,20,30,40,50,60,62,64,66,68,70,72,74,76,78,80,85,90,95,100})</f>
        <v>72</v>
      </c>
      <c r="F414" s="6">
        <v>208</v>
      </c>
      <c r="G414" s="40">
        <f>LOOKUP(F414,{0,170,175,180,185,190,195,199,203,207,211,215,219,223,227,231,235,243,250,255,260},{0,10,20,30,40,50,60,62,64,66,68,70,72,74,76,78,80,85,90,95,100})</f>
        <v>66</v>
      </c>
      <c r="H414" s="6">
        <v>2</v>
      </c>
      <c r="I414" s="40">
        <f>LOOKUP(H414,{0,2,3,4,5,6,7,8,9,10,11,12,13,14,15,16},{0,10,20,30,40,50,60,64,68,72,76,80,85,90,95,100})</f>
        <v>10</v>
      </c>
      <c r="J414" s="7"/>
      <c r="K414" s="7"/>
      <c r="L414" s="7">
        <f>I414+K414</f>
        <v>10</v>
      </c>
      <c r="M414" s="6">
        <v>7.5</v>
      </c>
      <c r="N414" s="43">
        <f>13-M414</f>
        <v>5.5</v>
      </c>
      <c r="O414" s="40">
        <f>LOOKUP(N414,{0,2.5,2.7,2.9,3.1,3.3,3.5,3.7,3.9,4.1,4.3,4.5,4.7,4.9,5.1,5.3,5.5,5.6,5.7,5.8,5.9},{0,10,20,30,40,50,60,62,64,66,68,70,72,74,76,78,80,85,90,95,100})</f>
        <v>80</v>
      </c>
      <c r="P414" s="6">
        <v>4.12</v>
      </c>
      <c r="Q414" s="6">
        <f>10-P414</f>
        <v>5.88</v>
      </c>
      <c r="R414" s="40">
        <f>LOOKUP(Q414,{0,3.75,3.95,4.55,4.75,4.95,5.55,5.6,5.65,5.7,5.75,5.8,5.85,5.9,5.95,6,6.45,6.53,6.6,6.65,6.7},{0,10,20,30,40,50,60,62,64,66,68,70,72,74,76,78,80,85,90,95,100})</f>
        <v>72</v>
      </c>
      <c r="S414" s="7"/>
      <c r="T414" s="7"/>
      <c r="U414" s="7">
        <f>R414+T414</f>
        <v>72</v>
      </c>
      <c r="W414" s="7">
        <f>E414*0.1+G414*0.1+I414*0.1+O414*0.2+R414*0.2</f>
        <v>45.2</v>
      </c>
      <c r="X414" s="21">
        <f>W414/0.7+K414+T414</f>
        <v>64.5714285714286</v>
      </c>
    </row>
    <row r="415" ht="15.6" hidden="1" spans="1:24">
      <c r="A415" s="6">
        <v>103</v>
      </c>
      <c r="B415" s="29" t="s">
        <v>134</v>
      </c>
      <c r="C415" s="29" t="s">
        <v>11</v>
      </c>
      <c r="D415" s="6">
        <v>8</v>
      </c>
      <c r="E415" s="40">
        <f>LOOKUP(D415,{0,-4,-3,-2,-1,0,1,2.4,3.8,5.2,6.6,8,9.4,10.8,12.2,13.6,15,17.2,19.4,21.5,23.6},{0,10,20,30,40,50,60,62,64,66,68,70,72,74,76,78,80,85,90,95,100})</f>
        <v>70</v>
      </c>
      <c r="F415" s="6">
        <v>217</v>
      </c>
      <c r="G415" s="40">
        <f>LOOKUP(F415,{0,170,175,180,185,190,195,199,203,207,211,215,219,223,227,231,235,243,250,255,260},{0,10,20,30,40,50,60,62,64,66,68,70,72,74,76,78,80,85,90,95,100})</f>
        <v>70</v>
      </c>
      <c r="H415" s="6">
        <v>3</v>
      </c>
      <c r="I415" s="40">
        <f>LOOKUP(H415,{0,2,3,4,5,6,7,8,9,10,11,12,13,14,15,16},{0,10,20,30,40,50,60,64,68,72,76,80,85,90,95,100})</f>
        <v>20</v>
      </c>
      <c r="J415" s="7"/>
      <c r="K415" s="7"/>
      <c r="L415" s="7">
        <f>I415+K415</f>
        <v>20</v>
      </c>
      <c r="M415" s="6">
        <v>7.5</v>
      </c>
      <c r="N415" s="43">
        <f>13-M415</f>
        <v>5.5</v>
      </c>
      <c r="O415" s="40">
        <f>LOOKUP(N415,{0,2.5,2.7,2.9,3.1,3.3,3.5,3.7,3.9,4.1,4.3,4.5,4.7,4.9,5.1,5.3,5.5,5.6,5.7,5.8,5.9},{0,10,20,30,40,50,60,62,64,66,68,70,72,74,76,78,80,85,90,95,100})</f>
        <v>80</v>
      </c>
      <c r="P415" s="6">
        <v>4.16</v>
      </c>
      <c r="Q415" s="6">
        <f>10-P415</f>
        <v>5.84</v>
      </c>
      <c r="R415" s="40">
        <f>LOOKUP(Q415,{0,3.75,3.95,4.55,4.75,4.95,5.55,5.6,5.65,5.7,5.75,5.8,5.85,5.9,5.95,6,6.45,6.53,6.6,6.65,6.7},{0,10,20,30,40,50,60,62,64,66,68,70,72,74,76,78,80,85,90,95,100})</f>
        <v>70</v>
      </c>
      <c r="S415" s="7"/>
      <c r="T415" s="7"/>
      <c r="U415" s="7">
        <f>R415+T415</f>
        <v>70</v>
      </c>
      <c r="W415" s="7">
        <f>E415*0.1+G415*0.1+I415*0.1+O415*0.2+R415*0.2</f>
        <v>46</v>
      </c>
      <c r="X415" s="21">
        <f>W415/0.7+K415+T415</f>
        <v>65.7142857142857</v>
      </c>
    </row>
    <row r="416" ht="15.6" hidden="1" spans="1:24">
      <c r="A416" s="6">
        <v>109</v>
      </c>
      <c r="B416" s="29" t="s">
        <v>432</v>
      </c>
      <c r="C416" s="29" t="s">
        <v>11</v>
      </c>
      <c r="D416" s="6">
        <v>11.2</v>
      </c>
      <c r="E416" s="40">
        <f>LOOKUP(D416,{0,-4,-3,-2,-1,0,1,2.4,3.8,5.2,6.6,8,9.4,10.8,12.2,13.6,15,17.2,19.4,21.5,23.6},{0,10,20,30,40,50,60,62,64,66,68,70,72,74,76,78,80,85,90,95,100})</f>
        <v>74</v>
      </c>
      <c r="F416" s="6">
        <v>226</v>
      </c>
      <c r="G416" s="40">
        <f>LOOKUP(F416,{0,170,175,180,185,190,195,199,203,207,211,215,219,223,227,231,235,243,250,255,260},{0,10,20,30,40,50,60,62,64,66,68,70,72,74,76,78,80,85,90,95,100})</f>
        <v>74</v>
      </c>
      <c r="H416" s="6">
        <v>0</v>
      </c>
      <c r="I416" s="40">
        <f>LOOKUP(H416,{0,2,3,4,5,6,7,8,9,10,11,12,13,14,15,16},{0,10,20,30,40,50,60,64,68,72,76,80,85,90,95,100})</f>
        <v>0</v>
      </c>
      <c r="J416" s="7"/>
      <c r="K416" s="7"/>
      <c r="L416" s="7">
        <f>I416+K416</f>
        <v>0</v>
      </c>
      <c r="M416" s="6">
        <v>7.5</v>
      </c>
      <c r="N416" s="43">
        <f>13-M416</f>
        <v>5.5</v>
      </c>
      <c r="O416" s="40">
        <f>LOOKUP(N416,{0,2.5,2.7,2.9,3.1,3.3,3.5,3.7,3.9,4.1,4.3,4.5,4.7,4.9,5.1,5.3,5.5,5.6,5.7,5.8,5.9},{0,10,20,30,40,50,60,62,64,66,68,70,72,74,76,78,80,85,90,95,100})</f>
        <v>80</v>
      </c>
      <c r="P416" s="6">
        <v>5.36</v>
      </c>
      <c r="Q416" s="6">
        <f>10-P416</f>
        <v>4.64</v>
      </c>
      <c r="R416" s="40">
        <f>LOOKUP(Q416,{0,3.75,3.95,4.55,4.75,4.95,5.55,5.6,5.65,5.7,5.75,5.8,5.85,5.9,5.95,6,6.45,6.53,6.6,6.65,6.7},{0,10,20,30,40,50,60,62,64,66,68,70,72,74,76,78,80,85,90,95,100})</f>
        <v>30</v>
      </c>
      <c r="S416" s="7"/>
      <c r="T416" s="7"/>
      <c r="U416" s="7">
        <f>R416+T416</f>
        <v>30</v>
      </c>
      <c r="W416" s="7">
        <f>E416*0.1+G416*0.1+I416*0.1+O416*0.2+R416*0.2</f>
        <v>36.8</v>
      </c>
      <c r="X416" s="21">
        <f>W416/0.7+K416+T416</f>
        <v>52.5714285714286</v>
      </c>
    </row>
    <row r="417" ht="15.6" hidden="1" spans="1:24">
      <c r="A417" s="6">
        <v>109</v>
      </c>
      <c r="B417" s="39" t="s">
        <v>416</v>
      </c>
      <c r="C417" s="29" t="s">
        <v>11</v>
      </c>
      <c r="D417" s="6">
        <v>-0.5</v>
      </c>
      <c r="E417" s="40">
        <f>LOOKUP(D417,{0,-4,-3,-2,-1,0,1,2.4,3.8,5.2,6.6,8,9.4,10.8,12.2,13.6,15,17.2,19.4,21.5,23.6},{0,10,20,30,40,50,60,62,64,66,68,70,72,74,76,78,80,85,90,95,100})</f>
        <v>40</v>
      </c>
      <c r="F417" s="6">
        <v>217</v>
      </c>
      <c r="G417" s="40">
        <f>LOOKUP(F417,{0,170,175,180,185,190,195,199,203,207,211,215,219,223,227,231,235,243,250,255,260},{0,10,20,30,40,50,60,62,64,66,68,70,72,74,76,78,80,85,90,95,100})</f>
        <v>70</v>
      </c>
      <c r="H417" s="6">
        <v>12</v>
      </c>
      <c r="I417" s="40">
        <f>LOOKUP(H417,{0,2,3,4,5,6,7,8,9,10,11,12,13,14,15,16},{0,10,20,30,40,50,60,64,68,72,76,80,85,90,95,100})</f>
        <v>80</v>
      </c>
      <c r="J417" s="7"/>
      <c r="K417" s="7"/>
      <c r="L417" s="7">
        <f>I417+K417</f>
        <v>80</v>
      </c>
      <c r="M417" s="6">
        <v>7.5</v>
      </c>
      <c r="N417" s="43">
        <f>13-M417</f>
        <v>5.5</v>
      </c>
      <c r="O417" s="40">
        <f>LOOKUP(N417,{0,2.5,2.7,2.9,3.1,3.3,3.5,3.7,3.9,4.1,4.3,4.5,4.7,4.9,5.1,5.3,5.5,5.6,5.7,5.8,5.9},{0,10,20,30,40,50,60,62,64,66,68,70,72,74,76,78,80,85,90,95,100})</f>
        <v>80</v>
      </c>
      <c r="P417" s="6">
        <v>5.55</v>
      </c>
      <c r="Q417" s="6">
        <f>10-P417</f>
        <v>4.45</v>
      </c>
      <c r="R417" s="40">
        <f>LOOKUP(Q417,{0,3.75,3.95,4.55,4.75,4.95,5.55,5.6,5.65,5.7,5.75,5.8,5.85,5.9,5.95,6,6.45,6.53,6.6,6.65,6.7},{0,10,20,30,40,50,60,62,64,66,68,70,72,74,76,78,80,85,90,95,100})</f>
        <v>20</v>
      </c>
      <c r="S417" s="7"/>
      <c r="T417" s="7"/>
      <c r="U417" s="7">
        <f>R417+T417</f>
        <v>20</v>
      </c>
      <c r="W417" s="7">
        <f>E417*0.1+G417*0.1+I417*0.1+O417*0.2+R417*0.2</f>
        <v>39</v>
      </c>
      <c r="X417" s="21">
        <f>W417/0.7+K417+T417</f>
        <v>55.7142857142857</v>
      </c>
    </row>
    <row r="418" ht="15.6" hidden="1" spans="1:24">
      <c r="A418" s="6">
        <v>112</v>
      </c>
      <c r="B418" s="30" t="s">
        <v>597</v>
      </c>
      <c r="C418" s="30" t="s">
        <v>11</v>
      </c>
      <c r="D418" s="6"/>
      <c r="E418" s="40"/>
      <c r="F418" s="6"/>
      <c r="G418" s="40"/>
      <c r="H418" s="6"/>
      <c r="I418" s="40"/>
      <c r="J418" s="7"/>
      <c r="K418" s="7"/>
      <c r="L418" s="7"/>
      <c r="M418" s="6">
        <v>7.5</v>
      </c>
      <c r="N418" s="43">
        <f>13-M418</f>
        <v>5.5</v>
      </c>
      <c r="O418" s="40">
        <f>LOOKUP(N418,{0,2.5,2.7,2.9,3.1,3.3,3.5,3.7,3.9,4.1,4.3,4.5,4.7,4.9,5.1,5.3,5.5,5.6,5.7,5.8,5.9},{0,10,20,30,40,50,60,62,64,66,68,70,72,74,76,78,80,85,90,95,100})</f>
        <v>80</v>
      </c>
      <c r="R418" s="40"/>
      <c r="S418" s="7"/>
      <c r="T418" s="40"/>
      <c r="U418" s="7"/>
      <c r="V418" s="6" t="s">
        <v>513</v>
      </c>
      <c r="W418" s="7">
        <f>E418*0.1+G418*0.1+I418*0.1+O418*0.2+R418*0.2</f>
        <v>16</v>
      </c>
      <c r="X418" s="21">
        <v>50</v>
      </c>
    </row>
    <row r="419" ht="15.6" hidden="1" spans="1:24">
      <c r="A419" s="6">
        <v>111</v>
      </c>
      <c r="B419" s="29" t="s">
        <v>524</v>
      </c>
      <c r="C419" s="29" t="s">
        <v>11</v>
      </c>
      <c r="D419" s="6">
        <v>3</v>
      </c>
      <c r="E419" s="40">
        <f>LOOKUP(D419,{0,-4,-3,-2,-1,0,1,2.4,3.8,5.2,6.6,8,9.4,10.8,12.2,13.6,15,17.2,19.4,21.5,23.6},{0,10,20,30,40,50,60,62,64,66,68,70,72,74,76,78,80,85,90,95,100})</f>
        <v>62</v>
      </c>
      <c r="F419" s="6">
        <v>220</v>
      </c>
      <c r="G419" s="40">
        <f>LOOKUP(F419,{0,170,175,180,185,190,195,199,203,207,211,215,219,223,227,231,235,243,250,255,260},{0,10,20,30,40,50,60,62,64,66,68,70,72,74,76,78,80,85,90,95,100})</f>
        <v>72</v>
      </c>
      <c r="H419" s="6">
        <v>21</v>
      </c>
      <c r="I419" s="40">
        <f>LOOKUP(H419,{0,2,3,4,5,6,7,8,9,10,11,12,13,14,15,16},{0,10,20,30,40,50,60,64,68,72,76,80,85,90,95,100})</f>
        <v>100</v>
      </c>
      <c r="J419" s="7">
        <f>H419-16</f>
        <v>5</v>
      </c>
      <c r="K419" s="40">
        <f>LOOKUP(J419,{0,1,2,3,4,5,6,7,8,9,10},{0,1,2,3,4,5,6,7,8,9,10})</f>
        <v>5</v>
      </c>
      <c r="L419" s="7">
        <f>I419+K419</f>
        <v>105</v>
      </c>
      <c r="M419" s="6">
        <v>7.6</v>
      </c>
      <c r="N419" s="43">
        <f>13-M419</f>
        <v>5.4</v>
      </c>
      <c r="O419" s="40">
        <f>LOOKUP(N419,{0,2.5,2.7,2.9,3.1,3.3,3.5,3.7,3.9,4.1,4.3,4.5,4.7,4.9,5.1,5.3,5.5,5.6,5.7,5.8,5.9},{0,10,20,30,40,50,60,62,64,66,68,70,72,74,76,78,80,85,90,95,100})</f>
        <v>78</v>
      </c>
      <c r="P419" s="6">
        <v>3.27</v>
      </c>
      <c r="Q419" s="6">
        <f>10-P419</f>
        <v>6.73</v>
      </c>
      <c r="R419" s="40">
        <f>LOOKUP(Q419,{0,3.75,3.95,4.55,4.75,4.95,5.55,5.6,5.65,5.7,5.75,5.8,5.85,5.9,5.95,6,6.45,6.53,6.6,6.65,6.7},{0,10,20,30,40,50,60,62,64,66,68,70,72,74,76,78,80,85,90,95,100})</f>
        <v>100</v>
      </c>
      <c r="S419" s="7">
        <f>3.3-P419</f>
        <v>0.0299999999999998</v>
      </c>
      <c r="T419" s="40">
        <f>LOOKUP(S419,{0,0.04,0.08,0.12,0.16,0.2,0.23,0.26,0.29,0.32,0.35},{0,1,2,3,4,5,6,7,8,9,10})</f>
        <v>0</v>
      </c>
      <c r="U419" s="7">
        <f>R419+T419</f>
        <v>100</v>
      </c>
      <c r="W419" s="7">
        <f>E419*0.1+G419*0.1+I419*0.1+O419*0.2+R419*0.2</f>
        <v>59</v>
      </c>
      <c r="X419" s="21">
        <f>W419/0.7+K419+T419</f>
        <v>89.2857142857143</v>
      </c>
    </row>
    <row r="420" ht="15.6" hidden="1" spans="1:24">
      <c r="A420" s="6">
        <v>113</v>
      </c>
      <c r="B420" s="29" t="s">
        <v>630</v>
      </c>
      <c r="C420" s="29" t="s">
        <v>11</v>
      </c>
      <c r="D420" s="6">
        <v>-9.5</v>
      </c>
      <c r="E420" s="40">
        <v>0</v>
      </c>
      <c r="F420" s="6">
        <v>214</v>
      </c>
      <c r="G420" s="40">
        <f>LOOKUP(F420,{0,170,175,180,185,190,195,199,203,207,211,215,219,223,227,231,235,243,250,255,260},{0,10,20,30,40,50,60,62,64,66,68,70,72,74,76,78,80,85,90,95,100})</f>
        <v>68</v>
      </c>
      <c r="H420" s="6">
        <v>13</v>
      </c>
      <c r="I420" s="40">
        <f>LOOKUP(H420,{0,2,3,4,5,6,7,8,9,10,11,12,13,14,15,16},{0,10,20,30,40,50,60,64,68,72,76,80,85,90,95,100})</f>
        <v>85</v>
      </c>
      <c r="J420" s="7"/>
      <c r="K420" s="7"/>
      <c r="L420" s="7">
        <f>I420+K420</f>
        <v>85</v>
      </c>
      <c r="M420" s="6">
        <v>7.6</v>
      </c>
      <c r="N420" s="43">
        <f>13-M420</f>
        <v>5.4</v>
      </c>
      <c r="O420" s="40">
        <f>LOOKUP(N420,{0,2.5,2.7,2.9,3.1,3.3,3.5,3.7,3.9,4.1,4.3,4.5,4.7,4.9,5.1,5.3,5.5,5.6,5.7,5.8,5.9},{0,10,20,30,40,50,60,62,64,66,68,70,72,74,76,78,80,85,90,95,100})</f>
        <v>78</v>
      </c>
      <c r="P420" s="6">
        <v>3.33</v>
      </c>
      <c r="Q420" s="6">
        <f>10-P420</f>
        <v>6.67</v>
      </c>
      <c r="R420" s="40">
        <f>LOOKUP(Q420,{0,3.75,3.95,4.55,4.75,4.95,5.55,5.6,5.65,5.7,5.75,5.8,5.85,5.9,5.95,6,6.45,6.53,6.6,6.65,6.7},{0,10,20,30,40,50,60,62,64,66,68,70,72,74,76,78,80,85,90,95,100})</f>
        <v>95</v>
      </c>
      <c r="S420" s="7"/>
      <c r="T420" s="7"/>
      <c r="U420" s="7">
        <f>R420+T420</f>
        <v>95</v>
      </c>
      <c r="W420" s="7">
        <f>E420*0.1+G420*0.1+I420*0.1+O420*0.2+R420*0.2</f>
        <v>49.9</v>
      </c>
      <c r="X420" s="21">
        <f>W420/0.7+K420+T420</f>
        <v>71.2857142857143</v>
      </c>
    </row>
    <row r="421" s="3" customFormat="1" ht="15.6" hidden="1" spans="1:24">
      <c r="A421" s="6">
        <v>102</v>
      </c>
      <c r="B421" s="29" t="s">
        <v>82</v>
      </c>
      <c r="C421" s="29" t="s">
        <v>11</v>
      </c>
      <c r="D421" s="6">
        <v>9.8</v>
      </c>
      <c r="E421" s="40">
        <f>LOOKUP(D421,{0,-4,-3,-2,-1,0,1,2.4,3.8,5.2,6.6,8,9.4,10.8,12.2,13.6,15,17.2,19.4,21.5,23.6},{0,10,20,30,40,50,60,62,64,66,68,70,72,74,76,78,80,85,90,95,100})</f>
        <v>72</v>
      </c>
      <c r="F421" s="6">
        <v>170</v>
      </c>
      <c r="G421" s="40">
        <f>LOOKUP(F421,{0,170,175,180,185,190,195,199,203,207,211,215,219,223,227,231,235,243,250,255,260},{0,10,20,30,40,50,60,62,64,66,68,70,72,74,76,78,80,85,90,95,100})</f>
        <v>10</v>
      </c>
      <c r="H421" s="6">
        <v>1</v>
      </c>
      <c r="I421" s="40">
        <f>LOOKUP(H421,{0,2,3,4,5,6,7,8,9,10,11,12,13,14,15,16},{0,10,20,30,40,50,60,64,68,72,76,80,85,90,95,100})</f>
        <v>0</v>
      </c>
      <c r="J421" s="7"/>
      <c r="K421" s="7"/>
      <c r="L421" s="7">
        <f>I421+K421</f>
        <v>0</v>
      </c>
      <c r="M421" s="6">
        <v>7.6</v>
      </c>
      <c r="N421" s="43">
        <f>13-M421</f>
        <v>5.4</v>
      </c>
      <c r="O421" s="40">
        <f>LOOKUP(N421,{0,2.5,2.7,2.9,3.1,3.3,3.5,3.7,3.9,4.1,4.3,4.5,4.7,4.9,5.1,5.3,5.5,5.6,5.7,5.8,5.9},{0,10,20,30,40,50,60,62,64,66,68,70,72,74,76,78,80,85,90,95,100})</f>
        <v>78</v>
      </c>
      <c r="P421" s="6">
        <v>3.35</v>
      </c>
      <c r="Q421" s="6">
        <f>10-P421</f>
        <v>6.65</v>
      </c>
      <c r="R421" s="40">
        <f>LOOKUP(Q421,{0,3.75,3.95,4.55,4.75,4.95,5.55,5.6,5.65,5.7,5.75,5.8,5.85,5.9,5.95,6,6.45,6.53,6.6,6.65,6.7},{0,10,20,30,40,50,60,62,64,66,68,70,72,74,76,78,80,85,90,95,100})</f>
        <v>95</v>
      </c>
      <c r="S421" s="7"/>
      <c r="T421" s="7"/>
      <c r="U421" s="7">
        <f>R421+T421</f>
        <v>95</v>
      </c>
      <c r="V421" s="6"/>
      <c r="W421" s="7">
        <f>E421*0.1+G421*0.1+I421*0.1+O421*0.2+R421*0.2</f>
        <v>42.8</v>
      </c>
      <c r="X421" s="21">
        <f>W421/0.7+K421+T421</f>
        <v>61.1428571428571</v>
      </c>
    </row>
    <row r="422" ht="15.6" hidden="1" spans="1:24">
      <c r="A422" s="6">
        <v>112</v>
      </c>
      <c r="B422" s="29" t="s">
        <v>575</v>
      </c>
      <c r="C422" s="29" t="s">
        <v>11</v>
      </c>
      <c r="D422" s="6">
        <v>8.5</v>
      </c>
      <c r="E422" s="40">
        <f>LOOKUP(D422,{0,-4,-3,-2,-1,0,1,2.4,3.8,5.2,6.6,8,9.4,10.8,12.2,13.6,15,17.2,19.4,21.5,23.6},{0,10,20,30,40,50,60,62,64,66,68,70,72,74,76,78,80,85,90,95,100})</f>
        <v>70</v>
      </c>
      <c r="F422" s="6">
        <v>232</v>
      </c>
      <c r="G422" s="40">
        <f>LOOKUP(F422,{0,170,175,180,185,190,195,199,203,207,211,215,219,223,227,231,235,243,250,255,260},{0,10,20,30,40,50,60,62,64,66,68,70,72,74,76,78,80,85,90,95,100})</f>
        <v>78</v>
      </c>
      <c r="H422" s="6">
        <v>20</v>
      </c>
      <c r="I422" s="40">
        <f>LOOKUP(H422,{0,2,3,4,5,6,7,8,9,10,11,12,13,14,15,16},{0,10,20,30,40,50,60,64,68,72,76,80,85,90,95,100})</f>
        <v>100</v>
      </c>
      <c r="J422" s="7">
        <f>H422-16</f>
        <v>4</v>
      </c>
      <c r="K422" s="40">
        <f>LOOKUP(J422,{0,1,2,3,4,5,6,7,8,9,10},{0,1,2,3,4,5,6,7,8,9,10})</f>
        <v>4</v>
      </c>
      <c r="L422" s="7">
        <f>I422+K422</f>
        <v>104</v>
      </c>
      <c r="M422" s="6">
        <v>7.6</v>
      </c>
      <c r="N422" s="43">
        <f>13-M422</f>
        <v>5.4</v>
      </c>
      <c r="O422" s="40">
        <f>LOOKUP(N422,{0,2.5,2.7,2.9,3.1,3.3,3.5,3.7,3.9,4.1,4.3,4.5,4.7,4.9,5.1,5.3,5.5,5.6,5.7,5.8,5.9},{0,10,20,30,40,50,60,62,64,66,68,70,72,74,76,78,80,85,90,95,100})</f>
        <v>78</v>
      </c>
      <c r="P422" s="6">
        <v>3.37</v>
      </c>
      <c r="Q422" s="6">
        <f>10-P422</f>
        <v>6.63</v>
      </c>
      <c r="R422" s="40">
        <f>LOOKUP(Q422,{0,3.75,3.95,4.55,4.75,4.95,5.55,5.6,5.65,5.7,5.75,5.8,5.85,5.9,5.95,6,6.45,6.53,6.6,6.65,6.7},{0,10,20,30,40,50,60,62,64,66,68,70,72,74,76,78,80,85,90,95,100})</f>
        <v>90</v>
      </c>
      <c r="S422" s="7"/>
      <c r="T422" s="7"/>
      <c r="U422" s="7">
        <f>R422+T422</f>
        <v>90</v>
      </c>
      <c r="W422" s="7">
        <f>E422*0.1+G422*0.1+I422*0.1+O422*0.2+R422*0.2</f>
        <v>58.4</v>
      </c>
      <c r="X422" s="21">
        <f>W422/0.7+K422+T422</f>
        <v>87.4285714285714</v>
      </c>
    </row>
    <row r="423" ht="15.6" hidden="1" spans="1:24">
      <c r="A423" s="6">
        <v>104</v>
      </c>
      <c r="B423" s="29" t="s">
        <v>170</v>
      </c>
      <c r="C423" s="29" t="s">
        <v>11</v>
      </c>
      <c r="D423" s="6">
        <v>13</v>
      </c>
      <c r="E423" s="40">
        <f>LOOKUP(D423,{0,-4,-3,-2,-1,0,1,2.4,3.8,5.2,6.6,8,9.4,10.8,12.2,13.6,15,17.2,19.4,21.5,23.6},{0,10,20,30,40,50,60,62,64,66,68,70,72,74,76,78,80,85,90,95,100})</f>
        <v>76</v>
      </c>
      <c r="F423" s="6">
        <v>202</v>
      </c>
      <c r="G423" s="40">
        <f>LOOKUP(F423,{0,170,175,180,185,190,195,199,203,207,211,215,219,223,227,231,235,243,250,255,260},{0,10,20,30,40,50,60,62,64,66,68,70,72,74,76,78,80,85,90,95,100})</f>
        <v>62</v>
      </c>
      <c r="H423" s="6">
        <v>3</v>
      </c>
      <c r="I423" s="40">
        <f>LOOKUP(H423,{0,2,3,4,5,6,7,8,9,10,11,12,13,14,15,16},{0,10,20,30,40,50,60,64,68,72,76,80,85,90,95,100})</f>
        <v>20</v>
      </c>
      <c r="J423" s="7"/>
      <c r="K423" s="7"/>
      <c r="L423" s="7">
        <f>I423+K423</f>
        <v>20</v>
      </c>
      <c r="M423" s="6">
        <v>7.6</v>
      </c>
      <c r="N423" s="43">
        <f>13-M423</f>
        <v>5.4</v>
      </c>
      <c r="O423" s="40">
        <f>LOOKUP(N423,{0,2.5,2.7,2.9,3.1,3.3,3.5,3.7,3.9,4.1,4.3,4.5,4.7,4.9,5.1,5.3,5.5,5.6,5.7,5.8,5.9},{0,10,20,30,40,50,60,62,64,66,68,70,72,74,76,78,80,85,90,95,100})</f>
        <v>78</v>
      </c>
      <c r="P423" s="6">
        <v>3.4</v>
      </c>
      <c r="Q423" s="6">
        <f>10-P423</f>
        <v>6.6</v>
      </c>
      <c r="R423" s="40">
        <f>LOOKUP(Q423,{0,3.75,3.95,4.55,4.75,4.95,5.55,5.6,5.65,5.7,5.75,5.8,5.85,5.9,5.95,6,6.45,6.53,6.6,6.65,6.7},{0,10,20,30,40,50,60,62,64,66,68,70,72,74,76,78,80,85,90,95,100})</f>
        <v>90</v>
      </c>
      <c r="S423" s="7"/>
      <c r="T423" s="7"/>
      <c r="U423" s="7">
        <f>R423+T423</f>
        <v>90</v>
      </c>
      <c r="W423" s="7">
        <f>E423*0.1+G423*0.1+I423*0.1+O423*0.2+R423*0.2</f>
        <v>49.4</v>
      </c>
      <c r="X423" s="21">
        <f>W423/0.7+K423+T423</f>
        <v>70.5714285714286</v>
      </c>
    </row>
    <row r="424" ht="15.6" hidden="1" spans="1:24">
      <c r="A424" s="6">
        <v>112</v>
      </c>
      <c r="B424" s="39" t="s">
        <v>569</v>
      </c>
      <c r="C424" s="29" t="s">
        <v>11</v>
      </c>
      <c r="D424" s="6">
        <v>13</v>
      </c>
      <c r="E424" s="40">
        <f>LOOKUP(D424,{0,-4,-3,-2,-1,0,1,2.4,3.8,5.2,6.6,8,9.4,10.8,12.2,13.6,15,17.2,19.4,21.5,23.6},{0,10,20,30,40,50,60,62,64,66,68,70,72,74,76,78,80,85,90,95,100})</f>
        <v>76</v>
      </c>
      <c r="F424" s="6">
        <v>223</v>
      </c>
      <c r="G424" s="40">
        <f>LOOKUP(F424,{0,170,175,180,185,190,195,199,203,207,211,215,219,223,227,231,235,243,250,255,260},{0,10,20,30,40,50,60,62,64,66,68,70,72,74,76,78,80,85,90,95,100})</f>
        <v>74</v>
      </c>
      <c r="H424" s="6">
        <v>2</v>
      </c>
      <c r="I424" s="40">
        <f>LOOKUP(H424,{0,2,3,4,5,6,7,8,9,10,11,12,13,14,15,16},{0,10,20,30,40,50,60,64,68,72,76,80,85,90,95,100})</f>
        <v>10</v>
      </c>
      <c r="J424" s="7"/>
      <c r="K424" s="7"/>
      <c r="L424" s="7">
        <f>I424+K424</f>
        <v>10</v>
      </c>
      <c r="M424" s="6">
        <v>7.6</v>
      </c>
      <c r="N424" s="43">
        <f>13-M424</f>
        <v>5.4</v>
      </c>
      <c r="O424" s="40">
        <f>LOOKUP(N424,{0,2.5,2.7,2.9,3.1,3.3,3.5,3.7,3.9,4.1,4.3,4.5,4.7,4.9,5.1,5.3,5.5,5.6,5.7,5.8,5.9},{0,10,20,30,40,50,60,62,64,66,68,70,72,74,76,78,80,85,90,95,100})</f>
        <v>78</v>
      </c>
      <c r="P424" s="6">
        <v>3.41</v>
      </c>
      <c r="Q424" s="6">
        <f>10-P424</f>
        <v>6.59</v>
      </c>
      <c r="R424" s="40">
        <f>LOOKUP(Q424,{0,3.75,3.95,4.55,4.75,4.95,5.55,5.6,5.65,5.7,5.75,5.8,5.85,5.9,5.95,6,6.45,6.53,6.6,6.65,6.7},{0,10,20,30,40,50,60,62,64,66,68,70,72,74,76,78,80,85,90,95,100})</f>
        <v>85</v>
      </c>
      <c r="S424" s="7"/>
      <c r="T424" s="7"/>
      <c r="U424" s="7">
        <f>R424+T424</f>
        <v>85</v>
      </c>
      <c r="W424" s="7">
        <f>E424*0.1+G424*0.1+I424*0.1+O424*0.2+R424*0.2</f>
        <v>48.6</v>
      </c>
      <c r="X424" s="21">
        <f>W424/0.7+K424+T424</f>
        <v>69.4285714285714</v>
      </c>
    </row>
    <row r="425" ht="15.6" hidden="1" spans="1:24">
      <c r="A425" s="6">
        <v>116</v>
      </c>
      <c r="B425" s="29" t="s">
        <v>783</v>
      </c>
      <c r="C425" s="29" t="s">
        <v>11</v>
      </c>
      <c r="D425" s="6">
        <v>7.5</v>
      </c>
      <c r="E425" s="40">
        <f>LOOKUP(D425,{0,-4,-3,-2,-1,0,1,2.4,3.8,5.2,6.6,8,9.4,10.8,12.2,13.6,15,17.2,19.4,21.5,23.6},{0,10,20,30,40,50,60,62,64,66,68,70,72,74,76,78,80,85,90,95,100})</f>
        <v>68</v>
      </c>
      <c r="F425" s="6">
        <v>210</v>
      </c>
      <c r="G425" s="40">
        <f>LOOKUP(F425,{0,170,175,180,185,190,195,199,203,207,211,215,219,223,227,231,235,243,250,255,260},{0,10,20,30,40,50,60,62,64,66,68,70,72,74,76,78,80,85,90,95,100})</f>
        <v>66</v>
      </c>
      <c r="H425" s="6">
        <v>4</v>
      </c>
      <c r="I425" s="40">
        <f>LOOKUP(H425,{0,2,3,4,5,6,7,8,9,10,11,12,13,14,15,16},{0,10,20,30,40,50,60,64,68,72,76,80,85,90,95,100})</f>
        <v>30</v>
      </c>
      <c r="J425" s="7"/>
      <c r="K425" s="7"/>
      <c r="L425" s="7">
        <f>I425+K425</f>
        <v>30</v>
      </c>
      <c r="M425" s="6">
        <v>7.6</v>
      </c>
      <c r="N425" s="43">
        <f>13-M425</f>
        <v>5.4</v>
      </c>
      <c r="O425" s="40">
        <f>LOOKUP(N425,{0,2.5,2.7,2.9,3.1,3.3,3.5,3.7,3.9,4.1,4.3,4.5,4.7,4.9,5.1,5.3,5.5,5.6,5.7,5.8,5.9},{0,10,20,30,40,50,60,62,64,66,68,70,72,74,76,78,80,85,90,95,100})</f>
        <v>78</v>
      </c>
      <c r="P425" s="6">
        <v>3.42</v>
      </c>
      <c r="Q425" s="6">
        <f>10-P425</f>
        <v>6.58</v>
      </c>
      <c r="R425" s="40">
        <f>LOOKUP(Q425,{0,3.75,3.95,4.55,4.75,4.95,5.55,5.6,5.65,5.7,5.75,5.8,5.85,5.9,5.95,6,6.45,6.53,6.6,6.65,6.7},{0,10,20,30,40,50,60,62,64,66,68,70,72,74,76,78,80,85,90,95,100})</f>
        <v>85</v>
      </c>
      <c r="S425" s="7"/>
      <c r="T425" s="7"/>
      <c r="U425" s="7">
        <f>R425+T425</f>
        <v>85</v>
      </c>
      <c r="W425" s="7">
        <f>E425*0.1+G425*0.1+I425*0.1+O425*0.2+R425*0.2</f>
        <v>49</v>
      </c>
      <c r="X425" s="21">
        <f>W425/0.7+K425+T425</f>
        <v>70</v>
      </c>
    </row>
    <row r="426" ht="15.6" hidden="1" spans="1:24">
      <c r="A426" s="6">
        <v>112</v>
      </c>
      <c r="B426" s="39" t="s">
        <v>589</v>
      </c>
      <c r="C426" s="29" t="s">
        <v>11</v>
      </c>
      <c r="D426" s="6">
        <v>12.5</v>
      </c>
      <c r="E426" s="40">
        <f>LOOKUP(D426,{0,-4,-3,-2,-1,0,1,2.4,3.8,5.2,6.6,8,9.4,10.8,12.2,13.6,15,17.2,19.4,21.5,23.6},{0,10,20,30,40,50,60,62,64,66,68,70,72,74,76,78,80,85,90,95,100})</f>
        <v>76</v>
      </c>
      <c r="F426" s="6">
        <v>234</v>
      </c>
      <c r="G426" s="40">
        <f>LOOKUP(F426,{0,170,175,180,185,190,195,199,203,207,211,215,219,223,227,231,235,243,250,255,260},{0,10,20,30,40,50,60,62,64,66,68,70,72,74,76,78,80,85,90,95,100})</f>
        <v>78</v>
      </c>
      <c r="H426" s="6">
        <v>16</v>
      </c>
      <c r="I426" s="40">
        <f>LOOKUP(H426,{0,2,3,4,5,6,7,8,9,10,11,12,13,14,15,16},{0,10,20,30,40,50,60,64,68,72,76,80,85,90,95,100})</f>
        <v>100</v>
      </c>
      <c r="J426" s="7">
        <f>H426-16</f>
        <v>0</v>
      </c>
      <c r="K426" s="40">
        <f>LOOKUP(J426,{0,1,2,3,4,5,6,7,8,9,10},{0,1,2,3,4,5,6,7,8,9,10})</f>
        <v>0</v>
      </c>
      <c r="L426" s="7">
        <f>I426+K426</f>
        <v>100</v>
      </c>
      <c r="M426" s="6">
        <v>7.6</v>
      </c>
      <c r="N426" s="43">
        <f>13-M426</f>
        <v>5.4</v>
      </c>
      <c r="O426" s="40">
        <f>LOOKUP(N426,{0,2.5,2.7,2.9,3.1,3.3,3.5,3.7,3.9,4.1,4.3,4.5,4.7,4.9,5.1,5.3,5.5,5.6,5.7,5.8,5.9},{0,10,20,30,40,50,60,62,64,66,68,70,72,74,76,78,80,85,90,95,100})</f>
        <v>78</v>
      </c>
      <c r="P426" s="6">
        <v>3.43</v>
      </c>
      <c r="Q426" s="6">
        <f>10-P426</f>
        <v>6.57</v>
      </c>
      <c r="R426" s="40">
        <f>LOOKUP(Q426,{0,3.75,3.95,4.55,4.75,4.95,5.55,5.6,5.65,5.7,5.75,5.8,5.85,5.9,5.95,6,6.45,6.53,6.6,6.65,6.7},{0,10,20,30,40,50,60,62,64,66,68,70,72,74,76,78,80,85,90,95,100})</f>
        <v>85</v>
      </c>
      <c r="S426" s="7"/>
      <c r="T426" s="7"/>
      <c r="U426" s="7">
        <f>R426+T426</f>
        <v>85</v>
      </c>
      <c r="W426" s="7">
        <f>E426*0.1+G426*0.1+I426*0.1+O426*0.2+R426*0.2</f>
        <v>58</v>
      </c>
      <c r="X426" s="21">
        <f>W426/0.7+K426+T426</f>
        <v>82.8571428571429</v>
      </c>
    </row>
    <row r="427" ht="15.6" hidden="1" spans="1:24">
      <c r="A427" s="6">
        <v>114</v>
      </c>
      <c r="B427" s="29" t="s">
        <v>692</v>
      </c>
      <c r="C427" s="29" t="s">
        <v>11</v>
      </c>
      <c r="D427" s="6">
        <v>6.5</v>
      </c>
      <c r="E427" s="40">
        <f>LOOKUP(D427,{0,-4,-3,-2,-1,0,1,2.4,3.8,5.2,6.6,8,9.4,10.8,12.2,13.6,15,17.2,19.4,21.5,23.6},{0,10,20,30,40,50,60,62,64,66,68,70,72,74,76,78,80,85,90,95,100})</f>
        <v>66</v>
      </c>
      <c r="F427" s="6">
        <v>198</v>
      </c>
      <c r="G427" s="40">
        <f>LOOKUP(F427,{0,170,175,180,185,190,195,199,203,207,211,215,219,223,227,231,235,243,250,255,260},{0,10,20,30,40,50,60,62,64,66,68,70,72,74,76,78,80,85,90,95,100})</f>
        <v>60</v>
      </c>
      <c r="H427" s="6">
        <v>8</v>
      </c>
      <c r="I427" s="40">
        <f>LOOKUP(H427,{0,2,3,4,5,6,7,8,9,10,11,12,13,14,15,16},{0,10,20,30,40,50,60,64,68,72,76,80,85,90,95,100})</f>
        <v>64</v>
      </c>
      <c r="J427" s="7"/>
      <c r="K427" s="7"/>
      <c r="L427" s="7">
        <f>I427+K427</f>
        <v>64</v>
      </c>
      <c r="M427" s="6">
        <v>7.6</v>
      </c>
      <c r="N427" s="43">
        <f>13-M427</f>
        <v>5.4</v>
      </c>
      <c r="O427" s="40">
        <f>LOOKUP(N427,{0,2.5,2.7,2.9,3.1,3.3,3.5,3.7,3.9,4.1,4.3,4.5,4.7,4.9,5.1,5.3,5.5,5.6,5.7,5.8,5.9},{0,10,20,30,40,50,60,62,64,66,68,70,72,74,76,78,80,85,90,95,100})</f>
        <v>78</v>
      </c>
      <c r="P427" s="6">
        <v>3.43</v>
      </c>
      <c r="Q427" s="6">
        <f>10-P427</f>
        <v>6.57</v>
      </c>
      <c r="R427" s="40">
        <f>LOOKUP(Q427,{0,3.75,3.95,4.55,4.75,4.95,5.55,5.6,5.65,5.7,5.75,5.8,5.85,5.9,5.95,6,6.45,6.53,6.6,6.65,6.7},{0,10,20,30,40,50,60,62,64,66,68,70,72,74,76,78,80,85,90,95,100})</f>
        <v>85</v>
      </c>
      <c r="S427" s="7"/>
      <c r="T427" s="7"/>
      <c r="U427" s="7">
        <f>R427+T427</f>
        <v>85</v>
      </c>
      <c r="W427" s="7">
        <f>E427*0.1+G427*0.1+I427*0.1+O427*0.2+R427*0.2</f>
        <v>51.6</v>
      </c>
      <c r="X427" s="21">
        <f>W427/0.7+K427+T427</f>
        <v>73.7142857142857</v>
      </c>
    </row>
    <row r="428" ht="15.6" spans="1:24">
      <c r="A428" s="6">
        <v>109</v>
      </c>
      <c r="B428" s="29" t="s">
        <v>445</v>
      </c>
      <c r="C428" s="29" t="s">
        <v>46</v>
      </c>
      <c r="D428" s="6">
        <v>20.1</v>
      </c>
      <c r="E428" s="40">
        <f>LOOKUP(D428,{0,0.4,1.2,2,2.8,3.6,4.4,5.7,7,8.3,9.6,10.9,12.2,13.5,14.8,16.1,17.4,19.1,20.8,22.5,24.2},{0,10,20,30,40,50,60,62,64,66,68,70,72,74,76,78,80,85,90,95,100})</f>
        <v>85</v>
      </c>
      <c r="F428" s="6">
        <v>173</v>
      </c>
      <c r="G428" s="40">
        <f>LOOKUP(F428,{0,123,128,133,138,143,148,151,154,157,160,163,166,169,172,175,178,185,192,198,204},{0,10,20,30,40,50,60,62,64,66,68,70,72,74,76,78,80,85,90,95,100})</f>
        <v>76</v>
      </c>
      <c r="H428" s="6">
        <v>53</v>
      </c>
      <c r="I428" s="40">
        <f>LOOKUP(H428,{0,13,15,17,19,21,23,25,27,29,31,33,35,37,39,41,43,46,49,51,53},{0,10,20,30,40,50,60,62,64,66,68,70,72,74,76,78,80,85,90,95,100})</f>
        <v>100</v>
      </c>
      <c r="J428" s="45">
        <f>H428-53</f>
        <v>0</v>
      </c>
      <c r="K428" s="40">
        <f>LOOKUP(J428,{0,2,4,6,7,8,9,10,11,12,13},{0,1,2,3,4,5,6,7,8,9,10})</f>
        <v>0</v>
      </c>
      <c r="L428" s="7">
        <f>I428+K428</f>
        <v>100</v>
      </c>
      <c r="M428" s="6">
        <v>9.5</v>
      </c>
      <c r="N428" s="43">
        <f>13-M428</f>
        <v>3.5</v>
      </c>
      <c r="O428" s="40">
        <f>LOOKUP(N428,{0,1.4,1.6,1.8,2,2.2,2.4,2.6,2.8,3,3.2,3.4,3.6,3.8,4,4.2,4.4,4.7,5,5.1,5.2},{0,10,20,30,40,50,60,62,64,66,68,70,72,74,76,78,80,85,90,95,100})</f>
        <v>70</v>
      </c>
      <c r="P428" s="6">
        <v>3.38</v>
      </c>
      <c r="Q428" s="6">
        <f>10-P428</f>
        <v>6.62</v>
      </c>
      <c r="R428" s="40">
        <f>LOOKUP(Q428,{0,4.7,4.8,4.9,5,5.5,5.6,5.65,5.7,5.75,5.8,5.85,5.9,5.95,6,6.45,6.5,6.57,6.64,6.7,6.76},{0,10,20,30,40,50,60,62,64,66,68,70,72,74,76,78,80,85,90,95,100})</f>
        <v>85</v>
      </c>
      <c r="S428" s="45"/>
      <c r="T428" s="45"/>
      <c r="U428" s="7">
        <f>R428+T428</f>
        <v>85</v>
      </c>
      <c r="W428" s="7">
        <f>E428*0.1+G428*0.1+I428*0.1+O428*0.2+R428*0.2</f>
        <v>57.1</v>
      </c>
      <c r="X428" s="21">
        <f>W428/0.7+K428+T428</f>
        <v>81.5714285714286</v>
      </c>
    </row>
    <row r="429" ht="15.6" spans="1:24">
      <c r="A429" s="6">
        <v>111</v>
      </c>
      <c r="B429" s="29" t="s">
        <v>564</v>
      </c>
      <c r="C429" s="29" t="s">
        <v>46</v>
      </c>
      <c r="D429" s="6">
        <v>20</v>
      </c>
      <c r="E429" s="40">
        <f>LOOKUP(D429,{0,0.4,1.2,2,2.8,3.6,4.4,5.7,7,8.3,9.6,10.9,12.2,13.5,14.8,16.1,17.4,19.1,20.8,22.5,24.2},{0,10,20,30,40,50,60,62,64,66,68,70,72,74,76,78,80,85,90,95,100})</f>
        <v>85</v>
      </c>
      <c r="F429" s="6">
        <v>156</v>
      </c>
      <c r="G429" s="40">
        <f>LOOKUP(F429,{0,123,128,133,138,143,148,151,154,157,160,163,166,169,172,175,178,185,192,198,204},{0,10,20,30,40,50,60,62,64,66,68,70,72,74,76,78,80,85,90,95,100})</f>
        <v>64</v>
      </c>
      <c r="H429" s="6">
        <v>53</v>
      </c>
      <c r="I429" s="40">
        <f>LOOKUP(H429,{0,13,15,17,19,21,23,25,27,29,31,33,35,37,39,41,43,46,49,51,53},{0,10,20,30,40,50,60,62,64,66,68,70,72,74,76,78,80,85,90,95,100})</f>
        <v>100</v>
      </c>
      <c r="J429" s="45">
        <f>H429-53</f>
        <v>0</v>
      </c>
      <c r="K429" s="40">
        <f>LOOKUP(J429,{0,2,4,6,7,8,9,10,11,12,13},{0,1,2,3,4,5,6,7,8,9,10})</f>
        <v>0</v>
      </c>
      <c r="L429" s="7">
        <f>I429+K429</f>
        <v>100</v>
      </c>
      <c r="M429" s="6">
        <v>8.9</v>
      </c>
      <c r="N429" s="43">
        <f>13-M429</f>
        <v>4.1</v>
      </c>
      <c r="O429" s="40">
        <f>LOOKUP(N429,{0,1.4,1.6,1.8,2,2.2,2.4,2.6,2.8,3,3.2,3.4,3.6,3.8,4,4.2,4.4,4.7,5,5.1,5.2},{0,10,20,30,40,50,60,62,64,66,68,70,72,74,76,78,80,85,90,95,100})</f>
        <v>76</v>
      </c>
      <c r="P429" s="6">
        <v>3.4</v>
      </c>
      <c r="Q429" s="6">
        <f>10-P429</f>
        <v>6.6</v>
      </c>
      <c r="R429" s="40">
        <f>LOOKUP(Q429,{0,4.7,4.8,4.9,5,5.5,5.6,5.65,5.7,5.75,5.8,5.85,5.9,5.95,6,6.45,6.5,6.57,6.64,6.7,6.76},{0,10,20,30,40,50,60,62,64,66,68,70,72,74,76,78,80,85,90,95,100})</f>
        <v>85</v>
      </c>
      <c r="S429" s="45"/>
      <c r="T429" s="45"/>
      <c r="U429" s="7">
        <f>R429+T429</f>
        <v>85</v>
      </c>
      <c r="W429" s="7">
        <f>E429*0.1+G429*0.1+I429*0.1+O429*0.2+R429*0.2</f>
        <v>57.1</v>
      </c>
      <c r="X429" s="21">
        <f>W429/0.7+K429+T429</f>
        <v>81.5714285714286</v>
      </c>
    </row>
    <row r="430" ht="15.6" spans="1:24">
      <c r="A430" s="6">
        <v>110</v>
      </c>
      <c r="B430" s="29" t="s">
        <v>501</v>
      </c>
      <c r="C430" s="29" t="s">
        <v>46</v>
      </c>
      <c r="D430" s="6">
        <v>17</v>
      </c>
      <c r="E430" s="40">
        <f>LOOKUP(D430,{0,0.4,1.2,2,2.8,3.6,4.4,5.7,7,8.3,9.6,10.9,12.2,13.5,14.8,16.1,17.4,19.1,20.8,22.5,24.2},{0,10,20,30,40,50,60,62,64,66,68,70,72,74,76,78,80,85,90,95,100})</f>
        <v>78</v>
      </c>
      <c r="F430" s="6">
        <v>176</v>
      </c>
      <c r="G430" s="40">
        <f>LOOKUP(F430,{0,123,128,133,138,143,148,151,154,157,160,163,166,169,172,175,178,185,192,198,204},{0,10,20,30,40,50,60,62,64,66,68,70,72,74,76,78,80,85,90,95,100})</f>
        <v>78</v>
      </c>
      <c r="H430" s="6">
        <v>46</v>
      </c>
      <c r="I430" s="40">
        <f>LOOKUP(H430,{0,13,15,17,19,21,23,25,27,29,31,33,35,37,39,41,43,46,49,51,53},{0,10,20,30,40,50,60,62,64,66,68,70,72,74,76,78,80,85,90,95,100})</f>
        <v>85</v>
      </c>
      <c r="J430" s="45"/>
      <c r="K430" s="45"/>
      <c r="L430" s="7">
        <f>I430+K430</f>
        <v>85</v>
      </c>
      <c r="M430" s="6">
        <v>8.6</v>
      </c>
      <c r="N430" s="43">
        <f>13-M430</f>
        <v>4.4</v>
      </c>
      <c r="O430" s="40">
        <f>LOOKUP(N430,{0,1.4,1.6,1.8,2,2.2,2.4,2.6,2.8,3,3.2,3.4,3.6,3.8,4,4.2,4.4,4.7,5,5.1,5.2},{0,10,20,30,40,50,60,62,64,66,68,70,72,74,76,78,80,85,90,95,100})</f>
        <v>80</v>
      </c>
      <c r="P430" s="6">
        <v>3.43</v>
      </c>
      <c r="Q430" s="6">
        <f>10-P430</f>
        <v>6.57</v>
      </c>
      <c r="R430" s="40">
        <f>LOOKUP(Q430,{0,4.7,4.8,4.9,5,5.5,5.6,5.65,5.7,5.75,5.8,5.85,5.9,5.95,6,6.45,6.5,6.57,6.64,6.7,6.76},{0,10,20,30,40,50,60,62,64,66,68,70,72,74,76,78,80,85,90,95,100})</f>
        <v>85</v>
      </c>
      <c r="S430" s="45"/>
      <c r="T430" s="45"/>
      <c r="U430" s="7">
        <f>R430+T430</f>
        <v>85</v>
      </c>
      <c r="W430" s="7">
        <f>E430*0.1+G430*0.1+I430*0.1+O430*0.2+R430*0.2</f>
        <v>57.1</v>
      </c>
      <c r="X430" s="21">
        <f>W430/0.7+K430+T430</f>
        <v>81.5714285714286</v>
      </c>
    </row>
    <row r="431" ht="15.6" spans="1:24">
      <c r="A431" s="6">
        <v>113</v>
      </c>
      <c r="B431" s="29" t="s">
        <v>657</v>
      </c>
      <c r="C431" s="29" t="s">
        <v>46</v>
      </c>
      <c r="D431" s="6">
        <v>21</v>
      </c>
      <c r="E431" s="40">
        <f>LOOKUP(D431,{0,0.4,1.2,2,2.8,3.6,4.4,5.7,7,8.3,9.6,10.9,12.2,13.5,14.8,16.1,17.4,19.1,20.8,22.5,24.2},{0,10,20,30,40,50,60,62,64,66,68,70,72,74,76,78,80,85,90,95,100})</f>
        <v>90</v>
      </c>
      <c r="F431" s="6">
        <v>170</v>
      </c>
      <c r="G431" s="40">
        <f>LOOKUP(F431,{0,123,128,133,138,143,148,151,154,157,160,163,166,169,172,175,178,185,192,198,204},{0,10,20,30,40,50,60,62,64,66,68,70,72,74,76,78,80,85,90,95,100})</f>
        <v>74</v>
      </c>
      <c r="H431" s="6">
        <v>51</v>
      </c>
      <c r="I431" s="40">
        <f>LOOKUP(H431,{0,13,15,17,19,21,23,25,27,29,31,33,35,37,39,41,43,46,49,51,53},{0,10,20,30,40,50,60,62,64,66,68,70,72,74,76,78,80,85,90,95,100})</f>
        <v>95</v>
      </c>
      <c r="J431" s="45"/>
      <c r="K431" s="45"/>
      <c r="L431" s="7">
        <f>I431+K431</f>
        <v>95</v>
      </c>
      <c r="M431" s="6">
        <v>9</v>
      </c>
      <c r="N431" s="43">
        <f>13-M431</f>
        <v>4</v>
      </c>
      <c r="O431" s="40">
        <f>LOOKUP(N431,{0,1.4,1.6,1.8,2,2.2,2.4,2.6,2.8,3,3.2,3.4,3.6,3.8,4,4.2,4.4,4.7,5,5.1,5.2},{0,10,20,30,40,50,60,62,64,66,68,70,72,74,76,78,80,85,90,95,100})</f>
        <v>76</v>
      </c>
      <c r="P431" s="6">
        <v>3.46</v>
      </c>
      <c r="Q431" s="6">
        <f>10-P431</f>
        <v>6.54</v>
      </c>
      <c r="R431" s="40">
        <f>LOOKUP(Q431,{0,4.7,4.8,4.9,5,5.5,5.6,5.65,5.7,5.75,5.8,5.85,5.9,5.95,6,6.45,6.5,6.57,6.64,6.7,6.76},{0,10,20,30,40,50,60,62,64,66,68,70,72,74,76,78,80,85,90,95,100})</f>
        <v>80</v>
      </c>
      <c r="S431" s="45"/>
      <c r="T431" s="45"/>
      <c r="U431" s="7">
        <f>R431+T431</f>
        <v>80</v>
      </c>
      <c r="W431" s="7">
        <f>E431*0.1+G431*0.1+I431*0.1+O431*0.2+R431*0.2</f>
        <v>57.1</v>
      </c>
      <c r="X431" s="21">
        <f>W431/0.7+K431+T431</f>
        <v>81.5714285714286</v>
      </c>
    </row>
    <row r="432" ht="15.6" spans="1:24">
      <c r="A432" s="6">
        <v>112</v>
      </c>
      <c r="B432" s="29" t="s">
        <v>617</v>
      </c>
      <c r="C432" s="29" t="s">
        <v>46</v>
      </c>
      <c r="D432" s="6">
        <v>21</v>
      </c>
      <c r="E432" s="40">
        <f>LOOKUP(D432,{0,0.4,1.2,2,2.8,3.6,4.4,5.7,7,8.3,9.6,10.9,12.2,13.5,14.8,16.1,17.4,19.1,20.8,22.5,24.2},{0,10,20,30,40,50,60,62,64,66,68,70,72,74,76,78,80,85,90,95,100})</f>
        <v>90</v>
      </c>
      <c r="F432" s="6">
        <v>195</v>
      </c>
      <c r="G432" s="40">
        <f>LOOKUP(F432,{0,123,128,133,138,143,148,151,154,157,160,163,166,169,172,175,178,185,192,198,204},{0,10,20,30,40,50,60,62,64,66,68,70,72,74,76,78,80,85,90,95,100})</f>
        <v>90</v>
      </c>
      <c r="H432" s="6">
        <v>51</v>
      </c>
      <c r="I432" s="40">
        <f>LOOKUP(H432,{0,13,15,17,19,21,23,25,27,29,31,33,35,37,39,41,43,46,49,51,53},{0,10,20,30,40,50,60,62,64,66,68,70,72,74,76,78,80,85,90,95,100})</f>
        <v>95</v>
      </c>
      <c r="J432" s="45"/>
      <c r="K432" s="45"/>
      <c r="L432" s="7">
        <f>I432+K432</f>
        <v>95</v>
      </c>
      <c r="M432" s="6">
        <v>9.2</v>
      </c>
      <c r="N432" s="43">
        <f>13-M432</f>
        <v>3.8</v>
      </c>
      <c r="O432" s="40">
        <f>LOOKUP(N432,{0,1.4,1.6,1.8,2,2.2,2.4,2.6,2.8,3,3.2,3.4,3.6,3.8,4,4.2,4.4,4.7,5,5.1,5.2},{0,10,20,30,40,50,60,62,64,66,68,70,72,74,76,78,80,85,90,95,100})</f>
        <v>74</v>
      </c>
      <c r="P432" s="6">
        <v>4.04</v>
      </c>
      <c r="Q432" s="6">
        <f>10-P432</f>
        <v>5.96</v>
      </c>
      <c r="R432" s="40">
        <f>LOOKUP(Q432,{0,4.7,4.8,4.9,5,5.5,5.6,5.65,5.7,5.75,5.8,5.85,5.9,5.95,6,6.45,6.5,6.57,6.64,6.7,6.76},{0,10,20,30,40,50,60,62,64,66,68,70,72,74,76,78,80,85,90,95,100})</f>
        <v>74</v>
      </c>
      <c r="S432" s="45"/>
      <c r="T432" s="45"/>
      <c r="U432" s="7">
        <f>R432+T432</f>
        <v>74</v>
      </c>
      <c r="W432" s="7">
        <f>E432*0.1+G432*0.1+I432*0.1+O432*0.2+R432*0.2</f>
        <v>57.1</v>
      </c>
      <c r="X432" s="21">
        <f>W432/0.7+K432+T432</f>
        <v>81.5714285714286</v>
      </c>
    </row>
    <row r="433" s="3" customFormat="1" ht="15.6" spans="1:24">
      <c r="A433" s="52">
        <v>111</v>
      </c>
      <c r="B433" s="39" t="s">
        <v>544</v>
      </c>
      <c r="C433" s="29" t="s">
        <v>46</v>
      </c>
      <c r="D433" s="52">
        <v>16</v>
      </c>
      <c r="E433" s="40">
        <f>LOOKUP(D433,{0,0.4,1.2,2,2.8,3.6,4.4,5.7,7,8.3,9.6,10.9,12.2,13.5,14.8,16.1,17.4,19.1,20.8,22.5,24.2},{0,10,20,30,40,50,60,62,64,66,68,70,72,74,76,78,80,85,90,95,100})</f>
        <v>76</v>
      </c>
      <c r="F433" s="52">
        <v>180</v>
      </c>
      <c r="G433" s="40">
        <f>LOOKUP(F433,{0,123,128,133,138,143,148,151,154,157,160,163,166,169,172,175,178,185,192,198,204},{0,10,20,30,40,50,60,62,64,66,68,70,72,74,76,78,80,85,90,95,100})</f>
        <v>80</v>
      </c>
      <c r="H433" s="52">
        <v>41</v>
      </c>
      <c r="I433" s="40">
        <f>LOOKUP(H433,{0,13,15,17,19,21,23,25,27,29,31,33,35,37,39,41,43,46,49,51,53},{0,10,20,30,40,50,60,62,64,66,68,70,72,74,76,78,80,85,90,95,100})</f>
        <v>78</v>
      </c>
      <c r="J433" s="53"/>
      <c r="K433" s="53"/>
      <c r="L433" s="7">
        <f>I433+K433</f>
        <v>78</v>
      </c>
      <c r="M433" s="52">
        <v>8.7</v>
      </c>
      <c r="N433" s="43">
        <f>13-M433</f>
        <v>4.3</v>
      </c>
      <c r="O433" s="40">
        <f>LOOKUP(N433,{0,1.4,1.6,1.8,2,2.2,2.4,2.6,2.8,3,3.2,3.4,3.6,3.8,4,4.2,4.4,4.7,5,5.1,5.2},{0,10,20,30,40,50,60,62,64,66,68,70,72,74,76,78,80,85,90,95,100})</f>
        <v>78</v>
      </c>
      <c r="P433" s="52">
        <v>3.34</v>
      </c>
      <c r="Q433" s="6">
        <f>10-P433</f>
        <v>6.66</v>
      </c>
      <c r="R433" s="40">
        <f>LOOKUP(Q433,{0,4.7,4.8,4.9,5,5.5,5.6,5.65,5.7,5.75,5.8,5.85,5.9,5.95,6,6.45,6.5,6.57,6.64,6.7,6.76},{0,10,20,30,40,50,60,62,64,66,68,70,72,74,76,78,80,85,90,95,100})</f>
        <v>90</v>
      </c>
      <c r="S433" s="53"/>
      <c r="T433" s="53"/>
      <c r="U433" s="7">
        <f>R433+T433</f>
        <v>90</v>
      </c>
      <c r="V433" s="52"/>
      <c r="W433" s="7">
        <f>E433*0.1+G433*0.1+I433*0.1+O433*0.2+R433*0.2</f>
        <v>57</v>
      </c>
      <c r="X433" s="21">
        <f>W433/0.7+K433+T433</f>
        <v>81.4285714285714</v>
      </c>
    </row>
    <row r="434" ht="15.6" spans="1:24">
      <c r="A434" s="6">
        <v>111</v>
      </c>
      <c r="B434" s="29" t="s">
        <v>550</v>
      </c>
      <c r="C434" s="29" t="s">
        <v>46</v>
      </c>
      <c r="D434" s="6">
        <v>22</v>
      </c>
      <c r="E434" s="40">
        <f>LOOKUP(D434,{0,0.4,1.2,2,2.8,3.6,4.4,5.7,7,8.3,9.6,10.9,12.2,13.5,14.8,16.1,17.4,19.1,20.8,22.5,24.2},{0,10,20,30,40,50,60,62,64,66,68,70,72,74,76,78,80,85,90,95,100})</f>
        <v>90</v>
      </c>
      <c r="F434" s="6">
        <v>176</v>
      </c>
      <c r="G434" s="40">
        <f>LOOKUP(F434,{0,123,128,133,138,143,148,151,154,157,160,163,166,169,172,175,178,185,192,198,204},{0,10,20,30,40,50,60,62,64,66,68,70,72,74,76,78,80,85,90,95,100})</f>
        <v>78</v>
      </c>
      <c r="H434" s="6">
        <v>45</v>
      </c>
      <c r="I434" s="40">
        <f>LOOKUP(H434,{0,13,15,17,19,21,23,25,27,29,31,33,35,37,39,41,43,46,49,51,53},{0,10,20,30,40,50,60,62,64,66,68,70,72,74,76,78,80,85,90,95,100})</f>
        <v>80</v>
      </c>
      <c r="J434" s="45"/>
      <c r="K434" s="45"/>
      <c r="L434" s="7">
        <f>I434+K434</f>
        <v>80</v>
      </c>
      <c r="M434" s="6">
        <v>8.9</v>
      </c>
      <c r="N434" s="43">
        <f>13-M434</f>
        <v>4.1</v>
      </c>
      <c r="O434" s="40">
        <f>LOOKUP(N434,{0,1.4,1.6,1.8,2,2.2,2.4,2.6,2.8,3,3.2,3.4,3.6,3.8,4,4.2,4.4,4.7,5,5.1,5.2},{0,10,20,30,40,50,60,62,64,66,68,70,72,74,76,78,80,85,90,95,100})</f>
        <v>76</v>
      </c>
      <c r="P434" s="6">
        <v>3.42</v>
      </c>
      <c r="Q434" s="6">
        <f>10-P434</f>
        <v>6.58</v>
      </c>
      <c r="R434" s="40">
        <f>LOOKUP(Q434,{0,4.7,4.8,4.9,5,5.5,5.6,5.65,5.7,5.75,5.8,5.85,5.9,5.95,6,6.45,6.5,6.57,6.64,6.7,6.76},{0,10,20,30,40,50,60,62,64,66,68,70,72,74,76,78,80,85,90,95,100})</f>
        <v>85</v>
      </c>
      <c r="S434" s="45"/>
      <c r="T434" s="45"/>
      <c r="U434" s="7">
        <f>R434+T434</f>
        <v>85</v>
      </c>
      <c r="W434" s="7">
        <f>E434*0.1+G434*0.1+I434*0.1+O434*0.2+R434*0.2</f>
        <v>57</v>
      </c>
      <c r="X434" s="21">
        <f>W434/0.7+K434+T434</f>
        <v>81.4285714285714</v>
      </c>
    </row>
    <row r="435" ht="15.6" spans="1:24">
      <c r="A435" s="6">
        <v>113</v>
      </c>
      <c r="B435" s="29" t="s">
        <v>656</v>
      </c>
      <c r="C435" s="29" t="s">
        <v>46</v>
      </c>
      <c r="D435" s="6">
        <v>25.5</v>
      </c>
      <c r="E435" s="40">
        <f>LOOKUP(D435,{0,0.4,1.2,2,2.8,3.6,4.4,5.7,7,8.3,9.6,10.9,12.2,13.5,14.8,16.1,17.4,19.1,20.8,22.5,24.2},{0,10,20,30,40,50,60,62,64,66,68,70,72,74,76,78,80,85,90,95,100})</f>
        <v>100</v>
      </c>
      <c r="F435" s="6">
        <v>170</v>
      </c>
      <c r="G435" s="40">
        <f>LOOKUP(F435,{0,123,128,133,138,143,148,151,154,157,160,163,166,169,172,175,178,185,192,198,204},{0,10,20,30,40,50,60,62,64,66,68,70,72,74,76,78,80,85,90,95,100})</f>
        <v>74</v>
      </c>
      <c r="H435" s="6">
        <v>52</v>
      </c>
      <c r="I435" s="40">
        <f>LOOKUP(H435,{0,13,15,17,19,21,23,25,27,29,31,33,35,37,39,41,43,46,49,51,53},{0,10,20,30,40,50,60,62,64,66,68,70,72,74,76,78,80,85,90,95,100})</f>
        <v>95</v>
      </c>
      <c r="J435" s="45"/>
      <c r="K435" s="45"/>
      <c r="L435" s="7">
        <f>I435+K435</f>
        <v>95</v>
      </c>
      <c r="M435" s="6">
        <v>9.3</v>
      </c>
      <c r="N435" s="43">
        <f>13-M435</f>
        <v>3.7</v>
      </c>
      <c r="O435" s="40">
        <f>LOOKUP(N435,{0,1.4,1.6,1.8,2,2.2,2.4,2.6,2.8,3,3.2,3.4,3.6,3.8,4,4.2,4.4,4.7,5,5.1,5.2},{0,10,20,30,40,50,60,62,64,66,68,70,72,74,76,78,80,85,90,95,100})</f>
        <v>72</v>
      </c>
      <c r="P435" s="6">
        <v>3.52</v>
      </c>
      <c r="Q435" s="6">
        <f>10-P435</f>
        <v>6.48</v>
      </c>
      <c r="R435" s="40">
        <f>LOOKUP(Q435,{0,4.7,4.8,4.9,5,5.5,5.6,5.65,5.7,5.75,5.8,5.85,5.9,5.95,6,6.45,6.5,6.57,6.64,6.7,6.76},{0,10,20,30,40,50,60,62,64,66,68,70,72,74,76,78,80,85,90,95,100})</f>
        <v>78</v>
      </c>
      <c r="S435" s="45"/>
      <c r="T435" s="45"/>
      <c r="U435" s="7">
        <f>R435+T435</f>
        <v>78</v>
      </c>
      <c r="W435" s="7">
        <f>E435*0.1+G435*0.1+I435*0.1+O435*0.2+R435*0.2</f>
        <v>56.9</v>
      </c>
      <c r="X435" s="21">
        <f>W435/0.7+K435+T435</f>
        <v>81.2857142857143</v>
      </c>
    </row>
    <row r="436" ht="15.6" spans="1:24">
      <c r="A436" s="6">
        <v>112</v>
      </c>
      <c r="B436" s="29" t="s">
        <v>600</v>
      </c>
      <c r="C436" s="29" t="s">
        <v>46</v>
      </c>
      <c r="D436" s="6">
        <v>19.5</v>
      </c>
      <c r="E436" s="40">
        <f>LOOKUP(D436,{0,0.4,1.2,2,2.8,3.6,4.4,5.7,7,8.3,9.6,10.9,12.2,13.5,14.8,16.1,17.4,19.1,20.8,22.5,24.2},{0,10,20,30,40,50,60,62,64,66,68,70,72,74,76,78,80,85,90,95,100})</f>
        <v>85</v>
      </c>
      <c r="F436" s="6">
        <v>195</v>
      </c>
      <c r="G436" s="40">
        <f>LOOKUP(F436,{0,123,128,133,138,143,148,151,154,157,160,163,166,169,172,175,178,185,192,198,204},{0,10,20,30,40,50,60,62,64,66,68,70,72,74,76,78,80,85,90,95,100})</f>
        <v>90</v>
      </c>
      <c r="H436" s="6">
        <v>50</v>
      </c>
      <c r="I436" s="40">
        <f>LOOKUP(H436,{0,13,15,17,19,21,23,25,27,29,31,33,35,37,39,41,43,46,49,51,53},{0,10,20,30,40,50,60,62,64,66,68,70,72,74,76,78,80,85,90,95,100})</f>
        <v>90</v>
      </c>
      <c r="J436" s="45"/>
      <c r="K436" s="45"/>
      <c r="L436" s="7">
        <f>I436+K436</f>
        <v>90</v>
      </c>
      <c r="M436" s="6">
        <v>9.2</v>
      </c>
      <c r="N436" s="43">
        <f>13-M436</f>
        <v>3.8</v>
      </c>
      <c r="O436" s="40">
        <f>LOOKUP(N436,{0,1.4,1.6,1.8,2,2.2,2.4,2.6,2.8,3,3.2,3.4,3.6,3.8,4,4.2,4.4,4.7,5,5.1,5.2},{0,10,20,30,40,50,60,62,64,66,68,70,72,74,76,78,80,85,90,95,100})</f>
        <v>74</v>
      </c>
      <c r="P436" s="6">
        <v>3.55</v>
      </c>
      <c r="Q436" s="6">
        <f>10-P436</f>
        <v>6.45</v>
      </c>
      <c r="R436" s="40">
        <f>LOOKUP(Q436,{0,4.7,4.8,4.9,5,5.5,5.6,5.65,5.7,5.75,5.8,5.85,5.9,5.95,6,6.45,6.5,6.57,6.64,6.7,6.76},{0,10,20,30,40,50,60,62,64,66,68,70,72,74,76,78,80,85,90,95,100})</f>
        <v>78</v>
      </c>
      <c r="S436" s="45"/>
      <c r="T436" s="45"/>
      <c r="U436" s="7">
        <f>R436+T436</f>
        <v>78</v>
      </c>
      <c r="W436" s="7">
        <f>E436*0.1+G436*0.1+I436*0.1+O436*0.2+R436*0.2</f>
        <v>56.9</v>
      </c>
      <c r="X436" s="21">
        <f>W436/0.7+K436+T436</f>
        <v>81.2857142857143</v>
      </c>
    </row>
    <row r="437" ht="15.6" spans="1:24">
      <c r="A437" s="6">
        <v>108</v>
      </c>
      <c r="B437" s="29" t="s">
        <v>401</v>
      </c>
      <c r="C437" s="29" t="s">
        <v>46</v>
      </c>
      <c r="D437" s="6">
        <v>15</v>
      </c>
      <c r="E437" s="40">
        <f>LOOKUP(D437,{0,0.4,1.2,2,2.8,3.6,4.4,5.7,7,8.3,9.6,10.9,12.2,13.5,14.8,16.1,17.4,19.1,20.8,22.5,24.2},{0,10,20,30,40,50,60,62,64,66,68,70,72,74,76,78,80,85,90,95,100})</f>
        <v>76</v>
      </c>
      <c r="F437" s="6">
        <v>184</v>
      </c>
      <c r="G437" s="40">
        <f>LOOKUP(F437,{0,123,128,133,138,143,148,151,154,157,160,163,166,169,172,175,178,185,192,198,204},{0,10,20,30,40,50,60,62,64,66,68,70,72,74,76,78,80,85,90,95,100})</f>
        <v>80</v>
      </c>
      <c r="H437" s="6">
        <v>45</v>
      </c>
      <c r="I437" s="40">
        <f>LOOKUP(H437,{0,13,15,17,19,21,23,25,27,29,31,33,35,37,39,41,43,46,49,51,53},{0,10,20,30,40,50,60,62,64,66,68,70,72,74,76,78,80,85,90,95,100})</f>
        <v>80</v>
      </c>
      <c r="J437" s="45"/>
      <c r="K437" s="45"/>
      <c r="L437" s="7">
        <f>I437+K437</f>
        <v>80</v>
      </c>
      <c r="M437" s="6">
        <v>8.9</v>
      </c>
      <c r="N437" s="43">
        <f>13-M437</f>
        <v>4.1</v>
      </c>
      <c r="O437" s="40">
        <f>LOOKUP(N437,{0,1.4,1.6,1.8,2,2.2,2.4,2.6,2.8,3,3.2,3.4,3.6,3.8,4,4.2,4.4,4.7,5,5.1,5.2},{0,10,20,30,40,50,60,62,64,66,68,70,72,74,76,78,80,85,90,95,100})</f>
        <v>76</v>
      </c>
      <c r="P437" s="6">
        <v>3.32</v>
      </c>
      <c r="Q437" s="6">
        <f>10-P437</f>
        <v>6.68</v>
      </c>
      <c r="R437" s="40">
        <f>LOOKUP(Q437,{0,4.7,4.8,4.9,5,5.5,5.6,5.65,5.7,5.75,5.8,5.85,5.9,5.95,6,6.45,6.5,6.57,6.64,6.7,6.76},{0,10,20,30,40,50,60,62,64,66,68,70,72,74,76,78,80,85,90,95,100})</f>
        <v>90</v>
      </c>
      <c r="S437" s="45"/>
      <c r="T437" s="45"/>
      <c r="U437" s="7">
        <f>R437+T437</f>
        <v>90</v>
      </c>
      <c r="W437" s="7">
        <f>E437*0.1+G437*0.1+I437*0.1+O437*0.2+R437*0.2</f>
        <v>56.8</v>
      </c>
      <c r="X437" s="21">
        <f>W437/0.7+K437+T437</f>
        <v>81.1428571428572</v>
      </c>
    </row>
    <row r="438" s="5" customFormat="1" ht="15.6" spans="1:24">
      <c r="A438" s="6">
        <v>109</v>
      </c>
      <c r="B438" s="29" t="s">
        <v>444</v>
      </c>
      <c r="C438" s="29" t="s">
        <v>46</v>
      </c>
      <c r="D438" s="6">
        <v>17.1</v>
      </c>
      <c r="E438" s="40">
        <f>LOOKUP(D438,{0,0.4,1.2,2,2.8,3.6,4.4,5.7,7,8.3,9.6,10.9,12.2,13.5,14.8,16.1,17.4,19.1,20.8,22.5,24.2},{0,10,20,30,40,50,60,62,64,66,68,70,72,74,76,78,80,85,90,95,100})</f>
        <v>78</v>
      </c>
      <c r="F438" s="6">
        <v>186</v>
      </c>
      <c r="G438" s="40">
        <f>LOOKUP(F438,{0,123,128,133,138,143,148,151,154,157,160,163,166,169,172,175,178,185,192,198,204},{0,10,20,30,40,50,60,62,64,66,68,70,72,74,76,78,80,85,90,95,100})</f>
        <v>85</v>
      </c>
      <c r="H438" s="6">
        <v>52</v>
      </c>
      <c r="I438" s="40">
        <f>LOOKUP(H438,{0,13,15,17,19,21,23,25,27,29,31,33,35,37,39,41,43,46,49,51,53},{0,10,20,30,40,50,60,62,64,66,68,70,72,74,76,78,80,85,90,95,100})</f>
        <v>95</v>
      </c>
      <c r="J438" s="45"/>
      <c r="K438" s="45"/>
      <c r="L438" s="7">
        <f>I438+K438</f>
        <v>95</v>
      </c>
      <c r="M438" s="6">
        <v>9.5</v>
      </c>
      <c r="N438" s="43">
        <f>13-M438</f>
        <v>3.5</v>
      </c>
      <c r="O438" s="40">
        <f>LOOKUP(N438,{0,1.4,1.6,1.8,2,2.2,2.4,2.6,2.8,3,3.2,3.4,3.6,3.8,4,4.2,4.4,4.7,5,5.1,5.2},{0,10,20,30,40,50,60,62,64,66,68,70,72,74,76,78,80,85,90,95,100})</f>
        <v>70</v>
      </c>
      <c r="P438" s="6">
        <v>3.37</v>
      </c>
      <c r="Q438" s="6">
        <f>10-P438</f>
        <v>6.63</v>
      </c>
      <c r="R438" s="40">
        <f>LOOKUP(Q438,{0,4.7,4.8,4.9,5,5.5,5.6,5.65,5.7,5.75,5.8,5.85,5.9,5.95,6,6.45,6.5,6.57,6.64,6.7,6.76},{0,10,20,30,40,50,60,62,64,66,68,70,72,74,76,78,80,85,90,95,100})</f>
        <v>85</v>
      </c>
      <c r="S438" s="45"/>
      <c r="T438" s="45"/>
      <c r="U438" s="7">
        <f>R438+T438</f>
        <v>85</v>
      </c>
      <c r="V438" s="6"/>
      <c r="W438" s="7">
        <f>E438*0.1+G438*0.1+I438*0.1+O438*0.2+R438*0.2</f>
        <v>56.8</v>
      </c>
      <c r="X438" s="21">
        <f>W438/0.7+K438+T438</f>
        <v>81.1428571428571</v>
      </c>
    </row>
    <row r="439" s="5" customFormat="1" ht="15.6" spans="1:24">
      <c r="A439" s="6">
        <v>115</v>
      </c>
      <c r="B439" s="29" t="s">
        <v>762</v>
      </c>
      <c r="C439" s="29" t="s">
        <v>46</v>
      </c>
      <c r="D439" s="6">
        <v>12.2</v>
      </c>
      <c r="E439" s="40">
        <f>LOOKUP(D439,{0,0.4,1.2,2,2.8,3.6,4.4,5.7,7,8.3,9.6,10.9,12.2,13.5,14.8,16.1,17.4,19.1,20.8,22.5,24.2},{0,10,20,30,40,50,60,62,64,66,68,70,72,74,76,78,80,85,90,95,100})</f>
        <v>72</v>
      </c>
      <c r="F439" s="6">
        <v>154</v>
      </c>
      <c r="G439" s="40">
        <f>LOOKUP(F439,{0,123,128,133,138,143,148,151,154,157,160,163,166,169,172,175,178,185,192,198,204},{0,10,20,30,40,50,60,62,64,66,68,70,72,74,76,78,80,85,90,95,100})</f>
        <v>64</v>
      </c>
      <c r="H439" s="6">
        <v>51</v>
      </c>
      <c r="I439" s="40">
        <f>LOOKUP(H439,{0,13,15,17,19,21,23,25,27,29,31,33,35,37,39,41,43,46,49,51,53},{0,10,20,30,40,50,60,62,64,66,68,70,72,74,76,78,80,85,90,95,100})</f>
        <v>95</v>
      </c>
      <c r="J439" s="45"/>
      <c r="K439" s="45"/>
      <c r="L439" s="7">
        <f>I439+K439</f>
        <v>95</v>
      </c>
      <c r="M439" s="6">
        <v>8.8</v>
      </c>
      <c r="N439" s="43">
        <f>13-M439</f>
        <v>4.2</v>
      </c>
      <c r="O439" s="40">
        <f>LOOKUP(N439,{0,1.4,1.6,1.8,2,2.2,2.4,2.6,2.8,3,3.2,3.4,3.6,3.8,4,4.2,4.4,4.7,5,5.1,5.2},{0,10,20,30,40,50,60,62,64,66,68,70,72,74,76,78,80,85,90,95,100})</f>
        <v>78</v>
      </c>
      <c r="P439" s="6">
        <v>3.36</v>
      </c>
      <c r="Q439" s="6">
        <f>10-P439</f>
        <v>6.64</v>
      </c>
      <c r="R439" s="40">
        <f>LOOKUP(Q439,{0,4.7,4.8,4.9,5,5.5,5.6,5.65,5.7,5.75,5.8,5.85,5.9,5.95,6,6.45,6.5,6.57,6.64,6.7,6.76},{0,10,20,30,40,50,60,62,64,66,68,70,72,74,76,78,80,85,90,95,100})</f>
        <v>90</v>
      </c>
      <c r="S439" s="45"/>
      <c r="T439" s="45"/>
      <c r="U439" s="7">
        <f>R439+T439</f>
        <v>90</v>
      </c>
      <c r="V439" s="6"/>
      <c r="W439" s="7">
        <f>E439*0.1+G439*0.1+I439*0.1+O439*0.2+R439*0.2</f>
        <v>56.7</v>
      </c>
      <c r="X439" s="21">
        <f>W439/0.7+K439+T439</f>
        <v>81</v>
      </c>
    </row>
    <row r="440" ht="15.6" spans="1:24">
      <c r="A440" s="6">
        <v>108</v>
      </c>
      <c r="B440" s="39" t="s">
        <v>384</v>
      </c>
      <c r="C440" s="29" t="s">
        <v>46</v>
      </c>
      <c r="D440" s="6">
        <v>5.5</v>
      </c>
      <c r="E440" s="40">
        <f>LOOKUP(D440,{0,0.4,1.2,2,2.8,3.6,4.4,5.7,7,8.3,9.6,10.9,12.2,13.5,14.8,16.1,17.4,19.1,20.8,22.5,24.2},{0,10,20,30,40,50,60,62,64,66,68,70,72,74,76,78,80,85,90,95,100})</f>
        <v>60</v>
      </c>
      <c r="F440" s="6">
        <v>190</v>
      </c>
      <c r="G440" s="40">
        <f>LOOKUP(F440,{0,123,128,133,138,143,148,151,154,157,160,163,166,169,172,175,178,185,192,198,204},{0,10,20,30,40,50,60,62,64,66,68,70,72,74,76,78,80,85,90,95,100})</f>
        <v>85</v>
      </c>
      <c r="H440" s="6">
        <v>35</v>
      </c>
      <c r="I440" s="40">
        <f>LOOKUP(H440,{0,13,15,17,19,21,23,25,27,29,31,33,35,37,39,41,43,46,49,51,53},{0,10,20,30,40,50,60,62,64,66,68,70,72,74,76,78,80,85,90,95,100})</f>
        <v>72</v>
      </c>
      <c r="J440" s="45"/>
      <c r="K440" s="45"/>
      <c r="L440" s="7">
        <f>I440+K440</f>
        <v>72</v>
      </c>
      <c r="M440" s="6">
        <v>8</v>
      </c>
      <c r="N440" s="43">
        <f>13-M440</f>
        <v>5</v>
      </c>
      <c r="O440" s="40">
        <f>LOOKUP(N440,{0,1.4,1.6,1.8,2,2.2,2.4,2.6,2.8,3,3.2,3.4,3.6,3.8,4,4.2,4.4,4.7,5,5.1,5.2},{0,10,20,30,40,50,60,62,64,66,68,70,72,74,76,78,80,85,90,95,100})</f>
        <v>90</v>
      </c>
      <c r="P440" s="6">
        <v>3.42</v>
      </c>
      <c r="Q440" s="6">
        <f>10-P440</f>
        <v>6.58</v>
      </c>
      <c r="R440" s="40">
        <f>LOOKUP(Q440,{0,4.7,4.8,4.9,5,5.5,5.6,5.65,5.7,5.75,5.8,5.85,5.9,5.95,6,6.45,6.5,6.57,6.64,6.7,6.76},{0,10,20,30,40,50,60,62,64,66,68,70,72,74,76,78,80,85,90,95,100})</f>
        <v>85</v>
      </c>
      <c r="S440" s="45"/>
      <c r="T440" s="45"/>
      <c r="U440" s="7">
        <f>R440+T440</f>
        <v>85</v>
      </c>
      <c r="W440" s="7">
        <f>E440*0.1+G440*0.1+I440*0.1+O440*0.2+R440*0.2</f>
        <v>56.7</v>
      </c>
      <c r="X440" s="21">
        <f>W440/0.7+K440+T440</f>
        <v>81</v>
      </c>
    </row>
    <row r="441" ht="15.6" spans="1:24">
      <c r="A441" s="6">
        <v>108</v>
      </c>
      <c r="B441" s="29" t="s">
        <v>387</v>
      </c>
      <c r="C441" s="29" t="s">
        <v>46</v>
      </c>
      <c r="D441" s="6">
        <v>9</v>
      </c>
      <c r="E441" s="40">
        <f>LOOKUP(D441,{0,0.4,1.2,2,2.8,3.6,4.4,5.7,7,8.3,9.6,10.9,12.2,13.5,14.8,16.1,17.4,19.1,20.8,22.5,24.2},{0,10,20,30,40,50,60,62,64,66,68,70,72,74,76,78,80,85,90,95,100})</f>
        <v>66</v>
      </c>
      <c r="F441" s="6">
        <v>180</v>
      </c>
      <c r="G441" s="40">
        <f>LOOKUP(F441,{0,123,128,133,138,143,148,151,154,157,160,163,166,169,172,175,178,185,192,198,204},{0,10,20,30,40,50,60,62,64,66,68,70,72,74,76,78,80,85,90,95,100})</f>
        <v>80</v>
      </c>
      <c r="H441" s="6">
        <v>51</v>
      </c>
      <c r="I441" s="40">
        <f>LOOKUP(H441,{0,13,15,17,19,21,23,25,27,29,31,33,35,37,39,41,43,46,49,51,53},{0,10,20,30,40,50,60,62,64,66,68,70,72,74,76,78,80,85,90,95,100})</f>
        <v>95</v>
      </c>
      <c r="J441" s="45"/>
      <c r="K441" s="45"/>
      <c r="L441" s="7">
        <f>I441+K441</f>
        <v>95</v>
      </c>
      <c r="M441" s="6">
        <v>8.8</v>
      </c>
      <c r="N441" s="43">
        <f>13-M441</f>
        <v>4.2</v>
      </c>
      <c r="O441" s="40">
        <f>LOOKUP(N441,{0,1.4,1.6,1.8,2,2.2,2.4,2.6,2.8,3,3.2,3.4,3.6,3.8,4,4.2,4.4,4.7,5,5.1,5.2},{0,10,20,30,40,50,60,62,64,66,68,70,72,74,76,78,80,85,90,95,100})</f>
        <v>78</v>
      </c>
      <c r="P441" s="6">
        <v>3.42</v>
      </c>
      <c r="Q441" s="6">
        <f>10-P441</f>
        <v>6.58</v>
      </c>
      <c r="R441" s="40">
        <f>LOOKUP(Q441,{0,4.7,4.8,4.9,5,5.5,5.6,5.65,5.7,5.75,5.8,5.85,5.9,5.95,6,6.45,6.5,6.57,6.64,6.7,6.76},{0,10,20,30,40,50,60,62,64,66,68,70,72,74,76,78,80,85,90,95,100})</f>
        <v>85</v>
      </c>
      <c r="S441" s="45"/>
      <c r="T441" s="45"/>
      <c r="U441" s="7">
        <f>R441+T441</f>
        <v>85</v>
      </c>
      <c r="W441" s="7">
        <f>E441*0.1+G441*0.1+I441*0.1+O441*0.2+R441*0.2</f>
        <v>56.7</v>
      </c>
      <c r="X441" s="21">
        <f>W441/0.7+K441+T441</f>
        <v>81</v>
      </c>
    </row>
    <row r="442" ht="15.6" spans="1:24">
      <c r="A442" s="6">
        <v>113</v>
      </c>
      <c r="B442" s="29" t="s">
        <v>655</v>
      </c>
      <c r="C442" s="29" t="s">
        <v>46</v>
      </c>
      <c r="D442" s="6">
        <v>20</v>
      </c>
      <c r="E442" s="40">
        <f>LOOKUP(D442,{0,0.4,1.2,2,2.8,3.6,4.4,5.7,7,8.3,9.6,10.9,12.2,13.5,14.8,16.1,17.4,19.1,20.8,22.5,24.2},{0,10,20,30,40,50,60,62,64,66,68,70,72,74,76,78,80,85,90,95,100})</f>
        <v>85</v>
      </c>
      <c r="F442" s="6">
        <v>185</v>
      </c>
      <c r="G442" s="40">
        <f>LOOKUP(F442,{0,123,128,133,138,143,148,151,154,157,160,163,166,169,172,175,178,185,192,198,204},{0,10,20,30,40,50,60,62,64,66,68,70,72,74,76,78,80,85,90,95,100})</f>
        <v>85</v>
      </c>
      <c r="H442" s="6">
        <v>46</v>
      </c>
      <c r="I442" s="40">
        <f>LOOKUP(H442,{0,13,15,17,19,21,23,25,27,29,31,33,35,37,39,41,43,46,49,51,53},{0,10,20,30,40,50,60,62,64,66,68,70,72,74,76,78,80,85,90,95,100})</f>
        <v>85</v>
      </c>
      <c r="J442" s="45"/>
      <c r="K442" s="45"/>
      <c r="L442" s="7">
        <f>I442+K442</f>
        <v>85</v>
      </c>
      <c r="M442" s="6">
        <v>8.6</v>
      </c>
      <c r="N442" s="43">
        <f>13-M442</f>
        <v>4.4</v>
      </c>
      <c r="O442" s="40">
        <f>LOOKUP(N442,{0,1.4,1.6,1.8,2,2.2,2.4,2.6,2.8,3,3.2,3.4,3.6,3.8,4,4.2,4.4,4.7,5,5.1,5.2},{0,10,20,30,40,50,60,62,64,66,68,70,72,74,76,78,80,85,90,95,100})</f>
        <v>80</v>
      </c>
      <c r="P442" s="6">
        <v>3.58</v>
      </c>
      <c r="Q442" s="6">
        <f>10-P442</f>
        <v>6.42</v>
      </c>
      <c r="R442" s="40">
        <f>LOOKUP(Q442,{0,4.7,4.8,4.9,5,5.5,5.6,5.65,5.7,5.75,5.8,5.85,5.9,5.95,6,6.45,6.5,6.57,6.64,6.7,6.76},{0,10,20,30,40,50,60,62,64,66,68,70,72,74,76,78,80,85,90,95,100})</f>
        <v>76</v>
      </c>
      <c r="S442" s="45"/>
      <c r="T442" s="45"/>
      <c r="U442" s="7">
        <f>R442+T442</f>
        <v>76</v>
      </c>
      <c r="W442" s="7">
        <f>E442*0.1+G442*0.1+I442*0.1+O442*0.2+R442*0.2</f>
        <v>56.7</v>
      </c>
      <c r="X442" s="21">
        <f>W442/0.7+K442+T442</f>
        <v>81</v>
      </c>
    </row>
    <row r="443" ht="15.6" spans="1:24">
      <c r="A443" s="6">
        <v>116</v>
      </c>
      <c r="B443" s="6" t="s">
        <v>831</v>
      </c>
      <c r="C443" s="6" t="s">
        <v>46</v>
      </c>
      <c r="D443" s="6">
        <v>12.2</v>
      </c>
      <c r="E443" s="40">
        <f>LOOKUP(D443,{0,0.4,1.2,2,2.8,3.6,4.4,5.7,7,8.3,9.6,10.9,12.2,13.5,14.8,16.1,17.4,19.1,20.8,22.5,24.2},{0,10,20,30,40,50,60,62,64,66,68,70,72,74,76,78,80,85,90,95,100})</f>
        <v>72</v>
      </c>
      <c r="F443" s="6">
        <v>175</v>
      </c>
      <c r="G443" s="40">
        <f>LOOKUP(F443,{0,123,128,133,138,143,148,151,154,157,160,163,166,169,172,175,178,185,192,198,204},{0,10,20,30,40,50,60,62,64,66,68,70,72,74,76,78,80,85,90,95,100})</f>
        <v>78</v>
      </c>
      <c r="H443" s="6">
        <v>45</v>
      </c>
      <c r="I443" s="40">
        <f>LOOKUP(H443,{0,13,15,17,19,21,23,25,27,29,31,33,35,37,39,41,43,46,49,51,53},{0,10,20,30,40,50,60,62,64,66,68,70,72,74,76,78,80,85,90,95,100})</f>
        <v>80</v>
      </c>
      <c r="J443" s="45"/>
      <c r="K443" s="45"/>
      <c r="L443" s="7">
        <f>I443+K443</f>
        <v>80</v>
      </c>
      <c r="M443" s="6">
        <v>8.8</v>
      </c>
      <c r="N443" s="43">
        <f>13-M443</f>
        <v>4.2</v>
      </c>
      <c r="O443" s="40">
        <f>LOOKUP(N443,{0,1.4,1.6,1.8,2,2.2,2.4,2.6,2.8,3,3.2,3.4,3.6,3.8,4,4.2,4.4,4.7,5,5.1,5.2},{0,10,20,30,40,50,60,62,64,66,68,70,72,74,76,78,80,85,90,95,100})</f>
        <v>78</v>
      </c>
      <c r="P443" s="6">
        <v>3.33</v>
      </c>
      <c r="Q443" s="6">
        <f>10-P443</f>
        <v>6.67</v>
      </c>
      <c r="R443" s="40">
        <f>LOOKUP(Q443,{0,4.7,4.8,4.9,5,5.5,5.6,5.65,5.7,5.75,5.8,5.85,5.9,5.95,6,6.45,6.5,6.57,6.64,6.7,6.76},{0,10,20,30,40,50,60,62,64,66,68,70,72,74,76,78,80,85,90,95,100})</f>
        <v>90</v>
      </c>
      <c r="S443" s="45"/>
      <c r="T443" s="45"/>
      <c r="U443" s="7">
        <f>R443+T443</f>
        <v>90</v>
      </c>
      <c r="W443" s="7">
        <f>E443*0.1+G443*0.1+I443*0.1+O443*0.2+R443*0.2</f>
        <v>56.6</v>
      </c>
      <c r="X443" s="21">
        <f>W443/0.7+K443+T443</f>
        <v>80.8571428571429</v>
      </c>
    </row>
    <row r="444" ht="15.6" spans="1:24">
      <c r="A444" s="6">
        <v>108</v>
      </c>
      <c r="B444" s="29" t="s">
        <v>397</v>
      </c>
      <c r="C444" s="29" t="s">
        <v>46</v>
      </c>
      <c r="D444" s="6">
        <v>24</v>
      </c>
      <c r="E444" s="40">
        <f>LOOKUP(D444,{0,0.4,1.2,2,2.8,3.6,4.4,5.7,7,8.3,9.6,10.9,12.2,13.5,14.8,16.1,17.4,19.1,20.8,22.5,24.2},{0,10,20,30,40,50,60,62,64,66,68,70,72,74,76,78,80,85,90,95,100})</f>
        <v>95</v>
      </c>
      <c r="F444" s="6">
        <v>165</v>
      </c>
      <c r="G444" s="40">
        <f>LOOKUP(F444,{0,123,128,133,138,143,148,151,154,157,160,163,166,169,172,175,178,185,192,198,204},{0,10,20,30,40,50,60,62,64,66,68,70,72,74,76,78,80,85,90,95,100})</f>
        <v>70</v>
      </c>
      <c r="H444" s="6">
        <v>48</v>
      </c>
      <c r="I444" s="40">
        <f>LOOKUP(H444,{0,13,15,17,19,21,23,25,27,29,31,33,35,37,39,41,43,46,49,51,53},{0,10,20,30,40,50,60,62,64,66,68,70,72,74,76,78,80,85,90,95,100})</f>
        <v>85</v>
      </c>
      <c r="J444" s="45"/>
      <c r="K444" s="45"/>
      <c r="L444" s="7">
        <f>I444+K444</f>
        <v>85</v>
      </c>
      <c r="M444" s="6">
        <v>8.8</v>
      </c>
      <c r="N444" s="43">
        <f>13-M444</f>
        <v>4.2</v>
      </c>
      <c r="O444" s="40">
        <f>LOOKUP(N444,{0,1.4,1.6,1.8,2,2.2,2.4,2.6,2.8,3,3.2,3.4,3.6,3.8,4,4.2,4.4,4.7,5,5.1,5.2},{0,10,20,30,40,50,60,62,64,66,68,70,72,74,76,78,80,85,90,95,100})</f>
        <v>78</v>
      </c>
      <c r="P444" s="6">
        <v>3.48</v>
      </c>
      <c r="Q444" s="6">
        <f>10-P444</f>
        <v>6.52</v>
      </c>
      <c r="R444" s="40">
        <f>LOOKUP(Q444,{0,4.7,4.8,4.9,5,5.5,5.6,5.65,5.7,5.75,5.8,5.85,5.9,5.95,6,6.45,6.5,6.57,6.64,6.7,6.76},{0,10,20,30,40,50,60,62,64,66,68,70,72,74,76,78,80,85,90,95,100})</f>
        <v>80</v>
      </c>
      <c r="S444" s="45"/>
      <c r="T444" s="45"/>
      <c r="U444" s="7">
        <f>R444+T444</f>
        <v>80</v>
      </c>
      <c r="W444" s="7">
        <f>E444*0.1+G444*0.1+I444*0.1+O444*0.2+R444*0.2</f>
        <v>56.6</v>
      </c>
      <c r="X444" s="21">
        <f>W444/0.7+K444+T444</f>
        <v>80.8571428571429</v>
      </c>
    </row>
    <row r="445" ht="15.6" spans="1:24">
      <c r="A445" s="6">
        <v>108</v>
      </c>
      <c r="B445" s="29" t="s">
        <v>398</v>
      </c>
      <c r="C445" s="29" t="s">
        <v>46</v>
      </c>
      <c r="D445" s="6">
        <v>4</v>
      </c>
      <c r="E445" s="40">
        <f>LOOKUP(D445,{0,0.4,1.2,2,2.8,3.6,4.4,5.7,7,8.3,9.6,10.9,12.2,13.5,14.8,16.1,17.4,19.1,20.8,22.5,24.2},{0,10,20,30,40,50,60,62,64,66,68,70,72,74,76,78,80,85,90,95,100})</f>
        <v>50</v>
      </c>
      <c r="F445" s="6">
        <v>178</v>
      </c>
      <c r="G445" s="40">
        <f>LOOKUP(F445,{0,123,128,133,138,143,148,151,154,157,160,163,166,169,172,175,178,185,192,198,204},{0,10,20,30,40,50,60,62,64,66,68,70,72,74,76,78,80,85,90,95,100})</f>
        <v>80</v>
      </c>
      <c r="H445" s="6">
        <v>46</v>
      </c>
      <c r="I445" s="40">
        <f>LOOKUP(H445,{0,13,15,17,19,21,23,25,27,29,31,33,35,37,39,41,43,46,49,51,53},{0,10,20,30,40,50,60,62,64,66,68,70,72,74,76,78,80,85,90,95,100})</f>
        <v>85</v>
      </c>
      <c r="J445" s="45"/>
      <c r="K445" s="45"/>
      <c r="L445" s="7">
        <f>I445+K445</f>
        <v>85</v>
      </c>
      <c r="M445" s="6">
        <v>8.3</v>
      </c>
      <c r="N445" s="43">
        <f>13-M445</f>
        <v>4.7</v>
      </c>
      <c r="O445" s="40">
        <f>LOOKUP(N445,{0,1.4,1.6,1.8,2,2.2,2.4,2.6,2.8,3,3.2,3.4,3.6,3.8,4,4.2,4.4,4.7,5,5.1,5.2},{0,10,20,30,40,50,60,62,64,66,68,70,72,74,76,78,80,85,90,95,100})</f>
        <v>85</v>
      </c>
      <c r="P445" s="6">
        <v>3.31</v>
      </c>
      <c r="Q445" s="6">
        <f>10-P445</f>
        <v>6.69</v>
      </c>
      <c r="R445" s="40">
        <f>LOOKUP(Q445,{0,4.7,4.8,4.9,5,5.5,5.6,5.65,5.7,5.75,5.8,5.85,5.9,5.95,6,6.45,6.5,6.57,6.64,6.7,6.76},{0,10,20,30,40,50,60,62,64,66,68,70,72,74,76,78,80,85,90,95,100})</f>
        <v>90</v>
      </c>
      <c r="S445" s="45"/>
      <c r="T445" s="45"/>
      <c r="U445" s="7">
        <f>R445+T445</f>
        <v>90</v>
      </c>
      <c r="W445" s="7">
        <f>E445*0.1+G445*0.1+I445*0.1+O445*0.2+R445*0.2</f>
        <v>56.5</v>
      </c>
      <c r="X445" s="21">
        <f>W445/0.7+K445+T445</f>
        <v>80.7142857142857</v>
      </c>
    </row>
    <row r="446" s="3" customFormat="1" ht="15.6" spans="1:24">
      <c r="A446" s="6">
        <v>111</v>
      </c>
      <c r="B446" s="29" t="s">
        <v>547</v>
      </c>
      <c r="C446" s="29" t="s">
        <v>46</v>
      </c>
      <c r="D446" s="6">
        <v>7</v>
      </c>
      <c r="E446" s="40">
        <f>LOOKUP(D446,{0,0.4,1.2,2,2.8,3.6,4.4,5.7,7,8.3,9.6,10.9,12.2,13.5,14.8,16.1,17.4,19.1,20.8,22.5,24.2},{0,10,20,30,40,50,60,62,64,66,68,70,72,74,76,78,80,85,90,95,100})</f>
        <v>64</v>
      </c>
      <c r="F446" s="6">
        <v>185</v>
      </c>
      <c r="G446" s="40">
        <f>LOOKUP(F446,{0,123,128,133,138,143,148,151,154,157,160,163,166,169,172,175,178,185,192,198,204},{0,10,20,30,40,50,60,62,64,66,68,70,72,74,76,78,80,85,90,95,100})</f>
        <v>85</v>
      </c>
      <c r="H446" s="6">
        <v>48</v>
      </c>
      <c r="I446" s="40">
        <f>LOOKUP(H446,{0,13,15,17,19,21,23,25,27,29,31,33,35,37,39,41,43,46,49,51,53},{0,10,20,30,40,50,60,62,64,66,68,70,72,74,76,78,80,85,90,95,100})</f>
        <v>85</v>
      </c>
      <c r="J446" s="45"/>
      <c r="K446" s="45"/>
      <c r="L446" s="7">
        <f>I446+K446</f>
        <v>85</v>
      </c>
      <c r="M446" s="6">
        <v>8.6</v>
      </c>
      <c r="N446" s="43">
        <f>13-M446</f>
        <v>4.4</v>
      </c>
      <c r="O446" s="40">
        <f>LOOKUP(N446,{0,1.4,1.6,1.8,2,2.2,2.4,2.6,2.8,3,3.2,3.4,3.6,3.8,4,4.2,4.4,4.7,5,5.1,5.2},{0,10,20,30,40,50,60,62,64,66,68,70,72,74,76,78,80,85,90,95,100})</f>
        <v>80</v>
      </c>
      <c r="P446" s="6">
        <v>3.41</v>
      </c>
      <c r="Q446" s="6">
        <f>10-P446</f>
        <v>6.59</v>
      </c>
      <c r="R446" s="40">
        <f>LOOKUP(Q446,{0,4.7,4.8,4.9,5,5.5,5.6,5.65,5.7,5.75,5.8,5.85,5.9,5.95,6,6.45,6.5,6.57,6.64,6.7,6.76},{0,10,20,30,40,50,60,62,64,66,68,70,72,74,76,78,80,85,90,95,100})</f>
        <v>85</v>
      </c>
      <c r="S446" s="45"/>
      <c r="T446" s="45"/>
      <c r="U446" s="7">
        <f>R446+T446</f>
        <v>85</v>
      </c>
      <c r="V446" s="6"/>
      <c r="W446" s="7">
        <f>E446*0.1+G446*0.1+I446*0.1+O446*0.2+R446*0.2</f>
        <v>56.4</v>
      </c>
      <c r="X446" s="21">
        <f>W446/0.7+K446+T446</f>
        <v>80.5714285714286</v>
      </c>
    </row>
    <row r="447" ht="15.6" spans="1:24">
      <c r="A447" s="6">
        <v>103</v>
      </c>
      <c r="B447" s="29" t="s">
        <v>163</v>
      </c>
      <c r="C447" s="29" t="s">
        <v>46</v>
      </c>
      <c r="D447" s="6">
        <v>21</v>
      </c>
      <c r="E447" s="40">
        <f>LOOKUP(D447,{0,0.4,1.2,2,2.8,3.6,4.4,5.7,7,8.3,9.6,10.9,12.2,13.5,14.8,16.1,17.4,19.1,20.8,22.5,24.2},{0,10,20,30,40,50,60,62,64,66,68,70,72,74,76,78,80,85,90,95,100})</f>
        <v>90</v>
      </c>
      <c r="F447" s="6">
        <v>155</v>
      </c>
      <c r="G447" s="40">
        <f>LOOKUP(F447,{0,123,128,133,138,143,148,151,154,157,160,163,166,169,172,175,178,185,192,198,204},{0,10,20,30,40,50,60,62,64,66,68,70,72,74,76,78,80,85,90,95,100})</f>
        <v>64</v>
      </c>
      <c r="H447" s="6">
        <v>51</v>
      </c>
      <c r="I447" s="40">
        <f>LOOKUP(H447,{0,13,15,17,19,21,23,25,27,29,31,33,35,37,39,41,43,46,49,51,53},{0,10,20,30,40,50,60,62,64,66,68,70,72,74,76,78,80,85,90,95,100})</f>
        <v>95</v>
      </c>
      <c r="J447" s="45"/>
      <c r="K447" s="45"/>
      <c r="L447" s="7">
        <f>I447+K447</f>
        <v>95</v>
      </c>
      <c r="M447" s="6">
        <v>9.3</v>
      </c>
      <c r="N447" s="43">
        <f>13-M447</f>
        <v>3.7</v>
      </c>
      <c r="O447" s="40">
        <f>LOOKUP(N447,{0,1.4,1.6,1.8,2,2.2,2.4,2.6,2.8,3,3.2,3.4,3.6,3.8,4,4.2,4.4,4.7,5,5.1,5.2},{0,10,20,30,40,50,60,62,64,66,68,70,72,74,76,78,80,85,90,95,100})</f>
        <v>72</v>
      </c>
      <c r="P447" s="6">
        <v>3.39</v>
      </c>
      <c r="Q447" s="6">
        <f>10-P447</f>
        <v>6.61</v>
      </c>
      <c r="R447" s="40">
        <f>LOOKUP(Q447,{0,4.7,4.8,4.9,5,5.5,5.6,5.65,5.7,5.75,5.8,5.85,5.9,5.95,6,6.45,6.5,6.57,6.64,6.7,6.76},{0,10,20,30,40,50,60,62,64,66,68,70,72,74,76,78,80,85,90,95,100})</f>
        <v>85</v>
      </c>
      <c r="S447" s="45"/>
      <c r="T447" s="45"/>
      <c r="U447" s="7">
        <f>R447+T447</f>
        <v>85</v>
      </c>
      <c r="W447" s="7">
        <f>E447*0.1+G447*0.1+I447*0.1+O447*0.2+R447*0.2</f>
        <v>56.3</v>
      </c>
      <c r="X447" s="21">
        <f>W447/0.7+K447+T447</f>
        <v>80.4285714285714</v>
      </c>
    </row>
    <row r="448" ht="15.6" hidden="1" spans="1:24">
      <c r="A448" s="6">
        <v>102</v>
      </c>
      <c r="B448" s="29" t="s">
        <v>81</v>
      </c>
      <c r="C448" s="29" t="s">
        <v>11</v>
      </c>
      <c r="D448" s="6">
        <v>-4.3</v>
      </c>
      <c r="E448" s="40">
        <v>0</v>
      </c>
      <c r="F448" s="6">
        <v>188</v>
      </c>
      <c r="G448" s="40">
        <f>LOOKUP(F448,{0,170,175,180,185,190,195,199,203,207,211,215,219,223,227,231,235,243,250,255,260},{0,10,20,30,40,50,60,62,64,66,68,70,72,74,76,78,80,85,90,95,100})</f>
        <v>40</v>
      </c>
      <c r="H448" s="6">
        <v>1</v>
      </c>
      <c r="I448" s="40">
        <f>LOOKUP(H448,{0,2,3,4,5,6,7,8,9,10,11,12,13,14,15,16},{0,10,20,30,40,50,60,64,68,72,76,80,85,90,95,100})</f>
        <v>0</v>
      </c>
      <c r="J448" s="7"/>
      <c r="K448" s="7"/>
      <c r="L448" s="7">
        <f>I448+K448</f>
        <v>0</v>
      </c>
      <c r="M448" s="6">
        <v>7.6</v>
      </c>
      <c r="N448" s="43">
        <f>13-M448</f>
        <v>5.4</v>
      </c>
      <c r="O448" s="40">
        <f>LOOKUP(N448,{0,2.5,2.7,2.9,3.1,3.3,3.5,3.7,3.9,4.1,4.3,4.5,4.7,4.9,5.1,5.3,5.5,5.6,5.7,5.8,5.9},{0,10,20,30,40,50,60,62,64,66,68,70,72,74,76,78,80,85,90,95,100})</f>
        <v>78</v>
      </c>
      <c r="P448" s="6">
        <v>3.48</v>
      </c>
      <c r="Q448" s="6">
        <f>10-P448</f>
        <v>6.52</v>
      </c>
      <c r="R448" s="40">
        <f>LOOKUP(Q448,{0,3.75,3.95,4.55,4.75,4.95,5.55,5.6,5.65,5.7,5.75,5.8,5.85,5.9,5.95,6,6.45,6.53,6.6,6.65,6.7},{0,10,20,30,40,50,60,62,64,66,68,70,72,74,76,78,80,85,90,95,100})</f>
        <v>80</v>
      </c>
      <c r="S448" s="7"/>
      <c r="T448" s="7"/>
      <c r="U448" s="7">
        <f>R448+T448</f>
        <v>80</v>
      </c>
      <c r="W448" s="7">
        <f>E448*0.1+G448*0.1+I448*0.1+O448*0.2+R448*0.2</f>
        <v>35.6</v>
      </c>
      <c r="X448" s="21">
        <f>W448/0.7+K448+T448</f>
        <v>50.8571428571429</v>
      </c>
    </row>
    <row r="449" ht="15.6" hidden="1" spans="1:24">
      <c r="A449" s="6">
        <v>108</v>
      </c>
      <c r="B449" s="29" t="s">
        <v>367</v>
      </c>
      <c r="C449" s="29" t="s">
        <v>11</v>
      </c>
      <c r="D449" s="6">
        <v>16.1</v>
      </c>
      <c r="E449" s="40">
        <f>LOOKUP(D449,{0,-4,-3,-2,-1,0,1,2.4,3.8,5.2,6.6,8,9.4,10.8,12.2,13.6,15,17.2,19.4,21.5,23.6},{0,10,20,30,40,50,60,62,64,66,68,70,72,74,76,78,80,85,90,95,100})</f>
        <v>80</v>
      </c>
      <c r="F449" s="6">
        <v>217</v>
      </c>
      <c r="G449" s="40">
        <f>LOOKUP(F449,{0,170,175,180,185,190,195,199,203,207,211,215,219,223,227,231,235,243,250,255,260},{0,10,20,30,40,50,60,62,64,66,68,70,72,74,76,78,80,85,90,95,100})</f>
        <v>70</v>
      </c>
      <c r="H449" s="6" t="s">
        <v>368</v>
      </c>
      <c r="I449" s="40">
        <v>0</v>
      </c>
      <c r="J449" s="7"/>
      <c r="K449" s="7"/>
      <c r="L449" s="7">
        <v>0</v>
      </c>
      <c r="M449" s="6">
        <v>7.6</v>
      </c>
      <c r="N449" s="43">
        <f>13-M449</f>
        <v>5.4</v>
      </c>
      <c r="O449" s="40">
        <f>LOOKUP(N449,{0,2.5,2.7,2.9,3.1,3.3,3.5,3.7,3.9,4.1,4.3,4.5,4.7,4.9,5.1,5.3,5.5,5.6,5.7,5.8,5.9},{0,10,20,30,40,50,60,62,64,66,68,70,72,74,76,78,80,85,90,95,100})</f>
        <v>78</v>
      </c>
      <c r="P449" s="6">
        <v>3.49</v>
      </c>
      <c r="Q449" s="6">
        <f>10-P449</f>
        <v>6.51</v>
      </c>
      <c r="R449" s="40">
        <f>LOOKUP(Q449,{0,3.75,3.95,4.55,4.75,4.95,5.55,5.6,5.65,5.7,5.75,5.8,5.85,5.9,5.95,6,6.45,6.53,6.6,6.65,6.7},{0,10,20,30,40,50,60,62,64,66,68,70,72,74,76,78,80,85,90,95,100})</f>
        <v>80</v>
      </c>
      <c r="S449" s="7"/>
      <c r="T449" s="7"/>
      <c r="U449" s="7">
        <f>R449+T449</f>
        <v>80</v>
      </c>
      <c r="W449" s="7">
        <f>E449*0.1+G449*0.1+I449*0.1+O449*0.2+R449*0.2</f>
        <v>46.6</v>
      </c>
      <c r="X449" s="21">
        <f>W449/0.7+K449+T449</f>
        <v>66.5714285714286</v>
      </c>
    </row>
    <row r="450" ht="15.6" hidden="1" spans="1:24">
      <c r="A450" s="6">
        <v>104</v>
      </c>
      <c r="B450" s="29" t="s">
        <v>175</v>
      </c>
      <c r="C450" s="29" t="s">
        <v>11</v>
      </c>
      <c r="D450" s="6">
        <v>13</v>
      </c>
      <c r="E450" s="40">
        <f>LOOKUP(D450,{0,-4,-3,-2,-1,0,1,2.4,3.8,5.2,6.6,8,9.4,10.8,12.2,13.6,15,17.2,19.4,21.5,23.6},{0,10,20,30,40,50,60,62,64,66,68,70,72,74,76,78,80,85,90,95,100})</f>
        <v>76</v>
      </c>
      <c r="F450" s="6">
        <v>210</v>
      </c>
      <c r="G450" s="40">
        <f>LOOKUP(F450,{0,170,175,180,185,190,195,199,203,207,211,215,219,223,227,231,235,243,250,255,260},{0,10,20,30,40,50,60,62,64,66,68,70,72,74,76,78,80,85,90,95,100})</f>
        <v>66</v>
      </c>
      <c r="H450" s="6">
        <v>19</v>
      </c>
      <c r="I450" s="40">
        <f>LOOKUP(H450,{0,2,3,4,5,6,7,8,9,10,11,12,13,14,15,16},{0,10,20,30,40,50,60,64,68,72,76,80,85,90,95,100})</f>
        <v>100</v>
      </c>
      <c r="J450" s="7">
        <f>H450-16</f>
        <v>3</v>
      </c>
      <c r="K450" s="40">
        <f>LOOKUP(J450,{0,1,2,3,4,5,6,7,8,9,10},{0,1,2,3,4,5,6,7,8,9,10})</f>
        <v>3</v>
      </c>
      <c r="L450" s="7">
        <f>I450+K450</f>
        <v>103</v>
      </c>
      <c r="M450" s="6">
        <v>7.6</v>
      </c>
      <c r="N450" s="43">
        <f>13-M450</f>
        <v>5.4</v>
      </c>
      <c r="O450" s="40">
        <f>LOOKUP(N450,{0,2.5,2.7,2.9,3.1,3.3,3.5,3.7,3.9,4.1,4.3,4.5,4.7,4.9,5.1,5.3,5.5,5.6,5.7,5.8,5.9},{0,10,20,30,40,50,60,62,64,66,68,70,72,74,76,78,80,85,90,95,100})</f>
        <v>78</v>
      </c>
      <c r="P450" s="6">
        <v>3.49</v>
      </c>
      <c r="Q450" s="6">
        <f>10-P450</f>
        <v>6.51</v>
      </c>
      <c r="R450" s="40">
        <f>LOOKUP(Q450,{0,3.75,3.95,4.55,4.75,4.95,5.55,5.6,5.65,5.7,5.75,5.8,5.85,5.9,5.95,6,6.45,6.53,6.6,6.65,6.7},{0,10,20,30,40,50,60,62,64,66,68,70,72,74,76,78,80,85,90,95,100})</f>
        <v>80</v>
      </c>
      <c r="S450" s="7"/>
      <c r="T450" s="7"/>
      <c r="U450" s="7">
        <f>R450+T450</f>
        <v>80</v>
      </c>
      <c r="W450" s="7">
        <f>E450*0.1+G450*0.1+I450*0.1+O450*0.2+R450*0.2</f>
        <v>55.8</v>
      </c>
      <c r="X450" s="21">
        <f>W450/0.7+K450+T450</f>
        <v>82.7142857142857</v>
      </c>
    </row>
    <row r="451" ht="15.6" hidden="1" spans="1:24">
      <c r="A451" s="6">
        <v>116</v>
      </c>
      <c r="B451" s="29" t="s">
        <v>787</v>
      </c>
      <c r="C451" s="29" t="s">
        <v>11</v>
      </c>
      <c r="D451" s="6">
        <v>14.5</v>
      </c>
      <c r="E451" s="40">
        <f>LOOKUP(D451,{0,-4,-3,-2,-1,0,1,2.4,3.8,5.2,6.6,8,9.4,10.8,12.2,13.6,15,17.2,19.4,21.5,23.6},{0,10,20,30,40,50,60,62,64,66,68,70,72,74,76,78,80,85,90,95,100})</f>
        <v>78</v>
      </c>
      <c r="F451" s="6">
        <v>213</v>
      </c>
      <c r="G451" s="40">
        <f>LOOKUP(F451,{0,170,175,180,185,190,195,199,203,207,211,215,219,223,227,231,235,243,250,255,260},{0,10,20,30,40,50,60,62,64,66,68,70,72,74,76,78,80,85,90,95,100})</f>
        <v>68</v>
      </c>
      <c r="H451" s="6">
        <v>6</v>
      </c>
      <c r="I451" s="40">
        <f>LOOKUP(H451,{0,2,3,4,5,6,7,8,9,10,11,12,13,14,15,16},{0,10,20,30,40,50,60,64,68,72,76,80,85,90,95,100})</f>
        <v>50</v>
      </c>
      <c r="J451" s="7"/>
      <c r="K451" s="7"/>
      <c r="L451" s="7">
        <f>I451+K451</f>
        <v>50</v>
      </c>
      <c r="M451" s="6">
        <v>7.6</v>
      </c>
      <c r="N451" s="43">
        <f>13-M451</f>
        <v>5.4</v>
      </c>
      <c r="O451" s="40">
        <f>LOOKUP(N451,{0,2.5,2.7,2.9,3.1,3.3,3.5,3.7,3.9,4.1,4.3,4.5,4.7,4.9,5.1,5.3,5.5,5.6,5.7,5.8,5.9},{0,10,20,30,40,50,60,62,64,66,68,70,72,74,76,78,80,85,90,95,100})</f>
        <v>78</v>
      </c>
      <c r="P451" s="6">
        <v>3.49</v>
      </c>
      <c r="Q451" s="6">
        <f>10-P451</f>
        <v>6.51</v>
      </c>
      <c r="R451" s="40">
        <f>LOOKUP(Q451,{0,3.75,3.95,4.55,4.75,4.95,5.55,5.6,5.65,5.7,5.75,5.8,5.85,5.9,5.95,6,6.45,6.53,6.6,6.65,6.7},{0,10,20,30,40,50,60,62,64,66,68,70,72,74,76,78,80,85,90,95,100})</f>
        <v>80</v>
      </c>
      <c r="S451" s="7"/>
      <c r="T451" s="7"/>
      <c r="U451" s="7">
        <f>R451+T451</f>
        <v>80</v>
      </c>
      <c r="W451" s="7">
        <f>E451*0.1+G451*0.1+I451*0.1+O451*0.2+R451*0.2</f>
        <v>51.2</v>
      </c>
      <c r="X451" s="21">
        <f>W451/0.7+K451+T451</f>
        <v>73.1428571428572</v>
      </c>
    </row>
    <row r="452" ht="15.6" hidden="1" spans="1:24">
      <c r="A452" s="6">
        <v>113</v>
      </c>
      <c r="B452" s="29" t="s">
        <v>644</v>
      </c>
      <c r="C452" s="29" t="s">
        <v>11</v>
      </c>
      <c r="D452" s="6">
        <v>19.5</v>
      </c>
      <c r="E452" s="40">
        <f>LOOKUP(D452,{0,-4,-3,-2,-1,0,1,2.4,3.8,5.2,6.6,8,9.4,10.8,12.2,13.6,15,17.2,19.4,21.5,23.6},{0,10,20,30,40,50,60,62,64,66,68,70,72,74,76,78,80,85,90,95,100})</f>
        <v>90</v>
      </c>
      <c r="F452" s="6">
        <v>220</v>
      </c>
      <c r="G452" s="40">
        <f>LOOKUP(F452,{0,170,175,180,185,190,195,199,203,207,211,215,219,223,227,231,235,243,250,255,260},{0,10,20,30,40,50,60,62,64,66,68,70,72,74,76,78,80,85,90,95,100})</f>
        <v>72</v>
      </c>
      <c r="H452" s="6">
        <v>5</v>
      </c>
      <c r="I452" s="40">
        <f>LOOKUP(H452,{0,2,3,4,5,6,7,8,9,10,11,12,13,14,15,16},{0,10,20,30,40,50,60,64,68,72,76,80,85,90,95,100})</f>
        <v>40</v>
      </c>
      <c r="J452" s="7"/>
      <c r="K452" s="7"/>
      <c r="L452" s="7">
        <f>I452+K452</f>
        <v>40</v>
      </c>
      <c r="M452" s="6">
        <v>7.6</v>
      </c>
      <c r="N452" s="43">
        <f>13-M452</f>
        <v>5.4</v>
      </c>
      <c r="O452" s="40">
        <f>LOOKUP(N452,{0,2.5,2.7,2.9,3.1,3.3,3.5,3.7,3.9,4.1,4.3,4.5,4.7,4.9,5.1,5.3,5.5,5.6,5.7,5.8,5.9},{0,10,20,30,40,50,60,62,64,66,68,70,72,74,76,78,80,85,90,95,100})</f>
        <v>78</v>
      </c>
      <c r="P452" s="6">
        <v>3.51</v>
      </c>
      <c r="Q452" s="6">
        <f>10-P452</f>
        <v>6.49</v>
      </c>
      <c r="R452" s="40">
        <f>LOOKUP(Q452,{0,3.75,3.95,4.55,4.75,4.95,5.55,5.6,5.65,5.7,5.75,5.8,5.85,5.9,5.95,6,6.45,6.53,6.6,6.65,6.7},{0,10,20,30,40,50,60,62,64,66,68,70,72,74,76,78,80,85,90,95,100})</f>
        <v>80</v>
      </c>
      <c r="S452" s="7"/>
      <c r="T452" s="7"/>
      <c r="U452" s="7">
        <f>R452+T452</f>
        <v>80</v>
      </c>
      <c r="W452" s="7">
        <f>E452*0.1+G452*0.1+I452*0.1+O452*0.2+R452*0.2</f>
        <v>51.8</v>
      </c>
      <c r="X452" s="21">
        <f>W452/0.7+K452+T452</f>
        <v>74</v>
      </c>
    </row>
    <row r="453" ht="15.6" hidden="1" spans="1:24">
      <c r="A453" s="6">
        <v>115</v>
      </c>
      <c r="B453" s="29" t="s">
        <v>739</v>
      </c>
      <c r="C453" s="29" t="s">
        <v>11</v>
      </c>
      <c r="D453" s="6">
        <v>24</v>
      </c>
      <c r="E453" s="40">
        <f>LOOKUP(D453,{0,-4,-3,-2,-1,0,1,2.4,3.8,5.2,6.6,8,9.4,10.8,12.2,13.6,15,17.2,19.4,21.5,23.6},{0,10,20,30,40,50,60,62,64,66,68,70,72,74,76,78,80,85,90,95,100})</f>
        <v>100</v>
      </c>
      <c r="F453" s="6">
        <v>263</v>
      </c>
      <c r="G453" s="40">
        <f>LOOKUP(F453,{0,170,175,180,185,190,195,199,203,207,211,215,219,223,227,231,235,243,250,255,260},{0,10,20,30,40,50,60,62,64,66,68,70,72,74,76,78,80,85,90,95,100})</f>
        <v>100</v>
      </c>
      <c r="H453" s="6">
        <v>9</v>
      </c>
      <c r="I453" s="40">
        <f>LOOKUP(H453,{0,2,3,4,5,6,7,8,9,10,11,12,13,14,15,16},{0,10,20,30,40,50,60,64,68,72,76,80,85,90,95,100})</f>
        <v>68</v>
      </c>
      <c r="J453" s="7"/>
      <c r="K453" s="7"/>
      <c r="L453" s="7">
        <f>I453+K453</f>
        <v>68</v>
      </c>
      <c r="M453" s="6">
        <v>7.6</v>
      </c>
      <c r="N453" s="43">
        <f>13-M453</f>
        <v>5.4</v>
      </c>
      <c r="O453" s="40">
        <f>LOOKUP(N453,{0,2.5,2.7,2.9,3.1,3.3,3.5,3.7,3.9,4.1,4.3,4.5,4.7,4.9,5.1,5.3,5.5,5.6,5.7,5.8,5.9},{0,10,20,30,40,50,60,62,64,66,68,70,72,74,76,78,80,85,90,95,100})</f>
        <v>78</v>
      </c>
      <c r="P453" s="6">
        <v>3.52</v>
      </c>
      <c r="Q453" s="6">
        <f>10-P453</f>
        <v>6.48</v>
      </c>
      <c r="R453" s="40">
        <f>LOOKUP(Q453,{0,3.75,3.95,4.55,4.75,4.95,5.55,5.6,5.65,5.7,5.75,5.8,5.85,5.9,5.95,6,6.45,6.53,6.6,6.65,6.7},{0,10,20,30,40,50,60,62,64,66,68,70,72,74,76,78,80,85,90,95,100})</f>
        <v>80</v>
      </c>
      <c r="S453" s="7"/>
      <c r="T453" s="7"/>
      <c r="U453" s="7">
        <f>R453+T453</f>
        <v>80</v>
      </c>
      <c r="W453" s="7">
        <f>E453*0.1+G453*0.1+I453*0.1+O453*0.2+R453*0.2</f>
        <v>58.4</v>
      </c>
      <c r="X453" s="21">
        <f>W453/0.7+K453+T453</f>
        <v>83.4285714285714</v>
      </c>
    </row>
    <row r="454" ht="15.6" hidden="1" spans="1:24">
      <c r="A454" s="6">
        <v>113</v>
      </c>
      <c r="B454" s="29" t="s">
        <v>637</v>
      </c>
      <c r="C454" s="29" t="s">
        <v>11</v>
      </c>
      <c r="D454" s="6">
        <v>14</v>
      </c>
      <c r="E454" s="40">
        <f>LOOKUP(D454,{0,-4,-3,-2,-1,0,1,2.4,3.8,5.2,6.6,8,9.4,10.8,12.2,13.6,15,17.2,19.4,21.5,23.6},{0,10,20,30,40,50,60,62,64,66,68,70,72,74,76,78,80,85,90,95,100})</f>
        <v>78</v>
      </c>
      <c r="F454" s="6">
        <v>240</v>
      </c>
      <c r="G454" s="40">
        <f>LOOKUP(F454,{0,170,175,180,185,190,195,199,203,207,211,215,219,223,227,231,235,243,250,255,260},{0,10,20,30,40,50,60,62,64,66,68,70,72,74,76,78,80,85,90,95,100})</f>
        <v>80</v>
      </c>
      <c r="H454" s="6">
        <v>25</v>
      </c>
      <c r="I454" s="40">
        <f>LOOKUP(H454,{0,2,3,4,5,6,7,8,9,10,11,12,13,14,15,16},{0,10,20,30,40,50,60,64,68,72,76,80,85,90,95,100})</f>
        <v>100</v>
      </c>
      <c r="J454" s="7">
        <f>H454-16</f>
        <v>9</v>
      </c>
      <c r="K454" s="40">
        <f>LOOKUP(J454,{0,1,2,3,4,5,6,7,8,9,10},{0,1,2,3,4,5,6,7,8,9,10})</f>
        <v>9</v>
      </c>
      <c r="L454" s="7">
        <f>I454+K454</f>
        <v>109</v>
      </c>
      <c r="M454" s="6">
        <v>7.6</v>
      </c>
      <c r="N454" s="43">
        <f>13-M454</f>
        <v>5.4</v>
      </c>
      <c r="O454" s="40">
        <f>LOOKUP(N454,{0,2.5,2.7,2.9,3.1,3.3,3.5,3.7,3.9,4.1,4.3,4.5,4.7,4.9,5.1,5.3,5.5,5.6,5.7,5.8,5.9},{0,10,20,30,40,50,60,62,64,66,68,70,72,74,76,78,80,85,90,95,100})</f>
        <v>78</v>
      </c>
      <c r="P454" s="6">
        <v>3.53</v>
      </c>
      <c r="Q454" s="6">
        <f>10-P454</f>
        <v>6.47</v>
      </c>
      <c r="R454" s="40">
        <f>LOOKUP(Q454,{0,3.75,3.95,4.55,4.75,4.95,5.55,5.6,5.65,5.7,5.75,5.8,5.85,5.9,5.95,6,6.45,6.53,6.6,6.65,6.7},{0,10,20,30,40,50,60,62,64,66,68,70,72,74,76,78,80,85,90,95,100})</f>
        <v>80</v>
      </c>
      <c r="S454" s="7"/>
      <c r="T454" s="7"/>
      <c r="U454" s="7">
        <f>R454+T454</f>
        <v>80</v>
      </c>
      <c r="W454" s="7">
        <f>E454*0.1+G454*0.1+I454*0.1+O454*0.2+R454*0.2</f>
        <v>57.4</v>
      </c>
      <c r="X454" s="21">
        <f>W454/0.7+K454+T454</f>
        <v>91</v>
      </c>
    </row>
    <row r="455" ht="15.6" hidden="1" spans="1:24">
      <c r="A455" s="6">
        <v>107</v>
      </c>
      <c r="B455" s="29" t="s">
        <v>323</v>
      </c>
      <c r="C455" s="29" t="s">
        <v>11</v>
      </c>
      <c r="D455" s="6">
        <v>9.5</v>
      </c>
      <c r="E455" s="40">
        <f>LOOKUP(D455,{0,-4,-3,-2,-1,0,1,2.4,3.8,5.2,6.6,8,9.4,10.8,12.2,13.6,15,17.2,19.4,21.5,23.6},{0,10,20,30,40,50,60,62,64,66,68,70,72,74,76,78,80,85,90,95,100})</f>
        <v>72</v>
      </c>
      <c r="F455" s="6">
        <v>241</v>
      </c>
      <c r="G455" s="40">
        <f>LOOKUP(F455,{0,170,175,180,185,190,195,199,203,207,211,215,219,223,227,231,235,243,250,255,260},{0,10,20,30,40,50,60,62,64,66,68,70,72,74,76,78,80,85,90,95,100})</f>
        <v>80</v>
      </c>
      <c r="H455" s="6">
        <v>1</v>
      </c>
      <c r="I455" s="40">
        <f>LOOKUP(H455,{0,2,3,4,5,6,7,8,9,10,11,12,13,14,15,16},{0,10,20,30,40,50,60,64,68,72,76,80,85,90,95,100})</f>
        <v>0</v>
      </c>
      <c r="J455" s="7"/>
      <c r="K455" s="7"/>
      <c r="L455" s="7">
        <f>I455+K455</f>
        <v>0</v>
      </c>
      <c r="M455" s="6">
        <v>7.6</v>
      </c>
      <c r="N455" s="43">
        <f>13-M455</f>
        <v>5.4</v>
      </c>
      <c r="O455" s="40">
        <f>LOOKUP(N455,{0,2.5,2.7,2.9,3.1,3.3,3.5,3.7,3.9,4.1,4.3,4.5,4.7,4.9,5.1,5.3,5.5,5.6,5.7,5.8,5.9},{0,10,20,30,40,50,60,62,64,66,68,70,72,74,76,78,80,85,90,95,100})</f>
        <v>78</v>
      </c>
      <c r="P455" s="6">
        <v>3.56</v>
      </c>
      <c r="Q455" s="6">
        <f>10-P455</f>
        <v>6.44</v>
      </c>
      <c r="R455" s="40">
        <f>LOOKUP(Q455,{0,3.75,3.95,4.55,4.75,4.95,5.55,5.6,5.65,5.7,5.75,5.8,5.85,5.9,5.95,6,6.45,6.53,6.6,6.65,6.7},{0,10,20,30,40,50,60,62,64,66,68,70,72,74,76,78,80,85,90,95,100})</f>
        <v>78</v>
      </c>
      <c r="S455" s="7"/>
      <c r="T455" s="7"/>
      <c r="U455" s="7">
        <f>R455+T455</f>
        <v>78</v>
      </c>
      <c r="W455" s="7">
        <f>E455*0.1+G455*0.1+I455*0.1+O455*0.2+R455*0.2</f>
        <v>46.4</v>
      </c>
      <c r="X455" s="21">
        <f>W455/0.7+K455+T455</f>
        <v>66.2857142857143</v>
      </c>
    </row>
    <row r="456" s="3" customFormat="1" ht="15.6" hidden="1" spans="1:24">
      <c r="A456" s="6">
        <v>101</v>
      </c>
      <c r="B456" s="29" t="s">
        <v>16</v>
      </c>
      <c r="C456" s="29" t="s">
        <v>11</v>
      </c>
      <c r="D456" s="6">
        <v>10.6</v>
      </c>
      <c r="E456" s="40">
        <f>LOOKUP(D456,{0,-4,-3,-2,-1,0,1,2.4,3.8,5.2,6.6,8,9.4,10.8,12.2,13.6,15,17.2,19.4,21.5,23.6},{0,10,20,30,40,50,60,62,64,66,68,70,72,74,76,78,80,85,90,95,100})</f>
        <v>72</v>
      </c>
      <c r="F456" s="6">
        <v>238</v>
      </c>
      <c r="G456" s="40">
        <f>LOOKUP(F456,{0,170,175,180,185,190,195,199,203,207,211,215,219,223,227,231,235,243,250,255,260},{0,10,20,30,40,50,60,62,64,66,68,70,72,74,76,78,80,85,90,95,100})</f>
        <v>80</v>
      </c>
      <c r="H456" s="6">
        <v>1</v>
      </c>
      <c r="I456" s="40">
        <f>LOOKUP(H456,{0,2,3,4,5,6,7,8,9,10,11,12,13,14,15,16},{0,10,20,30,40,50,60,64,68,72,76,80,85,90,95,100})</f>
        <v>0</v>
      </c>
      <c r="J456" s="7"/>
      <c r="K456" s="7"/>
      <c r="L456" s="7">
        <f>I456+K456</f>
        <v>0</v>
      </c>
      <c r="M456" s="6">
        <v>7.6</v>
      </c>
      <c r="N456" s="43">
        <f>13-M456</f>
        <v>5.4</v>
      </c>
      <c r="O456" s="40">
        <f>LOOKUP(N456,{0,2.5,2.7,2.9,3.1,3.3,3.5,3.7,3.9,4.1,4.3,4.5,4.7,4.9,5.1,5.3,5.5,5.6,5.7,5.8,5.9},{0,10,20,30,40,50,60,62,64,66,68,70,72,74,76,78,80,85,90,95,100})</f>
        <v>78</v>
      </c>
      <c r="P456" s="6">
        <v>3.57</v>
      </c>
      <c r="Q456" s="6">
        <f>10-P456</f>
        <v>6.43</v>
      </c>
      <c r="R456" s="40">
        <f>LOOKUP(Q456,{0,3.75,3.95,4.55,4.75,4.95,5.55,5.6,5.65,5.7,5.75,5.8,5.85,5.9,5.95,6,6.45,6.53,6.6,6.65,6.7},{0,10,20,30,40,50,60,62,64,66,68,70,72,74,76,78,80,85,90,95,100})</f>
        <v>78</v>
      </c>
      <c r="S456" s="7"/>
      <c r="T456" s="7"/>
      <c r="U456" s="7">
        <f>R456+T456</f>
        <v>78</v>
      </c>
      <c r="V456" s="6"/>
      <c r="W456" s="7">
        <f>E456*0.1+G456*0.1+I456*0.1+O456*0.2+R456*0.2</f>
        <v>46.4</v>
      </c>
      <c r="X456" s="21">
        <f>W456/0.7+K456+T456</f>
        <v>66.2857142857143</v>
      </c>
    </row>
    <row r="457" ht="15.6" hidden="1" spans="1:24">
      <c r="A457" s="6">
        <v>110</v>
      </c>
      <c r="B457" s="29" t="s">
        <v>466</v>
      </c>
      <c r="C457" s="29" t="s">
        <v>11</v>
      </c>
      <c r="D457" s="6">
        <v>10.1</v>
      </c>
      <c r="E457" s="40">
        <f>LOOKUP(D457,{0,-4,-3,-2,-1,0,1,2.4,3.8,5.2,6.6,8,9.4,10.8,12.2,13.6,15,17.2,19.4,21.5,23.6},{0,10,20,30,40,50,60,62,64,66,68,70,72,74,76,78,80,85,90,95,100})</f>
        <v>72</v>
      </c>
      <c r="F457" s="6">
        <v>220</v>
      </c>
      <c r="G457" s="40">
        <f>LOOKUP(F457,{0,170,175,180,185,190,195,199,203,207,211,215,219,223,227,231,235,243,250,255,260},{0,10,20,30,40,50,60,62,64,66,68,70,72,74,76,78,80,85,90,95,100})</f>
        <v>72</v>
      </c>
      <c r="H457" s="6">
        <v>6</v>
      </c>
      <c r="I457" s="40">
        <f>LOOKUP(H457,{0,2,3,4,5,6,7,8,9,10,11,12,13,14,15,16},{0,10,20,30,40,50,60,64,68,72,76,80,85,90,95,100})</f>
        <v>50</v>
      </c>
      <c r="J457" s="7"/>
      <c r="K457" s="7"/>
      <c r="L457" s="7">
        <f>I457+K457</f>
        <v>50</v>
      </c>
      <c r="M457" s="6">
        <v>7.6</v>
      </c>
      <c r="N457" s="43">
        <f>13-M457</f>
        <v>5.4</v>
      </c>
      <c r="O457" s="40">
        <f>LOOKUP(N457,{0,2.5,2.7,2.9,3.1,3.3,3.5,3.7,3.9,4.1,4.3,4.5,4.7,4.9,5.1,5.3,5.5,5.6,5.7,5.8,5.9},{0,10,20,30,40,50,60,62,64,66,68,70,72,74,76,78,80,85,90,95,100})</f>
        <v>78</v>
      </c>
      <c r="P457" s="6">
        <v>4.02</v>
      </c>
      <c r="Q457" s="6">
        <f>10-P457</f>
        <v>5.98</v>
      </c>
      <c r="R457" s="40">
        <f>LOOKUP(Q457,{0,3.75,3.95,4.55,4.75,4.95,5.55,5.6,5.65,5.7,5.75,5.8,5.85,5.9,5.95,6,6.45,6.53,6.6,6.65,6.7},{0,10,20,30,40,50,60,62,64,66,68,70,72,74,76,78,80,85,90,95,100})</f>
        <v>76</v>
      </c>
      <c r="S457" s="7"/>
      <c r="T457" s="7"/>
      <c r="U457" s="7">
        <f>R457+T457</f>
        <v>76</v>
      </c>
      <c r="W457" s="7">
        <f>E457*0.1+G457*0.1+I457*0.1+O457*0.2+R457*0.2</f>
        <v>50.2</v>
      </c>
      <c r="X457" s="21">
        <f>W457/0.7+K457+T457</f>
        <v>71.7142857142857</v>
      </c>
    </row>
    <row r="458" ht="15.6" hidden="1" spans="1:24">
      <c r="A458" s="6">
        <v>101</v>
      </c>
      <c r="B458" s="29" t="s">
        <v>17</v>
      </c>
      <c r="C458" s="29" t="s">
        <v>11</v>
      </c>
      <c r="D458" s="6">
        <v>9.8</v>
      </c>
      <c r="E458" s="40">
        <f>LOOKUP(D458,{0,-4,-3,-2,-1,0,1,2.4,3.8,5.2,6.6,8,9.4,10.8,12.2,13.6,15,17.2,19.4,21.5,23.6},{0,10,20,30,40,50,60,62,64,66,68,70,72,74,76,78,80,85,90,95,100})</f>
        <v>72</v>
      </c>
      <c r="F458" s="6">
        <v>205</v>
      </c>
      <c r="G458" s="40">
        <f>LOOKUP(F458,{0,170,175,180,185,190,195,199,203,207,211,215,219,223,227,231,235,243,250,255,260},{0,10,20,30,40,50,60,62,64,66,68,70,72,74,76,78,80,85,90,95,100})</f>
        <v>64</v>
      </c>
      <c r="H458" s="6">
        <v>1</v>
      </c>
      <c r="I458" s="40">
        <f>LOOKUP(H458,{0,2,3,4,5,6,7,8,9,10,11,12,13,14,15,16},{0,10,20,30,40,50,60,64,68,72,76,80,85,90,95,100})</f>
        <v>0</v>
      </c>
      <c r="J458" s="7"/>
      <c r="K458" s="7"/>
      <c r="L458" s="7">
        <f>I458+K458</f>
        <v>0</v>
      </c>
      <c r="M458" s="6">
        <v>7.6</v>
      </c>
      <c r="N458" s="43">
        <f>13-M458</f>
        <v>5.4</v>
      </c>
      <c r="O458" s="40">
        <f>LOOKUP(N458,{0,2.5,2.7,2.9,3.1,3.3,3.5,3.7,3.9,4.1,4.3,4.5,4.7,4.9,5.1,5.3,5.5,5.6,5.7,5.8,5.9},{0,10,20,30,40,50,60,62,64,66,68,70,72,74,76,78,80,85,90,95,100})</f>
        <v>78</v>
      </c>
      <c r="P458" s="6">
        <v>4.02</v>
      </c>
      <c r="Q458" s="6">
        <f>10-P458</f>
        <v>5.98</v>
      </c>
      <c r="R458" s="40">
        <f>LOOKUP(Q458,{0,3.75,3.95,4.55,4.75,4.95,5.55,5.6,5.65,5.7,5.75,5.8,5.85,5.9,5.95,6,6.45,6.53,6.6,6.65,6.7},{0,10,20,30,40,50,60,62,64,66,68,70,72,74,76,78,80,85,90,95,100})</f>
        <v>76</v>
      </c>
      <c r="S458" s="7"/>
      <c r="T458" s="7"/>
      <c r="U458" s="7">
        <f>R458+T458</f>
        <v>76</v>
      </c>
      <c r="W458" s="7">
        <f>E458*0.1+G458*0.1+I458*0.1+O458*0.2+R458*0.2</f>
        <v>44.4</v>
      </c>
      <c r="X458" s="21">
        <f>W458/0.7+K458+T458</f>
        <v>63.4285714285714</v>
      </c>
    </row>
    <row r="459" ht="15.6" hidden="1" spans="1:24">
      <c r="A459" s="6">
        <v>107</v>
      </c>
      <c r="B459" s="29" t="s">
        <v>312</v>
      </c>
      <c r="C459" s="29" t="s">
        <v>11</v>
      </c>
      <c r="D459" s="6">
        <v>12.1</v>
      </c>
      <c r="E459" s="40">
        <f>LOOKUP(D459,{0,-4,-3,-2,-1,0,1,2.4,3.8,5.2,6.6,8,9.4,10.8,12.2,13.6,15,17.2,19.4,21.5,23.6},{0,10,20,30,40,50,60,62,64,66,68,70,72,74,76,78,80,85,90,95,100})</f>
        <v>74</v>
      </c>
      <c r="F459" s="6">
        <v>223</v>
      </c>
      <c r="G459" s="40">
        <f>LOOKUP(F459,{0,170,175,180,185,190,195,199,203,207,211,215,219,223,227,231,235,243,250,255,260},{0,10,20,30,40,50,60,62,64,66,68,70,72,74,76,78,80,85,90,95,100})</f>
        <v>74</v>
      </c>
      <c r="H459" s="6">
        <v>13</v>
      </c>
      <c r="I459" s="40">
        <f>LOOKUP(H459,{0,2,3,4,5,6,7,8,9,10,11,12,13,14,15,16},{0,10,20,30,40,50,60,64,68,72,76,80,85,90,95,100})</f>
        <v>85</v>
      </c>
      <c r="J459" s="7"/>
      <c r="K459" s="7"/>
      <c r="L459" s="7">
        <f>I459+K459</f>
        <v>85</v>
      </c>
      <c r="M459" s="6">
        <v>7.6</v>
      </c>
      <c r="N459" s="43">
        <f>13-M459</f>
        <v>5.4</v>
      </c>
      <c r="O459" s="40">
        <f>LOOKUP(N459,{0,2.5,2.7,2.9,3.1,3.3,3.5,3.7,3.9,4.1,4.3,4.5,4.7,4.9,5.1,5.3,5.5,5.6,5.7,5.8,5.9},{0,10,20,30,40,50,60,62,64,66,68,70,72,74,76,78,80,85,90,95,100})</f>
        <v>78</v>
      </c>
      <c r="P459" s="6">
        <v>4.05</v>
      </c>
      <c r="Q459" s="6">
        <f>10-P459</f>
        <v>5.95</v>
      </c>
      <c r="R459" s="40">
        <f>LOOKUP(Q459,{0,3.75,3.95,4.55,4.75,4.95,5.55,5.6,5.65,5.7,5.75,5.8,5.85,5.9,5.95,6,6.45,6.53,6.6,6.65,6.7},{0,10,20,30,40,50,60,62,64,66,68,70,72,74,76,78,80,85,90,95,100})</f>
        <v>76</v>
      </c>
      <c r="S459" s="7"/>
      <c r="T459" s="7"/>
      <c r="U459" s="7">
        <f>R459+T459</f>
        <v>76</v>
      </c>
      <c r="W459" s="7">
        <f>E459*0.1+G459*0.1+I459*0.1+O459*0.2+R459*0.2</f>
        <v>54.1</v>
      </c>
      <c r="X459" s="21">
        <f>W459/0.7+K459+T459</f>
        <v>77.2857142857143</v>
      </c>
    </row>
    <row r="460" ht="15.6" hidden="1" spans="1:24">
      <c r="A460" s="6">
        <v>109</v>
      </c>
      <c r="B460" s="29" t="s">
        <v>429</v>
      </c>
      <c r="C460" s="29" t="s">
        <v>11</v>
      </c>
      <c r="D460" s="6">
        <v>15.5</v>
      </c>
      <c r="E460" s="40">
        <f>LOOKUP(D460,{0,-4,-3,-2,-1,0,1,2.4,3.8,5.2,6.6,8,9.4,10.8,12.2,13.6,15,17.2,19.4,21.5,23.6},{0,10,20,30,40,50,60,62,64,66,68,70,72,74,76,78,80,85,90,95,100})</f>
        <v>80</v>
      </c>
      <c r="F460" s="6">
        <v>166</v>
      </c>
      <c r="G460" s="40">
        <f>LOOKUP(F460,{0,170,175,180,185,190,195,199,203,207,211,215,219,223,227,231,235,243,250,255,260},{0,10,20,30,40,50,60,62,64,66,68,70,72,74,76,78,80,85,90,95,100})</f>
        <v>0</v>
      </c>
      <c r="H460" s="6">
        <v>0</v>
      </c>
      <c r="I460" s="40">
        <f>LOOKUP(H460,{0,2,3,4,5,6,7,8,9,10,11,12,13,14,15,16},{0,10,20,30,40,50,60,64,68,72,76,80,85,90,95,100})</f>
        <v>0</v>
      </c>
      <c r="J460" s="7"/>
      <c r="K460" s="7"/>
      <c r="L460" s="7">
        <f>I460+K460</f>
        <v>0</v>
      </c>
      <c r="M460" s="6">
        <v>7.6</v>
      </c>
      <c r="N460" s="43">
        <f>13-M460</f>
        <v>5.4</v>
      </c>
      <c r="O460" s="40">
        <f>LOOKUP(N460,{0,2.5,2.7,2.9,3.1,3.3,3.5,3.7,3.9,4.1,4.3,4.5,4.7,4.9,5.1,5.3,5.5,5.6,5.7,5.8,5.9},{0,10,20,30,40,50,60,62,64,66,68,70,72,74,76,78,80,85,90,95,100})</f>
        <v>78</v>
      </c>
      <c r="P460" s="6">
        <v>4.07</v>
      </c>
      <c r="Q460" s="6">
        <f>10-P460</f>
        <v>5.93</v>
      </c>
      <c r="R460" s="40">
        <f>LOOKUP(Q460,{0,3.75,3.95,4.55,4.75,4.95,5.55,5.6,5.65,5.7,5.75,5.8,5.85,5.9,5.95,6,6.45,6.53,6.6,6.65,6.7},{0,10,20,30,40,50,60,62,64,66,68,70,72,74,76,78,80,85,90,95,100})</f>
        <v>74</v>
      </c>
      <c r="S460" s="7"/>
      <c r="T460" s="7"/>
      <c r="U460" s="7">
        <f>R460+T460</f>
        <v>74</v>
      </c>
      <c r="W460" s="7">
        <f>E460*0.1+G460*0.1+I460*0.1+O460*0.2+R460*0.2</f>
        <v>38.4</v>
      </c>
      <c r="X460" s="21">
        <f>W460/0.7+K460+T460</f>
        <v>54.8571428571429</v>
      </c>
    </row>
    <row r="461" ht="15.6" hidden="1" spans="1:24">
      <c r="A461" s="6">
        <v>102</v>
      </c>
      <c r="B461" s="29" t="s">
        <v>95</v>
      </c>
      <c r="C461" s="29" t="s">
        <v>11</v>
      </c>
      <c r="D461" s="6">
        <v>14</v>
      </c>
      <c r="E461" s="40">
        <f>LOOKUP(D461,{0,-4,-3,-2,-1,0,1,2.4,3.8,5.2,6.6,8,9.4,10.8,12.2,13.6,15,17.2,19.4,21.5,23.6},{0,10,20,30,40,50,60,62,64,66,68,70,72,74,76,78,80,85,90,95,100})</f>
        <v>78</v>
      </c>
      <c r="F461" s="6">
        <v>188</v>
      </c>
      <c r="G461" s="40">
        <f>LOOKUP(F461,{0,170,175,180,185,190,195,199,203,207,211,215,219,223,227,231,235,243,250,255,260},{0,10,20,30,40,50,60,62,64,66,68,70,72,74,76,78,80,85,90,95,100})</f>
        <v>40</v>
      </c>
      <c r="H461" s="6">
        <v>9</v>
      </c>
      <c r="I461" s="40">
        <f>LOOKUP(H461,{0,2,3,4,5,6,7,8,9,10,11,12,13,14,15,16},{0,10,20,30,40,50,60,64,68,72,76,80,85,90,95,100})</f>
        <v>68</v>
      </c>
      <c r="J461" s="7"/>
      <c r="K461" s="7"/>
      <c r="L461" s="7">
        <f>I461+K461</f>
        <v>68</v>
      </c>
      <c r="M461" s="6">
        <v>7.6</v>
      </c>
      <c r="N461" s="43">
        <f>13-M461</f>
        <v>5.4</v>
      </c>
      <c r="O461" s="40">
        <f>LOOKUP(N461,{0,2.5,2.7,2.9,3.1,3.3,3.5,3.7,3.9,4.1,4.3,4.5,4.7,4.9,5.1,5.3,5.5,5.6,5.7,5.8,5.9},{0,10,20,30,40,50,60,62,64,66,68,70,72,74,76,78,80,85,90,95,100})</f>
        <v>78</v>
      </c>
      <c r="P461" s="6">
        <v>4.11</v>
      </c>
      <c r="Q461" s="6">
        <f>10-P461</f>
        <v>5.89</v>
      </c>
      <c r="R461" s="40">
        <f>LOOKUP(Q461,{0,3.75,3.95,4.55,4.75,4.95,5.55,5.6,5.65,5.7,5.75,5.8,5.85,5.9,5.95,6,6.45,6.53,6.6,6.65,6.7},{0,10,20,30,40,50,60,62,64,66,68,70,72,74,76,78,80,85,90,95,100})</f>
        <v>72</v>
      </c>
      <c r="S461" s="7"/>
      <c r="T461" s="7"/>
      <c r="U461" s="7">
        <f>R461+T461</f>
        <v>72</v>
      </c>
      <c r="W461" s="7">
        <f>E461*0.1+G461*0.1+I461*0.1+O461*0.2+R461*0.2</f>
        <v>48.6</v>
      </c>
      <c r="X461" s="21">
        <f>W461/0.7+K461+T461</f>
        <v>69.4285714285714</v>
      </c>
    </row>
    <row r="462" ht="15.6" hidden="1" spans="1:24">
      <c r="A462" s="6">
        <v>108</v>
      </c>
      <c r="B462" s="39" t="s">
        <v>374</v>
      </c>
      <c r="C462" s="29" t="s">
        <v>11</v>
      </c>
      <c r="D462" s="6">
        <v>-1</v>
      </c>
      <c r="E462" s="40">
        <f>LOOKUP(D462,{0,-4,-3,-2,-1,0,1,2.4,3.8,5.2,6.6,8,9.4,10.8,12.2,13.6,15,17.2,19.4,21.5,23.6},{0,10,20,30,40,50,60,62,64,66,68,70,72,74,76,78,80,85,90,95,100})</f>
        <v>40</v>
      </c>
      <c r="F462" s="6">
        <v>193</v>
      </c>
      <c r="G462" s="40">
        <f>LOOKUP(F462,{0,170,175,180,185,190,195,199,203,207,211,215,219,223,227,231,235,243,250,255,260},{0,10,20,30,40,50,60,62,64,66,68,70,72,74,76,78,80,85,90,95,100})</f>
        <v>50</v>
      </c>
      <c r="H462" s="6">
        <v>4</v>
      </c>
      <c r="I462" s="40">
        <f>LOOKUP(H462,{0,2,3,4,5,6,7,8,9,10,11,12,13,14,15,16},{0,10,20,30,40,50,60,64,68,72,76,80,85,90,95,100})</f>
        <v>30</v>
      </c>
      <c r="J462" s="7"/>
      <c r="K462" s="7"/>
      <c r="L462" s="7">
        <f>I462+K462</f>
        <v>30</v>
      </c>
      <c r="M462" s="6">
        <v>7.6</v>
      </c>
      <c r="N462" s="43">
        <f>13-M462</f>
        <v>5.4</v>
      </c>
      <c r="O462" s="40">
        <f>LOOKUP(N462,{0,2.5,2.7,2.9,3.1,3.3,3.5,3.7,3.9,4.1,4.3,4.5,4.7,4.9,5.1,5.3,5.5,5.6,5.7,5.8,5.9},{0,10,20,30,40,50,60,62,64,66,68,70,72,74,76,78,80,85,90,95,100})</f>
        <v>78</v>
      </c>
      <c r="P462" s="6">
        <v>4.12</v>
      </c>
      <c r="Q462" s="6">
        <f>10-P462</f>
        <v>5.88</v>
      </c>
      <c r="R462" s="40">
        <f>LOOKUP(Q462,{0,3.75,3.95,4.55,4.75,4.95,5.55,5.6,5.65,5.7,5.75,5.8,5.85,5.9,5.95,6,6.45,6.53,6.6,6.65,6.7},{0,10,20,30,40,50,60,62,64,66,68,70,72,74,76,78,80,85,90,95,100})</f>
        <v>72</v>
      </c>
      <c r="S462" s="7"/>
      <c r="T462" s="7"/>
      <c r="U462" s="7">
        <f>R462+T462</f>
        <v>72</v>
      </c>
      <c r="W462" s="7">
        <f>E462*0.1+G462*0.1+I462*0.1+O462*0.2+R462*0.2</f>
        <v>42</v>
      </c>
      <c r="X462" s="21">
        <f>W462/0.7+K462+T462</f>
        <v>60</v>
      </c>
    </row>
    <row r="463" ht="15.6" hidden="1" spans="1:24">
      <c r="A463" s="6">
        <v>103</v>
      </c>
      <c r="B463" s="29" t="s">
        <v>118</v>
      </c>
      <c r="C463" s="29" t="s">
        <v>11</v>
      </c>
      <c r="D463" s="6">
        <v>7</v>
      </c>
      <c r="E463" s="40">
        <f>LOOKUP(D463,{0,-4,-3,-2,-1,0,1,2.4,3.8,5.2,6.6,8,9.4,10.8,12.2,13.6,15,17.2,19.4,21.5,23.6},{0,10,20,30,40,50,60,62,64,66,68,70,72,74,76,78,80,85,90,95,100})</f>
        <v>68</v>
      </c>
      <c r="F463" s="6">
        <v>203</v>
      </c>
      <c r="G463" s="40">
        <f>LOOKUP(F463,{0,170,175,180,185,190,195,199,203,207,211,215,219,223,227,231,235,243,250,255,260},{0,10,20,30,40,50,60,62,64,66,68,70,72,74,76,78,80,85,90,95,100})</f>
        <v>64</v>
      </c>
      <c r="H463" s="6">
        <v>11</v>
      </c>
      <c r="I463" s="40">
        <f>LOOKUP(H463,{0,2,3,4,5,6,7,8,9,10,11,12,13,14,15,16},{0,10,20,30,40,50,60,64,68,72,76,80,85,90,95,100})</f>
        <v>76</v>
      </c>
      <c r="J463" s="7"/>
      <c r="K463" s="7"/>
      <c r="L463" s="7">
        <f>I463+K463</f>
        <v>76</v>
      </c>
      <c r="M463" s="6">
        <v>7.6</v>
      </c>
      <c r="N463" s="43">
        <f>13-M463</f>
        <v>5.4</v>
      </c>
      <c r="O463" s="40">
        <f>LOOKUP(N463,{0,2.5,2.7,2.9,3.1,3.3,3.5,3.7,3.9,4.1,4.3,4.5,4.7,4.9,5.1,5.3,5.5,5.6,5.7,5.8,5.9},{0,10,20,30,40,50,60,62,64,66,68,70,72,74,76,78,80,85,90,95,100})</f>
        <v>78</v>
      </c>
      <c r="P463" s="6">
        <v>4.19</v>
      </c>
      <c r="Q463" s="6">
        <f>10-P463</f>
        <v>5.81</v>
      </c>
      <c r="R463" s="40">
        <f>LOOKUP(Q463,{0,3.75,3.95,4.55,4.75,4.95,5.55,5.6,5.65,5.7,5.75,5.8,5.85,5.9,5.95,6,6.45,6.53,6.6,6.65,6.7},{0,10,20,30,40,50,60,62,64,66,68,70,72,74,76,78,80,85,90,95,100})</f>
        <v>70</v>
      </c>
      <c r="S463" s="7"/>
      <c r="T463" s="7"/>
      <c r="U463" s="7">
        <f>R463+T463</f>
        <v>70</v>
      </c>
      <c r="W463" s="7">
        <f>E463*0.1+G463*0.1+I463*0.1+O463*0.2+R463*0.2</f>
        <v>50.4</v>
      </c>
      <c r="X463" s="21">
        <f>W463/0.7+K463+T463</f>
        <v>72</v>
      </c>
    </row>
    <row r="464" ht="15.6" hidden="1" spans="1:24">
      <c r="A464" s="6">
        <v>110</v>
      </c>
      <c r="B464" s="29" t="s">
        <v>474</v>
      </c>
      <c r="C464" s="29" t="s">
        <v>11</v>
      </c>
      <c r="D464" s="6">
        <v>14.7</v>
      </c>
      <c r="E464" s="40">
        <f>LOOKUP(D464,{0,-4,-3,-2,-1,0,1,2.4,3.8,5.2,6.6,8,9.4,10.8,12.2,13.6,15,17.2,19.4,21.5,23.6},{0,10,20,30,40,50,60,62,64,66,68,70,72,74,76,78,80,85,90,95,100})</f>
        <v>78</v>
      </c>
      <c r="F464" s="6">
        <v>220</v>
      </c>
      <c r="G464" s="40">
        <f>LOOKUP(F464,{0,170,175,180,185,190,195,199,203,207,211,215,219,223,227,231,235,243,250,255,260},{0,10,20,30,40,50,60,62,64,66,68,70,72,74,76,78,80,85,90,95,100})</f>
        <v>72</v>
      </c>
      <c r="H464" s="6">
        <v>0</v>
      </c>
      <c r="I464" s="40">
        <f>LOOKUP(H464,{0,2,3,4,5,6,7,8,9,10,11,12,13,14,15,16},{0,10,20,30,40,50,60,64,68,72,76,80,85,90,95,100})</f>
        <v>0</v>
      </c>
      <c r="J464" s="7"/>
      <c r="K464" s="7"/>
      <c r="L464" s="7">
        <f>I464+K464</f>
        <v>0</v>
      </c>
      <c r="M464" s="6">
        <v>7.6</v>
      </c>
      <c r="N464" s="43">
        <f>13-M464</f>
        <v>5.4</v>
      </c>
      <c r="O464" s="40">
        <f>LOOKUP(N464,{0,2.5,2.7,2.9,3.1,3.3,3.5,3.7,3.9,4.1,4.3,4.5,4.7,4.9,5.1,5.3,5.5,5.6,5.7,5.8,5.9},{0,10,20,30,40,50,60,62,64,66,68,70,72,74,76,78,80,85,90,95,100})</f>
        <v>78</v>
      </c>
      <c r="P464" s="6">
        <v>4.21</v>
      </c>
      <c r="Q464" s="6">
        <f>10-P464</f>
        <v>5.79</v>
      </c>
      <c r="R464" s="40">
        <f>LOOKUP(Q464,{0,3.75,3.95,4.55,4.75,4.95,5.55,5.6,5.65,5.7,5.75,5.8,5.85,5.9,5.95,6,6.45,6.53,6.6,6.65,6.7},{0,10,20,30,40,50,60,62,64,66,68,70,72,74,76,78,80,85,90,95,100})</f>
        <v>68</v>
      </c>
      <c r="S464" s="7"/>
      <c r="T464" s="7"/>
      <c r="U464" s="7">
        <f>R464+T464</f>
        <v>68</v>
      </c>
      <c r="W464" s="7">
        <f>E464*0.1+G464*0.1+I464*0.1+O464*0.2+R464*0.2</f>
        <v>44.2</v>
      </c>
      <c r="X464" s="21">
        <f>W464/0.7+K464+T464</f>
        <v>63.1428571428572</v>
      </c>
    </row>
    <row r="465" ht="15.6" hidden="1" spans="1:24">
      <c r="A465" s="6">
        <v>111</v>
      </c>
      <c r="B465" s="29" t="s">
        <v>535</v>
      </c>
      <c r="C465" s="29" t="s">
        <v>11</v>
      </c>
      <c r="D465" s="6">
        <v>10.2</v>
      </c>
      <c r="E465" s="40">
        <f>LOOKUP(D465,{0,-4,-3,-2,-1,0,1,2.4,3.8,5.2,6.6,8,9.4,10.8,12.2,13.6,15,17.2,19.4,21.5,23.6},{0,10,20,30,40,50,60,62,64,66,68,70,72,74,76,78,80,85,90,95,100})</f>
        <v>72</v>
      </c>
      <c r="F465" s="6">
        <v>236</v>
      </c>
      <c r="G465" s="40">
        <f>LOOKUP(F465,{0,170,175,180,185,190,195,199,203,207,211,215,219,223,227,231,235,243,250,255,260},{0,10,20,30,40,50,60,62,64,66,68,70,72,74,76,78,80,85,90,95,100})</f>
        <v>80</v>
      </c>
      <c r="H465" s="6">
        <v>2</v>
      </c>
      <c r="I465" s="40">
        <f>LOOKUP(H465,{0,2,3,4,5,6,7,8,9,10,11,12,13,14,15,16},{0,10,20,30,40,50,60,64,68,72,76,80,85,90,95,100})</f>
        <v>10</v>
      </c>
      <c r="J465" s="7"/>
      <c r="K465" s="7"/>
      <c r="L465" s="7">
        <f>I465+K465</f>
        <v>10</v>
      </c>
      <c r="M465" s="6">
        <v>7.6</v>
      </c>
      <c r="N465" s="43">
        <f>13-M465</f>
        <v>5.4</v>
      </c>
      <c r="O465" s="40">
        <f>LOOKUP(N465,{0,2.5,2.7,2.9,3.1,3.3,3.5,3.7,3.9,4.1,4.3,4.5,4.7,4.9,5.1,5.3,5.5,5.6,5.7,5.8,5.9},{0,10,20,30,40,50,60,62,64,66,68,70,72,74,76,78,80,85,90,95,100})</f>
        <v>78</v>
      </c>
      <c r="P465" s="6">
        <v>4.3</v>
      </c>
      <c r="Q465" s="6">
        <f>10-P465</f>
        <v>5.7</v>
      </c>
      <c r="R465" s="40">
        <f>LOOKUP(Q465,{0,3.75,3.95,4.55,4.75,4.95,5.55,5.6,5.65,5.7,5.75,5.8,5.85,5.9,5.95,6,6.45,6.53,6.6,6.65,6.7},{0,10,20,30,40,50,60,62,64,66,68,70,72,74,76,78,80,85,90,95,100})</f>
        <v>66</v>
      </c>
      <c r="S465" s="7"/>
      <c r="T465" s="7"/>
      <c r="U465" s="7">
        <f>R465+T465</f>
        <v>66</v>
      </c>
      <c r="W465" s="7">
        <f>E465*0.1+G465*0.1+I465*0.1+O465*0.2+R465*0.2</f>
        <v>45</v>
      </c>
      <c r="X465" s="21">
        <f>W465/0.7+K465+T465</f>
        <v>64.2857142857143</v>
      </c>
    </row>
    <row r="466" ht="15.6" hidden="1" spans="1:24">
      <c r="A466" s="6">
        <v>106</v>
      </c>
      <c r="B466" s="29" t="s">
        <v>265</v>
      </c>
      <c r="C466" s="29" t="s">
        <v>11</v>
      </c>
      <c r="D466" s="6">
        <v>8.4</v>
      </c>
      <c r="E466" s="40">
        <f>LOOKUP(D466,{0,-4,-3,-2,-1,0,1,2.4,3.8,5.2,6.6,8,9.4,10.8,12.2,13.6,15,17.2,19.4,21.5,23.6},{0,10,20,30,40,50,60,62,64,66,68,70,72,74,76,78,80,85,90,95,100})</f>
        <v>70</v>
      </c>
      <c r="F466" s="6">
        <v>210</v>
      </c>
      <c r="G466" s="40">
        <f>LOOKUP(F466,{0,170,175,180,185,190,195,199,203,207,211,215,219,223,227,231,235,243,250,255,260},{0,10,20,30,40,50,60,62,64,66,68,70,72,74,76,78,80,85,90,95,100})</f>
        <v>66</v>
      </c>
      <c r="H466" s="6">
        <v>2</v>
      </c>
      <c r="I466" s="40">
        <f>LOOKUP(H466,{0,2,3,4,5,6,7,8,9,10,11,12,13,14,15,16},{0,10,20,30,40,50,60,64,68,72,76,80,85,90,95,100})</f>
        <v>10</v>
      </c>
      <c r="J466" s="7"/>
      <c r="K466" s="7"/>
      <c r="L466" s="7">
        <f>I466+K466</f>
        <v>10</v>
      </c>
      <c r="M466" s="6">
        <v>7.6</v>
      </c>
      <c r="N466" s="43">
        <f>13-M466</f>
        <v>5.4</v>
      </c>
      <c r="O466" s="40">
        <f>LOOKUP(N466,{0,2.5,2.7,2.9,3.1,3.3,3.5,3.7,3.9,4.1,4.3,4.5,4.7,4.9,5.1,5.3,5.5,5.6,5.7,5.8,5.9},{0,10,20,30,40,50,60,62,64,66,68,70,72,74,76,78,80,85,90,95,100})</f>
        <v>78</v>
      </c>
      <c r="P466" s="6">
        <v>4.32</v>
      </c>
      <c r="Q466" s="6">
        <f>10-P466</f>
        <v>5.68</v>
      </c>
      <c r="R466" s="40">
        <f>LOOKUP(Q466,{0,3.75,3.95,4.55,4.75,4.95,5.55,5.6,5.65,5.7,5.75,5.8,5.85,5.9,5.95,6,6.45,6.53,6.6,6.65,6.7},{0,10,20,30,40,50,60,62,64,66,68,70,72,74,76,78,80,85,90,95,100})</f>
        <v>64</v>
      </c>
      <c r="S466" s="7"/>
      <c r="T466" s="7"/>
      <c r="U466" s="7">
        <f>R466+T466</f>
        <v>64</v>
      </c>
      <c r="W466" s="7">
        <f>E466*0.1+G466*0.1+I466*0.1+O466*0.2+R466*0.2</f>
        <v>43</v>
      </c>
      <c r="X466" s="21">
        <f>W466/0.7+K466+T466</f>
        <v>61.4285714285714</v>
      </c>
    </row>
    <row r="467" s="35" customFormat="1" ht="15.6" hidden="1" spans="1:24">
      <c r="A467" s="6">
        <v>102</v>
      </c>
      <c r="B467" s="29" t="s">
        <v>74</v>
      </c>
      <c r="C467" s="29" t="s">
        <v>11</v>
      </c>
      <c r="D467" s="6">
        <v>11</v>
      </c>
      <c r="E467" s="40">
        <f>LOOKUP(D467,{0,-4,-3,-2,-1,0,1,2.4,3.8,5.2,6.6,8,9.4,10.8,12.2,13.6,15,17.2,19.4,21.5,23.6},{0,10,20,30,40,50,60,62,64,66,68,70,72,74,76,78,80,85,90,95,100})</f>
        <v>74</v>
      </c>
      <c r="F467" s="6">
        <v>197</v>
      </c>
      <c r="G467" s="40">
        <f>LOOKUP(F467,{0,170,175,180,185,190,195,199,203,207,211,215,219,223,227,231,235,243,250,255,260},{0,10,20,30,40,50,60,62,64,66,68,70,72,74,76,78,80,85,90,95,100})</f>
        <v>60</v>
      </c>
      <c r="H467" s="6">
        <v>0</v>
      </c>
      <c r="I467" s="40">
        <f>LOOKUP(H467,{0,2,3,4,5,6,7,8,9,10,11,12,13,14,15,16},{0,10,20,30,40,50,60,64,68,72,76,80,85,90,95,100})</f>
        <v>0</v>
      </c>
      <c r="J467" s="7"/>
      <c r="K467" s="7"/>
      <c r="L467" s="7">
        <f>I467+K467</f>
        <v>0</v>
      </c>
      <c r="M467" s="6">
        <v>7.6</v>
      </c>
      <c r="N467" s="43">
        <f>13-M467</f>
        <v>5.4</v>
      </c>
      <c r="O467" s="40">
        <f>LOOKUP(N467,{0,2.5,2.7,2.9,3.1,3.3,3.5,3.7,3.9,4.1,4.3,4.5,4.7,4.9,5.1,5.3,5.5,5.6,5.7,5.8,5.9},{0,10,20,30,40,50,60,62,64,66,68,70,72,74,76,78,80,85,90,95,100})</f>
        <v>78</v>
      </c>
      <c r="P467" s="6">
        <v>4.43</v>
      </c>
      <c r="Q467" s="6">
        <f>10-P467</f>
        <v>5.57</v>
      </c>
      <c r="R467" s="40">
        <f>LOOKUP(Q467,{0,3.75,3.95,4.55,4.75,4.95,5.55,5.6,5.65,5.7,5.75,5.8,5.85,5.9,5.95,6,6.45,6.53,6.6,6.65,6.7},{0,10,20,30,40,50,60,62,64,66,68,70,72,74,76,78,80,85,90,95,100})</f>
        <v>60</v>
      </c>
      <c r="S467" s="7"/>
      <c r="T467" s="7"/>
      <c r="U467" s="7">
        <f>R467+T467</f>
        <v>60</v>
      </c>
      <c r="V467" s="6"/>
      <c r="W467" s="7">
        <f>E467*0.1+G467*0.1+I467*0.1+O467*0.2+R467*0.2</f>
        <v>41</v>
      </c>
      <c r="X467" s="21">
        <f>W467/0.7+K467+T467</f>
        <v>58.5714285714286</v>
      </c>
    </row>
    <row r="468" s="3" customFormat="1" ht="15.6" hidden="1" spans="1:24">
      <c r="A468" s="6">
        <v>114</v>
      </c>
      <c r="B468" s="29" t="s">
        <v>695</v>
      </c>
      <c r="C468" s="29" t="s">
        <v>11</v>
      </c>
      <c r="D468" s="6">
        <v>1.5</v>
      </c>
      <c r="E468" s="40">
        <f>LOOKUP(D468,{0,-4,-3,-2,-1,0,1,2.4,3.8,5.2,6.6,8,9.4,10.8,12.2,13.6,15,17.2,19.4,21.5,23.6},{0,10,20,30,40,50,60,62,64,66,68,70,72,74,76,78,80,85,90,95,100})</f>
        <v>60</v>
      </c>
      <c r="F468" s="6">
        <v>226</v>
      </c>
      <c r="G468" s="40">
        <f>LOOKUP(F468,{0,170,175,180,185,190,195,199,203,207,211,215,219,223,227,231,235,243,250,255,260},{0,10,20,30,40,50,60,62,64,66,68,70,72,74,76,78,80,85,90,95,100})</f>
        <v>74</v>
      </c>
      <c r="H468" s="6">
        <v>17</v>
      </c>
      <c r="I468" s="40">
        <f>LOOKUP(H468,{0,2,3,4,5,6,7,8,9,10,11,12,13,14,15,16},{0,10,20,30,40,50,60,64,68,72,76,80,85,90,95,100})</f>
        <v>100</v>
      </c>
      <c r="J468" s="7">
        <f>H468-16</f>
        <v>1</v>
      </c>
      <c r="K468" s="40">
        <f>LOOKUP(J468,{0,1,2,3,4,5,6,7,8,9,10},{0,1,2,3,4,5,6,7,8,9,10})</f>
        <v>1</v>
      </c>
      <c r="L468" s="7">
        <f>I468+K468</f>
        <v>101</v>
      </c>
      <c r="M468" s="6">
        <v>7.7</v>
      </c>
      <c r="N468" s="43">
        <f>13-M468</f>
        <v>5.3</v>
      </c>
      <c r="O468" s="40">
        <f>LOOKUP(N468,{0,2.5,2.7,2.9,3.1,3.3,3.5,3.7,3.9,4.1,4.3,4.5,4.7,4.9,5.1,5.3,5.5,5.6,5.7,5.8,5.9},{0,10,20,30,40,50,60,62,64,66,68,70,72,74,76,78,80,85,90,95,100})</f>
        <v>78</v>
      </c>
      <c r="P468" s="6">
        <v>3.13</v>
      </c>
      <c r="Q468" s="6">
        <f>10-P468</f>
        <v>6.87</v>
      </c>
      <c r="R468" s="40">
        <f>LOOKUP(Q468,{0,3.75,3.95,4.55,4.75,4.95,5.55,5.6,5.65,5.7,5.75,5.8,5.85,5.9,5.95,6,6.45,6.53,6.6,6.65,6.7},{0,10,20,30,40,50,60,62,64,66,68,70,72,74,76,78,80,85,90,95,100})</f>
        <v>100</v>
      </c>
      <c r="S468" s="7">
        <f>3.3-P468</f>
        <v>0.17</v>
      </c>
      <c r="T468" s="40">
        <f>LOOKUP(S468,{0,0.04,0.08,0.12,0.16,0.2,0.23,0.26,0.29,0.32,0.35},{0,1,2,3,4,5,6,7,8,9,10})</f>
        <v>4</v>
      </c>
      <c r="U468" s="7">
        <f>R468+T468</f>
        <v>104</v>
      </c>
      <c r="V468" s="6"/>
      <c r="W468" s="7">
        <f>E468*0.1+G468*0.1+I468*0.1+O468*0.2+R468*0.2</f>
        <v>59</v>
      </c>
      <c r="X468" s="21">
        <f>W468/0.7+K468+T468</f>
        <v>89.2857142857143</v>
      </c>
    </row>
    <row r="469" ht="15.6" hidden="1" spans="1:24">
      <c r="A469" s="6">
        <v>115</v>
      </c>
      <c r="B469" s="29" t="s">
        <v>737</v>
      </c>
      <c r="C469" s="29" t="s">
        <v>11</v>
      </c>
      <c r="D469" s="6">
        <v>9.9</v>
      </c>
      <c r="E469" s="40">
        <f>LOOKUP(D469,{0,-4,-3,-2,-1,0,1,2.4,3.8,5.2,6.6,8,9.4,10.8,12.2,13.6,15,17.2,19.4,21.5,23.6},{0,10,20,30,40,50,60,62,64,66,68,70,72,74,76,78,80,85,90,95,100})</f>
        <v>72</v>
      </c>
      <c r="F469" s="6">
        <v>193</v>
      </c>
      <c r="G469" s="40">
        <f>LOOKUP(F469,{0,170,175,180,185,190,195,199,203,207,211,215,219,223,227,231,235,243,250,255,260},{0,10,20,30,40,50,60,62,64,66,68,70,72,74,76,78,80,85,90,95,100})</f>
        <v>50</v>
      </c>
      <c r="H469" s="6">
        <v>11</v>
      </c>
      <c r="I469" s="40">
        <f>LOOKUP(H469,{0,2,3,4,5,6,7,8,9,10,11,12,13,14,15,16},{0,10,20,30,40,50,60,64,68,72,76,80,85,90,95,100})</f>
        <v>76</v>
      </c>
      <c r="J469" s="7"/>
      <c r="K469" s="7"/>
      <c r="L469" s="7">
        <f>I469+K469</f>
        <v>76</v>
      </c>
      <c r="M469" s="6">
        <v>7.7</v>
      </c>
      <c r="N469" s="43">
        <f>13-M469</f>
        <v>5.3</v>
      </c>
      <c r="O469" s="40">
        <f>LOOKUP(N469,{0,2.5,2.7,2.9,3.1,3.3,3.5,3.7,3.9,4.1,4.3,4.5,4.7,4.9,5.1,5.3,5.5,5.6,5.7,5.8,5.9},{0,10,20,30,40,50,60,62,64,66,68,70,72,74,76,78,80,85,90,95,100})</f>
        <v>78</v>
      </c>
      <c r="P469" s="6">
        <v>3.27</v>
      </c>
      <c r="Q469" s="6">
        <f>10-P469</f>
        <v>6.73</v>
      </c>
      <c r="R469" s="40">
        <f>LOOKUP(Q469,{0,3.75,3.95,4.55,4.75,4.95,5.55,5.6,5.65,5.7,5.75,5.8,5.85,5.9,5.95,6,6.45,6.53,6.6,6.65,6.7},{0,10,20,30,40,50,60,62,64,66,68,70,72,74,76,78,80,85,90,95,100})</f>
        <v>100</v>
      </c>
      <c r="S469" s="7">
        <f>3.3-P469</f>
        <v>0.0299999999999998</v>
      </c>
      <c r="T469" s="40">
        <f>LOOKUP(S469,{0,0.04,0.08,0.12,0.16,0.2,0.23,0.26,0.29,0.32,0.35},{0,1,2,3,4,5,6,7,8,9,10})</f>
        <v>0</v>
      </c>
      <c r="U469" s="7">
        <f>R469+T469</f>
        <v>100</v>
      </c>
      <c r="W469" s="7">
        <f>E469*0.1+G469*0.1+I469*0.1+O469*0.2+R469*0.2</f>
        <v>55.4</v>
      </c>
      <c r="X469" s="21">
        <f>W469/0.7+K469+T469</f>
        <v>79.1428571428572</v>
      </c>
    </row>
    <row r="470" ht="15.6" hidden="1" spans="1:24">
      <c r="A470" s="6">
        <v>110</v>
      </c>
      <c r="B470" s="29" t="s">
        <v>477</v>
      </c>
      <c r="C470" s="29" t="s">
        <v>11</v>
      </c>
      <c r="D470" s="6">
        <v>4.5</v>
      </c>
      <c r="E470" s="40">
        <f>LOOKUP(D470,{0,-4,-3,-2,-1,0,1,2.4,3.8,5.2,6.6,8,9.4,10.8,12.2,13.6,15,17.2,19.4,21.5,23.6},{0,10,20,30,40,50,60,62,64,66,68,70,72,74,76,78,80,85,90,95,100})</f>
        <v>64</v>
      </c>
      <c r="F470" s="6">
        <v>248</v>
      </c>
      <c r="G470" s="40">
        <f>LOOKUP(F470,{0,170,175,180,185,190,195,199,203,207,211,215,219,223,227,231,235,243,250,255,260},{0,10,20,30,40,50,60,62,64,66,68,70,72,74,76,78,80,85,90,95,100})</f>
        <v>85</v>
      </c>
      <c r="H470" s="6">
        <v>26</v>
      </c>
      <c r="I470" s="40">
        <f>LOOKUP(H470,{0,2,3,4,5,6,7,8,9,10,11,12,13,14,15,16},{0,10,20,30,40,50,60,64,68,72,76,80,85,90,95,100})</f>
        <v>100</v>
      </c>
      <c r="J470" s="7">
        <f>H470-16</f>
        <v>10</v>
      </c>
      <c r="K470" s="40">
        <f>LOOKUP(J470,{0,1,2,3,4,5,6,7,8,9,10},{0,1,2,3,4,5,6,7,8,9,10})</f>
        <v>10</v>
      </c>
      <c r="L470" s="7">
        <f>I470+K470</f>
        <v>110</v>
      </c>
      <c r="M470" s="6">
        <v>7.7</v>
      </c>
      <c r="N470" s="43">
        <f>13-M470</f>
        <v>5.3</v>
      </c>
      <c r="O470" s="40">
        <f>LOOKUP(N470,{0,2.5,2.7,2.9,3.1,3.3,3.5,3.7,3.9,4.1,4.3,4.5,4.7,4.9,5.1,5.3,5.5,5.6,5.7,5.8,5.9},{0,10,20,30,40,50,60,62,64,66,68,70,72,74,76,78,80,85,90,95,100})</f>
        <v>78</v>
      </c>
      <c r="P470" s="6">
        <v>3.35</v>
      </c>
      <c r="Q470" s="6">
        <f>10-P470</f>
        <v>6.65</v>
      </c>
      <c r="R470" s="40">
        <f>LOOKUP(Q470,{0,3.75,3.95,4.55,4.75,4.95,5.55,5.6,5.65,5.7,5.75,5.8,5.85,5.9,5.95,6,6.45,6.53,6.6,6.65,6.7},{0,10,20,30,40,50,60,62,64,66,68,70,72,74,76,78,80,85,90,95,100})</f>
        <v>95</v>
      </c>
      <c r="S470" s="7"/>
      <c r="T470" s="7"/>
      <c r="U470" s="7">
        <f>R470+T470</f>
        <v>95</v>
      </c>
      <c r="W470" s="7">
        <f>E470*0.1+G470*0.1+I470*0.1+O470*0.2+R470*0.2</f>
        <v>59.5</v>
      </c>
      <c r="X470" s="21">
        <f>W470/0.7+K470+T470</f>
        <v>95</v>
      </c>
    </row>
    <row r="471" ht="15.6" hidden="1" spans="1:24">
      <c r="A471" s="6">
        <v>109</v>
      </c>
      <c r="B471" s="29" t="s">
        <v>418</v>
      </c>
      <c r="C471" s="29" t="s">
        <v>11</v>
      </c>
      <c r="D471" s="6">
        <v>15</v>
      </c>
      <c r="E471" s="40">
        <f>LOOKUP(D471,{0,-4,-3,-2,-1,0,1,2.4,3.8,5.2,6.6,8,9.4,10.8,12.2,13.6,15,17.2,19.4,21.5,23.6},{0,10,20,30,40,50,60,62,64,66,68,70,72,74,76,78,80,85,90,95,100})</f>
        <v>80</v>
      </c>
      <c r="F471" s="6">
        <v>220</v>
      </c>
      <c r="G471" s="40">
        <f>LOOKUP(F471,{0,170,175,180,185,190,195,199,203,207,211,215,219,223,227,231,235,243,250,255,260},{0,10,20,30,40,50,60,62,64,66,68,70,72,74,76,78,80,85,90,95,100})</f>
        <v>72</v>
      </c>
      <c r="H471" s="6">
        <v>23</v>
      </c>
      <c r="I471" s="40">
        <f>LOOKUP(H471,{0,2,3,4,5,6,7,8,9,10,11,12,13,14,15,16},{0,10,20,30,40,50,60,64,68,72,76,80,85,90,95,100})</f>
        <v>100</v>
      </c>
      <c r="J471" s="7">
        <f>H471-16</f>
        <v>7</v>
      </c>
      <c r="K471" s="40">
        <f>LOOKUP(J471,{0,1,2,3,4,5,6,7,8,9,10},{0,1,2,3,4,5,6,7,8,9,10})</f>
        <v>7</v>
      </c>
      <c r="L471" s="7">
        <f>I471+K471</f>
        <v>107</v>
      </c>
      <c r="M471" s="6">
        <v>7.7</v>
      </c>
      <c r="N471" s="43">
        <f>13-M471</f>
        <v>5.3</v>
      </c>
      <c r="O471" s="40">
        <f>LOOKUP(N471,{0,2.5,2.7,2.9,3.1,3.3,3.5,3.7,3.9,4.1,4.3,4.5,4.7,4.9,5.1,5.3,5.5,5.6,5.7,5.8,5.9},{0,10,20,30,40,50,60,62,64,66,68,70,72,74,76,78,80,85,90,95,100})</f>
        <v>78</v>
      </c>
      <c r="P471" s="6">
        <v>3.37</v>
      </c>
      <c r="Q471" s="6">
        <f>10-P471</f>
        <v>6.63</v>
      </c>
      <c r="R471" s="40">
        <f>LOOKUP(Q471,{0,3.75,3.95,4.55,4.75,4.95,5.55,5.6,5.65,5.7,5.75,5.8,5.85,5.9,5.95,6,6.45,6.53,6.6,6.65,6.7},{0,10,20,30,40,50,60,62,64,66,68,70,72,74,76,78,80,85,90,95,100})</f>
        <v>90</v>
      </c>
      <c r="S471" s="7"/>
      <c r="T471" s="7"/>
      <c r="U471" s="7">
        <f>R471+T471</f>
        <v>90</v>
      </c>
      <c r="W471" s="7">
        <f>E471*0.1+G471*0.1+I471*0.1+O471*0.2+R471*0.2</f>
        <v>58.8</v>
      </c>
      <c r="X471" s="21">
        <f>W471/0.7+K471+T471</f>
        <v>91</v>
      </c>
    </row>
    <row r="472" ht="15.6" hidden="1" spans="1:24">
      <c r="A472" s="6">
        <v>115</v>
      </c>
      <c r="B472" s="29" t="s">
        <v>733</v>
      </c>
      <c r="C472" s="29" t="s">
        <v>11</v>
      </c>
      <c r="D472" s="6">
        <v>26.6</v>
      </c>
      <c r="E472" s="40">
        <f>LOOKUP(D472,{0,-4,-3,-2,-1,0,1,2.4,3.8,5.2,6.6,8,9.4,10.8,12.2,13.6,15,17.2,19.4,21.5,23.6},{0,10,20,30,40,50,60,62,64,66,68,70,72,74,76,78,80,85,90,95,100})</f>
        <v>100</v>
      </c>
      <c r="F472" s="6">
        <v>184</v>
      </c>
      <c r="G472" s="40">
        <f>LOOKUP(F472,{0,170,175,180,185,190,195,199,203,207,211,215,219,223,227,231,235,243,250,255,260},{0,10,20,30,40,50,60,62,64,66,68,70,72,74,76,78,80,85,90,95,100})</f>
        <v>30</v>
      </c>
      <c r="H472" s="6">
        <v>13</v>
      </c>
      <c r="I472" s="40">
        <f>LOOKUP(H472,{0,2,3,4,5,6,7,8,9,10,11,12,13,14,15,16},{0,10,20,30,40,50,60,64,68,72,76,80,85,90,95,100})</f>
        <v>85</v>
      </c>
      <c r="J472" s="7"/>
      <c r="K472" s="7"/>
      <c r="L472" s="7">
        <f>I472+K472</f>
        <v>85</v>
      </c>
      <c r="M472" s="6">
        <v>7.7</v>
      </c>
      <c r="N472" s="43">
        <f>13-M472</f>
        <v>5.3</v>
      </c>
      <c r="O472" s="40">
        <f>LOOKUP(N472,{0,2.5,2.7,2.9,3.1,3.3,3.5,3.7,3.9,4.1,4.3,4.5,4.7,4.9,5.1,5.3,5.5,5.6,5.7,5.8,5.9},{0,10,20,30,40,50,60,62,64,66,68,70,72,74,76,78,80,85,90,95,100})</f>
        <v>78</v>
      </c>
      <c r="P472" s="6">
        <v>3.37</v>
      </c>
      <c r="Q472" s="6">
        <f>10-P472</f>
        <v>6.63</v>
      </c>
      <c r="R472" s="40">
        <f>LOOKUP(Q472,{0,3.75,3.95,4.55,4.75,4.95,5.55,5.6,5.65,5.7,5.75,5.8,5.85,5.9,5.95,6,6.45,6.53,6.6,6.65,6.7},{0,10,20,30,40,50,60,62,64,66,68,70,72,74,76,78,80,85,90,95,100})</f>
        <v>90</v>
      </c>
      <c r="S472" s="7"/>
      <c r="T472" s="7"/>
      <c r="U472" s="7">
        <f>R472+T472</f>
        <v>90</v>
      </c>
      <c r="W472" s="7">
        <f>E472*0.1+G472*0.1+I472*0.1+O472*0.2+R472*0.2</f>
        <v>55.1</v>
      </c>
      <c r="X472" s="21">
        <f>W472/0.7+K472+T472</f>
        <v>78.7142857142857</v>
      </c>
    </row>
    <row r="473" ht="15.6" hidden="1" spans="1:24">
      <c r="A473" s="6">
        <v>105</v>
      </c>
      <c r="B473" s="39" t="s">
        <v>218</v>
      </c>
      <c r="C473" s="29" t="s">
        <v>11</v>
      </c>
      <c r="D473" s="6">
        <v>9.7</v>
      </c>
      <c r="E473" s="40">
        <f>LOOKUP(D473,{0,-4,-3,-2,-1,0,1,2.4,3.8,5.2,6.6,8,9.4,10.8,12.2,13.6,15,17.2,19.4,21.5,23.6},{0,10,20,30,40,50,60,62,64,66,68,70,72,74,76,78,80,85,90,95,100})</f>
        <v>72</v>
      </c>
      <c r="F473" s="6">
        <v>233</v>
      </c>
      <c r="G473" s="40">
        <f>LOOKUP(F473,{0,170,175,180,185,190,195,199,203,207,211,215,219,223,227,231,235,243,250,255,260},{0,10,20,30,40,50,60,62,64,66,68,70,72,74,76,78,80,85,90,95,100})</f>
        <v>78</v>
      </c>
      <c r="H473" s="6">
        <v>0</v>
      </c>
      <c r="I473" s="40">
        <f>LOOKUP(H473,{0,2,3,4,5,6,7,8,9,10,11,12,13,14,15,16},{0,10,20,30,40,50,60,64,68,72,76,80,85,90,95,100})</f>
        <v>0</v>
      </c>
      <c r="J473" s="7"/>
      <c r="K473" s="7"/>
      <c r="L473" s="7">
        <f>I473+K473</f>
        <v>0</v>
      </c>
      <c r="M473" s="6">
        <v>7.7</v>
      </c>
      <c r="N473" s="43">
        <f>13-M473</f>
        <v>5.3</v>
      </c>
      <c r="O473" s="40">
        <f>LOOKUP(N473,{0,2.5,2.7,2.9,3.1,3.3,3.5,3.7,3.9,4.1,4.3,4.5,4.7,4.9,5.1,5.3,5.5,5.6,5.7,5.8,5.9},{0,10,20,30,40,50,60,62,64,66,68,70,72,74,76,78,80,85,90,95,100})</f>
        <v>78</v>
      </c>
      <c r="P473" s="6">
        <v>3.49</v>
      </c>
      <c r="Q473" s="6">
        <f>10-P473</f>
        <v>6.51</v>
      </c>
      <c r="R473" s="40">
        <f>LOOKUP(Q473,{0,3.75,3.95,4.55,4.75,4.95,5.55,5.6,5.65,5.7,5.75,5.8,5.85,5.9,5.95,6,6.45,6.53,6.6,6.65,6.7},{0,10,20,30,40,50,60,62,64,66,68,70,72,74,76,78,80,85,90,95,100})</f>
        <v>80</v>
      </c>
      <c r="S473" s="7"/>
      <c r="T473" s="7"/>
      <c r="U473" s="7">
        <f>R473+T473</f>
        <v>80</v>
      </c>
      <c r="W473" s="7">
        <f>E473*0.1+G473*0.1+I473*0.1+O473*0.2+R473*0.2</f>
        <v>46.6</v>
      </c>
      <c r="X473" s="21">
        <f>W473/0.7+K473+T473</f>
        <v>66.5714285714286</v>
      </c>
    </row>
    <row r="474" ht="15.6" spans="1:24">
      <c r="A474" s="6">
        <v>101</v>
      </c>
      <c r="B474" s="29" t="s">
        <v>63</v>
      </c>
      <c r="C474" s="29" t="s">
        <v>46</v>
      </c>
      <c r="D474" s="6">
        <v>21.1</v>
      </c>
      <c r="E474" s="40">
        <f>LOOKUP(D474,{0,0.4,1.2,2,2.8,3.6,4.4,5.7,7,8.3,9.6,10.9,12.2,13.5,14.8,16.1,17.4,19.1,20.8,22.5,24.2},{0,10,20,30,40,50,60,62,64,66,68,70,72,74,76,78,80,85,90,95,100})</f>
        <v>90</v>
      </c>
      <c r="F474" s="6">
        <v>173</v>
      </c>
      <c r="G474" s="40">
        <f>LOOKUP(F474,{0,123,128,133,138,143,148,151,154,157,160,163,166,169,172,175,178,185,192,198,204},{0,10,20,30,40,50,60,62,64,66,68,70,72,74,76,78,80,85,90,95,100})</f>
        <v>76</v>
      </c>
      <c r="H474" s="6">
        <v>42</v>
      </c>
      <c r="I474" s="40">
        <f>LOOKUP(H474,{0,13,15,17,19,21,23,25,27,29,31,33,35,37,39,41,43,46,49,51,53},{0,10,20,30,40,50,60,62,64,66,68,70,72,74,76,78,80,85,90,95,100})</f>
        <v>78</v>
      </c>
      <c r="J474" s="45"/>
      <c r="K474" s="45"/>
      <c r="L474" s="7">
        <f>I474+K474</f>
        <v>78</v>
      </c>
      <c r="M474" s="6">
        <v>8.3</v>
      </c>
      <c r="N474" s="43">
        <f>13-M474</f>
        <v>4.7</v>
      </c>
      <c r="O474" s="40">
        <f>LOOKUP(N474,{0,1.4,1.6,1.8,2,2.2,2.4,2.6,2.8,3,3.2,3.4,3.6,3.8,4,4.2,4.4,4.7,5,5.1,5.2},{0,10,20,30,40,50,60,62,64,66,68,70,72,74,76,78,80,85,90,95,100})</f>
        <v>85</v>
      </c>
      <c r="P474" s="6">
        <v>4.01</v>
      </c>
      <c r="Q474" s="6">
        <f>10-P474</f>
        <v>5.99</v>
      </c>
      <c r="R474" s="40">
        <f>LOOKUP(Q474,{0,4.7,4.8,4.9,5,5.5,5.6,5.65,5.7,5.75,5.8,5.85,5.9,5.95,6,6.45,6.5,6.57,6.64,6.7,6.76},{0,10,20,30,40,50,60,62,64,66,68,70,72,74,76,78,80,85,90,95,100})</f>
        <v>74</v>
      </c>
      <c r="S474" s="45"/>
      <c r="T474" s="45"/>
      <c r="U474" s="7">
        <f>R474+T474</f>
        <v>74</v>
      </c>
      <c r="W474" s="7">
        <f>E474*0.1+G474*0.1+I474*0.1+O474*0.2+R474*0.2</f>
        <v>56.2</v>
      </c>
      <c r="X474" s="21">
        <f>W474/0.7+K474+T474</f>
        <v>80.2857142857143</v>
      </c>
    </row>
    <row r="475" ht="15.6" spans="1:24">
      <c r="A475" s="6">
        <v>114</v>
      </c>
      <c r="B475" s="39" t="s">
        <v>704</v>
      </c>
      <c r="C475" s="29" t="s">
        <v>46</v>
      </c>
      <c r="D475" s="6">
        <v>19.3</v>
      </c>
      <c r="E475" s="40">
        <f>LOOKUP(D475,{0,0.4,1.2,2,2.8,3.6,4.4,5.7,7,8.3,9.6,10.9,12.2,13.5,14.8,16.1,17.4,19.1,20.8,22.5,24.2},{0,10,20,30,40,50,60,62,64,66,68,70,72,74,76,78,80,85,90,95,100})</f>
        <v>85</v>
      </c>
      <c r="F475" s="6">
        <v>153</v>
      </c>
      <c r="G475" s="40">
        <f>LOOKUP(F475,{0,123,128,133,138,143,148,151,154,157,160,163,166,169,172,175,178,185,192,198,204},{0,10,20,30,40,50,60,62,64,66,68,70,72,74,76,78,80,85,90,95,100})</f>
        <v>62</v>
      </c>
      <c r="H475" s="6">
        <v>54</v>
      </c>
      <c r="I475" s="40">
        <f>LOOKUP(H475,{0,13,15,17,19,21,23,25,27,29,31,33,35,37,39,41,43,46,49,51,53},{0,10,20,30,40,50,60,62,64,66,68,70,72,74,76,78,80,85,90,95,100})</f>
        <v>100</v>
      </c>
      <c r="J475" s="45">
        <f>H475-53</f>
        <v>1</v>
      </c>
      <c r="K475" s="40">
        <f>LOOKUP(J475,{0,2,4,6,7,8,9,10,11,12,13},{0,1,2,3,4,5,6,7,8,9,10})</f>
        <v>0</v>
      </c>
      <c r="L475" s="7">
        <f>I475+K475</f>
        <v>100</v>
      </c>
      <c r="M475" s="6">
        <v>9.3</v>
      </c>
      <c r="N475" s="43">
        <f>13-M475</f>
        <v>3.7</v>
      </c>
      <c r="O475" s="40">
        <f>LOOKUP(N475,{0,1.4,1.6,1.8,2,2.2,2.4,2.6,2.8,3,3.2,3.4,3.6,3.8,4,4.2,4.4,4.7,5,5.1,5.2},{0,10,20,30,40,50,60,62,64,66,68,70,72,74,76,78,80,85,90,95,100})</f>
        <v>72</v>
      </c>
      <c r="P475" s="6">
        <v>3.42</v>
      </c>
      <c r="Q475" s="6">
        <f>10-P475</f>
        <v>6.58</v>
      </c>
      <c r="R475" s="40">
        <f>LOOKUP(Q475,{0,4.7,4.8,4.9,5,5.5,5.6,5.65,5.7,5.75,5.8,5.85,5.9,5.95,6,6.45,6.5,6.57,6.64,6.7,6.76},{0,10,20,30,40,50,60,62,64,66,68,70,72,74,76,78,80,85,90,95,100})</f>
        <v>85</v>
      </c>
      <c r="S475" s="45"/>
      <c r="T475" s="45"/>
      <c r="U475" s="7">
        <f>R475+T475</f>
        <v>85</v>
      </c>
      <c r="W475" s="7">
        <f>E475*0.1+G475*0.1+I475*0.1+O475*0.2+R475*0.2</f>
        <v>56.1</v>
      </c>
      <c r="X475" s="21">
        <f>W475/0.7+K475+T475</f>
        <v>80.1428571428572</v>
      </c>
    </row>
    <row r="476" ht="15.6" spans="1:24">
      <c r="A476" s="6">
        <v>109</v>
      </c>
      <c r="B476" s="29" t="s">
        <v>453</v>
      </c>
      <c r="C476" s="29" t="s">
        <v>46</v>
      </c>
      <c r="D476" s="6">
        <v>15.8</v>
      </c>
      <c r="E476" s="40">
        <f>LOOKUP(D476,{0,0.4,1.2,2,2.8,3.6,4.4,5.7,7,8.3,9.6,10.9,12.2,13.5,14.8,16.1,17.4,19.1,20.8,22.5,24.2},{0,10,20,30,40,50,60,62,64,66,68,70,72,74,76,78,80,85,90,95,100})</f>
        <v>76</v>
      </c>
      <c r="F476" s="6">
        <v>180</v>
      </c>
      <c r="G476" s="40">
        <f>LOOKUP(F476,{0,123,128,133,138,143,148,151,154,157,160,163,166,169,172,175,178,185,192,198,204},{0,10,20,30,40,50,60,62,64,66,68,70,72,74,76,78,80,85,90,95,100})</f>
        <v>80</v>
      </c>
      <c r="H476" s="6">
        <v>46</v>
      </c>
      <c r="I476" s="40">
        <f>LOOKUP(H476,{0,13,15,17,19,21,23,25,27,29,31,33,35,37,39,41,43,46,49,51,53},{0,10,20,30,40,50,60,62,64,66,68,70,72,74,76,78,80,85,90,95,100})</f>
        <v>85</v>
      </c>
      <c r="J476" s="45"/>
      <c r="K476" s="45"/>
      <c r="L476" s="7">
        <f>I476+K476</f>
        <v>85</v>
      </c>
      <c r="M476" s="6">
        <v>8.5</v>
      </c>
      <c r="N476" s="43">
        <f>13-M476</f>
        <v>4.5</v>
      </c>
      <c r="O476" s="40">
        <f>LOOKUP(N476,{0,1.4,1.6,1.8,2,2.2,2.4,2.6,2.8,3,3.2,3.4,3.6,3.8,4,4.2,4.4,4.7,5,5.1,5.2},{0,10,20,30,40,50,60,62,64,66,68,70,72,74,76,78,80,85,90,95,100})</f>
        <v>80</v>
      </c>
      <c r="P476" s="6">
        <v>3.46</v>
      </c>
      <c r="Q476" s="6">
        <f>10-P476</f>
        <v>6.54</v>
      </c>
      <c r="R476" s="40">
        <f>LOOKUP(Q476,{0,4.7,4.8,4.9,5,5.5,5.6,5.65,5.7,5.75,5.8,5.85,5.9,5.95,6,6.45,6.5,6.57,6.64,6.7,6.76},{0,10,20,30,40,50,60,62,64,66,68,70,72,74,76,78,80,85,90,95,100})</f>
        <v>80</v>
      </c>
      <c r="S476" s="45"/>
      <c r="T476" s="45"/>
      <c r="U476" s="7">
        <f>R476+T476</f>
        <v>80</v>
      </c>
      <c r="W476" s="7">
        <f>E476*0.1+G476*0.1+I476*0.1+O476*0.2+R476*0.2</f>
        <v>56.1</v>
      </c>
      <c r="X476" s="21">
        <f>W476/0.7+K476+T476</f>
        <v>80.1428571428572</v>
      </c>
    </row>
    <row r="477" ht="15.6" spans="1:24">
      <c r="A477" s="6">
        <v>113</v>
      </c>
      <c r="B477" s="29" t="s">
        <v>665</v>
      </c>
      <c r="C477" s="29" t="s">
        <v>46</v>
      </c>
      <c r="D477" s="6">
        <v>10</v>
      </c>
      <c r="E477" s="40">
        <f>LOOKUP(D477,{0,0.4,1.2,2,2.8,3.6,4.4,5.7,7,8.3,9.6,10.9,12.2,13.5,14.8,16.1,17.4,19.1,20.8,22.5,24.2},{0,10,20,30,40,50,60,62,64,66,68,70,72,74,76,78,80,85,90,95,100})</f>
        <v>68</v>
      </c>
      <c r="F477" s="6">
        <v>187</v>
      </c>
      <c r="G477" s="40">
        <f>LOOKUP(F477,{0,123,128,133,138,143,148,151,154,157,160,163,166,169,172,175,178,185,192,198,204},{0,10,20,30,40,50,60,62,64,66,68,70,72,74,76,78,80,85,90,95,100})</f>
        <v>85</v>
      </c>
      <c r="H477" s="6">
        <v>46</v>
      </c>
      <c r="I477" s="40">
        <f>LOOKUP(H477,{0,13,15,17,19,21,23,25,27,29,31,33,35,37,39,41,43,46,49,51,53},{0,10,20,30,40,50,60,62,64,66,68,70,72,74,76,78,80,85,90,95,100})</f>
        <v>85</v>
      </c>
      <c r="J477" s="45"/>
      <c r="K477" s="45"/>
      <c r="L477" s="7">
        <f>I477+K477</f>
        <v>85</v>
      </c>
      <c r="M477" s="6">
        <v>8.2</v>
      </c>
      <c r="N477" s="43">
        <f>13-M477</f>
        <v>4.8</v>
      </c>
      <c r="O477" s="40">
        <f>LOOKUP(N477,{0,1.4,1.6,1.8,2,2.2,2.4,2.6,2.8,3,3.2,3.4,3.6,3.8,4,4.2,4.4,4.7,5,5.1,5.2},{0,10,20,30,40,50,60,62,64,66,68,70,72,74,76,78,80,85,90,95,100})</f>
        <v>85</v>
      </c>
      <c r="P477" s="6">
        <v>3.56</v>
      </c>
      <c r="Q477" s="6">
        <f>10-P477</f>
        <v>6.44</v>
      </c>
      <c r="R477" s="40">
        <f>LOOKUP(Q477,{0,4.7,4.8,4.9,5,5.5,5.6,5.65,5.7,5.75,5.8,5.85,5.9,5.95,6,6.45,6.5,6.57,6.64,6.7,6.76},{0,10,20,30,40,50,60,62,64,66,68,70,72,74,76,78,80,85,90,95,100})</f>
        <v>76</v>
      </c>
      <c r="S477" s="45"/>
      <c r="T477" s="45"/>
      <c r="U477" s="7">
        <f>R477+T477</f>
        <v>76</v>
      </c>
      <c r="W477" s="7">
        <f>E477*0.1+G477*0.1+I477*0.1+O477*0.2+R477*0.2</f>
        <v>56</v>
      </c>
      <c r="X477" s="21">
        <f>W477/0.7+K477+T477</f>
        <v>80</v>
      </c>
    </row>
    <row r="478" ht="15.6" spans="1:24">
      <c r="A478" s="6">
        <v>106</v>
      </c>
      <c r="B478" s="39" t="s">
        <v>277</v>
      </c>
      <c r="C478" s="29" t="s">
        <v>46</v>
      </c>
      <c r="D478" s="6">
        <v>20.6</v>
      </c>
      <c r="E478" s="40">
        <f>LOOKUP(D478,{0,0.4,1.2,2,2.8,3.6,4.4,5.7,7,8.3,9.6,10.9,12.2,13.5,14.8,16.1,17.4,19.1,20.8,22.5,24.2},{0,10,20,30,40,50,60,62,64,66,68,70,72,74,76,78,80,85,90,95,100})</f>
        <v>85</v>
      </c>
      <c r="F478" s="6">
        <v>180</v>
      </c>
      <c r="G478" s="40">
        <f>LOOKUP(F478,{0,123,128,133,138,143,148,151,154,157,160,163,166,169,172,175,178,185,192,198,204},{0,10,20,30,40,50,60,62,64,66,68,70,72,74,76,78,80,85,90,95,100})</f>
        <v>80</v>
      </c>
      <c r="H478" s="6">
        <v>49</v>
      </c>
      <c r="I478" s="40">
        <f>LOOKUP(H478,{0,13,15,17,19,21,23,25,27,29,31,33,35,37,39,41,43,46,49,51,53},{0,10,20,30,40,50,60,62,64,66,68,70,72,74,76,78,80,85,90,95,100})</f>
        <v>90</v>
      </c>
      <c r="J478" s="45"/>
      <c r="K478" s="45"/>
      <c r="L478" s="7">
        <f>I478+K478</f>
        <v>90</v>
      </c>
      <c r="M478" s="6">
        <v>9</v>
      </c>
      <c r="N478" s="43">
        <f>13-M478</f>
        <v>4</v>
      </c>
      <c r="O478" s="40">
        <f>LOOKUP(N478,{0,1.4,1.6,1.8,2,2.2,2.4,2.6,2.8,3,3.2,3.4,3.6,3.8,4,4.2,4.4,4.7,5,5.1,5.2},{0,10,20,30,40,50,60,62,64,66,68,70,72,74,76,78,80,85,90,95,100})</f>
        <v>76</v>
      </c>
      <c r="P478" s="6">
        <v>3.57</v>
      </c>
      <c r="Q478" s="6">
        <f>10-P478</f>
        <v>6.43</v>
      </c>
      <c r="R478" s="40">
        <f>LOOKUP(Q478,{0,4.7,4.8,4.9,5,5.5,5.6,5.65,5.7,5.75,5.8,5.85,5.9,5.95,6,6.45,6.5,6.57,6.64,6.7,6.76},{0,10,20,30,40,50,60,62,64,66,68,70,72,74,76,78,80,85,90,95,100})</f>
        <v>76</v>
      </c>
      <c r="S478" s="45"/>
      <c r="T478" s="45"/>
      <c r="U478" s="7">
        <f>R478+T478</f>
        <v>76</v>
      </c>
      <c r="W478" s="7">
        <f>E478*0.1+G478*0.1+I478*0.1+O478*0.2+R478*0.2</f>
        <v>55.9</v>
      </c>
      <c r="X478" s="21">
        <f>W478/0.7+K478+T478</f>
        <v>79.8571428571429</v>
      </c>
    </row>
    <row r="479" ht="15.6" spans="1:24">
      <c r="A479" s="6">
        <v>116</v>
      </c>
      <c r="B479" s="29" t="s">
        <v>822</v>
      </c>
      <c r="C479" s="29" t="s">
        <v>46</v>
      </c>
      <c r="D479" s="6">
        <v>21</v>
      </c>
      <c r="E479" s="40">
        <f>LOOKUP(D479,{0,0.4,1.2,2,2.8,3.6,4.4,5.7,7,8.3,9.6,10.9,12.2,13.5,14.8,16.1,17.4,19.1,20.8,22.5,24.2},{0,10,20,30,40,50,60,62,64,66,68,70,72,74,76,78,80,85,90,95,100})</f>
        <v>90</v>
      </c>
      <c r="F479" s="6">
        <v>165</v>
      </c>
      <c r="G479" s="40">
        <f>LOOKUP(F479,{0,123,128,133,138,143,148,151,154,157,160,163,166,169,172,175,178,185,192,198,204},{0,10,20,30,40,50,60,62,64,66,68,70,72,74,76,78,80,85,90,95,100})</f>
        <v>70</v>
      </c>
      <c r="H479" s="6">
        <v>52</v>
      </c>
      <c r="I479" s="40">
        <f>LOOKUP(H479,{0,13,15,17,19,21,23,25,27,29,31,33,35,37,39,41,43,46,49,51,53},{0,10,20,30,40,50,60,62,64,66,68,70,72,74,76,78,80,85,90,95,100})</f>
        <v>95</v>
      </c>
      <c r="J479" s="45"/>
      <c r="K479" s="45"/>
      <c r="L479" s="7">
        <f>I479+K479</f>
        <v>95</v>
      </c>
      <c r="M479" s="6">
        <v>8.9</v>
      </c>
      <c r="N479" s="43">
        <f>13-M479</f>
        <v>4.1</v>
      </c>
      <c r="O479" s="40">
        <f>LOOKUP(N479,{0,1.4,1.6,1.8,2,2.2,2.4,2.6,2.8,3,3.2,3.4,3.6,3.8,4,4.2,4.4,4.7,5,5.1,5.2},{0,10,20,30,40,50,60,62,64,66,68,70,72,74,76,78,80,85,90,95,100})</f>
        <v>76</v>
      </c>
      <c r="P479" s="6">
        <v>3.58</v>
      </c>
      <c r="Q479" s="6">
        <f>10-P479</f>
        <v>6.42</v>
      </c>
      <c r="R479" s="40">
        <f>LOOKUP(Q479,{0,4.7,4.8,4.9,5,5.5,5.6,5.65,5.7,5.75,5.8,5.85,5.9,5.95,6,6.45,6.5,6.57,6.64,6.7,6.76},{0,10,20,30,40,50,60,62,64,66,68,70,72,74,76,78,80,85,90,95,100})</f>
        <v>76</v>
      </c>
      <c r="S479" s="45"/>
      <c r="T479" s="45"/>
      <c r="U479" s="7">
        <f>R479+T479</f>
        <v>76</v>
      </c>
      <c r="W479" s="7">
        <f>E479*0.1+G479*0.1+I479*0.1+O479*0.2+R479*0.2</f>
        <v>55.9</v>
      </c>
      <c r="X479" s="21">
        <f>W479/0.7+K479+T479</f>
        <v>79.8571428571429</v>
      </c>
    </row>
    <row r="480" s="3" customFormat="1" ht="15.6" spans="1:24">
      <c r="A480" s="6">
        <v>115</v>
      </c>
      <c r="B480" s="39" t="s">
        <v>754</v>
      </c>
      <c r="C480" s="29" t="s">
        <v>46</v>
      </c>
      <c r="D480" s="6">
        <v>10</v>
      </c>
      <c r="E480" s="40">
        <f>LOOKUP(D480,{0,0.4,1.2,2,2.8,3.6,4.4,5.7,7,8.3,9.6,10.9,12.2,13.5,14.8,16.1,17.4,19.1,20.8,22.5,24.2},{0,10,20,30,40,50,60,62,64,66,68,70,72,74,76,78,80,85,90,95,100})</f>
        <v>68</v>
      </c>
      <c r="F480" s="6">
        <v>173</v>
      </c>
      <c r="G480" s="40">
        <f>LOOKUP(F480,{0,123,128,133,138,143,148,151,154,157,160,163,166,169,172,175,178,185,192,198,204},{0,10,20,30,40,50,60,62,64,66,68,70,72,74,76,78,80,85,90,95,100})</f>
        <v>76</v>
      </c>
      <c r="H480" s="6">
        <v>41</v>
      </c>
      <c r="I480" s="40">
        <f>LOOKUP(H480,{0,13,15,17,19,21,23,25,27,29,31,33,35,37,39,41,43,46,49,51,53},{0,10,20,30,40,50,60,62,64,66,68,70,72,74,76,78,80,85,90,95,100})</f>
        <v>78</v>
      </c>
      <c r="J480" s="45"/>
      <c r="K480" s="45"/>
      <c r="L480" s="7">
        <f>I480+K480</f>
        <v>78</v>
      </c>
      <c r="M480" s="6">
        <v>8.7</v>
      </c>
      <c r="N480" s="43">
        <f>13-M480</f>
        <v>4.3</v>
      </c>
      <c r="O480" s="40">
        <f>LOOKUP(N480,{0,1.4,1.6,1.8,2,2.2,2.4,2.6,2.8,3,3.2,3.4,3.6,3.8,4,4.2,4.4,4.7,5,5.1,5.2},{0,10,20,30,40,50,60,62,64,66,68,70,72,74,76,78,80,85,90,95,100})</f>
        <v>78</v>
      </c>
      <c r="P480" s="6">
        <v>3.34</v>
      </c>
      <c r="Q480" s="6">
        <f>10-P480</f>
        <v>6.66</v>
      </c>
      <c r="R480" s="40">
        <f>LOOKUP(Q480,{0,4.7,4.8,4.9,5,5.5,5.6,5.65,5.7,5.75,5.8,5.85,5.9,5.95,6,6.45,6.5,6.57,6.64,6.7,6.76},{0,10,20,30,40,50,60,62,64,66,68,70,72,74,76,78,80,85,90,95,100})</f>
        <v>90</v>
      </c>
      <c r="S480" s="45"/>
      <c r="T480" s="45"/>
      <c r="U480" s="7">
        <f>R480+T480</f>
        <v>90</v>
      </c>
      <c r="V480" s="6"/>
      <c r="W480" s="7">
        <f>E480*0.1+G480*0.1+I480*0.1+O480*0.2+R480*0.2</f>
        <v>55.8</v>
      </c>
      <c r="X480" s="21">
        <f>W480/0.7+K480+T480</f>
        <v>79.7142857142857</v>
      </c>
    </row>
    <row r="481" ht="15.6" spans="1:24">
      <c r="A481" s="6">
        <v>110</v>
      </c>
      <c r="B481" s="29" t="s">
        <v>508</v>
      </c>
      <c r="C481" s="29" t="s">
        <v>46</v>
      </c>
      <c r="D481" s="6">
        <v>12</v>
      </c>
      <c r="E481" s="40">
        <f>LOOKUP(D481,{0,0.4,1.2,2,2.8,3.6,4.4,5.7,7,8.3,9.6,10.9,12.2,13.5,14.8,16.1,17.4,19.1,20.8,22.5,24.2},{0,10,20,30,40,50,60,62,64,66,68,70,72,74,76,78,80,85,90,95,100})</f>
        <v>70</v>
      </c>
      <c r="F481" s="6">
        <v>173</v>
      </c>
      <c r="G481" s="40">
        <f>LOOKUP(F481,{0,123,128,133,138,143,148,151,154,157,160,163,166,169,172,175,178,185,192,198,204},{0,10,20,30,40,50,60,62,64,66,68,70,72,74,76,78,80,85,90,95,100})</f>
        <v>76</v>
      </c>
      <c r="H481" s="6">
        <v>47</v>
      </c>
      <c r="I481" s="40">
        <f>LOOKUP(H481,{0,13,15,17,19,21,23,25,27,29,31,33,35,37,39,41,43,46,49,51,53},{0,10,20,30,40,50,60,62,64,66,68,70,72,74,76,78,80,85,90,95,100})</f>
        <v>85</v>
      </c>
      <c r="J481" s="45"/>
      <c r="K481" s="45"/>
      <c r="L481" s="7">
        <f>I481+K481</f>
        <v>85</v>
      </c>
      <c r="M481" s="6">
        <v>8.8</v>
      </c>
      <c r="N481" s="43">
        <f>13-M481</f>
        <v>4.2</v>
      </c>
      <c r="O481" s="40">
        <f>LOOKUP(N481,{0,1.4,1.6,1.8,2,2.2,2.4,2.6,2.8,3,3.2,3.4,3.6,3.8,4,4.2,4.4,4.7,5,5.1,5.2},{0,10,20,30,40,50,60,62,64,66,68,70,72,74,76,78,80,85,90,95,100})</f>
        <v>78</v>
      </c>
      <c r="P481" s="6">
        <v>3.39</v>
      </c>
      <c r="Q481" s="6">
        <f>10-P481</f>
        <v>6.61</v>
      </c>
      <c r="R481" s="40">
        <f>LOOKUP(Q481,{0,4.7,4.8,4.9,5,5.5,5.6,5.65,5.7,5.75,5.8,5.85,5.9,5.95,6,6.45,6.5,6.57,6.64,6.7,6.76},{0,10,20,30,40,50,60,62,64,66,68,70,72,74,76,78,80,85,90,95,100})</f>
        <v>85</v>
      </c>
      <c r="S481" s="45"/>
      <c r="T481" s="45"/>
      <c r="U481" s="7">
        <f>R481+T481</f>
        <v>85</v>
      </c>
      <c r="W481" s="7">
        <f>E481*0.1+G481*0.1+I481*0.1+O481*0.2+R481*0.2</f>
        <v>55.7</v>
      </c>
      <c r="X481" s="21">
        <f>W481/0.7+K481+T481</f>
        <v>79.5714285714286</v>
      </c>
    </row>
    <row r="482" ht="15.6" spans="1:24">
      <c r="A482" s="6">
        <v>102</v>
      </c>
      <c r="B482" s="29" t="s">
        <v>112</v>
      </c>
      <c r="C482" s="29" t="s">
        <v>46</v>
      </c>
      <c r="D482" s="6">
        <v>9.5</v>
      </c>
      <c r="E482" s="40">
        <f>LOOKUP(D482,{0,0.4,1.2,2,2.8,3.6,4.4,5.7,7,8.3,9.6,10.9,12.2,13.5,14.8,16.1,17.4,19.1,20.8,22.5,24.2},{0,10,20,30,40,50,60,62,64,66,68,70,72,74,76,78,80,85,90,95,100})</f>
        <v>66</v>
      </c>
      <c r="F482" s="6">
        <v>180</v>
      </c>
      <c r="G482" s="40">
        <f>LOOKUP(F482,{0,123,128,133,138,143,148,151,154,157,160,163,166,169,172,175,178,185,192,198,204},{0,10,20,30,40,50,60,62,64,66,68,70,72,74,76,78,80,85,90,95,100})</f>
        <v>80</v>
      </c>
      <c r="H482" s="6">
        <v>46</v>
      </c>
      <c r="I482" s="40">
        <f>LOOKUP(H482,{0,13,15,17,19,21,23,25,27,29,31,33,35,37,39,41,43,46,49,51,53},{0,10,20,30,40,50,60,62,64,66,68,70,72,74,76,78,80,85,90,95,100})</f>
        <v>85</v>
      </c>
      <c r="J482" s="45"/>
      <c r="K482" s="45"/>
      <c r="L482" s="7">
        <f>I482+K482</f>
        <v>85</v>
      </c>
      <c r="M482" s="6">
        <v>8.8</v>
      </c>
      <c r="N482" s="43">
        <f>13-M482</f>
        <v>4.2</v>
      </c>
      <c r="O482" s="40">
        <f>LOOKUP(N482,{0,1.4,1.6,1.8,2,2.2,2.4,2.6,2.8,3,3.2,3.4,3.6,3.8,4,4.2,4.4,4.7,5,5.1,5.2},{0,10,20,30,40,50,60,62,64,66,68,70,72,74,76,78,80,85,90,95,100})</f>
        <v>78</v>
      </c>
      <c r="P482" s="6">
        <v>3.43</v>
      </c>
      <c r="Q482" s="6">
        <f>10-P482</f>
        <v>6.57</v>
      </c>
      <c r="R482" s="40">
        <f>LOOKUP(Q482,{0,4.7,4.8,4.9,5,5.5,5.6,5.65,5.7,5.75,5.8,5.85,5.9,5.95,6,6.45,6.5,6.57,6.64,6.7,6.76},{0,10,20,30,40,50,60,62,64,66,68,70,72,74,76,78,80,85,90,95,100})</f>
        <v>85</v>
      </c>
      <c r="S482" s="45"/>
      <c r="T482" s="45"/>
      <c r="U482" s="7">
        <f>R482+T482</f>
        <v>85</v>
      </c>
      <c r="W482" s="7">
        <f>E482*0.1+G482*0.1+I482*0.1+O482*0.2+R482*0.2</f>
        <v>55.7</v>
      </c>
      <c r="X482" s="21">
        <f>W482/0.7+K482+T482</f>
        <v>79.5714285714286</v>
      </c>
    </row>
    <row r="483" ht="15.6" spans="1:24">
      <c r="A483" s="6">
        <v>116</v>
      </c>
      <c r="B483" s="29" t="s">
        <v>819</v>
      </c>
      <c r="C483" s="29" t="s">
        <v>46</v>
      </c>
      <c r="D483" s="6">
        <v>26.5</v>
      </c>
      <c r="E483" s="40">
        <f>LOOKUP(D483,{0,0.4,1.2,2,2.8,3.6,4.4,5.7,7,8.3,9.6,10.9,12.2,13.5,14.8,16.1,17.4,19.1,20.8,22.5,24.2},{0,10,20,30,40,50,60,62,64,66,68,70,72,74,76,78,80,85,90,95,100})</f>
        <v>100</v>
      </c>
      <c r="F483" s="6">
        <v>184</v>
      </c>
      <c r="G483" s="40">
        <f>LOOKUP(F483,{0,123,128,133,138,143,148,151,154,157,160,163,166,169,172,175,178,185,192,198,204},{0,10,20,30,40,50,60,62,64,66,68,70,72,74,76,78,80,85,90,95,100})</f>
        <v>80</v>
      </c>
      <c r="I483" s="40"/>
      <c r="J483" s="45"/>
      <c r="K483" s="45"/>
      <c r="L483" s="7"/>
      <c r="M483" s="6">
        <v>8.1</v>
      </c>
      <c r="N483" s="43">
        <f>13-M483</f>
        <v>4.9</v>
      </c>
      <c r="O483" s="40">
        <f>LOOKUP(N483,{0,1.4,1.6,1.8,2,2.2,2.4,2.6,2.8,3,3.2,3.4,3.6,3.8,4,4.2,4.4,4.7,5,5.1,5.2},{0,10,20,30,40,50,60,62,64,66,68,70,72,74,76,78,80,85,90,95,100})</f>
        <v>85</v>
      </c>
      <c r="P483" s="6">
        <v>3.19</v>
      </c>
      <c r="Q483" s="6">
        <f>10-P483</f>
        <v>6.81</v>
      </c>
      <c r="R483" s="40">
        <f>LOOKUP(Q483,{0,4.7,4.8,4.9,5,5.5,5.6,5.65,5.7,5.75,5.8,5.85,5.9,5.95,6,6.45,6.5,6.57,6.64,6.7,6.76},{0,10,20,30,40,50,60,62,64,66,68,70,72,74,76,78,80,85,90,95,100})</f>
        <v>100</v>
      </c>
      <c r="S483" s="48">
        <f>3.24-P483</f>
        <v>0.0500000000000003</v>
      </c>
      <c r="T483" s="40">
        <f>LOOKUP(S483,{0,0.05,0.1,0.15,0.2,0.25,0.3,0.35,0.4,0.45,0.5},{0,1,2,3,4,5,6,7,8,9,10})</f>
        <v>1</v>
      </c>
      <c r="U483" s="7">
        <f>R483+T483</f>
        <v>101</v>
      </c>
      <c r="W483" s="7">
        <f>E483*0.1+G483*0.1+I483*0.1+O483*0.2+R483*0.2</f>
        <v>55</v>
      </c>
      <c r="X483" s="21">
        <f>W483/0.7+K483+T483</f>
        <v>79.5714285714286</v>
      </c>
    </row>
    <row r="484" ht="15.6" spans="1:24">
      <c r="A484" s="6">
        <v>111</v>
      </c>
      <c r="B484" s="29" t="s">
        <v>565</v>
      </c>
      <c r="C484" s="29" t="s">
        <v>46</v>
      </c>
      <c r="D484" s="6">
        <v>9.1</v>
      </c>
      <c r="E484" s="40">
        <f>LOOKUP(D484,{0,0.4,1.2,2,2.8,3.6,4.4,5.7,7,8.3,9.6,10.9,12.2,13.5,14.8,16.1,17.4,19.1,20.8,22.5,24.2},{0,10,20,30,40,50,60,62,64,66,68,70,72,74,76,78,80,85,90,95,100})</f>
        <v>66</v>
      </c>
      <c r="F484" s="6">
        <v>165</v>
      </c>
      <c r="G484" s="40">
        <f>LOOKUP(F484,{0,123,128,133,138,143,148,151,154,157,160,163,166,169,172,175,178,185,192,198,204},{0,10,20,30,40,50,60,62,64,66,68,70,72,74,76,78,80,85,90,95,100})</f>
        <v>70</v>
      </c>
      <c r="H484" s="6">
        <v>49</v>
      </c>
      <c r="I484" s="40">
        <f>LOOKUP(H484,{0,13,15,17,19,21,23,25,27,29,31,33,35,37,39,41,43,46,49,51,53},{0,10,20,30,40,50,60,62,64,66,68,70,72,74,76,78,80,85,90,95,100})</f>
        <v>90</v>
      </c>
      <c r="J484" s="45"/>
      <c r="K484" s="45"/>
      <c r="L484" s="7">
        <f>I484+K484</f>
        <v>90</v>
      </c>
      <c r="M484" s="6">
        <v>8.5</v>
      </c>
      <c r="N484" s="43">
        <f>13-M484</f>
        <v>4.5</v>
      </c>
      <c r="O484" s="40">
        <f>LOOKUP(N484,{0,1.4,1.6,1.8,2,2.2,2.4,2.6,2.8,3,3.2,3.4,3.6,3.8,4,4.2,4.4,4.7,5,5.1,5.2},{0,10,20,30,40,50,60,62,64,66,68,70,72,74,76,78,80,85,90,95,100})</f>
        <v>80</v>
      </c>
      <c r="P484" s="6">
        <v>3.42</v>
      </c>
      <c r="Q484" s="6">
        <f>10-P484</f>
        <v>6.58</v>
      </c>
      <c r="R484" s="40">
        <f>LOOKUP(Q484,{0,4.7,4.8,4.9,5,5.5,5.6,5.65,5.7,5.75,5.8,5.85,5.9,5.95,6,6.45,6.5,6.57,6.64,6.7,6.76},{0,10,20,30,40,50,60,62,64,66,68,70,72,74,76,78,80,85,90,95,100})</f>
        <v>85</v>
      </c>
      <c r="S484" s="45"/>
      <c r="T484" s="45"/>
      <c r="U484" s="7">
        <f>R484+T484</f>
        <v>85</v>
      </c>
      <c r="W484" s="7">
        <f>E484*0.1+G484*0.1+I484*0.1+O484*0.2+R484*0.2</f>
        <v>55.6</v>
      </c>
      <c r="X484" s="21">
        <f>W484/0.7+K484+T484</f>
        <v>79.4285714285714</v>
      </c>
    </row>
    <row r="485" ht="15.6" spans="1:24">
      <c r="A485" s="6">
        <v>109</v>
      </c>
      <c r="B485" s="29" t="s">
        <v>437</v>
      </c>
      <c r="C485" s="29" t="s">
        <v>46</v>
      </c>
      <c r="D485" s="6">
        <v>14.9</v>
      </c>
      <c r="E485" s="40">
        <f>LOOKUP(D485,{0,0.4,1.2,2,2.8,3.6,4.4,5.7,7,8.3,9.6,10.9,12.2,13.5,14.8,16.1,17.4,19.1,20.8,22.5,24.2},{0,10,20,30,40,50,60,62,64,66,68,70,72,74,76,78,80,85,90,95,100})</f>
        <v>76</v>
      </c>
      <c r="F485" s="6">
        <v>181</v>
      </c>
      <c r="G485" s="40">
        <f>LOOKUP(F485,{0,123,128,133,138,143,148,151,154,157,160,163,166,169,172,175,178,185,192,198,204},{0,10,20,30,40,50,60,62,64,66,68,70,72,74,76,78,80,85,90,95,100})</f>
        <v>80</v>
      </c>
      <c r="H485" s="6">
        <v>45</v>
      </c>
      <c r="I485" s="40">
        <f>LOOKUP(H485,{0,13,15,17,19,21,23,25,27,29,31,33,35,37,39,41,43,46,49,51,53},{0,10,20,30,40,50,60,62,64,66,68,70,72,74,76,78,80,85,90,95,100})</f>
        <v>80</v>
      </c>
      <c r="J485" s="45"/>
      <c r="K485" s="45"/>
      <c r="L485" s="7">
        <f>I485+K485</f>
        <v>80</v>
      </c>
      <c r="M485" s="6">
        <v>8.4</v>
      </c>
      <c r="N485" s="43">
        <f>13-M485</f>
        <v>4.6</v>
      </c>
      <c r="O485" s="40">
        <f>LOOKUP(N485,{0,1.4,1.6,1.8,2,2.2,2.4,2.6,2.8,3,3.2,3.4,3.6,3.8,4,4.2,4.4,4.7,5,5.1,5.2},{0,10,20,30,40,50,60,62,64,66,68,70,72,74,76,78,80,85,90,95,100})</f>
        <v>80</v>
      </c>
      <c r="P485" s="6">
        <v>3.48</v>
      </c>
      <c r="Q485" s="6">
        <f>10-P485</f>
        <v>6.52</v>
      </c>
      <c r="R485" s="40">
        <f>LOOKUP(Q485,{0,4.7,4.8,4.9,5,5.5,5.6,5.65,5.7,5.75,5.8,5.85,5.9,5.95,6,6.45,6.5,6.57,6.64,6.7,6.76},{0,10,20,30,40,50,60,62,64,66,68,70,72,74,76,78,80,85,90,95,100})</f>
        <v>80</v>
      </c>
      <c r="S485" s="45"/>
      <c r="T485" s="45"/>
      <c r="U485" s="7">
        <f>R485+T485</f>
        <v>80</v>
      </c>
      <c r="W485" s="7">
        <f>E485*0.1+G485*0.1+I485*0.1+O485*0.2+R485*0.2</f>
        <v>55.6</v>
      </c>
      <c r="X485" s="21">
        <f>W485/0.7+K485+T485</f>
        <v>79.4285714285714</v>
      </c>
    </row>
    <row r="486" ht="15.6" spans="1:24">
      <c r="A486" s="6">
        <v>106</v>
      </c>
      <c r="B486" s="29" t="s">
        <v>283</v>
      </c>
      <c r="C486" s="29" t="s">
        <v>46</v>
      </c>
      <c r="D486" s="6">
        <v>20</v>
      </c>
      <c r="E486" s="40">
        <f>LOOKUP(D486,{0,0.4,1.2,2,2.8,3.6,4.4,5.7,7,8.3,9.6,10.9,12.2,13.5,14.8,16.1,17.4,19.1,20.8,22.5,24.2},{0,10,20,30,40,50,60,62,64,66,68,70,72,74,76,78,80,85,90,95,100})</f>
        <v>85</v>
      </c>
      <c r="F486" s="6">
        <v>170</v>
      </c>
      <c r="G486" s="40">
        <f>LOOKUP(F486,{0,123,128,133,138,143,148,151,154,157,160,163,166,169,172,175,178,185,192,198,204},{0,10,20,30,40,50,60,62,64,66,68,70,72,74,76,78,80,85,90,95,100})</f>
        <v>74</v>
      </c>
      <c r="H486" s="6">
        <v>46</v>
      </c>
      <c r="I486" s="40">
        <f>LOOKUP(H486,{0,13,15,17,19,21,23,25,27,29,31,33,35,37,39,41,43,46,49,51,53},{0,10,20,30,40,50,60,62,64,66,68,70,72,74,76,78,80,85,90,95,100})</f>
        <v>85</v>
      </c>
      <c r="J486" s="45"/>
      <c r="K486" s="45"/>
      <c r="L486" s="7">
        <f>I486+K486</f>
        <v>85</v>
      </c>
      <c r="M486" s="6">
        <v>9</v>
      </c>
      <c r="N486" s="43">
        <f>13-M486</f>
        <v>4</v>
      </c>
      <c r="O486" s="40">
        <f>LOOKUP(N486,{0,1.4,1.6,1.8,2,2.2,2.4,2.6,2.8,3,3.2,3.4,3.6,3.8,4,4.2,4.4,4.7,5,5.1,5.2},{0,10,20,30,40,50,60,62,64,66,68,70,72,74,76,78,80,85,90,95,100})</f>
        <v>76</v>
      </c>
      <c r="P486" s="6">
        <v>3.48</v>
      </c>
      <c r="Q486" s="6">
        <f>10-P486</f>
        <v>6.52</v>
      </c>
      <c r="R486" s="40">
        <f>LOOKUP(Q486,{0,4.7,4.8,4.9,5,5.5,5.6,5.65,5.7,5.75,5.8,5.85,5.9,5.95,6,6.45,6.5,6.57,6.64,6.7,6.76},{0,10,20,30,40,50,60,62,64,66,68,70,72,74,76,78,80,85,90,95,100})</f>
        <v>80</v>
      </c>
      <c r="S486" s="45"/>
      <c r="T486" s="45"/>
      <c r="U486" s="7">
        <f>R486+T486</f>
        <v>80</v>
      </c>
      <c r="W486" s="7">
        <f>E486*0.1+G486*0.1+I486*0.1+O486*0.2+R486*0.2</f>
        <v>55.6</v>
      </c>
      <c r="X486" s="21">
        <f>W486/0.7+K486+T486</f>
        <v>79.4285714285714</v>
      </c>
    </row>
    <row r="487" ht="15.6" spans="1:24">
      <c r="A487" s="6">
        <v>115</v>
      </c>
      <c r="B487" s="29" t="s">
        <v>770</v>
      </c>
      <c r="C487" s="29" t="s">
        <v>46</v>
      </c>
      <c r="D487" s="6">
        <v>22.5</v>
      </c>
      <c r="E487" s="40">
        <f>LOOKUP(D487,{0,0.4,1.2,2,2.8,3.6,4.4,5.7,7,8.3,9.6,10.9,12.2,13.5,14.8,16.1,17.4,19.1,20.8,22.5,24.2},{0,10,20,30,40,50,60,62,64,66,68,70,72,74,76,78,80,85,90,95,100})</f>
        <v>95</v>
      </c>
      <c r="F487" s="6">
        <v>168</v>
      </c>
      <c r="G487" s="40">
        <f>LOOKUP(F487,{0,123,128,133,138,143,148,151,154,157,160,163,166,169,172,175,178,185,192,198,204},{0,10,20,30,40,50,60,62,64,66,68,70,72,74,76,78,80,85,90,95,100})</f>
        <v>72</v>
      </c>
      <c r="H487" s="6">
        <v>47</v>
      </c>
      <c r="I487" s="40">
        <f>LOOKUP(H487,{0,13,15,17,19,21,23,25,27,29,31,33,35,37,39,41,43,46,49,51,53},{0,10,20,30,40,50,60,62,64,66,68,70,72,74,76,78,80,85,90,95,100})</f>
        <v>85</v>
      </c>
      <c r="J487" s="45"/>
      <c r="K487" s="45"/>
      <c r="L487" s="7">
        <f>I487+K487</f>
        <v>85</v>
      </c>
      <c r="M487" s="6">
        <v>9.4</v>
      </c>
      <c r="N487" s="43">
        <f>13-M487</f>
        <v>3.6</v>
      </c>
      <c r="O487" s="40">
        <f>LOOKUP(N487,{0,1.4,1.6,1.8,2,2.2,2.4,2.6,2.8,3,3.2,3.4,3.6,3.8,4,4.2,4.4,4.7,5,5.1,5.2},{0,10,20,30,40,50,60,62,64,66,68,70,72,74,76,78,80,85,90,95,100})</f>
        <v>72</v>
      </c>
      <c r="P487" s="6">
        <v>3.48</v>
      </c>
      <c r="Q487" s="6">
        <f>10-P487</f>
        <v>6.52</v>
      </c>
      <c r="R487" s="40">
        <f>LOOKUP(Q487,{0,4.7,4.8,4.9,5,5.5,5.6,5.65,5.7,5.75,5.8,5.85,5.9,5.95,6,6.45,6.5,6.57,6.64,6.7,6.76},{0,10,20,30,40,50,60,62,64,66,68,70,72,74,76,78,80,85,90,95,100})</f>
        <v>80</v>
      </c>
      <c r="S487" s="45"/>
      <c r="T487" s="45"/>
      <c r="U487" s="7">
        <f>R487+T487</f>
        <v>80</v>
      </c>
      <c r="W487" s="7">
        <f>E487*0.1+G487*0.1+I487*0.1+O487*0.2+R487*0.2</f>
        <v>55.6</v>
      </c>
      <c r="X487" s="21">
        <f>W487/0.7+K487+T487</f>
        <v>79.4285714285714</v>
      </c>
    </row>
    <row r="488" ht="15.6" spans="1:24">
      <c r="A488" s="6">
        <v>113</v>
      </c>
      <c r="B488" s="29" t="s">
        <v>671</v>
      </c>
      <c r="C488" s="29" t="s">
        <v>46</v>
      </c>
      <c r="D488" s="6">
        <v>25.1</v>
      </c>
      <c r="E488" s="40">
        <f>LOOKUP(D488,{0,0.4,1.2,2,2.8,3.6,4.4,5.7,7,8.3,9.6,10.9,12.2,13.5,14.8,16.1,17.4,19.1,20.8,22.5,24.2},{0,10,20,30,40,50,60,62,64,66,68,70,72,74,76,78,80,85,90,95,100})</f>
        <v>100</v>
      </c>
      <c r="F488" s="6">
        <v>152</v>
      </c>
      <c r="G488" s="40">
        <f>LOOKUP(F488,{0,123,128,133,138,143,148,151,154,157,160,163,166,169,172,175,178,185,192,198,204},{0,10,20,30,40,50,60,62,64,66,68,70,72,74,76,78,80,85,90,95,100})</f>
        <v>62</v>
      </c>
      <c r="H488" s="6">
        <v>27</v>
      </c>
      <c r="I488" s="40">
        <f>LOOKUP(H488,{0,13,15,17,19,21,23,25,27,29,31,33,35,37,39,41,43,46,49,51,53},{0,10,20,30,40,50,60,62,64,66,68,70,72,74,76,78,80,85,90,95,100})</f>
        <v>64</v>
      </c>
      <c r="J488" s="45"/>
      <c r="K488" s="45"/>
      <c r="L488" s="7">
        <f>I488+K488</f>
        <v>64</v>
      </c>
      <c r="M488" s="6">
        <v>8.3</v>
      </c>
      <c r="N488" s="43">
        <f>13-M488</f>
        <v>4.7</v>
      </c>
      <c r="O488" s="40">
        <f>LOOKUP(N488,{0,1.4,1.6,1.8,2,2.2,2.4,2.6,2.8,3,3.2,3.4,3.6,3.8,4,4.2,4.4,4.7,5,5.1,5.2},{0,10,20,30,40,50,60,62,64,66,68,70,72,74,76,78,80,85,90,95,100})</f>
        <v>85</v>
      </c>
      <c r="P488" s="6">
        <v>3.49</v>
      </c>
      <c r="Q488" s="6">
        <f>10-P488</f>
        <v>6.51</v>
      </c>
      <c r="R488" s="40">
        <f>LOOKUP(Q488,{0,4.7,4.8,4.9,5,5.5,5.6,5.65,5.7,5.75,5.8,5.85,5.9,5.95,6,6.45,6.5,6.57,6.64,6.7,6.76},{0,10,20,30,40,50,60,62,64,66,68,70,72,74,76,78,80,85,90,95,100})</f>
        <v>80</v>
      </c>
      <c r="S488" s="45"/>
      <c r="T488" s="45"/>
      <c r="U488" s="7">
        <f>R488+T488</f>
        <v>80</v>
      </c>
      <c r="W488" s="7">
        <f>E488*0.1+G488*0.1+I488*0.1+O488*0.2+R488*0.2</f>
        <v>55.6</v>
      </c>
      <c r="X488" s="21">
        <f>W488/0.7+K488+T488</f>
        <v>79.4285714285714</v>
      </c>
    </row>
    <row r="489" ht="15.6" spans="1:24">
      <c r="A489" s="6">
        <v>106</v>
      </c>
      <c r="B489" s="29" t="s">
        <v>289</v>
      </c>
      <c r="C489" s="29" t="s">
        <v>46</v>
      </c>
      <c r="D489" s="6">
        <v>21</v>
      </c>
      <c r="E489" s="40">
        <f>LOOKUP(D489,{0,0.4,1.2,2,2.8,3.6,4.4,5.7,7,8.3,9.6,10.9,12.2,13.5,14.8,16.1,17.4,19.1,20.8,22.5,24.2},{0,10,20,30,40,50,60,62,64,66,68,70,72,74,76,78,80,85,90,95,100})</f>
        <v>90</v>
      </c>
      <c r="F489" s="6">
        <v>149</v>
      </c>
      <c r="G489" s="40">
        <f>LOOKUP(F489,{0,123,128,133,138,143,148,151,154,157,160,163,166,169,172,175,178,185,192,198,204},{0,10,20,30,40,50,60,62,64,66,68,70,72,74,76,78,80,85,90,95,100})</f>
        <v>60</v>
      </c>
      <c r="H489" s="6">
        <v>50</v>
      </c>
      <c r="I489" s="40">
        <f>LOOKUP(H489,{0,13,15,17,19,21,23,25,27,29,31,33,35,37,39,41,43,46,49,51,53},{0,10,20,30,40,50,60,62,64,66,68,70,72,74,76,78,80,85,90,95,100})</f>
        <v>90</v>
      </c>
      <c r="J489" s="45"/>
      <c r="K489" s="45"/>
      <c r="L489" s="7">
        <f>I489+K489</f>
        <v>90</v>
      </c>
      <c r="M489" s="6">
        <v>8.5</v>
      </c>
      <c r="N489" s="43">
        <f>13-M489</f>
        <v>4.5</v>
      </c>
      <c r="O489" s="40">
        <f>LOOKUP(N489,{0,1.4,1.6,1.8,2,2.2,2.4,2.6,2.8,3,3.2,3.4,3.6,3.8,4,4.2,4.4,4.7,5,5.1,5.2},{0,10,20,30,40,50,60,62,64,66,68,70,72,74,76,78,80,85,90,95,100})</f>
        <v>80</v>
      </c>
      <c r="P489" s="6">
        <v>3.52</v>
      </c>
      <c r="Q489" s="6">
        <f>10-P489</f>
        <v>6.48</v>
      </c>
      <c r="R489" s="40">
        <f>LOOKUP(Q489,{0,4.7,4.8,4.9,5,5.5,5.6,5.65,5.7,5.75,5.8,5.85,5.9,5.95,6,6.45,6.5,6.57,6.64,6.7,6.76},{0,10,20,30,40,50,60,62,64,66,68,70,72,74,76,78,80,85,90,95,100})</f>
        <v>78</v>
      </c>
      <c r="S489" s="45"/>
      <c r="T489" s="45"/>
      <c r="U489" s="7">
        <f>R489+T489</f>
        <v>78</v>
      </c>
      <c r="W489" s="7">
        <f>E489*0.1+G489*0.1+I489*0.1+O489*0.2+R489*0.2</f>
        <v>55.6</v>
      </c>
      <c r="X489" s="21">
        <f>W489/0.7+K489+T489</f>
        <v>79.4285714285714</v>
      </c>
    </row>
    <row r="490" ht="15.6" spans="1:24">
      <c r="A490" s="6">
        <v>115</v>
      </c>
      <c r="B490" s="29" t="s">
        <v>774</v>
      </c>
      <c r="C490" s="29" t="s">
        <v>46</v>
      </c>
      <c r="D490" s="6">
        <v>19.5</v>
      </c>
      <c r="E490" s="40">
        <f>LOOKUP(D490,{0,0.4,1.2,2,2.8,3.6,4.4,5.7,7,8.3,9.6,10.9,12.2,13.5,14.8,16.1,17.4,19.1,20.8,22.5,24.2},{0,10,20,30,40,50,60,62,64,66,68,70,72,74,76,78,80,85,90,95,100})</f>
        <v>85</v>
      </c>
      <c r="F490" s="6">
        <v>178</v>
      </c>
      <c r="G490" s="40">
        <f>LOOKUP(F490,{0,123,128,133,138,143,148,151,154,157,160,163,166,169,172,175,178,185,192,198,204},{0,10,20,30,40,50,60,62,64,66,68,70,72,74,76,78,80,85,90,95,100})</f>
        <v>80</v>
      </c>
      <c r="H490" s="6">
        <v>41</v>
      </c>
      <c r="I490" s="40">
        <f>LOOKUP(H490,{0,13,15,17,19,21,23,25,27,29,31,33,35,37,39,41,43,46,49,51,53},{0,10,20,30,40,50,60,62,64,66,68,70,72,74,76,78,80,85,90,95,100})</f>
        <v>78</v>
      </c>
      <c r="J490" s="45"/>
      <c r="K490" s="45"/>
      <c r="L490" s="7">
        <f>I490+K490</f>
        <v>78</v>
      </c>
      <c r="M490" s="6">
        <v>9</v>
      </c>
      <c r="N490" s="43">
        <f>13-M490</f>
        <v>4</v>
      </c>
      <c r="O490" s="40">
        <f>LOOKUP(N490,{0,1.4,1.6,1.8,2,2.2,2.4,2.6,2.8,3,3.2,3.4,3.6,3.8,4,4.2,4.4,4.7,5,5.1,5.2},{0,10,20,30,40,50,60,62,64,66,68,70,72,74,76,78,80,85,90,95,100})</f>
        <v>76</v>
      </c>
      <c r="P490" s="6">
        <v>3.49</v>
      </c>
      <c r="Q490" s="6">
        <f>10-P490</f>
        <v>6.51</v>
      </c>
      <c r="R490" s="40">
        <f>LOOKUP(Q490,{0,4.7,4.8,4.9,5,5.5,5.6,5.65,5.7,5.75,5.8,5.85,5.9,5.95,6,6.45,6.5,6.57,6.64,6.7,6.76},{0,10,20,30,40,50,60,62,64,66,68,70,72,74,76,78,80,85,90,95,100})</f>
        <v>80</v>
      </c>
      <c r="S490" s="45"/>
      <c r="T490" s="45"/>
      <c r="U490" s="7">
        <f>R490+T490</f>
        <v>80</v>
      </c>
      <c r="W490" s="7">
        <f>E490*0.1+G490*0.1+I490*0.1+O490*0.2+R490*0.2</f>
        <v>55.5</v>
      </c>
      <c r="X490" s="21">
        <f>W490/0.7+K490+T490</f>
        <v>79.2857142857143</v>
      </c>
    </row>
    <row r="491" s="3" customFormat="1" ht="15.6" spans="1:24">
      <c r="A491" s="6">
        <v>114</v>
      </c>
      <c r="B491" s="29" t="s">
        <v>109</v>
      </c>
      <c r="C491" s="29" t="s">
        <v>46</v>
      </c>
      <c r="D491" s="6">
        <v>15.8</v>
      </c>
      <c r="E491" s="40">
        <f>LOOKUP(D491,{0,0.4,1.2,2,2.8,3.6,4.4,5.7,7,8.3,9.6,10.9,12.2,13.5,14.8,16.1,17.4,19.1,20.8,22.5,24.2},{0,10,20,30,40,50,60,62,64,66,68,70,72,74,76,78,80,85,90,95,100})</f>
        <v>76</v>
      </c>
      <c r="F491" s="6">
        <v>178</v>
      </c>
      <c r="G491" s="40">
        <f>LOOKUP(F491,{0,123,128,133,138,143,148,151,154,157,160,163,166,169,172,175,178,185,192,198,204},{0,10,20,30,40,50,60,62,64,66,68,70,72,74,76,78,80,85,90,95,100})</f>
        <v>80</v>
      </c>
      <c r="H491" s="6">
        <v>40</v>
      </c>
      <c r="I491" s="40">
        <f>LOOKUP(H491,{0,13,15,17,19,21,23,25,27,29,31,33,35,37,39,41,43,46,49,51,53},{0,10,20,30,40,50,60,62,64,66,68,70,72,74,76,78,80,85,90,95,100})</f>
        <v>76</v>
      </c>
      <c r="J491" s="45"/>
      <c r="K491" s="45"/>
      <c r="L491" s="7">
        <f>I491+K491</f>
        <v>76</v>
      </c>
      <c r="M491" s="6">
        <v>8.9</v>
      </c>
      <c r="N491" s="43">
        <f>13-M491</f>
        <v>4.1</v>
      </c>
      <c r="O491" s="40">
        <f>LOOKUP(N491,{0,1.4,1.6,1.8,2,2.2,2.4,2.6,2.8,3,3.2,3.4,3.6,3.8,4,4.2,4.4,4.7,5,5.1,5.2},{0,10,20,30,40,50,60,62,64,66,68,70,72,74,76,78,80,85,90,95,100})</f>
        <v>76</v>
      </c>
      <c r="P491" s="6">
        <v>3.39</v>
      </c>
      <c r="Q491" s="6">
        <f>10-P491</f>
        <v>6.61</v>
      </c>
      <c r="R491" s="40">
        <f>LOOKUP(Q491,{0,4.7,4.8,4.9,5,5.5,5.6,5.65,5.7,5.75,5.8,5.85,5.9,5.95,6,6.45,6.5,6.57,6.64,6.7,6.76},{0,10,20,30,40,50,60,62,64,66,68,70,72,74,76,78,80,85,90,95,100})</f>
        <v>85</v>
      </c>
      <c r="S491" s="45"/>
      <c r="T491" s="45"/>
      <c r="U491" s="7">
        <f>R491+T491</f>
        <v>85</v>
      </c>
      <c r="V491" s="6"/>
      <c r="W491" s="7">
        <f>E491*0.1+G491*0.1+I491*0.1+O491*0.2+R491*0.2</f>
        <v>55.4</v>
      </c>
      <c r="X491" s="21">
        <f>W491/0.7+K491+T491</f>
        <v>79.1428571428572</v>
      </c>
    </row>
    <row r="492" ht="15.6" spans="1:24">
      <c r="A492" s="6">
        <v>112</v>
      </c>
      <c r="B492" s="29" t="s">
        <v>602</v>
      </c>
      <c r="C492" s="29" t="s">
        <v>46</v>
      </c>
      <c r="D492" s="6">
        <v>19.5</v>
      </c>
      <c r="E492" s="40">
        <f>LOOKUP(D492,{0,0.4,1.2,2,2.8,3.6,4.4,5.7,7,8.3,9.6,10.9,12.2,13.5,14.8,16.1,17.4,19.1,20.8,22.5,24.2},{0,10,20,30,40,50,60,62,64,66,68,70,72,74,76,78,80,85,90,95,100})</f>
        <v>85</v>
      </c>
      <c r="F492" s="6">
        <v>165</v>
      </c>
      <c r="G492" s="40">
        <f>LOOKUP(F492,{0,123,128,133,138,143,148,151,154,157,160,163,166,169,172,175,178,185,192,198,204},{0,10,20,30,40,50,60,62,64,66,68,70,72,74,76,78,80,85,90,95,100})</f>
        <v>70</v>
      </c>
      <c r="H492" s="6">
        <v>52</v>
      </c>
      <c r="I492" s="40">
        <f>LOOKUP(H492,{0,13,15,17,19,21,23,25,27,29,31,33,35,37,39,41,43,46,49,51,53},{0,10,20,30,40,50,60,62,64,66,68,70,72,74,76,78,80,85,90,95,100})</f>
        <v>95</v>
      </c>
      <c r="J492" s="45"/>
      <c r="K492" s="45"/>
      <c r="L492" s="7">
        <f>I492+K492</f>
        <v>95</v>
      </c>
      <c r="M492" s="6">
        <v>9.3</v>
      </c>
      <c r="N492" s="43">
        <f>13-M492</f>
        <v>3.7</v>
      </c>
      <c r="O492" s="40">
        <f>LOOKUP(N492,{0,1.4,1.6,1.8,2,2.2,2.4,2.6,2.8,3,3.2,3.4,3.6,3.8,4,4.2,4.4,4.7,5,5.1,5.2},{0,10,20,30,40,50,60,62,64,66,68,70,72,74,76,78,80,85,90,95,100})</f>
        <v>72</v>
      </c>
      <c r="P492" s="6">
        <v>3.49</v>
      </c>
      <c r="Q492" s="6">
        <f>10-P492</f>
        <v>6.51</v>
      </c>
      <c r="R492" s="40">
        <f>LOOKUP(Q492,{0,4.7,4.8,4.9,5,5.5,5.6,5.65,5.7,5.75,5.8,5.85,5.9,5.95,6,6.45,6.5,6.57,6.64,6.7,6.76},{0,10,20,30,40,50,60,62,64,66,68,70,72,74,76,78,80,85,90,95,100})</f>
        <v>80</v>
      </c>
      <c r="S492" s="45"/>
      <c r="T492" s="45"/>
      <c r="U492" s="7">
        <f>R492+T492</f>
        <v>80</v>
      </c>
      <c r="W492" s="7">
        <f>E492*0.1+G492*0.1+I492*0.1+O492*0.2+R492*0.2</f>
        <v>55.4</v>
      </c>
      <c r="X492" s="21">
        <f>W492/0.7+K492+T492</f>
        <v>79.1428571428571</v>
      </c>
    </row>
    <row r="493" ht="15.6" spans="1:24">
      <c r="A493" s="6">
        <v>108</v>
      </c>
      <c r="B493" s="29" t="s">
        <v>392</v>
      </c>
      <c r="C493" s="29" t="s">
        <v>46</v>
      </c>
      <c r="D493" s="6">
        <v>10</v>
      </c>
      <c r="E493" s="40">
        <f>LOOKUP(D493,{0,0.4,1.2,2,2.8,3.6,4.4,5.7,7,8.3,9.6,10.9,12.2,13.5,14.8,16.1,17.4,19.1,20.8,22.5,24.2},{0,10,20,30,40,50,60,62,64,66,68,70,72,74,76,78,80,85,90,95,100})</f>
        <v>68</v>
      </c>
      <c r="F493" s="6">
        <v>170</v>
      </c>
      <c r="G493" s="40">
        <f>LOOKUP(F493,{0,123,128,133,138,143,148,151,154,157,160,163,166,169,172,175,178,185,192,198,204},{0,10,20,30,40,50,60,62,64,66,68,70,72,74,76,78,80,85,90,95,100})</f>
        <v>74</v>
      </c>
      <c r="H493" s="6">
        <v>51</v>
      </c>
      <c r="I493" s="40">
        <f>LOOKUP(H493,{0,13,15,17,19,21,23,25,27,29,31,33,35,37,39,41,43,46,49,51,53},{0,10,20,30,40,50,60,62,64,66,68,70,72,74,76,78,80,85,90,95,100})</f>
        <v>95</v>
      </c>
      <c r="J493" s="45"/>
      <c r="K493" s="45"/>
      <c r="L493" s="7">
        <f>I493+K493</f>
        <v>95</v>
      </c>
      <c r="M493" s="6">
        <v>8.7</v>
      </c>
      <c r="N493" s="43">
        <f>13-M493</f>
        <v>4.3</v>
      </c>
      <c r="O493" s="40">
        <f>LOOKUP(N493,{0,1.4,1.6,1.8,2,2.2,2.4,2.6,2.8,3,3.2,3.4,3.6,3.8,4,4.2,4.4,4.7,5,5.1,5.2},{0,10,20,30,40,50,60,62,64,66,68,70,72,74,76,78,80,85,90,95,100})</f>
        <v>78</v>
      </c>
      <c r="P493" s="6">
        <v>3.47</v>
      </c>
      <c r="Q493" s="6">
        <f>10-P493</f>
        <v>6.53</v>
      </c>
      <c r="R493" s="40">
        <f>LOOKUP(Q493,{0,4.7,4.8,4.9,5,5.5,5.6,5.65,5.7,5.75,5.8,5.85,5.9,5.95,6,6.45,6.5,6.57,6.64,6.7,6.76},{0,10,20,30,40,50,60,62,64,66,68,70,72,74,76,78,80,85,90,95,100})</f>
        <v>80</v>
      </c>
      <c r="S493" s="45"/>
      <c r="T493" s="45"/>
      <c r="U493" s="7">
        <f>R493+T493</f>
        <v>80</v>
      </c>
      <c r="W493" s="7">
        <f>E493*0.1+G493*0.1+I493*0.1+O493*0.2+R493*0.2</f>
        <v>55.3</v>
      </c>
      <c r="X493" s="21">
        <f>W493/0.7+K493+T493</f>
        <v>79</v>
      </c>
    </row>
    <row r="494" ht="15.6" spans="1:24">
      <c r="A494" s="6">
        <v>110</v>
      </c>
      <c r="B494" s="29" t="s">
        <v>492</v>
      </c>
      <c r="C494" s="29" t="s">
        <v>46</v>
      </c>
      <c r="D494" s="6">
        <v>17</v>
      </c>
      <c r="E494" s="40">
        <f>LOOKUP(D494,{0,0.4,1.2,2,2.8,3.6,4.4,5.7,7,8.3,9.6,10.9,12.2,13.5,14.8,16.1,17.4,19.1,20.8,22.5,24.2},{0,10,20,30,40,50,60,62,64,66,68,70,72,74,76,78,80,85,90,95,100})</f>
        <v>78</v>
      </c>
      <c r="F494" s="6">
        <v>177</v>
      </c>
      <c r="G494" s="40">
        <f>LOOKUP(F494,{0,123,128,133,138,143,148,151,154,157,160,163,166,169,172,175,178,185,192,198,204},{0,10,20,30,40,50,60,62,64,66,68,70,72,74,76,78,80,85,90,95,100})</f>
        <v>78</v>
      </c>
      <c r="H494" s="6">
        <v>47</v>
      </c>
      <c r="I494" s="40">
        <f>LOOKUP(H494,{0,13,15,17,19,21,23,25,27,29,31,33,35,37,39,41,43,46,49,51,53},{0,10,20,30,40,50,60,62,64,66,68,70,72,74,76,78,80,85,90,95,100})</f>
        <v>85</v>
      </c>
      <c r="J494" s="45"/>
      <c r="K494" s="45"/>
      <c r="L494" s="7">
        <f>I494+K494</f>
        <v>85</v>
      </c>
      <c r="M494" s="6">
        <v>8.7</v>
      </c>
      <c r="N494" s="43">
        <f>13-M494</f>
        <v>4.3</v>
      </c>
      <c r="O494" s="40">
        <f>LOOKUP(N494,{0,1.4,1.6,1.8,2,2.2,2.4,2.6,2.8,3,3.2,3.4,3.6,3.8,4,4.2,4.4,4.7,5,5.1,5.2},{0,10,20,30,40,50,60,62,64,66,68,70,72,74,76,78,80,85,90,95,100})</f>
        <v>78</v>
      </c>
      <c r="P494" s="6">
        <v>3.52</v>
      </c>
      <c r="Q494" s="6">
        <f>10-P494</f>
        <v>6.48</v>
      </c>
      <c r="R494" s="40">
        <f>LOOKUP(Q494,{0,4.7,4.8,4.9,5,5.5,5.6,5.65,5.7,5.75,5.8,5.85,5.9,5.95,6,6.45,6.5,6.57,6.64,6.7,6.76},{0,10,20,30,40,50,60,62,64,66,68,70,72,74,76,78,80,85,90,95,100})</f>
        <v>78</v>
      </c>
      <c r="S494" s="45"/>
      <c r="T494" s="45"/>
      <c r="U494" s="7">
        <f>R494+T494</f>
        <v>78</v>
      </c>
      <c r="W494" s="7">
        <f>E494*0.1+G494*0.1+I494*0.1+O494*0.2+R494*0.2</f>
        <v>55.3</v>
      </c>
      <c r="X494" s="21">
        <f>W494/0.7+K494+T494</f>
        <v>79</v>
      </c>
    </row>
    <row r="495" ht="15.6" spans="1:24">
      <c r="A495" s="6">
        <v>112</v>
      </c>
      <c r="B495" s="29" t="s">
        <v>601</v>
      </c>
      <c r="C495" s="29" t="s">
        <v>46</v>
      </c>
      <c r="D495" s="6">
        <v>10.5</v>
      </c>
      <c r="E495" s="40">
        <f>LOOKUP(D495,{0,0.4,1.2,2,2.8,3.6,4.4,5.7,7,8.3,9.6,10.9,12.2,13.5,14.8,16.1,17.4,19.1,20.8,22.5,24.2},{0,10,20,30,40,50,60,62,64,66,68,70,72,74,76,78,80,85,90,95,100})</f>
        <v>68</v>
      </c>
      <c r="F495" s="6">
        <v>175</v>
      </c>
      <c r="G495" s="40">
        <f>LOOKUP(F495,{0,123,128,133,138,143,148,151,154,157,160,163,166,169,172,175,178,185,192,198,204},{0,10,20,30,40,50,60,62,64,66,68,70,72,74,76,78,80,85,90,95,100})</f>
        <v>78</v>
      </c>
      <c r="H495" s="6">
        <v>52</v>
      </c>
      <c r="I495" s="40">
        <f>LOOKUP(H495,{0,13,15,17,19,21,23,25,27,29,31,33,35,37,39,41,43,46,49,51,53},{0,10,20,30,40,50,60,62,64,66,68,70,72,74,76,78,80,85,90,95,100})</f>
        <v>95</v>
      </c>
      <c r="J495" s="45"/>
      <c r="K495" s="45"/>
      <c r="L495" s="7">
        <f>I495+K495</f>
        <v>95</v>
      </c>
      <c r="M495" s="6">
        <v>8.6</v>
      </c>
      <c r="N495" s="43">
        <f>13-M495</f>
        <v>4.4</v>
      </c>
      <c r="O495" s="40">
        <f>LOOKUP(N495,{0,1.4,1.6,1.8,2,2.2,2.4,2.6,2.8,3,3.2,3.4,3.6,3.8,4,4.2,4.4,4.7,5,5.1,5.2},{0,10,20,30,40,50,60,62,64,66,68,70,72,74,76,78,80,85,90,95,100})</f>
        <v>80</v>
      </c>
      <c r="P495" s="6">
        <v>3.56</v>
      </c>
      <c r="Q495" s="6">
        <f>10-P495</f>
        <v>6.44</v>
      </c>
      <c r="R495" s="40">
        <f>LOOKUP(Q495,{0,4.7,4.8,4.9,5,5.5,5.6,5.65,5.7,5.75,5.8,5.85,5.9,5.95,6,6.45,6.5,6.57,6.64,6.7,6.76},{0,10,20,30,40,50,60,62,64,66,68,70,72,74,76,78,80,85,90,95,100})</f>
        <v>76</v>
      </c>
      <c r="S495" s="45"/>
      <c r="T495" s="45"/>
      <c r="U495" s="7">
        <f>R495+T495</f>
        <v>76</v>
      </c>
      <c r="W495" s="7">
        <f>E495*0.1+G495*0.1+I495*0.1+O495*0.2+R495*0.2</f>
        <v>55.3</v>
      </c>
      <c r="X495" s="21">
        <f>W495/0.7+K495+T495</f>
        <v>79</v>
      </c>
    </row>
    <row r="496" ht="15.6" spans="1:24">
      <c r="A496" s="6">
        <v>114</v>
      </c>
      <c r="B496" s="29" t="s">
        <v>725</v>
      </c>
      <c r="C496" s="29" t="s">
        <v>46</v>
      </c>
      <c r="D496" s="6">
        <v>20.2</v>
      </c>
      <c r="E496" s="40">
        <f>LOOKUP(D496,{0,0.4,1.2,2,2.8,3.6,4.4,5.7,7,8.3,9.6,10.9,12.2,13.5,14.8,16.1,17.4,19.1,20.8,22.5,24.2},{0,10,20,30,40,50,60,62,64,66,68,70,72,74,76,78,80,85,90,95,100})</f>
        <v>85</v>
      </c>
      <c r="F496" s="6">
        <v>163</v>
      </c>
      <c r="G496" s="40">
        <f>LOOKUP(F496,{0,123,128,133,138,143,148,151,154,157,160,163,166,169,172,175,178,185,192,198,204},{0,10,20,30,40,50,60,62,64,66,68,70,72,74,76,78,80,85,90,95,100})</f>
        <v>70</v>
      </c>
      <c r="H496" s="6">
        <v>50</v>
      </c>
      <c r="I496" s="40">
        <f>LOOKUP(H496,{0,13,15,17,19,21,23,25,27,29,31,33,35,37,39,41,43,46,49,51,53},{0,10,20,30,40,50,60,62,64,66,68,70,72,74,76,78,80,85,90,95,100})</f>
        <v>90</v>
      </c>
      <c r="J496" s="45"/>
      <c r="K496" s="45"/>
      <c r="L496" s="7">
        <f>I496+K496</f>
        <v>90</v>
      </c>
      <c r="M496" s="6">
        <v>8.8</v>
      </c>
      <c r="N496" s="43">
        <f>13-M496</f>
        <v>4.2</v>
      </c>
      <c r="O496" s="40">
        <f>LOOKUP(N496,{0,1.4,1.6,1.8,2,2.2,2.4,2.6,2.8,3,3.2,3.4,3.6,3.8,4,4.2,4.4,4.7,5,5.1,5.2},{0,10,20,30,40,50,60,62,64,66,68,70,72,74,76,78,80,85,90,95,100})</f>
        <v>78</v>
      </c>
      <c r="P496" s="6">
        <v>3.58</v>
      </c>
      <c r="Q496" s="6">
        <f>10-P496</f>
        <v>6.42</v>
      </c>
      <c r="R496" s="40">
        <f>LOOKUP(Q496,{0,4.7,4.8,4.9,5,5.5,5.6,5.65,5.7,5.75,5.8,5.85,5.9,5.95,6,6.45,6.5,6.57,6.64,6.7,6.76},{0,10,20,30,40,50,60,62,64,66,68,70,72,74,76,78,80,85,90,95,100})</f>
        <v>76</v>
      </c>
      <c r="S496" s="45"/>
      <c r="T496" s="45"/>
      <c r="U496" s="7">
        <f>R496+T496</f>
        <v>76</v>
      </c>
      <c r="W496" s="7">
        <f>E496*0.1+G496*0.1+I496*0.1+O496*0.2+R496*0.2</f>
        <v>55.3</v>
      </c>
      <c r="X496" s="21">
        <f>W496/0.7+K496+T496</f>
        <v>79</v>
      </c>
    </row>
    <row r="497" ht="15.6" hidden="1" spans="1:24">
      <c r="A497" s="6">
        <v>111</v>
      </c>
      <c r="B497" s="29" t="s">
        <v>533</v>
      </c>
      <c r="C497" s="29" t="s">
        <v>11</v>
      </c>
      <c r="D497" s="6">
        <v>13.7</v>
      </c>
      <c r="E497" s="40">
        <f>LOOKUP(D497,{0,-4,-3,-2,-1,0,1,2.4,3.8,5.2,6.6,8,9.4,10.8,12.2,13.6,15,17.2,19.4,21.5,23.6},{0,10,20,30,40,50,60,62,64,66,68,70,72,74,76,78,80,85,90,95,100})</f>
        <v>78</v>
      </c>
      <c r="F497" s="6">
        <v>150</v>
      </c>
      <c r="G497" s="40">
        <f>LOOKUP(F497,{0,170,175,180,185,190,195,199,203,207,211,215,219,223,227,231,235,243,250,255,260},{0,10,20,30,40,50,60,62,64,66,68,70,72,74,76,78,80,85,90,95,100})</f>
        <v>0</v>
      </c>
      <c r="H497" s="6">
        <v>0</v>
      </c>
      <c r="I497" s="40">
        <f>LOOKUP(H497,{0,2,3,4,5,6,7,8,9,10,11,12,13,14,15,16},{0,10,20,30,40,50,60,64,68,72,76,80,85,90,95,100})</f>
        <v>0</v>
      </c>
      <c r="J497" s="7"/>
      <c r="K497" s="7"/>
      <c r="L497" s="7">
        <f>I497+K497</f>
        <v>0</v>
      </c>
      <c r="M497" s="6">
        <v>7.7</v>
      </c>
      <c r="N497" s="43">
        <f>13-M497</f>
        <v>5.3</v>
      </c>
      <c r="O497" s="40">
        <f>LOOKUP(N497,{0,2.5,2.7,2.9,3.1,3.3,3.5,3.7,3.9,4.1,4.3,4.5,4.7,4.9,5.1,5.3,5.5,5.6,5.7,5.8,5.9},{0,10,20,30,40,50,60,62,64,66,68,70,72,74,76,78,80,85,90,95,100})</f>
        <v>78</v>
      </c>
      <c r="P497" s="6">
        <v>3.5</v>
      </c>
      <c r="Q497" s="6">
        <f>10-P497</f>
        <v>6.5</v>
      </c>
      <c r="R497" s="40">
        <f>LOOKUP(Q497,{0,3.75,3.95,4.55,4.75,4.95,5.55,5.6,5.65,5.7,5.75,5.8,5.85,5.9,5.95,6,6.45,6.53,6.6,6.65,6.7},{0,10,20,30,40,50,60,62,64,66,68,70,72,74,76,78,80,85,90,95,100})</f>
        <v>80</v>
      </c>
      <c r="S497" s="7"/>
      <c r="T497" s="7"/>
      <c r="U497" s="7">
        <f>R497+T497</f>
        <v>80</v>
      </c>
      <c r="W497" s="7">
        <f>E497*0.1+G497*0.1+I497*0.1+O497*0.2+R497*0.2</f>
        <v>39.4</v>
      </c>
      <c r="X497" s="21">
        <f>W497/0.7+K497+T497</f>
        <v>56.2857142857143</v>
      </c>
    </row>
    <row r="498" ht="15.6" hidden="1" spans="1:24">
      <c r="A498" s="6">
        <v>103</v>
      </c>
      <c r="B498" s="29" t="s">
        <v>140</v>
      </c>
      <c r="C498" s="29" t="s">
        <v>11</v>
      </c>
      <c r="D498" s="6">
        <v>-3</v>
      </c>
      <c r="E498" s="40">
        <f>LOOKUP(D498,{0,-4,-3,-2,-1,0,1,2.4,3.8,5.2,6.6,8,9.4,10.8,12.2,13.6,15,17.2,19.4,21.5,23.6},{0,10,20,30,40,50,60,62,64,66,68,70,72,74,76,78,80,85,90,95,100})</f>
        <v>20</v>
      </c>
      <c r="F498" s="6">
        <v>204</v>
      </c>
      <c r="G498" s="40">
        <f>LOOKUP(F498,{0,170,175,180,185,190,195,199,203,207,211,215,219,223,227,231,235,243,250,255,260},{0,10,20,30,40,50,60,62,64,66,68,70,72,74,76,78,80,85,90,95,100})</f>
        <v>64</v>
      </c>
      <c r="H498" s="6">
        <v>0</v>
      </c>
      <c r="I498" s="40">
        <f>LOOKUP(H498,{0,2,3,4,5,6,7,8,9,10,11,12,13,14,15,16},{0,10,20,30,40,50,60,64,68,72,76,80,85,90,95,100})</f>
        <v>0</v>
      </c>
      <c r="J498" s="7"/>
      <c r="K498" s="7"/>
      <c r="L498" s="7">
        <f>I498+K498</f>
        <v>0</v>
      </c>
      <c r="M498" s="6">
        <v>7.7</v>
      </c>
      <c r="N498" s="43">
        <f>13-M498</f>
        <v>5.3</v>
      </c>
      <c r="O498" s="40">
        <f>LOOKUP(N498,{0,2.5,2.7,2.9,3.1,3.3,3.5,3.7,3.9,4.1,4.3,4.5,4.7,4.9,5.1,5.3,5.5,5.6,5.7,5.8,5.9},{0,10,20,30,40,50,60,62,64,66,68,70,72,74,76,78,80,85,90,95,100})</f>
        <v>78</v>
      </c>
      <c r="P498" s="6">
        <v>3.51</v>
      </c>
      <c r="Q498" s="6">
        <f>10-P498</f>
        <v>6.49</v>
      </c>
      <c r="R498" s="40">
        <f>LOOKUP(Q498,{0,3.75,3.95,4.55,4.75,4.95,5.55,5.6,5.65,5.7,5.75,5.8,5.85,5.9,5.95,6,6.45,6.53,6.6,6.65,6.7},{0,10,20,30,40,50,60,62,64,66,68,70,72,74,76,78,80,85,90,95,100})</f>
        <v>80</v>
      </c>
      <c r="S498" s="7"/>
      <c r="T498" s="7"/>
      <c r="U498" s="7">
        <f>R498+T498</f>
        <v>80</v>
      </c>
      <c r="W498" s="7">
        <f>E498*0.1+G498*0.1+I498*0.1+O498*0.2+R498*0.2</f>
        <v>40</v>
      </c>
      <c r="X498" s="21">
        <f>W498/0.7+K498+T498</f>
        <v>57.1428571428571</v>
      </c>
    </row>
    <row r="499" ht="15.6" hidden="1" spans="1:24">
      <c r="A499" s="6">
        <v>112</v>
      </c>
      <c r="B499" s="29" t="s">
        <v>593</v>
      </c>
      <c r="C499" s="29" t="s">
        <v>11</v>
      </c>
      <c r="D499" s="6">
        <v>4</v>
      </c>
      <c r="E499" s="40">
        <f>LOOKUP(D499,{0,-4,-3,-2,-1,0,1,2.4,3.8,5.2,6.6,8,9.4,10.8,12.2,13.6,15,17.2,19.4,21.5,23.6},{0,10,20,30,40,50,60,62,64,66,68,70,72,74,76,78,80,85,90,95,100})</f>
        <v>64</v>
      </c>
      <c r="F499" s="6">
        <v>228</v>
      </c>
      <c r="G499" s="40">
        <f>LOOKUP(F499,{0,170,175,180,185,190,195,199,203,207,211,215,219,223,227,231,235,243,250,255,260},{0,10,20,30,40,50,60,62,64,66,68,70,72,74,76,78,80,85,90,95,100})</f>
        <v>76</v>
      </c>
      <c r="H499" s="6">
        <v>3</v>
      </c>
      <c r="I499" s="40">
        <f>LOOKUP(H499,{0,2,3,4,5,6,7,8,9,10,11,12,13,14,15,16},{0,10,20,30,40,50,60,64,68,72,76,80,85,90,95,100})</f>
        <v>20</v>
      </c>
      <c r="J499" s="7"/>
      <c r="K499" s="7"/>
      <c r="L499" s="7">
        <f>I499+K499</f>
        <v>20</v>
      </c>
      <c r="M499" s="6">
        <v>7.7</v>
      </c>
      <c r="N499" s="43">
        <f>13-M499</f>
        <v>5.3</v>
      </c>
      <c r="O499" s="40">
        <f>LOOKUP(N499,{0,2.5,2.7,2.9,3.1,3.3,3.5,3.7,3.9,4.1,4.3,4.5,4.7,4.9,5.1,5.3,5.5,5.6,5.7,5.8,5.9},{0,10,20,30,40,50,60,62,64,66,68,70,72,74,76,78,80,85,90,95,100})</f>
        <v>78</v>
      </c>
      <c r="P499" s="6">
        <v>3.52</v>
      </c>
      <c r="Q499" s="6">
        <f>10-P499</f>
        <v>6.48</v>
      </c>
      <c r="R499" s="40">
        <f>LOOKUP(Q499,{0,3.75,3.95,4.55,4.75,4.95,5.55,5.6,5.65,5.7,5.75,5.8,5.85,5.9,5.95,6,6.45,6.53,6.6,6.65,6.7},{0,10,20,30,40,50,60,62,64,66,68,70,72,74,76,78,80,85,90,95,100})</f>
        <v>80</v>
      </c>
      <c r="S499" s="7"/>
      <c r="T499" s="7"/>
      <c r="U499" s="7">
        <f>R499+T499</f>
        <v>80</v>
      </c>
      <c r="W499" s="7">
        <f>E499*0.1+G499*0.1+I499*0.1+O499*0.2+R499*0.2</f>
        <v>47.6</v>
      </c>
      <c r="X499" s="21">
        <f>W499/0.7+K499+T499</f>
        <v>68</v>
      </c>
    </row>
    <row r="500" ht="15.6" hidden="1" spans="1:24">
      <c r="A500" s="6">
        <v>108</v>
      </c>
      <c r="B500" s="29" t="s">
        <v>365</v>
      </c>
      <c r="C500" s="29" t="s">
        <v>11</v>
      </c>
      <c r="D500" s="6">
        <v>16.5</v>
      </c>
      <c r="E500" s="40">
        <f>LOOKUP(D500,{0,-4,-3,-2,-1,0,1,2.4,3.8,5.2,6.6,8,9.4,10.8,12.2,13.6,15,17.2,19.4,21.5,23.6},{0,10,20,30,40,50,60,62,64,66,68,70,72,74,76,78,80,85,90,95,100})</f>
        <v>80</v>
      </c>
      <c r="F500" s="6">
        <v>203</v>
      </c>
      <c r="G500" s="40">
        <f>LOOKUP(F500,{0,170,175,180,185,190,195,199,203,207,211,215,219,223,227,231,235,243,250,255,260},{0,10,20,30,40,50,60,62,64,66,68,70,72,74,76,78,80,85,90,95,100})</f>
        <v>64</v>
      </c>
      <c r="H500" s="6">
        <v>10</v>
      </c>
      <c r="I500" s="40">
        <f>LOOKUP(H500,{0,2,3,4,5,6,7,8,9,10,11,12,13,14,15,16},{0,10,20,30,40,50,60,64,68,72,76,80,85,90,95,100})</f>
        <v>72</v>
      </c>
      <c r="J500" s="7"/>
      <c r="K500" s="7"/>
      <c r="L500" s="7">
        <f>I500+K500</f>
        <v>72</v>
      </c>
      <c r="M500" s="6">
        <v>7.7</v>
      </c>
      <c r="N500" s="43">
        <f>13-M500</f>
        <v>5.3</v>
      </c>
      <c r="O500" s="40">
        <f>LOOKUP(N500,{0,2.5,2.7,2.9,3.1,3.3,3.5,3.7,3.9,4.1,4.3,4.5,4.7,4.9,5.1,5.3,5.5,5.6,5.7,5.8,5.9},{0,10,20,30,40,50,60,62,64,66,68,70,72,74,76,78,80,85,90,95,100})</f>
        <v>78</v>
      </c>
      <c r="P500" s="6">
        <v>3.54</v>
      </c>
      <c r="Q500" s="6">
        <f>10-P500</f>
        <v>6.46</v>
      </c>
      <c r="R500" s="40">
        <f>LOOKUP(Q500,{0,3.75,3.95,4.55,4.75,4.95,5.55,5.6,5.65,5.7,5.75,5.8,5.85,5.9,5.95,6,6.45,6.53,6.6,6.65,6.7},{0,10,20,30,40,50,60,62,64,66,68,70,72,74,76,78,80,85,90,95,100})</f>
        <v>80</v>
      </c>
      <c r="S500" s="7"/>
      <c r="T500" s="7"/>
      <c r="U500" s="7">
        <f>R500+T500</f>
        <v>80</v>
      </c>
      <c r="W500" s="7">
        <f>E500*0.1+G500*0.1+I500*0.1+O500*0.2+R500*0.2</f>
        <v>53.2</v>
      </c>
      <c r="X500" s="21">
        <f>W500/0.7+K500+T500</f>
        <v>76</v>
      </c>
    </row>
    <row r="501" ht="15.6" hidden="1" spans="1:24">
      <c r="A501" s="6">
        <v>107</v>
      </c>
      <c r="B501" s="29" t="s">
        <v>306</v>
      </c>
      <c r="C501" s="29" t="s">
        <v>11</v>
      </c>
      <c r="D501" s="6">
        <v>16</v>
      </c>
      <c r="E501" s="40">
        <f>LOOKUP(D501,{0,-4,-3,-2,-1,0,1,2.4,3.8,5.2,6.6,8,9.4,10.8,12.2,13.6,15,17.2,19.4,21.5,23.6},{0,10,20,30,40,50,60,62,64,66,68,70,72,74,76,78,80,85,90,95,100})</f>
        <v>80</v>
      </c>
      <c r="F501" s="6">
        <v>235</v>
      </c>
      <c r="G501" s="40">
        <f>LOOKUP(F501,{0,170,175,180,185,190,195,199,203,207,211,215,219,223,227,231,235,243,250,255,260},{0,10,20,30,40,50,60,62,64,66,68,70,72,74,76,78,80,85,90,95,100})</f>
        <v>80</v>
      </c>
      <c r="H501" s="6">
        <v>13</v>
      </c>
      <c r="I501" s="40">
        <f>LOOKUP(H501,{0,2,3,4,5,6,7,8,9,10,11,12,13,14,15,16},{0,10,20,30,40,50,60,64,68,72,76,80,85,90,95,100})</f>
        <v>85</v>
      </c>
      <c r="J501" s="7"/>
      <c r="K501" s="7"/>
      <c r="L501" s="7">
        <f>I501+K501</f>
        <v>85</v>
      </c>
      <c r="M501" s="6">
        <v>7.7</v>
      </c>
      <c r="N501" s="43">
        <f>13-M501</f>
        <v>5.3</v>
      </c>
      <c r="O501" s="40">
        <f>LOOKUP(N501,{0,2.5,2.7,2.9,3.1,3.3,3.5,3.7,3.9,4.1,4.3,4.5,4.7,4.9,5.1,5.3,5.5,5.6,5.7,5.8,5.9},{0,10,20,30,40,50,60,62,64,66,68,70,72,74,76,78,80,85,90,95,100})</f>
        <v>78</v>
      </c>
      <c r="P501" s="6">
        <v>3.57</v>
      </c>
      <c r="Q501" s="6">
        <f>10-P501</f>
        <v>6.43</v>
      </c>
      <c r="R501" s="40">
        <f>LOOKUP(Q501,{0,3.75,3.95,4.55,4.75,4.95,5.55,5.6,5.65,5.7,5.75,5.8,5.85,5.9,5.95,6,6.45,6.53,6.6,6.65,6.7},{0,10,20,30,40,50,60,62,64,66,68,70,72,74,76,78,80,85,90,95,100})</f>
        <v>78</v>
      </c>
      <c r="S501" s="7"/>
      <c r="T501" s="7"/>
      <c r="U501" s="7">
        <f>R501+T501</f>
        <v>78</v>
      </c>
      <c r="W501" s="7">
        <f>E501*0.1+G501*0.1+I501*0.1+O501*0.2+R501*0.2</f>
        <v>55.7</v>
      </c>
      <c r="X501" s="21">
        <f>W501/0.7+K501+T501</f>
        <v>79.5714285714286</v>
      </c>
    </row>
    <row r="502" ht="15.6" hidden="1" spans="1:24">
      <c r="A502" s="6">
        <v>108</v>
      </c>
      <c r="B502" s="29" t="s">
        <v>357</v>
      </c>
      <c r="C502" s="29" t="s">
        <v>11</v>
      </c>
      <c r="D502" s="6">
        <v>3</v>
      </c>
      <c r="E502" s="40">
        <f>LOOKUP(D502,{0,-4,-3,-2,-1,0,1,2.4,3.8,5.2,6.6,8,9.4,10.8,12.2,13.6,15,17.2,19.4,21.5,23.6},{0,10,20,30,40,50,60,62,64,66,68,70,72,74,76,78,80,85,90,95,100})</f>
        <v>62</v>
      </c>
      <c r="F502" s="6">
        <v>190</v>
      </c>
      <c r="G502" s="40">
        <f>LOOKUP(F502,{0,170,175,180,185,190,195,199,203,207,211,215,219,223,227,231,235,243,250,255,260},{0,10,20,30,40,50,60,62,64,66,68,70,72,74,76,78,80,85,90,95,100})</f>
        <v>50</v>
      </c>
      <c r="H502" s="6">
        <v>0</v>
      </c>
      <c r="I502" s="40">
        <f>LOOKUP(H502,{0,2,3,4,5,6,7,8,9,10,11,12,13,14,15,16},{0,10,20,30,40,50,60,64,68,72,76,80,85,90,95,100})</f>
        <v>0</v>
      </c>
      <c r="J502" s="7"/>
      <c r="K502" s="7"/>
      <c r="L502" s="7">
        <f>I502+K502</f>
        <v>0</v>
      </c>
      <c r="M502" s="6">
        <v>7.7</v>
      </c>
      <c r="N502" s="43">
        <f>13-M502</f>
        <v>5.3</v>
      </c>
      <c r="O502" s="40">
        <f>LOOKUP(N502,{0,2.5,2.7,2.9,3.1,3.3,3.5,3.7,3.9,4.1,4.3,4.5,4.7,4.9,5.1,5.3,5.5,5.6,5.7,5.8,5.9},{0,10,20,30,40,50,60,62,64,66,68,70,72,74,76,78,80,85,90,95,100})</f>
        <v>78</v>
      </c>
      <c r="P502" s="6">
        <v>3.58</v>
      </c>
      <c r="Q502" s="6">
        <f>10-P502</f>
        <v>6.42</v>
      </c>
      <c r="R502" s="40">
        <f>LOOKUP(Q502,{0,3.75,3.95,4.55,4.75,4.95,5.55,5.6,5.65,5.7,5.75,5.8,5.85,5.9,5.95,6,6.45,6.53,6.6,6.65,6.7},{0,10,20,30,40,50,60,62,64,66,68,70,72,74,76,78,80,85,90,95,100})</f>
        <v>78</v>
      </c>
      <c r="S502" s="7"/>
      <c r="T502" s="7"/>
      <c r="U502" s="7">
        <f>R502+T502</f>
        <v>78</v>
      </c>
      <c r="W502" s="7">
        <f>E502*0.1+G502*0.1+I502*0.1+O502*0.2+R502*0.2</f>
        <v>42.4</v>
      </c>
      <c r="X502" s="21">
        <f>W502/0.7+K502+T502</f>
        <v>60.5714285714286</v>
      </c>
    </row>
    <row r="503" ht="15.6" hidden="1" spans="1:24">
      <c r="A503" s="6">
        <v>103</v>
      </c>
      <c r="B503" s="29" t="s">
        <v>144</v>
      </c>
      <c r="C503" s="29" t="s">
        <v>11</v>
      </c>
      <c r="D503" s="6">
        <v>13</v>
      </c>
      <c r="E503" s="40">
        <f>LOOKUP(D503,{0,-4,-3,-2,-1,0,1,2.4,3.8,5.2,6.6,8,9.4,10.8,12.2,13.6,15,17.2,19.4,21.5,23.6},{0,10,20,30,40,50,60,62,64,66,68,70,72,74,76,78,80,85,90,95,100})</f>
        <v>76</v>
      </c>
      <c r="F503" s="6">
        <v>210</v>
      </c>
      <c r="G503" s="40">
        <f>LOOKUP(F503,{0,170,175,180,185,190,195,199,203,207,211,215,219,223,227,231,235,243,250,255,260},{0,10,20,30,40,50,60,62,64,66,68,70,72,74,76,78,80,85,90,95,100})</f>
        <v>66</v>
      </c>
      <c r="H503" s="6">
        <v>1</v>
      </c>
      <c r="I503" s="40">
        <f>LOOKUP(H503,{0,2,3,4,5,6,7,8,9,10,11,12,13,14,15,16},{0,10,20,30,40,50,60,64,68,72,76,80,85,90,95,100})</f>
        <v>0</v>
      </c>
      <c r="J503" s="7"/>
      <c r="K503" s="7"/>
      <c r="L503" s="7">
        <f>I503+K503</f>
        <v>0</v>
      </c>
      <c r="M503" s="6">
        <v>7.7</v>
      </c>
      <c r="N503" s="43">
        <f>13-M503</f>
        <v>5.3</v>
      </c>
      <c r="O503" s="40">
        <f>LOOKUP(N503,{0,2.5,2.7,2.9,3.1,3.3,3.5,3.7,3.9,4.1,4.3,4.5,4.7,4.9,5.1,5.3,5.5,5.6,5.7,5.8,5.9},{0,10,20,30,40,50,60,62,64,66,68,70,72,74,76,78,80,85,90,95,100})</f>
        <v>78</v>
      </c>
      <c r="P503" s="6">
        <v>4.02</v>
      </c>
      <c r="Q503" s="6">
        <f>10-P503</f>
        <v>5.98</v>
      </c>
      <c r="R503" s="40">
        <f>LOOKUP(Q503,{0,3.75,3.95,4.55,4.75,4.95,5.55,5.6,5.65,5.7,5.75,5.8,5.85,5.9,5.95,6,6.45,6.53,6.6,6.65,6.7},{0,10,20,30,40,50,60,62,64,66,68,70,72,74,76,78,80,85,90,95,100})</f>
        <v>76</v>
      </c>
      <c r="S503" s="7"/>
      <c r="T503" s="7"/>
      <c r="U503" s="7">
        <f>R503+T503</f>
        <v>76</v>
      </c>
      <c r="W503" s="7">
        <f>E503*0.1+G503*0.1+I503*0.1+O503*0.2+R503*0.2</f>
        <v>45</v>
      </c>
      <c r="X503" s="21">
        <f>W503/0.7+K503+T503</f>
        <v>64.2857142857143</v>
      </c>
    </row>
    <row r="504" s="3" customFormat="1" ht="15.6" hidden="1" spans="1:24">
      <c r="A504" s="6">
        <v>107</v>
      </c>
      <c r="B504" s="29" t="s">
        <v>325</v>
      </c>
      <c r="C504" s="29" t="s">
        <v>11</v>
      </c>
      <c r="D504" s="6">
        <v>-4</v>
      </c>
      <c r="E504" s="40">
        <f>LOOKUP(D504,{0,-4,-3,-2,-1,0,1,2.4,3.8,5.2,6.6,8,9.4,10.8,12.2,13.6,15,17.2,19.4,21.5,23.6},{0,10,20,30,40,50,60,62,64,66,68,70,72,74,76,78,80,85,90,95,100})</f>
        <v>10</v>
      </c>
      <c r="F504" s="6">
        <v>215</v>
      </c>
      <c r="G504" s="40">
        <f>LOOKUP(F504,{0,170,175,180,185,190,195,199,203,207,211,215,219,223,227,231,235,243,250,255,260},{0,10,20,30,40,50,60,62,64,66,68,70,72,74,76,78,80,85,90,95,100})</f>
        <v>70</v>
      </c>
      <c r="H504" s="6">
        <v>9</v>
      </c>
      <c r="I504" s="40">
        <f>LOOKUP(H504,{0,2,3,4,5,6,7,8,9,10,11,12,13,14,15,16},{0,10,20,30,40,50,60,64,68,72,76,80,85,90,95,100})</f>
        <v>68</v>
      </c>
      <c r="J504" s="7"/>
      <c r="K504" s="7"/>
      <c r="L504" s="7">
        <f>I504+K504</f>
        <v>68</v>
      </c>
      <c r="M504" s="6">
        <v>7.7</v>
      </c>
      <c r="N504" s="43">
        <f>13-M504</f>
        <v>5.3</v>
      </c>
      <c r="O504" s="40">
        <f>LOOKUP(N504,{0,2.5,2.7,2.9,3.1,3.3,3.5,3.7,3.9,4.1,4.3,4.5,4.7,4.9,5.1,5.3,5.5,5.6,5.7,5.8,5.9},{0,10,20,30,40,50,60,62,64,66,68,70,72,74,76,78,80,85,90,95,100})</f>
        <v>78</v>
      </c>
      <c r="P504" s="6">
        <v>4.11</v>
      </c>
      <c r="Q504" s="6">
        <f>10-P504</f>
        <v>5.89</v>
      </c>
      <c r="R504" s="40">
        <f>LOOKUP(Q504,{0,3.75,3.95,4.55,4.75,4.95,5.55,5.6,5.65,5.7,5.75,5.8,5.85,5.9,5.95,6,6.45,6.53,6.6,6.65,6.7},{0,10,20,30,40,50,60,62,64,66,68,70,72,74,76,78,80,85,90,95,100})</f>
        <v>72</v>
      </c>
      <c r="S504" s="7"/>
      <c r="T504" s="7"/>
      <c r="U504" s="7">
        <f>R504+T504</f>
        <v>72</v>
      </c>
      <c r="V504" s="6"/>
      <c r="W504" s="7">
        <f>E504*0.1+G504*0.1+I504*0.1+O504*0.2+R504*0.2</f>
        <v>44.8</v>
      </c>
      <c r="X504" s="21">
        <f>W504/0.7+K504+T504</f>
        <v>64</v>
      </c>
    </row>
    <row r="505" ht="15.6" hidden="1" spans="1:24">
      <c r="A505" s="6">
        <v>102</v>
      </c>
      <c r="B505" s="39" t="s">
        <v>76</v>
      </c>
      <c r="C505" s="29" t="s">
        <v>11</v>
      </c>
      <c r="D505" s="6">
        <v>5.3</v>
      </c>
      <c r="E505" s="40">
        <f>LOOKUP(D505,{0,-4,-3,-2,-1,0,1,2.4,3.8,5.2,6.6,8,9.4,10.8,12.2,13.6,15,17.2,19.4,21.5,23.6},{0,10,20,30,40,50,60,62,64,66,68,70,72,74,76,78,80,85,90,95,100})</f>
        <v>66</v>
      </c>
      <c r="F505" s="6">
        <v>190</v>
      </c>
      <c r="G505" s="40">
        <f>LOOKUP(F505,{0,170,175,180,185,190,195,199,203,207,211,215,219,223,227,231,235,243,250,255,260},{0,10,20,30,40,50,60,62,64,66,68,70,72,74,76,78,80,85,90,95,100})</f>
        <v>50</v>
      </c>
      <c r="H505" s="6">
        <v>0</v>
      </c>
      <c r="I505" s="40">
        <f>LOOKUP(H505,{0,2,3,4,5,6,7,8,9,10,11,12,13,14,15,16},{0,10,20,30,40,50,60,64,68,72,76,80,85,90,95,100})</f>
        <v>0</v>
      </c>
      <c r="J505" s="7"/>
      <c r="K505" s="7"/>
      <c r="L505" s="7">
        <f>I505+K505</f>
        <v>0</v>
      </c>
      <c r="M505" s="6">
        <v>7.7</v>
      </c>
      <c r="N505" s="43">
        <f>13-M505</f>
        <v>5.3</v>
      </c>
      <c r="O505" s="40">
        <f>LOOKUP(N505,{0,2.5,2.7,2.9,3.1,3.3,3.5,3.7,3.9,4.1,4.3,4.5,4.7,4.9,5.1,5.3,5.5,5.6,5.7,5.8,5.9},{0,10,20,30,40,50,60,62,64,66,68,70,72,74,76,78,80,85,90,95,100})</f>
        <v>78</v>
      </c>
      <c r="P505" s="6">
        <v>4.14</v>
      </c>
      <c r="Q505" s="6">
        <f>10-P505</f>
        <v>5.86</v>
      </c>
      <c r="R505" s="40">
        <f>LOOKUP(Q505,{0,3.75,3.95,4.55,4.75,4.95,5.55,5.6,5.65,5.7,5.75,5.8,5.85,5.9,5.95,6,6.45,6.53,6.6,6.65,6.7},{0,10,20,30,40,50,60,62,64,66,68,70,72,74,76,78,80,85,90,95,100})</f>
        <v>72</v>
      </c>
      <c r="S505" s="7"/>
      <c r="T505" s="7"/>
      <c r="U505" s="7">
        <f>R505+T505</f>
        <v>72</v>
      </c>
      <c r="W505" s="7">
        <f>E505*0.1+G505*0.1+I505*0.1+O505*0.2+R505*0.2</f>
        <v>41.6</v>
      </c>
      <c r="X505" s="21">
        <f>W505/0.7+K505+T505</f>
        <v>59.4285714285714</v>
      </c>
    </row>
    <row r="506" ht="15.6" hidden="1" spans="1:24">
      <c r="A506" s="6">
        <v>111</v>
      </c>
      <c r="B506" s="29" t="s">
        <v>523</v>
      </c>
      <c r="C506" s="29" t="s">
        <v>11</v>
      </c>
      <c r="D506" s="6">
        <v>3.8</v>
      </c>
      <c r="E506" s="40">
        <f>LOOKUP(D506,{0,-4,-3,-2,-1,0,1,2.4,3.8,5.2,6.6,8,9.4,10.8,12.2,13.6,15,17.2,19.4,21.5,23.6},{0,10,20,30,40,50,60,62,64,66,68,70,72,74,76,78,80,85,90,95,100})</f>
        <v>64</v>
      </c>
      <c r="F506" s="6">
        <v>223</v>
      </c>
      <c r="G506" s="40">
        <f>LOOKUP(F506,{0,170,175,180,185,190,195,199,203,207,211,215,219,223,227,231,235,243,250,255,260},{0,10,20,30,40,50,60,62,64,66,68,70,72,74,76,78,80,85,90,95,100})</f>
        <v>74</v>
      </c>
      <c r="H506" s="6">
        <v>7</v>
      </c>
      <c r="I506" s="40">
        <f>LOOKUP(H506,{0,2,3,4,5,6,7,8,9,10,11,12,13,14,15,16},{0,10,20,30,40,50,60,64,68,72,76,80,85,90,95,100})</f>
        <v>60</v>
      </c>
      <c r="J506" s="7"/>
      <c r="K506" s="7"/>
      <c r="L506" s="7">
        <f>I506+K506</f>
        <v>60</v>
      </c>
      <c r="M506" s="6">
        <v>7.7</v>
      </c>
      <c r="N506" s="43">
        <f>13-M506</f>
        <v>5.3</v>
      </c>
      <c r="O506" s="40">
        <f>LOOKUP(N506,{0,2.5,2.7,2.9,3.1,3.3,3.5,3.7,3.9,4.1,4.3,4.5,4.7,4.9,5.1,5.3,5.5,5.6,5.7,5.8,5.9},{0,10,20,30,40,50,60,62,64,66,68,70,72,74,76,78,80,85,90,95,100})</f>
        <v>78</v>
      </c>
      <c r="P506" s="6">
        <v>4.23</v>
      </c>
      <c r="Q506" s="6">
        <f>10-P506</f>
        <v>5.77</v>
      </c>
      <c r="R506" s="40">
        <f>LOOKUP(Q506,{0,3.75,3.95,4.55,4.75,4.95,5.55,5.6,5.65,5.7,5.75,5.8,5.85,5.9,5.95,6,6.45,6.53,6.6,6.65,6.7},{0,10,20,30,40,50,60,62,64,66,68,70,72,74,76,78,80,85,90,95,100})</f>
        <v>68</v>
      </c>
      <c r="S506" s="7"/>
      <c r="T506" s="7"/>
      <c r="U506" s="7">
        <f>R506+T506</f>
        <v>68</v>
      </c>
      <c r="W506" s="7">
        <f>E506*0.1+G506*0.1+I506*0.1+O506*0.2+R506*0.2</f>
        <v>49</v>
      </c>
      <c r="X506" s="21">
        <f>W506/0.7+K506+T506</f>
        <v>70</v>
      </c>
    </row>
    <row r="507" ht="15.6" hidden="1" spans="1:24">
      <c r="A507" s="6">
        <v>111</v>
      </c>
      <c r="B507" s="29" t="s">
        <v>516</v>
      </c>
      <c r="C507" s="29" t="s">
        <v>11</v>
      </c>
      <c r="D507" s="6">
        <v>1.5</v>
      </c>
      <c r="E507" s="40">
        <f>LOOKUP(D507,{0,-4,-3,-2,-1,0,1,2.4,3.8,5.2,6.6,8,9.4,10.8,12.2,13.6,15,17.2,19.4,21.5,23.6},{0,10,20,30,40,50,60,62,64,66,68,70,72,74,76,78,80,85,90,95,100})</f>
        <v>60</v>
      </c>
      <c r="F507" s="6">
        <v>205</v>
      </c>
      <c r="G507" s="40">
        <f>LOOKUP(F507,{0,170,175,180,185,190,195,199,203,207,211,215,219,223,227,231,235,243,250,255,260},{0,10,20,30,40,50,60,62,64,66,68,70,72,74,76,78,80,85,90,95,100})</f>
        <v>64</v>
      </c>
      <c r="H507" s="6">
        <v>0</v>
      </c>
      <c r="I507" s="40">
        <f>LOOKUP(H507,{0,2,3,4,5,6,7,8,9,10,11,12,13,14,15,16},{0,10,20,30,40,50,60,64,68,72,76,80,85,90,95,100})</f>
        <v>0</v>
      </c>
      <c r="J507" s="7"/>
      <c r="K507" s="7"/>
      <c r="L507" s="7">
        <f>I507+K507</f>
        <v>0</v>
      </c>
      <c r="M507" s="6">
        <v>7.7</v>
      </c>
      <c r="N507" s="43">
        <f>13-M507</f>
        <v>5.3</v>
      </c>
      <c r="O507" s="40">
        <f>LOOKUP(N507,{0,2.5,2.7,2.9,3.1,3.3,3.5,3.7,3.9,4.1,4.3,4.5,4.7,4.9,5.1,5.3,5.5,5.6,5.7,5.8,5.9},{0,10,20,30,40,50,60,62,64,66,68,70,72,74,76,78,80,85,90,95,100})</f>
        <v>78</v>
      </c>
      <c r="P507" s="6">
        <v>4.34</v>
      </c>
      <c r="Q507" s="6">
        <f>10-P507</f>
        <v>5.66</v>
      </c>
      <c r="R507" s="40">
        <f>LOOKUP(Q507,{0,3.75,3.95,4.55,4.75,4.95,5.55,5.6,5.65,5.7,5.75,5.8,5.85,5.9,5.95,6,6.45,6.53,6.6,6.65,6.7},{0,10,20,30,40,50,60,62,64,66,68,70,72,74,76,78,80,85,90,95,100})</f>
        <v>64</v>
      </c>
      <c r="S507" s="7"/>
      <c r="T507" s="7"/>
      <c r="U507" s="7">
        <f>R507+T507</f>
        <v>64</v>
      </c>
      <c r="W507" s="7">
        <f>E507*0.1+G507*0.1+I507*0.1+O507*0.2+R507*0.2</f>
        <v>40.8</v>
      </c>
      <c r="X507" s="21">
        <f>W507/0.7+K507+T507</f>
        <v>58.2857142857143</v>
      </c>
    </row>
    <row r="508" ht="15.6" hidden="1" spans="1:24">
      <c r="A508" s="6">
        <v>105</v>
      </c>
      <c r="B508" s="29" t="s">
        <v>234</v>
      </c>
      <c r="C508" s="29" t="s">
        <v>11</v>
      </c>
      <c r="D508" s="6">
        <v>5.5</v>
      </c>
      <c r="E508" s="40">
        <f>LOOKUP(D508,{0,-4,-3,-2,-1,0,1,2.4,3.8,5.2,6.6,8,9.4,10.8,12.2,13.6,15,17.2,19.4,21.5,23.6},{0,10,20,30,40,50,60,62,64,66,68,70,72,74,76,78,80,85,90,95,100})</f>
        <v>66</v>
      </c>
      <c r="F508" s="6">
        <v>210</v>
      </c>
      <c r="G508" s="40">
        <f>LOOKUP(F508,{0,170,175,180,185,190,195,199,203,207,211,215,219,223,227,231,235,243,250,255,260},{0,10,20,30,40,50,60,62,64,66,68,70,72,74,76,78,80,85,90,95,100})</f>
        <v>66</v>
      </c>
      <c r="H508" s="6">
        <v>1</v>
      </c>
      <c r="I508" s="40">
        <f>LOOKUP(H508,{0,2,3,4,5,6,7,8,9,10,11,12,13,14,15,16},{0,10,20,30,40,50,60,64,68,72,76,80,85,90,95,100})</f>
        <v>0</v>
      </c>
      <c r="J508" s="7"/>
      <c r="K508" s="7"/>
      <c r="L508" s="7">
        <f>I508+K508</f>
        <v>0</v>
      </c>
      <c r="M508" s="6">
        <v>7.7</v>
      </c>
      <c r="N508" s="43">
        <f>13-M508</f>
        <v>5.3</v>
      </c>
      <c r="O508" s="40">
        <f>LOOKUP(N508,{0,2.5,2.7,2.9,3.1,3.3,3.5,3.7,3.9,4.1,4.3,4.5,4.7,4.9,5.1,5.3,5.5,5.6,5.7,5.8,5.9},{0,10,20,30,40,50,60,62,64,66,68,70,72,74,76,78,80,85,90,95,100})</f>
        <v>78</v>
      </c>
      <c r="P508" s="6">
        <v>4.35</v>
      </c>
      <c r="Q508" s="6">
        <f>10-P508</f>
        <v>5.65</v>
      </c>
      <c r="R508" s="40">
        <f>LOOKUP(Q508,{0,3.75,3.95,4.55,4.75,4.95,5.55,5.6,5.65,5.7,5.75,5.8,5.85,5.9,5.95,6,6.45,6.53,6.6,6.65,6.7},{0,10,20,30,40,50,60,62,64,66,68,70,72,74,76,78,80,85,90,95,100})</f>
        <v>64</v>
      </c>
      <c r="S508" s="7"/>
      <c r="T508" s="7"/>
      <c r="U508" s="7">
        <f>R508+T508</f>
        <v>64</v>
      </c>
      <c r="W508" s="7">
        <f>E508*0.1+G508*0.1+I508*0.1+O508*0.2+R508*0.2</f>
        <v>41.6</v>
      </c>
      <c r="X508" s="21">
        <f>W508/0.7+K508+T508</f>
        <v>59.4285714285714</v>
      </c>
    </row>
    <row r="509" ht="15.6" hidden="1" spans="1:24">
      <c r="A509" s="6">
        <v>110</v>
      </c>
      <c r="B509" s="29" t="s">
        <v>473</v>
      </c>
      <c r="C509" s="29" t="s">
        <v>11</v>
      </c>
      <c r="D509" s="6">
        <v>6</v>
      </c>
      <c r="E509" s="40">
        <f>LOOKUP(D509,{0,-4,-3,-2,-1,0,1,2.4,3.8,5.2,6.6,8,9.4,10.8,12.2,13.6,15,17.2,19.4,21.5,23.6},{0,10,20,30,40,50,60,62,64,66,68,70,72,74,76,78,80,85,90,95,100})</f>
        <v>66</v>
      </c>
      <c r="F509" s="6">
        <v>198</v>
      </c>
      <c r="G509" s="40">
        <f>LOOKUP(F509,{0,170,175,180,185,190,195,199,203,207,211,215,219,223,227,231,235,243,250,255,260},{0,10,20,30,40,50,60,62,64,66,68,70,72,74,76,78,80,85,90,95,100})</f>
        <v>60</v>
      </c>
      <c r="H509" s="6">
        <v>0</v>
      </c>
      <c r="I509" s="40">
        <f>LOOKUP(H509,{0,2,3,4,5,6,7,8,9,10,11,12,13,14,15,16},{0,10,20,30,40,50,60,64,68,72,76,80,85,90,95,100})</f>
        <v>0</v>
      </c>
      <c r="J509" s="7"/>
      <c r="K509" s="7"/>
      <c r="L509" s="7">
        <f>I509+K509</f>
        <v>0</v>
      </c>
      <c r="M509" s="6">
        <v>7.7</v>
      </c>
      <c r="N509" s="43">
        <f>13-M509</f>
        <v>5.3</v>
      </c>
      <c r="O509" s="40">
        <f>LOOKUP(N509,{0,2.5,2.7,2.9,3.1,3.3,3.5,3.7,3.9,4.1,4.3,4.5,4.7,4.9,5.1,5.3,5.5,5.6,5.7,5.8,5.9},{0,10,20,30,40,50,60,62,64,66,68,70,72,74,76,78,80,85,90,95,100})</f>
        <v>78</v>
      </c>
      <c r="P509" s="6">
        <v>4.56</v>
      </c>
      <c r="Q509" s="6">
        <f>10-P509</f>
        <v>5.44</v>
      </c>
      <c r="R509" s="40">
        <f>LOOKUP(Q509,{0,3.75,3.95,4.55,4.75,4.95,5.55,5.6,5.65,5.7,5.75,5.8,5.85,5.9,5.95,6,6.45,6.53,6.6,6.65,6.7},{0,10,20,30,40,50,60,62,64,66,68,70,72,74,76,78,80,85,90,95,100})</f>
        <v>50</v>
      </c>
      <c r="S509" s="7"/>
      <c r="T509" s="7"/>
      <c r="U509" s="7">
        <f>R509+T509</f>
        <v>50</v>
      </c>
      <c r="W509" s="7">
        <f>E509*0.1+G509*0.1+I509*0.1+O509*0.2+R509*0.2</f>
        <v>38.2</v>
      </c>
      <c r="X509" s="21">
        <f>W509/0.7+K509+T509</f>
        <v>54.5714285714286</v>
      </c>
    </row>
    <row r="510" ht="15.6" hidden="1" spans="1:24">
      <c r="A510" s="6">
        <v>106</v>
      </c>
      <c r="B510" s="29" t="s">
        <v>270</v>
      </c>
      <c r="C510" s="29" t="s">
        <v>11</v>
      </c>
      <c r="D510" s="6"/>
      <c r="E510" s="40"/>
      <c r="F510" s="6"/>
      <c r="G510" s="40"/>
      <c r="H510" s="6"/>
      <c r="I510" s="40"/>
      <c r="J510" s="7"/>
      <c r="K510" s="7"/>
      <c r="L510" s="7"/>
      <c r="M510" s="6">
        <v>7.7</v>
      </c>
      <c r="N510" s="43">
        <f>13-M510</f>
        <v>5.3</v>
      </c>
      <c r="O510" s="40">
        <f>LOOKUP(N510,{0,2.5,2.7,2.9,3.1,3.3,3.5,3.7,3.9,4.1,4.3,4.5,4.7,4.9,5.1,5.3,5.5,5.6,5.7,5.8,5.9},{0,10,20,30,40,50,60,62,64,66,68,70,72,74,76,78,80,85,90,95,100})</f>
        <v>78</v>
      </c>
      <c r="R510" s="40"/>
      <c r="S510" s="7"/>
      <c r="T510" s="40"/>
      <c r="U510" s="7"/>
      <c r="V510" s="6" t="s">
        <v>84</v>
      </c>
      <c r="W510" s="7">
        <f>E510*0.1+G510*0.1+I510*0.1+O510*0.2+R510*0.2</f>
        <v>15.6</v>
      </c>
      <c r="X510" s="21">
        <v>50</v>
      </c>
    </row>
    <row r="511" ht="15.6" hidden="1" spans="1:24">
      <c r="A511" s="6">
        <v>104</v>
      </c>
      <c r="B511" s="29" t="s">
        <v>182</v>
      </c>
      <c r="C511" s="29" t="s">
        <v>11</v>
      </c>
      <c r="D511" s="6">
        <v>15</v>
      </c>
      <c r="E511" s="40">
        <f>LOOKUP(D511,{0,-4,-3,-2,-1,0,1,2.4,3.8,5.2,6.6,8,9.4,10.8,12.2,13.6,15,17.2,19.4,21.5,23.6},{0,10,20,30,40,50,60,62,64,66,68,70,72,74,76,78,80,85,90,95,100})</f>
        <v>80</v>
      </c>
      <c r="F511" s="6">
        <v>197</v>
      </c>
      <c r="G511" s="40">
        <f>LOOKUP(F511,{0,170,175,180,185,190,195,199,203,207,211,215,219,223,227,231,235,243,250,255,260},{0,10,20,30,40,50,60,62,64,66,68,70,72,74,76,78,80,85,90,95,100})</f>
        <v>60</v>
      </c>
      <c r="H511" s="6">
        <v>1</v>
      </c>
      <c r="I511" s="40">
        <f>LOOKUP(H511,{0,2,3,4,5,6,7,8,9,10,11,12,13,14,15,16},{0,10,20,30,40,50,60,64,68,72,76,80,85,90,95,100})</f>
        <v>0</v>
      </c>
      <c r="J511" s="7"/>
      <c r="K511" s="7"/>
      <c r="L511" s="7">
        <f>I511+K511</f>
        <v>0</v>
      </c>
      <c r="M511" s="6">
        <v>7.8</v>
      </c>
      <c r="N511" s="43">
        <f>13-M511</f>
        <v>5.2</v>
      </c>
      <c r="O511" s="40">
        <f>LOOKUP(N511,{0,2.5,2.7,2.9,3.1,3.3,3.5,3.7,3.9,4.1,4.3,4.5,4.7,4.9,5.1,5.3,5.5,5.6,5.7,5.8,5.9},{0,10,20,30,40,50,60,62,64,66,68,70,72,74,76,78,80,85,90,95,100})</f>
        <v>76</v>
      </c>
      <c r="P511" s="6">
        <v>3.34</v>
      </c>
      <c r="Q511" s="6">
        <f>10-P511</f>
        <v>6.66</v>
      </c>
      <c r="R511" s="40">
        <f>LOOKUP(Q511,{0,3.75,3.95,4.55,4.75,4.95,5.55,5.6,5.65,5.7,5.75,5.8,5.85,5.9,5.95,6,6.45,6.53,6.6,6.65,6.7},{0,10,20,30,40,50,60,62,64,66,68,70,72,74,76,78,80,85,90,95,100})</f>
        <v>95</v>
      </c>
      <c r="S511" s="7"/>
      <c r="T511" s="7"/>
      <c r="U511" s="7">
        <f>R511+T511</f>
        <v>95</v>
      </c>
      <c r="W511" s="7">
        <f>E511*0.1+G511*0.1+I511*0.1+O511*0.2+R511*0.2</f>
        <v>48.2</v>
      </c>
      <c r="X511" s="21">
        <f>W511/0.7+K511+T511</f>
        <v>68.8571428571429</v>
      </c>
    </row>
    <row r="512" ht="15.6" hidden="1" spans="1:24">
      <c r="A512" s="6">
        <v>105</v>
      </c>
      <c r="B512" s="52" t="s">
        <v>237</v>
      </c>
      <c r="C512" s="52" t="s">
        <v>11</v>
      </c>
      <c r="D512" s="6">
        <v>12</v>
      </c>
      <c r="E512" s="40">
        <f>LOOKUP(D512,{0,-4,-3,-2,-1,0,1,2.4,3.8,5.2,6.6,8,9.4,10.8,12.2,13.6,15,17.2,19.4,21.5,23.6},{0,10,20,30,40,50,60,62,64,66,68,70,72,74,76,78,80,85,90,95,100})</f>
        <v>74</v>
      </c>
      <c r="F512" s="6">
        <v>190</v>
      </c>
      <c r="G512" s="40">
        <f>LOOKUP(F512,{0,170,175,180,185,190,195,199,203,207,211,215,219,223,227,231,235,243,250,255,260},{0,10,20,30,40,50,60,62,64,66,68,70,72,74,76,78,80,85,90,95,100})</f>
        <v>50</v>
      </c>
      <c r="H512" s="6">
        <v>1</v>
      </c>
      <c r="I512" s="40">
        <f>LOOKUP(H512,{0,2,3,4,5,6,7,8,9,10,11,12,13,14,15,16},{0,10,20,30,40,50,60,64,68,72,76,80,85,90,95,100})</f>
        <v>0</v>
      </c>
      <c r="J512" s="7"/>
      <c r="K512" s="7"/>
      <c r="L512" s="7">
        <f>I512+K512</f>
        <v>0</v>
      </c>
      <c r="M512" s="6">
        <v>7.8</v>
      </c>
      <c r="N512" s="43">
        <f>13-M512</f>
        <v>5.2</v>
      </c>
      <c r="O512" s="40">
        <f>LOOKUP(N512,{0,2.5,2.7,2.9,3.1,3.3,3.5,3.7,3.9,4.1,4.3,4.5,4.7,4.9,5.1,5.3,5.5,5.6,5.7,5.8,5.9},{0,10,20,30,40,50,60,62,64,66,68,70,72,74,76,78,80,85,90,95,100})</f>
        <v>76</v>
      </c>
      <c r="P512" s="6">
        <v>3.35</v>
      </c>
      <c r="Q512" s="6">
        <f>10-P512</f>
        <v>6.65</v>
      </c>
      <c r="R512" s="40">
        <f>LOOKUP(Q512,{0,3.75,3.95,4.55,4.75,4.95,5.55,5.6,5.65,5.7,5.75,5.8,5.85,5.9,5.95,6,6.45,6.53,6.6,6.65,6.7},{0,10,20,30,40,50,60,62,64,66,68,70,72,74,76,78,80,85,90,95,100})</f>
        <v>95</v>
      </c>
      <c r="S512" s="7"/>
      <c r="T512" s="7"/>
      <c r="U512" s="7">
        <f>R512+T512</f>
        <v>95</v>
      </c>
      <c r="W512" s="7">
        <f>E512*0.1+G512*0.1+I512*0.1+O512*0.2+R512*0.2</f>
        <v>46.6</v>
      </c>
      <c r="X512" s="21">
        <f>W512/0.7+K512+T512</f>
        <v>66.5714285714286</v>
      </c>
    </row>
    <row r="513" ht="15.6" hidden="1" spans="1:24">
      <c r="A513" s="6">
        <v>105</v>
      </c>
      <c r="B513" s="52" t="s">
        <v>236</v>
      </c>
      <c r="C513" s="52" t="s">
        <v>11</v>
      </c>
      <c r="D513" s="6">
        <v>16</v>
      </c>
      <c r="E513" s="40">
        <f>LOOKUP(D513,{0,-4,-3,-2,-1,0,1,2.4,3.8,5.2,6.6,8,9.4,10.8,12.2,13.6,15,17.2,19.4,21.5,23.6},{0,10,20,30,40,50,60,62,64,66,68,70,72,74,76,78,80,85,90,95,100})</f>
        <v>80</v>
      </c>
      <c r="F513" s="6">
        <v>185</v>
      </c>
      <c r="G513" s="40">
        <f>LOOKUP(F513,{0,170,175,180,185,190,195,199,203,207,211,215,219,223,227,231,235,243,250,255,260},{0,10,20,30,40,50,60,62,64,66,68,70,72,74,76,78,80,85,90,95,100})</f>
        <v>40</v>
      </c>
      <c r="H513" s="6">
        <v>5</v>
      </c>
      <c r="I513" s="40">
        <f>LOOKUP(H513,{0,2,3,4,5,6,7,8,9,10,11,12,13,14,15,16},{0,10,20,30,40,50,60,64,68,72,76,80,85,90,95,100})</f>
        <v>40</v>
      </c>
      <c r="J513" s="7"/>
      <c r="K513" s="7"/>
      <c r="L513" s="7">
        <f>I513+K513</f>
        <v>40</v>
      </c>
      <c r="M513" s="6">
        <v>7.8</v>
      </c>
      <c r="N513" s="43">
        <f>13-M513</f>
        <v>5.2</v>
      </c>
      <c r="O513" s="40">
        <f>LOOKUP(N513,{0,2.5,2.7,2.9,3.1,3.3,3.5,3.7,3.9,4.1,4.3,4.5,4.7,4.9,5.1,5.3,5.5,5.6,5.7,5.8,5.9},{0,10,20,30,40,50,60,62,64,66,68,70,72,74,76,78,80,85,90,95,100})</f>
        <v>76</v>
      </c>
      <c r="P513" s="6">
        <v>3.4</v>
      </c>
      <c r="Q513" s="6">
        <f>10-P513</f>
        <v>6.6</v>
      </c>
      <c r="R513" s="40">
        <f>LOOKUP(Q513,{0,3.75,3.95,4.55,4.75,4.95,5.55,5.6,5.65,5.7,5.75,5.8,5.85,5.9,5.95,6,6.45,6.53,6.6,6.65,6.7},{0,10,20,30,40,50,60,62,64,66,68,70,72,74,76,78,80,85,90,95,100})</f>
        <v>90</v>
      </c>
      <c r="S513" s="7"/>
      <c r="T513" s="7"/>
      <c r="U513" s="7">
        <f>R513+T513</f>
        <v>90</v>
      </c>
      <c r="W513" s="7">
        <f>E513*0.1+G513*0.1+I513*0.1+O513*0.2+R513*0.2</f>
        <v>49.2</v>
      </c>
      <c r="X513" s="21">
        <f>W513/0.7+K513+T513</f>
        <v>70.2857142857143</v>
      </c>
    </row>
    <row r="514" ht="15.6" hidden="1" spans="1:24">
      <c r="A514" s="6">
        <v>111</v>
      </c>
      <c r="B514" s="29" t="s">
        <v>527</v>
      </c>
      <c r="C514" s="29" t="s">
        <v>11</v>
      </c>
      <c r="D514" s="6">
        <v>9.2</v>
      </c>
      <c r="E514" s="40">
        <f>LOOKUP(D514,{0,-4,-3,-2,-1,0,1,2.4,3.8,5.2,6.6,8,9.4,10.8,12.2,13.6,15,17.2,19.4,21.5,23.6},{0,10,20,30,40,50,60,62,64,66,68,70,72,74,76,78,80,85,90,95,100})</f>
        <v>70</v>
      </c>
      <c r="F514" s="6">
        <v>218</v>
      </c>
      <c r="G514" s="40">
        <f>LOOKUP(F514,{0,170,175,180,185,190,195,199,203,207,211,215,219,223,227,231,235,243,250,255,260},{0,10,20,30,40,50,60,62,64,66,68,70,72,74,76,78,80,85,90,95,100})</f>
        <v>70</v>
      </c>
      <c r="H514" s="6">
        <v>13</v>
      </c>
      <c r="I514" s="40">
        <f>LOOKUP(H514,{0,2,3,4,5,6,7,8,9,10,11,12,13,14,15,16},{0,10,20,30,40,50,60,64,68,72,76,80,85,90,95,100})</f>
        <v>85</v>
      </c>
      <c r="J514" s="7"/>
      <c r="K514" s="7"/>
      <c r="L514" s="7">
        <f>I514+K514</f>
        <v>85</v>
      </c>
      <c r="M514" s="6">
        <v>7.8</v>
      </c>
      <c r="N514" s="43">
        <f>13-M514</f>
        <v>5.2</v>
      </c>
      <c r="O514" s="40">
        <f>LOOKUP(N514,{0,2.5,2.7,2.9,3.1,3.3,3.5,3.7,3.9,4.1,4.3,4.5,4.7,4.9,5.1,5.3,5.5,5.6,5.7,5.8,5.9},{0,10,20,30,40,50,60,62,64,66,68,70,72,74,76,78,80,85,90,95,100})</f>
        <v>76</v>
      </c>
      <c r="P514" s="6">
        <v>3.52</v>
      </c>
      <c r="Q514" s="6">
        <f>10-P514</f>
        <v>6.48</v>
      </c>
      <c r="R514" s="40">
        <f>LOOKUP(Q514,{0,3.75,3.95,4.55,4.75,4.95,5.55,5.6,5.65,5.7,5.75,5.8,5.85,5.9,5.95,6,6.45,6.53,6.6,6.65,6.7},{0,10,20,30,40,50,60,62,64,66,68,70,72,74,76,78,80,85,90,95,100})</f>
        <v>80</v>
      </c>
      <c r="S514" s="7"/>
      <c r="T514" s="7"/>
      <c r="U514" s="7">
        <f>R514+T514</f>
        <v>80</v>
      </c>
      <c r="W514" s="7">
        <f>E514*0.1+G514*0.1+I514*0.1+O514*0.2+R514*0.2</f>
        <v>53.7</v>
      </c>
      <c r="X514" s="21">
        <f>W514/0.7+K514+T514</f>
        <v>76.7142857142857</v>
      </c>
    </row>
    <row r="515" ht="15.6" hidden="1" spans="1:24">
      <c r="A515" s="6">
        <v>110</v>
      </c>
      <c r="B515" s="29" t="s">
        <v>483</v>
      </c>
      <c r="C515" s="29" t="s">
        <v>11</v>
      </c>
      <c r="D515" s="6">
        <v>13.5</v>
      </c>
      <c r="E515" s="40">
        <f>LOOKUP(D515,{0,-4,-3,-2,-1,0,1,2.4,3.8,5.2,6.6,8,9.4,10.8,12.2,13.6,15,17.2,19.4,21.5,23.6},{0,10,20,30,40,50,60,62,64,66,68,70,72,74,76,78,80,85,90,95,100})</f>
        <v>76</v>
      </c>
      <c r="F515" s="6">
        <v>223</v>
      </c>
      <c r="G515" s="40">
        <f>LOOKUP(F515,{0,170,175,180,185,190,195,199,203,207,211,215,219,223,227,231,235,243,250,255,260},{0,10,20,30,40,50,60,62,64,66,68,70,72,74,76,78,80,85,90,95,100})</f>
        <v>74</v>
      </c>
      <c r="H515" s="6">
        <v>1</v>
      </c>
      <c r="I515" s="40">
        <f>LOOKUP(H515,{0,2,3,4,5,6,7,8,9,10,11,12,13,14,15,16},{0,10,20,30,40,50,60,64,68,72,76,80,85,90,95,100})</f>
        <v>0</v>
      </c>
      <c r="J515" s="7"/>
      <c r="K515" s="7"/>
      <c r="L515" s="7">
        <f>I515+K515</f>
        <v>0</v>
      </c>
      <c r="M515" s="6">
        <v>7.8</v>
      </c>
      <c r="N515" s="43">
        <f>13-M515</f>
        <v>5.2</v>
      </c>
      <c r="O515" s="40">
        <f>LOOKUP(N515,{0,2.5,2.7,2.9,3.1,3.3,3.5,3.7,3.9,4.1,4.3,4.5,4.7,4.9,5.1,5.3,5.5,5.6,5.7,5.8,5.9},{0,10,20,30,40,50,60,62,64,66,68,70,72,74,76,78,80,85,90,95,100})</f>
        <v>76</v>
      </c>
      <c r="P515" s="6">
        <v>3.53</v>
      </c>
      <c r="Q515" s="6">
        <f>10-P515</f>
        <v>6.47</v>
      </c>
      <c r="R515" s="40">
        <f>LOOKUP(Q515,{0,3.75,3.95,4.55,4.75,4.95,5.55,5.6,5.65,5.7,5.75,5.8,5.85,5.9,5.95,6,6.45,6.53,6.6,6.65,6.7},{0,10,20,30,40,50,60,62,64,66,68,70,72,74,76,78,80,85,90,95,100})</f>
        <v>80</v>
      </c>
      <c r="S515" s="7"/>
      <c r="T515" s="7"/>
      <c r="U515" s="7">
        <f>R515+T515</f>
        <v>80</v>
      </c>
      <c r="W515" s="7">
        <f>E515*0.1+G515*0.1+I515*0.1+O515*0.2+R515*0.2</f>
        <v>46.2</v>
      </c>
      <c r="X515" s="21">
        <f>W515/0.7+K515+T515</f>
        <v>66</v>
      </c>
    </row>
    <row r="516" s="3" customFormat="1" ht="15.6" hidden="1" spans="1:24">
      <c r="A516" s="6">
        <v>106</v>
      </c>
      <c r="B516" s="29" t="s">
        <v>246</v>
      </c>
      <c r="C516" s="29" t="s">
        <v>11</v>
      </c>
      <c r="D516" s="6">
        <v>5.2</v>
      </c>
      <c r="E516" s="40">
        <f>LOOKUP(D516,{0,-4,-3,-2,-1,0,1,2.4,3.8,5.2,6.6,8,9.4,10.8,12.2,13.6,15,17.2,19.4,21.5,23.6},{0,10,20,30,40,50,60,62,64,66,68,70,72,74,76,78,80,85,90,95,100})</f>
        <v>66</v>
      </c>
      <c r="F516" s="6">
        <v>215</v>
      </c>
      <c r="G516" s="40">
        <f>LOOKUP(F516,{0,170,175,180,185,190,195,199,203,207,211,215,219,223,227,231,235,243,250,255,260},{0,10,20,30,40,50,60,62,64,66,68,70,72,74,76,78,80,85,90,95,100})</f>
        <v>70</v>
      </c>
      <c r="H516" s="6">
        <v>2</v>
      </c>
      <c r="I516" s="40">
        <f>LOOKUP(H516,{0,2,3,4,5,6,7,8,9,10,11,12,13,14,15,16},{0,10,20,30,40,50,60,64,68,72,76,80,85,90,95,100})</f>
        <v>10</v>
      </c>
      <c r="J516" s="7"/>
      <c r="K516" s="7"/>
      <c r="L516" s="7">
        <f>I516+K516</f>
        <v>10</v>
      </c>
      <c r="M516" s="6">
        <v>7.8</v>
      </c>
      <c r="N516" s="43">
        <f>13-M516</f>
        <v>5.2</v>
      </c>
      <c r="O516" s="40">
        <f>LOOKUP(N516,{0,2.5,2.7,2.9,3.1,3.3,3.5,3.7,3.9,4.1,4.3,4.5,4.7,4.9,5.1,5.3,5.5,5.6,5.7,5.8,5.9},{0,10,20,30,40,50,60,62,64,66,68,70,72,74,76,78,80,85,90,95,100})</f>
        <v>76</v>
      </c>
      <c r="P516" s="6">
        <v>3.57</v>
      </c>
      <c r="Q516" s="6">
        <f>10-P516</f>
        <v>6.43</v>
      </c>
      <c r="R516" s="40">
        <f>LOOKUP(Q516,{0,3.75,3.95,4.55,4.75,4.95,5.55,5.6,5.65,5.7,5.75,5.8,5.85,5.9,5.95,6,6.45,6.53,6.6,6.65,6.7},{0,10,20,30,40,50,60,62,64,66,68,70,72,74,76,78,80,85,90,95,100})</f>
        <v>78</v>
      </c>
      <c r="S516" s="7"/>
      <c r="T516" s="7"/>
      <c r="U516" s="7">
        <f>R516+T516</f>
        <v>78</v>
      </c>
      <c r="V516" s="6"/>
      <c r="W516" s="7">
        <f>E516*0.1+G516*0.1+I516*0.1+O516*0.2+R516*0.2</f>
        <v>45.4</v>
      </c>
      <c r="X516" s="21">
        <f>W516/0.7+K516+T516</f>
        <v>64.8571428571429</v>
      </c>
    </row>
    <row r="517" ht="15.6" hidden="1" spans="1:24">
      <c r="A517" s="6">
        <v>113</v>
      </c>
      <c r="B517" s="29" t="s">
        <v>631</v>
      </c>
      <c r="C517" s="29" t="s">
        <v>11</v>
      </c>
      <c r="D517" s="6">
        <v>15.7</v>
      </c>
      <c r="E517" s="40">
        <f>LOOKUP(D517,{0,-4,-3,-2,-1,0,1,2.4,3.8,5.2,6.6,8,9.4,10.8,12.2,13.6,15,17.2,19.4,21.5,23.6},{0,10,20,30,40,50,60,62,64,66,68,70,72,74,76,78,80,85,90,95,100})</f>
        <v>80</v>
      </c>
      <c r="F517" s="6">
        <v>207</v>
      </c>
      <c r="G517" s="40">
        <f>LOOKUP(F517,{0,170,175,180,185,190,195,199,203,207,211,215,219,223,227,231,235,243,250,255,260},{0,10,20,30,40,50,60,62,64,66,68,70,72,74,76,78,80,85,90,95,100})</f>
        <v>66</v>
      </c>
      <c r="H517" s="6">
        <v>0</v>
      </c>
      <c r="I517" s="40">
        <f>LOOKUP(H517,{0,2,3,4,5,6,7,8,9,10,11,12,13,14,15,16},{0,10,20,30,40,50,60,64,68,72,76,80,85,90,95,100})</f>
        <v>0</v>
      </c>
      <c r="J517" s="7"/>
      <c r="K517" s="7"/>
      <c r="L517" s="7">
        <f>I517+K517</f>
        <v>0</v>
      </c>
      <c r="M517" s="6">
        <v>7.8</v>
      </c>
      <c r="N517" s="43">
        <f>13-M517</f>
        <v>5.2</v>
      </c>
      <c r="O517" s="40">
        <f>LOOKUP(N517,{0,2.5,2.7,2.9,3.1,3.3,3.5,3.7,3.9,4.1,4.3,4.5,4.7,4.9,5.1,5.3,5.5,5.6,5.7,5.8,5.9},{0,10,20,30,40,50,60,62,64,66,68,70,72,74,76,78,80,85,90,95,100})</f>
        <v>76</v>
      </c>
      <c r="P517" s="6">
        <v>3.57</v>
      </c>
      <c r="Q517" s="6">
        <f>10-P517</f>
        <v>6.43</v>
      </c>
      <c r="R517" s="40">
        <f>LOOKUP(Q517,{0,3.75,3.95,4.55,4.75,4.95,5.55,5.6,5.65,5.7,5.75,5.8,5.85,5.9,5.95,6,6.45,6.53,6.6,6.65,6.7},{0,10,20,30,40,50,60,62,64,66,68,70,72,74,76,78,80,85,90,95,100})</f>
        <v>78</v>
      </c>
      <c r="S517" s="7"/>
      <c r="T517" s="7"/>
      <c r="U517" s="7">
        <f>R517+T517</f>
        <v>78</v>
      </c>
      <c r="W517" s="7">
        <f>E517*0.1+G517*0.1+I517*0.1+O517*0.2+R517*0.2</f>
        <v>45.4</v>
      </c>
      <c r="X517" s="21">
        <f>W517/0.7+K517+T517</f>
        <v>64.8571428571429</v>
      </c>
    </row>
    <row r="518" ht="15.6" hidden="1" spans="1:24">
      <c r="A518" s="6">
        <v>116</v>
      </c>
      <c r="B518" s="29" t="s">
        <v>784</v>
      </c>
      <c r="C518" s="29" t="s">
        <v>11</v>
      </c>
      <c r="D518" s="6">
        <v>11.5</v>
      </c>
      <c r="E518" s="40">
        <f>LOOKUP(D518,{0,-4,-3,-2,-1,0,1,2.4,3.8,5.2,6.6,8,9.4,10.8,12.2,13.6,15,17.2,19.4,21.5,23.6},{0,10,20,30,40,50,60,62,64,66,68,70,72,74,76,78,80,85,90,95,100})</f>
        <v>74</v>
      </c>
      <c r="F518" s="6">
        <v>202</v>
      </c>
      <c r="G518" s="40">
        <f>LOOKUP(F518,{0,170,175,180,185,190,195,199,203,207,211,215,219,223,227,231,235,243,250,255,260},{0,10,20,30,40,50,60,62,64,66,68,70,72,74,76,78,80,85,90,95,100})</f>
        <v>62</v>
      </c>
      <c r="H518" s="6">
        <v>1</v>
      </c>
      <c r="I518" s="40">
        <f>LOOKUP(H518,{0,2,3,4,5,6,7,8,9,10,11,12,13,14,15,16},{0,10,20,30,40,50,60,64,68,72,76,80,85,90,95,100})</f>
        <v>0</v>
      </c>
      <c r="J518" s="7"/>
      <c r="K518" s="7"/>
      <c r="L518" s="7">
        <f>I518+K518</f>
        <v>0</v>
      </c>
      <c r="M518" s="6">
        <v>7.8</v>
      </c>
      <c r="N518" s="43">
        <f>13-M518</f>
        <v>5.2</v>
      </c>
      <c r="O518" s="40">
        <f>LOOKUP(N518,{0,2.5,2.7,2.9,3.1,3.3,3.5,3.7,3.9,4.1,4.3,4.5,4.7,4.9,5.1,5.3,5.5,5.6,5.7,5.8,5.9},{0,10,20,30,40,50,60,62,64,66,68,70,72,74,76,78,80,85,90,95,100})</f>
        <v>76</v>
      </c>
      <c r="P518" s="6">
        <v>3.58</v>
      </c>
      <c r="Q518" s="6">
        <f>10-P518</f>
        <v>6.42</v>
      </c>
      <c r="R518" s="40">
        <f>LOOKUP(Q518,{0,3.75,3.95,4.55,4.75,4.95,5.55,5.6,5.65,5.7,5.75,5.8,5.85,5.9,5.95,6,6.45,6.53,6.6,6.65,6.7},{0,10,20,30,40,50,60,62,64,66,68,70,72,74,76,78,80,85,90,95,100})</f>
        <v>78</v>
      </c>
      <c r="S518" s="7"/>
      <c r="T518" s="7"/>
      <c r="U518" s="7">
        <f>R518+T518</f>
        <v>78</v>
      </c>
      <c r="W518" s="7">
        <f>E518*0.1+G518*0.1+I518*0.1+O518*0.2+R518*0.2</f>
        <v>44.4</v>
      </c>
      <c r="X518" s="21">
        <f>W518/0.7+K518+T518</f>
        <v>63.4285714285714</v>
      </c>
    </row>
    <row r="519" ht="15.6" hidden="1" spans="1:24">
      <c r="A519" s="6">
        <v>110</v>
      </c>
      <c r="B519" s="29" t="s">
        <v>460</v>
      </c>
      <c r="C519" s="29" t="s">
        <v>11</v>
      </c>
      <c r="D519" s="6">
        <v>17</v>
      </c>
      <c r="E519" s="40">
        <f>LOOKUP(D519,{0,-4,-3,-2,-1,0,1,2.4,3.8,5.2,6.6,8,9.4,10.8,12.2,13.6,15,17.2,19.4,21.5,23.6},{0,10,20,30,40,50,60,62,64,66,68,70,72,74,76,78,80,85,90,95,100})</f>
        <v>80</v>
      </c>
      <c r="F519" s="6">
        <v>212</v>
      </c>
      <c r="G519" s="40">
        <f>LOOKUP(F519,{0,170,175,180,185,190,195,199,203,207,211,215,219,223,227,231,235,243,250,255,260},{0,10,20,30,40,50,60,62,64,66,68,70,72,74,76,78,80,85,90,95,100})</f>
        <v>68</v>
      </c>
      <c r="H519" s="6">
        <v>1</v>
      </c>
      <c r="I519" s="40">
        <f>LOOKUP(H519,{0,2,3,4,5,6,7,8,9,10,11,12,13,14,15,16},{0,10,20,30,40,50,60,64,68,72,76,80,85,90,95,100})</f>
        <v>0</v>
      </c>
      <c r="J519" s="7"/>
      <c r="K519" s="7"/>
      <c r="L519" s="7">
        <f>I519+K519</f>
        <v>0</v>
      </c>
      <c r="M519" s="6">
        <v>7.8</v>
      </c>
      <c r="N519" s="43">
        <f>13-M519</f>
        <v>5.2</v>
      </c>
      <c r="O519" s="40">
        <f>LOOKUP(N519,{0,2.5,2.7,2.9,3.1,3.3,3.5,3.7,3.9,4.1,4.3,4.5,4.7,4.9,5.1,5.3,5.5,5.6,5.7,5.8,5.9},{0,10,20,30,40,50,60,62,64,66,68,70,72,74,76,78,80,85,90,95,100})</f>
        <v>76</v>
      </c>
      <c r="P519" s="6">
        <v>4.07</v>
      </c>
      <c r="Q519" s="6">
        <f>10-P519</f>
        <v>5.93</v>
      </c>
      <c r="R519" s="40">
        <f>LOOKUP(Q519,{0,3.75,3.95,4.55,4.75,4.95,5.55,5.6,5.65,5.7,5.75,5.8,5.85,5.9,5.95,6,6.45,6.53,6.6,6.65,6.7},{0,10,20,30,40,50,60,62,64,66,68,70,72,74,76,78,80,85,90,95,100})</f>
        <v>74</v>
      </c>
      <c r="S519" s="7"/>
      <c r="T519" s="7"/>
      <c r="U519" s="7">
        <f>R519+T519</f>
        <v>74</v>
      </c>
      <c r="W519" s="7">
        <f>E519*0.1+G519*0.1+I519*0.1+O519*0.2+R519*0.2</f>
        <v>44.8</v>
      </c>
      <c r="X519" s="21">
        <f>W519/0.7+K519+T519</f>
        <v>64</v>
      </c>
    </row>
    <row r="520" ht="15.6" hidden="1" spans="1:24">
      <c r="A520" s="6">
        <v>106</v>
      </c>
      <c r="B520" s="29" t="s">
        <v>273</v>
      </c>
      <c r="C520" s="29" t="s">
        <v>11</v>
      </c>
      <c r="D520" s="6">
        <v>18.5</v>
      </c>
      <c r="E520" s="40">
        <f>LOOKUP(D520,{0,-4,-3,-2,-1,0,1,2.4,3.8,5.2,6.6,8,9.4,10.8,12.2,13.6,15,17.2,19.4,21.5,23.6},{0,10,20,30,40,50,60,62,64,66,68,70,72,74,76,78,80,85,90,95,100})</f>
        <v>85</v>
      </c>
      <c r="F520" s="6">
        <v>212</v>
      </c>
      <c r="G520" s="40">
        <f>LOOKUP(F520,{0,170,175,180,185,190,195,199,203,207,211,215,219,223,227,231,235,243,250,255,260},{0,10,20,30,40,50,60,62,64,66,68,70,72,74,76,78,80,85,90,95,100})</f>
        <v>68</v>
      </c>
      <c r="H520" s="6">
        <v>17</v>
      </c>
      <c r="I520" s="40">
        <f>LOOKUP(H520,{0,2,3,4,5,6,7,8,9,10,11,12,13,14,15,16},{0,10,20,30,40,50,60,64,68,72,76,80,85,90,95,100})</f>
        <v>100</v>
      </c>
      <c r="J520" s="7">
        <f>H520-16</f>
        <v>1</v>
      </c>
      <c r="K520" s="40">
        <f>LOOKUP(J520,{0,1,2,3,4,5,6,7,8,9,10},{0,1,2,3,4,5,6,7,8,9,10})</f>
        <v>1</v>
      </c>
      <c r="L520" s="7">
        <f>I520+K520</f>
        <v>101</v>
      </c>
      <c r="M520" s="6">
        <v>7.8</v>
      </c>
      <c r="N520" s="43">
        <f>13-M520</f>
        <v>5.2</v>
      </c>
      <c r="O520" s="40">
        <f>LOOKUP(N520,{0,2.5,2.7,2.9,3.1,3.3,3.5,3.7,3.9,4.1,4.3,4.5,4.7,4.9,5.1,5.3,5.5,5.6,5.7,5.8,5.9},{0,10,20,30,40,50,60,62,64,66,68,70,72,74,76,78,80,85,90,95,100})</f>
        <v>76</v>
      </c>
      <c r="P520" s="6">
        <v>4.08</v>
      </c>
      <c r="Q520" s="6">
        <f>10-P520</f>
        <v>5.92</v>
      </c>
      <c r="R520" s="40">
        <f>LOOKUP(Q520,{0,3.75,3.95,4.55,4.75,4.95,5.55,5.6,5.65,5.7,5.75,5.8,5.85,5.9,5.95,6,6.45,6.53,6.6,6.65,6.7},{0,10,20,30,40,50,60,62,64,66,68,70,72,74,76,78,80,85,90,95,100})</f>
        <v>74</v>
      </c>
      <c r="S520" s="7"/>
      <c r="T520" s="7"/>
      <c r="U520" s="7">
        <f>R520+T520</f>
        <v>74</v>
      </c>
      <c r="W520" s="7">
        <f>E520*0.1+G520*0.1+I520*0.1+O520*0.2+R520*0.2</f>
        <v>55.3</v>
      </c>
      <c r="X520" s="21">
        <f>W520/0.7+K520+T520</f>
        <v>80</v>
      </c>
    </row>
    <row r="521" ht="15.6" hidden="1" spans="1:24">
      <c r="A521" s="6">
        <v>107</v>
      </c>
      <c r="B521" s="29" t="s">
        <v>304</v>
      </c>
      <c r="C521" s="29" t="s">
        <v>11</v>
      </c>
      <c r="D521" s="6">
        <v>-1.6</v>
      </c>
      <c r="E521" s="40">
        <f>LOOKUP(D521,{0,-4,-3,-2,-1,0,1,2.4,3.8,5.2,6.6,8,9.4,10.8,12.2,13.6,15,17.2,19.4,21.5,23.6},{0,10,20,30,40,50,60,62,64,66,68,70,72,74,76,78,80,85,90,95,100})</f>
        <v>30</v>
      </c>
      <c r="F521" s="6">
        <v>213</v>
      </c>
      <c r="G521" s="40">
        <f>LOOKUP(F521,{0,170,175,180,185,190,195,199,203,207,211,215,219,223,227,231,235,243,250,255,260},{0,10,20,30,40,50,60,62,64,66,68,70,72,74,76,78,80,85,90,95,100})</f>
        <v>68</v>
      </c>
      <c r="H521" s="6">
        <v>15</v>
      </c>
      <c r="I521" s="40">
        <f>LOOKUP(H521,{0,2,3,4,5,6,7,8,9,10,11,12,13,14,15,16},{0,10,20,30,40,50,60,64,68,72,76,80,85,90,95,100})</f>
        <v>95</v>
      </c>
      <c r="J521" s="7"/>
      <c r="K521" s="7"/>
      <c r="L521" s="7">
        <f>I521+K521</f>
        <v>95</v>
      </c>
      <c r="M521" s="6">
        <v>7.8</v>
      </c>
      <c r="N521" s="43">
        <f>13-M521</f>
        <v>5.2</v>
      </c>
      <c r="O521" s="40">
        <f>LOOKUP(N521,{0,2.5,2.7,2.9,3.1,3.3,3.5,3.7,3.9,4.1,4.3,4.5,4.7,4.9,5.1,5.3,5.5,5.6,5.7,5.8,5.9},{0,10,20,30,40,50,60,62,64,66,68,70,72,74,76,78,80,85,90,95,100})</f>
        <v>76</v>
      </c>
      <c r="P521" s="6">
        <v>4.09</v>
      </c>
      <c r="Q521" s="6">
        <f>10-P521</f>
        <v>5.91</v>
      </c>
      <c r="R521" s="40">
        <f>LOOKUP(Q521,{0,3.75,3.95,4.55,4.75,4.95,5.55,5.6,5.65,5.7,5.75,5.8,5.85,5.9,5.95,6,6.45,6.53,6.6,6.65,6.7},{0,10,20,30,40,50,60,62,64,66,68,70,72,74,76,78,80,85,90,95,100})</f>
        <v>74</v>
      </c>
      <c r="S521" s="7"/>
      <c r="T521" s="7"/>
      <c r="U521" s="7">
        <f>R521+T521</f>
        <v>74</v>
      </c>
      <c r="W521" s="7">
        <f>E521*0.1+G521*0.1+I521*0.1+O521*0.2+R521*0.2</f>
        <v>49.3</v>
      </c>
      <c r="X521" s="21">
        <f>W521/0.7+K521+T521</f>
        <v>70.4285714285714</v>
      </c>
    </row>
    <row r="522" ht="15.6" hidden="1" spans="1:24">
      <c r="A522" s="6">
        <v>108</v>
      </c>
      <c r="B522" s="29" t="s">
        <v>376</v>
      </c>
      <c r="C522" s="29" t="s">
        <v>11</v>
      </c>
      <c r="D522" s="6">
        <v>12</v>
      </c>
      <c r="E522" s="40">
        <f>LOOKUP(D522,{0,-4,-3,-2,-1,0,1,2.4,3.8,5.2,6.6,8,9.4,10.8,12.2,13.6,15,17.2,19.4,21.5,23.6},{0,10,20,30,40,50,60,62,64,66,68,70,72,74,76,78,80,85,90,95,100})</f>
        <v>74</v>
      </c>
      <c r="F522" s="6">
        <v>226</v>
      </c>
      <c r="G522" s="40">
        <f>LOOKUP(F522,{0,170,175,180,185,190,195,199,203,207,211,215,219,223,227,231,235,243,250,255,260},{0,10,20,30,40,50,60,62,64,66,68,70,72,74,76,78,80,85,90,95,100})</f>
        <v>74</v>
      </c>
      <c r="H522" s="6">
        <v>0</v>
      </c>
      <c r="I522" s="40">
        <f>LOOKUP(H522,{0,2,3,4,5,6,7,8,9,10,11,12,13,14,15,16},{0,10,20,30,40,50,60,64,68,72,76,80,85,90,95,100})</f>
        <v>0</v>
      </c>
      <c r="J522" s="7"/>
      <c r="K522" s="7"/>
      <c r="L522" s="7">
        <f>I522+K522</f>
        <v>0</v>
      </c>
      <c r="M522" s="6">
        <v>7.8</v>
      </c>
      <c r="N522" s="43">
        <f>13-M522</f>
        <v>5.2</v>
      </c>
      <c r="O522" s="40">
        <f>LOOKUP(N522,{0,2.5,2.7,2.9,3.1,3.3,3.5,3.7,3.9,4.1,4.3,4.5,4.7,4.9,5.1,5.3,5.5,5.6,5.7,5.8,5.9},{0,10,20,30,40,50,60,62,64,66,68,70,72,74,76,78,80,85,90,95,100})</f>
        <v>76</v>
      </c>
      <c r="P522" s="6">
        <v>4.14</v>
      </c>
      <c r="Q522" s="6">
        <f>10-P522</f>
        <v>5.86</v>
      </c>
      <c r="R522" s="40">
        <f>LOOKUP(Q522,{0,3.75,3.95,4.55,4.75,4.95,5.55,5.6,5.65,5.7,5.75,5.8,5.85,5.9,5.95,6,6.45,6.53,6.6,6.65,6.7},{0,10,20,30,40,50,60,62,64,66,68,70,72,74,76,78,80,85,90,95,100})</f>
        <v>72</v>
      </c>
      <c r="S522" s="7"/>
      <c r="T522" s="7"/>
      <c r="U522" s="7">
        <f>R522+T522</f>
        <v>72</v>
      </c>
      <c r="W522" s="7">
        <f>E522*0.1+G522*0.1+I522*0.1+O522*0.2+R522*0.2</f>
        <v>44.4</v>
      </c>
      <c r="X522" s="21">
        <f>W522/0.7+K522+T522</f>
        <v>63.4285714285714</v>
      </c>
    </row>
    <row r="523" ht="15.6" hidden="1" spans="1:24">
      <c r="A523" s="6">
        <v>106</v>
      </c>
      <c r="B523" s="29" t="s">
        <v>261</v>
      </c>
      <c r="C523" s="29" t="s">
        <v>11</v>
      </c>
      <c r="D523" s="6">
        <v>13.7</v>
      </c>
      <c r="E523" s="40">
        <f>LOOKUP(D523,{0,-4,-3,-2,-1,0,1,2.4,3.8,5.2,6.6,8,9.4,10.8,12.2,13.6,15,17.2,19.4,21.5,23.6},{0,10,20,30,40,50,60,62,64,66,68,70,72,74,76,78,80,85,90,95,100})</f>
        <v>78</v>
      </c>
      <c r="F523" s="6">
        <v>192</v>
      </c>
      <c r="G523" s="40">
        <f>LOOKUP(F523,{0,170,175,180,185,190,195,199,203,207,211,215,219,223,227,231,235,243,250,255,260},{0,10,20,30,40,50,60,62,64,66,68,70,72,74,76,78,80,85,90,95,100})</f>
        <v>50</v>
      </c>
      <c r="H523" s="6">
        <v>9</v>
      </c>
      <c r="I523" s="40">
        <f>LOOKUP(H523,{0,2,3,4,5,6,7,8,9,10,11,12,13,14,15,16},{0,10,20,30,40,50,60,64,68,72,76,80,85,90,95,100})</f>
        <v>68</v>
      </c>
      <c r="J523" s="7"/>
      <c r="K523" s="7"/>
      <c r="L523" s="7">
        <f>I523+K523</f>
        <v>68</v>
      </c>
      <c r="M523" s="6">
        <v>7.8</v>
      </c>
      <c r="N523" s="43">
        <f>13-M523</f>
        <v>5.2</v>
      </c>
      <c r="O523" s="40">
        <f>LOOKUP(N523,{0,2.5,2.7,2.9,3.1,3.3,3.5,3.7,3.9,4.1,4.3,4.5,4.7,4.9,5.1,5.3,5.5,5.6,5.7,5.8,5.9},{0,10,20,30,40,50,60,62,64,66,68,70,72,74,76,78,80,85,90,95,100})</f>
        <v>76</v>
      </c>
      <c r="P523" s="6">
        <v>4.21</v>
      </c>
      <c r="Q523" s="6">
        <f>10-P523</f>
        <v>5.79</v>
      </c>
      <c r="R523" s="40">
        <f>LOOKUP(Q523,{0,3.75,3.95,4.55,4.75,4.95,5.55,5.6,5.65,5.7,5.75,5.8,5.85,5.9,5.95,6,6.45,6.53,6.6,6.65,6.7},{0,10,20,30,40,50,60,62,64,66,68,70,72,74,76,78,80,85,90,95,100})</f>
        <v>68</v>
      </c>
      <c r="S523" s="7"/>
      <c r="T523" s="7"/>
      <c r="U523" s="7">
        <f>R523+T523</f>
        <v>68</v>
      </c>
      <c r="W523" s="7">
        <f>E523*0.1+G523*0.1+I523*0.1+O523*0.2+R523*0.2</f>
        <v>48.4</v>
      </c>
      <c r="X523" s="21">
        <f>W523/0.7+K523+T523</f>
        <v>69.1428571428572</v>
      </c>
    </row>
    <row r="524" ht="15.6" spans="1:24">
      <c r="A524" s="6">
        <v>106</v>
      </c>
      <c r="B524" s="29" t="s">
        <v>292</v>
      </c>
      <c r="C524" s="29" t="s">
        <v>46</v>
      </c>
      <c r="D524" s="6">
        <v>14</v>
      </c>
      <c r="E524" s="40">
        <f>LOOKUP(D524,{0,0.4,1.2,2,2.8,3.6,4.4,5.7,7,8.3,9.6,10.9,12.2,13.5,14.8,16.1,17.4,19.1,20.8,22.5,24.2},{0,10,20,30,40,50,60,62,64,66,68,70,72,74,76,78,80,85,90,95,100})</f>
        <v>74</v>
      </c>
      <c r="F524" s="6">
        <v>159</v>
      </c>
      <c r="G524" s="40">
        <f>LOOKUP(F524,{0,123,128,133,138,143,148,151,154,157,160,163,166,169,172,175,178,185,192,198,204},{0,10,20,30,40,50,60,62,64,66,68,70,72,74,76,78,80,85,90,95,100})</f>
        <v>66</v>
      </c>
      <c r="H524" s="6">
        <v>52</v>
      </c>
      <c r="I524" s="40">
        <f>LOOKUP(H524,{0,13,15,17,19,21,23,25,27,29,31,33,35,37,39,41,43,46,49,51,53},{0,10,20,30,40,50,60,62,64,66,68,70,72,74,76,78,80,85,90,95,100})</f>
        <v>95</v>
      </c>
      <c r="J524" s="45"/>
      <c r="K524" s="45"/>
      <c r="L524" s="7">
        <f>I524+K524</f>
        <v>95</v>
      </c>
      <c r="M524" s="6">
        <v>8.7</v>
      </c>
      <c r="N524" s="43">
        <f>13-M524</f>
        <v>4.3</v>
      </c>
      <c r="O524" s="40">
        <f>LOOKUP(N524,{0,1.4,1.6,1.8,2,2.2,2.4,2.6,2.8,3,3.2,3.4,3.6,3.8,4,4.2,4.4,4.7,5,5.1,5.2},{0,10,20,30,40,50,60,62,64,66,68,70,72,74,76,78,80,85,90,95,100})</f>
        <v>78</v>
      </c>
      <c r="P524" s="6">
        <v>3.45</v>
      </c>
      <c r="Q524" s="6">
        <f>10-P524</f>
        <v>6.55</v>
      </c>
      <c r="R524" s="40">
        <f>LOOKUP(Q524,{0,4.7,4.8,4.9,5,5.5,5.6,5.65,5.7,5.75,5.8,5.85,5.9,5.95,6,6.45,6.5,6.57,6.64,6.7,6.76},{0,10,20,30,40,50,60,62,64,66,68,70,72,74,76,78,80,85,90,95,100})</f>
        <v>80</v>
      </c>
      <c r="S524" s="45"/>
      <c r="T524" s="45"/>
      <c r="U524" s="7">
        <f>R524+T524</f>
        <v>80</v>
      </c>
      <c r="W524" s="7">
        <f>E524*0.1+G524*0.1+I524*0.1+O524*0.2+R524*0.2</f>
        <v>55.1</v>
      </c>
      <c r="X524" s="21">
        <f>W524/0.7+K524+T524</f>
        <v>78.7142857142857</v>
      </c>
    </row>
    <row r="525" ht="15.6" spans="1:24">
      <c r="A525" s="6">
        <v>103</v>
      </c>
      <c r="B525" s="29" t="s">
        <v>152</v>
      </c>
      <c r="C525" s="29" t="s">
        <v>46</v>
      </c>
      <c r="D525" s="6">
        <v>14</v>
      </c>
      <c r="E525" s="40">
        <f>LOOKUP(D525,{0,0.4,1.2,2,2.8,3.6,4.4,5.7,7,8.3,9.6,10.9,12.2,13.5,14.8,16.1,17.4,19.1,20.8,22.5,24.2},{0,10,20,30,40,50,60,62,64,66,68,70,72,74,76,78,80,85,90,95,100})</f>
        <v>74</v>
      </c>
      <c r="F525" s="6">
        <v>168</v>
      </c>
      <c r="G525" s="40">
        <f>LOOKUP(F525,{0,123,128,133,138,143,148,151,154,157,160,163,166,169,172,175,178,185,192,198,204},{0,10,20,30,40,50,60,62,64,66,68,70,72,74,76,78,80,85,90,95,100})</f>
        <v>72</v>
      </c>
      <c r="H525" s="6">
        <v>47</v>
      </c>
      <c r="I525" s="40">
        <f>LOOKUP(H525,{0,13,15,17,19,21,23,25,27,29,31,33,35,37,39,41,43,46,49,51,53},{0,10,20,30,40,50,60,62,64,66,68,70,72,74,76,78,80,85,90,95,100})</f>
        <v>85</v>
      </c>
      <c r="J525" s="45"/>
      <c r="K525" s="45"/>
      <c r="L525" s="7">
        <f>I525+K525</f>
        <v>85</v>
      </c>
      <c r="M525" s="6">
        <v>8.5</v>
      </c>
      <c r="N525" s="43">
        <f>13-M525</f>
        <v>4.5</v>
      </c>
      <c r="O525" s="40">
        <f>LOOKUP(N525,{0,1.4,1.6,1.8,2,2.2,2.4,2.6,2.8,3,3.2,3.4,3.6,3.8,4,4.2,4.4,4.7,5,5.1,5.2},{0,10,20,30,40,50,60,62,64,66,68,70,72,74,76,78,80,85,90,95,100})</f>
        <v>80</v>
      </c>
      <c r="P525" s="6">
        <v>3.46</v>
      </c>
      <c r="Q525" s="6">
        <f>10-P525</f>
        <v>6.54</v>
      </c>
      <c r="R525" s="40">
        <f>LOOKUP(Q525,{0,4.7,4.8,4.9,5,5.5,5.6,5.65,5.7,5.75,5.8,5.85,5.9,5.95,6,6.45,6.5,6.57,6.64,6.7,6.76},{0,10,20,30,40,50,60,62,64,66,68,70,72,74,76,78,80,85,90,95,100})</f>
        <v>80</v>
      </c>
      <c r="S525" s="45"/>
      <c r="T525" s="45"/>
      <c r="U525" s="7">
        <f>R525+T525</f>
        <v>80</v>
      </c>
      <c r="W525" s="7">
        <f>E525*0.1+G525*0.1+I525*0.1+O525*0.2+R525*0.2</f>
        <v>55.1</v>
      </c>
      <c r="X525" s="21">
        <f>W525/0.7+K525+T525</f>
        <v>78.7142857142857</v>
      </c>
    </row>
    <row r="526" s="3" customFormat="1" ht="15.6" spans="1:24">
      <c r="A526" s="6">
        <v>112</v>
      </c>
      <c r="B526" s="29" t="s">
        <v>606</v>
      </c>
      <c r="C526" s="29" t="s">
        <v>46</v>
      </c>
      <c r="D526" s="6">
        <v>27.5</v>
      </c>
      <c r="E526" s="40">
        <f>LOOKUP(D526,{0,0.4,1.2,2,2.8,3.6,4.4,5.7,7,8.3,9.6,10.9,12.2,13.5,14.8,16.1,17.4,19.1,20.8,22.5,24.2},{0,10,20,30,40,50,60,62,64,66,68,70,72,74,76,78,80,85,90,95,100})</f>
        <v>100</v>
      </c>
      <c r="F526" s="6">
        <v>165</v>
      </c>
      <c r="G526" s="40">
        <f>LOOKUP(F526,{0,123,128,133,138,143,148,151,154,157,160,163,166,169,172,175,178,185,192,198,204},{0,10,20,30,40,50,60,62,64,66,68,70,72,74,76,78,80,85,90,95,100})</f>
        <v>70</v>
      </c>
      <c r="H526" s="6">
        <v>48</v>
      </c>
      <c r="I526" s="40">
        <f>LOOKUP(H526,{0,13,15,17,19,21,23,25,27,29,31,33,35,37,39,41,43,46,49,51,53},{0,10,20,30,40,50,60,62,64,66,68,70,72,74,76,78,80,85,90,95,100})</f>
        <v>85</v>
      </c>
      <c r="J526" s="45"/>
      <c r="K526" s="45"/>
      <c r="L526" s="7">
        <f>I526+K526</f>
        <v>85</v>
      </c>
      <c r="M526" s="6">
        <v>8.9</v>
      </c>
      <c r="N526" s="43">
        <f>13-M526</f>
        <v>4.1</v>
      </c>
      <c r="O526" s="40">
        <f>LOOKUP(N526,{0,1.4,1.6,1.8,2,2.2,2.4,2.6,2.8,3,3.2,3.4,3.6,3.8,4,4.2,4.4,4.7,5,5.1,5.2},{0,10,20,30,40,50,60,62,64,66,68,70,72,74,76,78,80,85,90,95,100})</f>
        <v>76</v>
      </c>
      <c r="P526" s="6">
        <v>4.06</v>
      </c>
      <c r="Q526" s="6">
        <f>10-P526</f>
        <v>5.94</v>
      </c>
      <c r="R526" s="40">
        <f>LOOKUP(Q526,{0,4.7,4.8,4.9,5,5.5,5.6,5.65,5.7,5.75,5.8,5.85,5.9,5.95,6,6.45,6.5,6.57,6.64,6.7,6.76},{0,10,20,30,40,50,60,62,64,66,68,70,72,74,76,78,80,85,90,95,100})</f>
        <v>72</v>
      </c>
      <c r="S526" s="45"/>
      <c r="T526" s="45"/>
      <c r="U526" s="7">
        <f>R526+T526</f>
        <v>72</v>
      </c>
      <c r="V526" s="6"/>
      <c r="W526" s="7">
        <f>E526*0.1+G526*0.1+I526*0.1+O526*0.2+R526*0.2</f>
        <v>55.1</v>
      </c>
      <c r="X526" s="21">
        <f>W526/0.7+K526+T526</f>
        <v>78.7142857142857</v>
      </c>
    </row>
    <row r="527" ht="15.6" spans="1:24">
      <c r="A527" s="6">
        <v>114</v>
      </c>
      <c r="B527" s="29" t="s">
        <v>719</v>
      </c>
      <c r="C527" s="29" t="s">
        <v>46</v>
      </c>
      <c r="D527" s="6">
        <v>25.9</v>
      </c>
      <c r="E527" s="40">
        <f>LOOKUP(D527,{0,0.4,1.2,2,2.8,3.6,4.4,5.7,7,8.3,9.6,10.9,12.2,13.5,14.8,16.1,17.4,19.1,20.8,22.5,24.2},{0,10,20,30,40,50,60,62,64,66,68,70,72,74,76,78,80,85,90,95,100})</f>
        <v>100</v>
      </c>
      <c r="F527" s="6">
        <v>185</v>
      </c>
      <c r="G527" s="40">
        <f>LOOKUP(F527,{0,123,128,133,138,143,148,151,154,157,160,163,166,169,172,175,178,185,192,198,204},{0,10,20,30,40,50,60,62,64,66,68,70,72,74,76,78,80,85,90,95,100})</f>
        <v>85</v>
      </c>
      <c r="H527" s="6">
        <v>47</v>
      </c>
      <c r="I527" s="40">
        <f>LOOKUP(H527,{0,13,15,17,19,21,23,25,27,29,31,33,35,37,39,41,43,46,49,51,53},{0,10,20,30,40,50,60,62,64,66,68,70,72,74,76,78,80,85,90,95,100})</f>
        <v>85</v>
      </c>
      <c r="J527" s="45"/>
      <c r="K527" s="45"/>
      <c r="L527" s="7">
        <f>I527+K527</f>
        <v>85</v>
      </c>
      <c r="M527" s="6">
        <v>9.1</v>
      </c>
      <c r="N527" s="43">
        <f>13-M527</f>
        <v>3.9</v>
      </c>
      <c r="O527" s="40">
        <f>LOOKUP(N527,{0,1.4,1.6,1.8,2,2.2,2.4,2.6,2.8,3,3.2,3.4,3.6,3.8,4,4.2,4.4,4.7,5,5.1,5.2},{0,10,20,30,40,50,60,62,64,66,68,70,72,74,76,78,80,85,90,95,100})</f>
        <v>74</v>
      </c>
      <c r="P527" s="6">
        <v>4.22</v>
      </c>
      <c r="Q527" s="6">
        <f>10-P527</f>
        <v>5.78</v>
      </c>
      <c r="R527" s="40">
        <f>LOOKUP(Q527,{0,4.7,4.8,4.9,5,5.5,5.6,5.65,5.7,5.75,5.8,5.85,5.9,5.95,6,6.45,6.5,6.57,6.64,6.7,6.76},{0,10,20,30,40,50,60,62,64,66,68,70,72,74,76,78,80,85,90,95,100})</f>
        <v>66</v>
      </c>
      <c r="S527" s="45"/>
      <c r="T527" s="45"/>
      <c r="U527" s="7">
        <f>R527+T527</f>
        <v>66</v>
      </c>
      <c r="W527" s="7">
        <f>E527*0.1+G527*0.1+I527*0.1+O527*0.2+R527*0.2</f>
        <v>55</v>
      </c>
      <c r="X527" s="21">
        <f>W527/0.7+K527+T527</f>
        <v>78.5714285714286</v>
      </c>
    </row>
    <row r="528" ht="15.6" spans="1:24">
      <c r="A528" s="6">
        <v>112</v>
      </c>
      <c r="B528" s="29" t="s">
        <v>608</v>
      </c>
      <c r="C528" s="29" t="s">
        <v>46</v>
      </c>
      <c r="D528" s="6">
        <v>23</v>
      </c>
      <c r="E528" s="40">
        <f>LOOKUP(D528,{0,0.4,1.2,2,2.8,3.6,4.4,5.7,7,8.3,9.6,10.9,12.2,13.5,14.8,16.1,17.4,19.1,20.8,22.5,24.2},{0,10,20,30,40,50,60,62,64,66,68,70,72,74,76,78,80,85,90,95,100})</f>
        <v>95</v>
      </c>
      <c r="F528" s="6">
        <v>170</v>
      </c>
      <c r="G528" s="40">
        <f>LOOKUP(F528,{0,123,128,133,138,143,148,151,154,157,160,163,166,169,172,175,178,185,192,198,204},{0,10,20,30,40,50,60,62,64,66,68,70,72,74,76,78,80,85,90,95,100})</f>
        <v>74</v>
      </c>
      <c r="H528" s="6">
        <v>36</v>
      </c>
      <c r="I528" s="40">
        <f>LOOKUP(H528,{0,13,15,17,19,21,23,25,27,29,31,33,35,37,39,41,43,46,49,51,53},{0,10,20,30,40,50,60,62,64,66,68,70,72,74,76,78,80,85,90,95,100})</f>
        <v>72</v>
      </c>
      <c r="J528" s="45"/>
      <c r="K528" s="45"/>
      <c r="L528" s="7">
        <f>I528+K528</f>
        <v>72</v>
      </c>
      <c r="M528" s="6">
        <v>8.7</v>
      </c>
      <c r="N528" s="43">
        <f>13-M528</f>
        <v>4.3</v>
      </c>
      <c r="O528" s="40">
        <f>LOOKUP(N528,{0,1.4,1.6,1.8,2,2.2,2.4,2.6,2.8,3,3.2,3.4,3.6,3.8,4,4.2,4.4,4.7,5,5.1,5.2},{0,10,20,30,40,50,60,62,64,66,68,70,72,74,76,78,80,85,90,95,100})</f>
        <v>78</v>
      </c>
      <c r="P528" s="6">
        <v>3.57</v>
      </c>
      <c r="Q528" s="6">
        <f>10-P528</f>
        <v>6.43</v>
      </c>
      <c r="R528" s="40">
        <f>LOOKUP(Q528,{0,4.7,4.8,4.9,5,5.5,5.6,5.65,5.7,5.75,5.8,5.85,5.9,5.95,6,6.45,6.5,6.57,6.64,6.7,6.76},{0,10,20,30,40,50,60,62,64,66,68,70,72,74,76,78,80,85,90,95,100})</f>
        <v>76</v>
      </c>
      <c r="S528" s="45"/>
      <c r="T528" s="45"/>
      <c r="U528" s="7">
        <f>R528+T528</f>
        <v>76</v>
      </c>
      <c r="W528" s="7">
        <f>E528*0.1+G528*0.1+I528*0.1+O528*0.2+R528*0.2</f>
        <v>54.9</v>
      </c>
      <c r="X528" s="21">
        <f>W528/0.7+K528+T528</f>
        <v>78.4285714285714</v>
      </c>
    </row>
    <row r="529" ht="15.6" spans="1:24">
      <c r="A529" s="6">
        <v>110</v>
      </c>
      <c r="B529" s="29" t="s">
        <v>500</v>
      </c>
      <c r="C529" s="29" t="s">
        <v>46</v>
      </c>
      <c r="D529" s="6">
        <v>15</v>
      </c>
      <c r="E529" s="40">
        <f>LOOKUP(D529,{0,0.4,1.2,2,2.8,3.6,4.4,5.7,7,8.3,9.6,10.9,12.2,13.5,14.8,16.1,17.4,19.1,20.8,22.5,24.2},{0,10,20,30,40,50,60,62,64,66,68,70,72,74,76,78,80,85,90,95,100})</f>
        <v>76</v>
      </c>
      <c r="F529" s="6">
        <v>180</v>
      </c>
      <c r="G529" s="40">
        <f>LOOKUP(F529,{0,123,128,133,138,143,148,151,154,157,160,163,166,169,172,175,178,185,192,198,204},{0,10,20,30,40,50,60,62,64,66,68,70,72,74,76,78,80,85,90,95,100})</f>
        <v>80</v>
      </c>
      <c r="H529" s="6">
        <v>43</v>
      </c>
      <c r="I529" s="40">
        <f>LOOKUP(H529,{0,13,15,17,19,21,23,25,27,29,31,33,35,37,39,41,43,46,49,51,53},{0,10,20,30,40,50,60,62,64,66,68,70,72,74,76,78,80,85,90,95,100})</f>
        <v>80</v>
      </c>
      <c r="J529" s="45"/>
      <c r="K529" s="45"/>
      <c r="L529" s="7">
        <f>I529+K529</f>
        <v>80</v>
      </c>
      <c r="M529" s="6">
        <v>8.8</v>
      </c>
      <c r="N529" s="43">
        <f>13-M529</f>
        <v>4.2</v>
      </c>
      <c r="O529" s="40">
        <f>LOOKUP(N529,{0,1.4,1.6,1.8,2,2.2,2.4,2.6,2.8,3,3.2,3.4,3.6,3.8,4,4.2,4.4,4.7,5,5.1,5.2},{0,10,20,30,40,50,60,62,64,66,68,70,72,74,76,78,80,85,90,95,100})</f>
        <v>78</v>
      </c>
      <c r="P529" s="6">
        <v>3.55</v>
      </c>
      <c r="Q529" s="6">
        <f>10-P529</f>
        <v>6.45</v>
      </c>
      <c r="R529" s="40">
        <f>LOOKUP(Q529,{0,4.7,4.8,4.9,5,5.5,5.6,5.65,5.7,5.75,5.8,5.85,5.9,5.95,6,6.45,6.5,6.57,6.64,6.7,6.76},{0,10,20,30,40,50,60,62,64,66,68,70,72,74,76,78,80,85,90,95,100})</f>
        <v>78</v>
      </c>
      <c r="S529" s="45"/>
      <c r="T529" s="45"/>
      <c r="U529" s="7">
        <f>R529+T529</f>
        <v>78</v>
      </c>
      <c r="W529" s="7">
        <f>E529*0.1+G529*0.1+I529*0.1+O529*0.2+R529*0.2</f>
        <v>54.8</v>
      </c>
      <c r="X529" s="21">
        <f>W529/0.7+K529+T529</f>
        <v>78.2857142857143</v>
      </c>
    </row>
    <row r="530" ht="15.6" spans="1:24">
      <c r="A530" s="41">
        <v>101</v>
      </c>
      <c r="B530" s="39" t="s">
        <v>45</v>
      </c>
      <c r="C530" s="29" t="s">
        <v>46</v>
      </c>
      <c r="D530" s="41">
        <v>21</v>
      </c>
      <c r="E530" s="40">
        <f>LOOKUP(D530,{0,0.4,1.2,2,2.8,3.6,4.4,5.7,7,8.3,9.6,10.9,12.2,13.5,14.8,16.1,17.4,19.1,20.8,22.5,24.2},{0,10,20,30,40,50,60,62,64,66,68,70,72,74,76,78,80,85,90,95,100})</f>
        <v>90</v>
      </c>
      <c r="F530" s="41">
        <v>168</v>
      </c>
      <c r="G530" s="40">
        <f>LOOKUP(F530,{0,123,128,133,138,143,148,151,154,157,160,163,166,169,172,175,178,185,192,198,204},{0,10,20,30,40,50,60,62,64,66,68,70,72,74,76,78,80,85,90,95,100})</f>
        <v>72</v>
      </c>
      <c r="H530" s="41">
        <v>49</v>
      </c>
      <c r="I530" s="40">
        <f>LOOKUP(H530,{0,13,15,17,19,21,23,25,27,29,31,33,35,37,39,41,43,46,49,51,53},{0,10,20,30,40,50,60,62,64,66,68,70,72,74,76,78,80,85,90,95,100})</f>
        <v>90</v>
      </c>
      <c r="J530" s="44"/>
      <c r="K530" s="44"/>
      <c r="L530" s="4">
        <f>I530+K530</f>
        <v>90</v>
      </c>
      <c r="M530" s="41">
        <v>9.3</v>
      </c>
      <c r="N530" s="43">
        <f>13-M530</f>
        <v>3.7</v>
      </c>
      <c r="O530" s="40">
        <f>LOOKUP(N530,{0,1.4,1.6,1.8,2,2.2,2.4,2.6,2.8,3,3.2,3.4,3.6,3.8,4,4.2,4.4,4.7,5,5.1,5.2},{0,10,20,30,40,50,60,62,64,66,68,70,72,74,76,78,80,85,90,95,100})</f>
        <v>72</v>
      </c>
      <c r="P530" s="41">
        <v>3.58</v>
      </c>
      <c r="Q530" s="41">
        <f>10-P530</f>
        <v>6.42</v>
      </c>
      <c r="R530" s="40">
        <f>LOOKUP(Q530,{0,4.7,4.8,4.9,5,5.5,5.6,5.65,5.7,5.75,5.8,5.85,5.9,5.95,6,6.45,6.5,6.57,6.64,6.7,6.76},{0,10,20,30,40,50,60,62,64,66,68,70,72,74,76,78,80,85,90,95,100})</f>
        <v>76</v>
      </c>
      <c r="S530" s="44"/>
      <c r="T530" s="44"/>
      <c r="U530" s="4">
        <f>R530+T530</f>
        <v>76</v>
      </c>
      <c r="V530" s="41"/>
      <c r="W530" s="4">
        <f>E530*0.1+G530*0.1+I530*0.1+O530*0.2+R530*0.2</f>
        <v>54.8</v>
      </c>
      <c r="X530" s="18">
        <f>W530/0.7+K530+T530</f>
        <v>78.2857142857143</v>
      </c>
    </row>
    <row r="531" ht="15.6" spans="1:24">
      <c r="A531" s="6">
        <v>115</v>
      </c>
      <c r="B531" s="29" t="s">
        <v>777</v>
      </c>
      <c r="C531" s="29" t="s">
        <v>46</v>
      </c>
      <c r="D531" s="6">
        <v>19</v>
      </c>
      <c r="E531" s="40">
        <f>LOOKUP(D531,{0,0.4,1.2,2,2.8,3.6,4.4,5.7,7,8.3,9.6,10.9,12.2,13.5,14.8,16.1,17.4,19.1,20.8,22.5,24.2},{0,10,20,30,40,50,60,62,64,66,68,70,72,74,76,78,80,85,90,95,100})</f>
        <v>80</v>
      </c>
      <c r="F531" s="6">
        <v>180</v>
      </c>
      <c r="G531" s="40">
        <f>LOOKUP(F531,{0,123,128,133,138,143,148,151,154,157,160,163,166,169,172,175,178,185,192,198,204},{0,10,20,30,40,50,60,62,64,66,68,70,72,74,76,78,80,85,90,95,100})</f>
        <v>80</v>
      </c>
      <c r="H531" s="6">
        <v>53</v>
      </c>
      <c r="I531" s="40">
        <f>LOOKUP(H531,{0,13,15,17,19,21,23,25,27,29,31,33,35,37,39,41,43,46,49,51,53},{0,10,20,30,40,50,60,62,64,66,68,70,72,74,76,78,80,85,90,95,100})</f>
        <v>100</v>
      </c>
      <c r="J531" s="45">
        <f>H531-53</f>
        <v>0</v>
      </c>
      <c r="K531" s="40">
        <f>LOOKUP(J531,{0,2,4,6,7,8,9,10,11,12,13},{0,1,2,3,4,5,6,7,8,9,10})</f>
        <v>0</v>
      </c>
      <c r="L531" s="7">
        <f>I531+K531</f>
        <v>100</v>
      </c>
      <c r="M531" s="6">
        <v>9.2</v>
      </c>
      <c r="N531" s="43">
        <f>13-M531</f>
        <v>3.8</v>
      </c>
      <c r="O531" s="40">
        <f>LOOKUP(N531,{0,1.4,1.6,1.8,2,2.2,2.4,2.6,2.8,3,3.2,3.4,3.6,3.8,4,4.2,4.4,4.7,5,5.1,5.2},{0,10,20,30,40,50,60,62,64,66,68,70,72,74,76,78,80,85,90,95,100})</f>
        <v>74</v>
      </c>
      <c r="P531" s="6">
        <v>4.13</v>
      </c>
      <c r="Q531" s="6">
        <f>10-P531</f>
        <v>5.87</v>
      </c>
      <c r="R531" s="40">
        <f>LOOKUP(Q531,{0,4.7,4.8,4.9,5,5.5,5.6,5.65,5.7,5.75,5.8,5.85,5.9,5.95,6,6.45,6.5,6.57,6.64,6.7,6.76},{0,10,20,30,40,50,60,62,64,66,68,70,72,74,76,78,80,85,90,95,100})</f>
        <v>70</v>
      </c>
      <c r="S531" s="45"/>
      <c r="T531" s="45"/>
      <c r="U531" s="7">
        <f>R531+T531</f>
        <v>70</v>
      </c>
      <c r="W531" s="7">
        <f>E531*0.1+G531*0.1+I531*0.1+O531*0.2+R531*0.2</f>
        <v>54.8</v>
      </c>
      <c r="X531" s="21">
        <f>W531/0.7+K531+T531</f>
        <v>78.2857142857143</v>
      </c>
    </row>
    <row r="532" ht="15.6" spans="1:24">
      <c r="A532" s="6">
        <v>110</v>
      </c>
      <c r="B532" s="29" t="s">
        <v>509</v>
      </c>
      <c r="C532" s="29" t="s">
        <v>46</v>
      </c>
      <c r="D532" s="6">
        <v>17</v>
      </c>
      <c r="E532" s="40">
        <f>LOOKUP(D532,{0,0.4,1.2,2,2.8,3.6,4.4,5.7,7,8.3,9.6,10.9,12.2,13.5,14.8,16.1,17.4,19.1,20.8,22.5,24.2},{0,10,20,30,40,50,60,62,64,66,68,70,72,74,76,78,80,85,90,95,100})</f>
        <v>78</v>
      </c>
      <c r="F532" s="6">
        <v>196</v>
      </c>
      <c r="G532" s="40">
        <f>LOOKUP(F532,{0,123,128,133,138,143,148,151,154,157,160,163,166,169,172,175,178,185,192,198,204},{0,10,20,30,40,50,60,62,64,66,68,70,72,74,76,78,80,85,90,95,100})</f>
        <v>90</v>
      </c>
      <c r="H532" s="6">
        <v>54</v>
      </c>
      <c r="I532" s="40">
        <f>LOOKUP(H532,{0,13,15,17,19,21,23,25,27,29,31,33,35,37,39,41,43,46,49,51,53},{0,10,20,30,40,50,60,62,64,66,68,70,72,74,76,78,80,85,90,95,100})</f>
        <v>100</v>
      </c>
      <c r="J532" s="45">
        <f>H532-53</f>
        <v>1</v>
      </c>
      <c r="K532" s="40">
        <f>LOOKUP(J532,{0,2,4,6,7,8,9,10,11,12,13},{0,1,2,3,4,5,6,7,8,9,10})</f>
        <v>0</v>
      </c>
      <c r="L532" s="7">
        <f>I532+K532</f>
        <v>100</v>
      </c>
      <c r="M532" s="6">
        <v>9.2</v>
      </c>
      <c r="N532" s="43">
        <f>13-M532</f>
        <v>3.8</v>
      </c>
      <c r="O532" s="40">
        <f>LOOKUP(N532,{0,1.4,1.6,1.8,2,2.2,2.4,2.6,2.8,3,3.2,3.4,3.6,3.8,4,4.2,4.4,4.7,5,5.1,5.2},{0,10,20,30,40,50,60,62,64,66,68,70,72,74,76,78,80,85,90,95,100})</f>
        <v>74</v>
      </c>
      <c r="P532" s="6">
        <v>4.22</v>
      </c>
      <c r="Q532" s="6">
        <f>10-P532</f>
        <v>5.78</v>
      </c>
      <c r="R532" s="40">
        <f>LOOKUP(Q532,{0,4.7,4.8,4.9,5,5.5,5.6,5.65,5.7,5.75,5.8,5.85,5.9,5.95,6,6.45,6.5,6.57,6.64,6.7,6.76},{0,10,20,30,40,50,60,62,64,66,68,70,72,74,76,78,80,85,90,95,100})</f>
        <v>66</v>
      </c>
      <c r="S532" s="45"/>
      <c r="T532" s="45"/>
      <c r="U532" s="7">
        <f>R532+T532</f>
        <v>66</v>
      </c>
      <c r="W532" s="7">
        <f>E532*0.1+G532*0.1+I532*0.1+O532*0.2+R532*0.2</f>
        <v>54.8</v>
      </c>
      <c r="X532" s="21">
        <f>W532/0.7+K532+T532</f>
        <v>78.2857142857143</v>
      </c>
    </row>
    <row r="533" ht="15.6" spans="1:24">
      <c r="A533" s="6">
        <v>109</v>
      </c>
      <c r="B533" s="29" t="s">
        <v>451</v>
      </c>
      <c r="C533" s="29" t="s">
        <v>46</v>
      </c>
      <c r="D533" s="6">
        <v>9.4</v>
      </c>
      <c r="E533" s="40">
        <f>LOOKUP(D533,{0,0.4,1.2,2,2.8,3.6,4.4,5.7,7,8.3,9.6,10.9,12.2,13.5,14.8,16.1,17.4,19.1,20.8,22.5,24.2},{0,10,20,30,40,50,60,62,64,66,68,70,72,74,76,78,80,85,90,95,100})</f>
        <v>66</v>
      </c>
      <c r="F533" s="6">
        <v>181</v>
      </c>
      <c r="G533" s="40">
        <f>LOOKUP(F533,{0,123,128,133,138,143,148,151,154,157,160,163,166,169,172,175,178,185,192,198,204},{0,10,20,30,40,50,60,62,64,66,68,70,72,74,76,78,80,85,90,95,100})</f>
        <v>80</v>
      </c>
      <c r="H533" s="6">
        <v>48</v>
      </c>
      <c r="I533" s="40">
        <f>LOOKUP(H533,{0,13,15,17,19,21,23,25,27,29,31,33,35,37,39,41,43,46,49,51,53},{0,10,20,30,40,50,60,62,64,66,68,70,72,74,76,78,80,85,90,95,100})</f>
        <v>85</v>
      </c>
      <c r="J533" s="45"/>
      <c r="K533" s="45"/>
      <c r="L533" s="7">
        <f>I533+K533</f>
        <v>85</v>
      </c>
      <c r="M533" s="6">
        <v>8.6</v>
      </c>
      <c r="N533" s="43">
        <f>13-M533</f>
        <v>4.4</v>
      </c>
      <c r="O533" s="40">
        <f>LOOKUP(N533,{0,1.4,1.6,1.8,2,2.2,2.4,2.6,2.8,3,3.2,3.4,3.6,3.8,4,4.2,4.4,4.7,5,5.1,5.2},{0,10,20,30,40,50,60,62,64,66,68,70,72,74,76,78,80,85,90,95,100})</f>
        <v>80</v>
      </c>
      <c r="P533" s="6">
        <v>3.52</v>
      </c>
      <c r="Q533" s="6">
        <f>10-P533</f>
        <v>6.48</v>
      </c>
      <c r="R533" s="40">
        <f>LOOKUP(Q533,{0,4.7,4.8,4.9,5,5.5,5.6,5.65,5.7,5.75,5.8,5.85,5.9,5.95,6,6.45,6.5,6.57,6.64,6.7,6.76},{0,10,20,30,40,50,60,62,64,66,68,70,72,74,76,78,80,85,90,95,100})</f>
        <v>78</v>
      </c>
      <c r="S533" s="45"/>
      <c r="T533" s="45"/>
      <c r="U533" s="7">
        <f>R533+T533</f>
        <v>78</v>
      </c>
      <c r="W533" s="7">
        <f>E533*0.1+G533*0.1+I533*0.1+O533*0.2+R533*0.2</f>
        <v>54.7</v>
      </c>
      <c r="X533" s="21">
        <f>W533/0.7+K533+T533</f>
        <v>78.1428571428572</v>
      </c>
    </row>
    <row r="534" ht="15.6" spans="1:24">
      <c r="A534" s="6">
        <v>113</v>
      </c>
      <c r="B534" s="29" t="s">
        <v>653</v>
      </c>
      <c r="C534" s="29" t="s">
        <v>46</v>
      </c>
      <c r="D534" s="6">
        <v>8.5</v>
      </c>
      <c r="E534" s="40">
        <f>LOOKUP(D534,{0,0.4,1.2,2,2.8,3.6,4.4,5.7,7,8.3,9.6,10.9,12.2,13.5,14.8,16.1,17.4,19.1,20.8,22.5,24.2},{0,10,20,30,40,50,60,62,64,66,68,70,72,74,76,78,80,85,90,95,100})</f>
        <v>66</v>
      </c>
      <c r="F534" s="6">
        <v>175</v>
      </c>
      <c r="G534" s="40">
        <f>LOOKUP(F534,{0,123,128,133,138,143,148,151,154,157,160,163,166,169,172,175,178,185,192,198,204},{0,10,20,30,40,50,60,62,64,66,68,70,72,74,76,78,80,85,90,95,100})</f>
        <v>78</v>
      </c>
      <c r="H534" s="6">
        <v>50</v>
      </c>
      <c r="I534" s="40">
        <f>LOOKUP(H534,{0,13,15,17,19,21,23,25,27,29,31,33,35,37,39,41,43,46,49,51,53},{0,10,20,30,40,50,60,62,64,66,68,70,72,74,76,78,80,85,90,95,100})</f>
        <v>90</v>
      </c>
      <c r="J534" s="45"/>
      <c r="K534" s="45"/>
      <c r="L534" s="7">
        <f>I534+K534</f>
        <v>90</v>
      </c>
      <c r="M534" s="6">
        <v>8.9</v>
      </c>
      <c r="N534" s="43">
        <f>13-M534</f>
        <v>4.1</v>
      </c>
      <c r="O534" s="40">
        <f>LOOKUP(N534,{0,1.4,1.6,1.8,2,2.2,2.4,2.6,2.8,3,3.2,3.4,3.6,3.8,4,4.2,4.4,4.7,5,5.1,5.2},{0,10,20,30,40,50,60,62,64,66,68,70,72,74,76,78,80,85,90,95,100})</f>
        <v>76</v>
      </c>
      <c r="P534" s="6">
        <v>3.5</v>
      </c>
      <c r="Q534" s="6">
        <f>10-P534</f>
        <v>6.5</v>
      </c>
      <c r="R534" s="40">
        <f>LOOKUP(Q534,{0,4.7,4.8,4.9,5,5.5,5.6,5.65,5.7,5.75,5.8,5.85,5.9,5.95,6,6.45,6.5,6.57,6.64,6.7,6.76},{0,10,20,30,40,50,60,62,64,66,68,70,72,74,76,78,80,85,90,95,100})</f>
        <v>80</v>
      </c>
      <c r="S534" s="45"/>
      <c r="T534" s="45"/>
      <c r="U534" s="7">
        <f>R534+T534</f>
        <v>80</v>
      </c>
      <c r="W534" s="7">
        <f>E534*0.1+G534*0.1+I534*0.1+O534*0.2+R534*0.2</f>
        <v>54.6</v>
      </c>
      <c r="X534" s="21">
        <f>W534/0.7+K534+T534</f>
        <v>78</v>
      </c>
    </row>
    <row r="535" ht="15.6" spans="1:24">
      <c r="A535" s="6">
        <v>110</v>
      </c>
      <c r="B535" s="29" t="s">
        <v>498</v>
      </c>
      <c r="C535" s="29" t="s">
        <v>46</v>
      </c>
      <c r="D535" s="6">
        <v>19</v>
      </c>
      <c r="E535" s="40">
        <f>LOOKUP(D535,{0,0.4,1.2,2,2.8,3.6,4.4,5.7,7,8.3,9.6,10.9,12.2,13.5,14.8,16.1,17.4,19.1,20.8,22.5,24.2},{0,10,20,30,40,50,60,62,64,66,68,70,72,74,76,78,80,85,90,95,100})</f>
        <v>80</v>
      </c>
      <c r="F535" s="6">
        <v>153</v>
      </c>
      <c r="G535" s="40">
        <f>LOOKUP(F535,{0,123,128,133,138,143,148,151,154,157,160,163,166,169,172,175,178,185,192,198,204},{0,10,20,30,40,50,60,62,64,66,68,70,72,74,76,78,80,85,90,95,100})</f>
        <v>62</v>
      </c>
      <c r="H535" s="6">
        <v>43</v>
      </c>
      <c r="I535" s="40">
        <f>LOOKUP(H535,{0,13,15,17,19,21,23,25,27,29,31,33,35,37,39,41,43,46,49,51,53},{0,10,20,30,40,50,60,62,64,66,68,70,72,74,76,78,80,85,90,95,100})</f>
        <v>80</v>
      </c>
      <c r="J535" s="45"/>
      <c r="K535" s="45"/>
      <c r="L535" s="7">
        <f>I535+K535</f>
        <v>80</v>
      </c>
      <c r="M535" s="6">
        <v>9</v>
      </c>
      <c r="N535" s="43">
        <f>13-M535</f>
        <v>4</v>
      </c>
      <c r="O535" s="40">
        <f>LOOKUP(N535,{0,1.4,1.6,1.8,2,2.2,2.4,2.6,2.8,3,3.2,3.4,3.6,3.8,4,4.2,4.4,4.7,5,5.1,5.2},{0,10,20,30,40,50,60,62,64,66,68,70,72,74,76,78,80,85,90,95,100})</f>
        <v>76</v>
      </c>
      <c r="P535" s="6">
        <v>3.42</v>
      </c>
      <c r="Q535" s="6">
        <f>10-P535</f>
        <v>6.58</v>
      </c>
      <c r="R535" s="40">
        <f>LOOKUP(Q535,{0,4.7,4.8,4.9,5,5.5,5.6,5.65,5.7,5.75,5.8,5.85,5.9,5.95,6,6.45,6.5,6.57,6.64,6.7,6.76},{0,10,20,30,40,50,60,62,64,66,68,70,72,74,76,78,80,85,90,95,100})</f>
        <v>85</v>
      </c>
      <c r="S535" s="45"/>
      <c r="T535" s="45"/>
      <c r="U535" s="7">
        <f>R535+T535</f>
        <v>85</v>
      </c>
      <c r="W535" s="7">
        <f>E535*0.1+G535*0.1+I535*0.1+O535*0.2+R535*0.2</f>
        <v>54.4</v>
      </c>
      <c r="X535" s="21">
        <f>W535/0.7+K535+T535</f>
        <v>77.7142857142857</v>
      </c>
    </row>
    <row r="536" ht="15.6" spans="1:24">
      <c r="A536" s="6">
        <v>114</v>
      </c>
      <c r="B536" s="29" t="s">
        <v>708</v>
      </c>
      <c r="C536" s="29" t="s">
        <v>46</v>
      </c>
      <c r="D536" s="6">
        <v>15.3</v>
      </c>
      <c r="E536" s="40">
        <f>LOOKUP(D536,{0,0.4,1.2,2,2.8,3.6,4.4,5.7,7,8.3,9.6,10.9,12.2,13.5,14.8,16.1,17.4,19.1,20.8,22.5,24.2},{0,10,20,30,40,50,60,62,64,66,68,70,72,74,76,78,80,85,90,95,100})</f>
        <v>76</v>
      </c>
      <c r="F536" s="6">
        <v>170</v>
      </c>
      <c r="G536" s="40">
        <f>LOOKUP(F536,{0,123,128,133,138,143,148,151,154,157,160,163,166,169,172,175,178,185,192,198,204},{0,10,20,30,40,50,60,62,64,66,68,70,72,74,76,78,80,85,90,95,100})</f>
        <v>74</v>
      </c>
      <c r="H536" s="6">
        <v>37</v>
      </c>
      <c r="I536" s="40">
        <f>LOOKUP(H536,{0,13,15,17,19,21,23,25,27,29,31,33,35,37,39,41,43,46,49,51,53},{0,10,20,30,40,50,60,62,64,66,68,70,72,74,76,78,80,85,90,95,100})</f>
        <v>74</v>
      </c>
      <c r="J536" s="45"/>
      <c r="K536" s="45"/>
      <c r="L536" s="7">
        <f>I536+K536</f>
        <v>74</v>
      </c>
      <c r="M536" s="6">
        <v>8.6</v>
      </c>
      <c r="N536" s="43">
        <f>13-M536</f>
        <v>4.4</v>
      </c>
      <c r="O536" s="40">
        <f>LOOKUP(N536,{0,1.4,1.6,1.8,2,2.2,2.4,2.6,2.8,3,3.2,3.4,3.6,3.8,4,4.2,4.4,4.7,5,5.1,5.2},{0,10,20,30,40,50,60,62,64,66,68,70,72,74,76,78,80,85,90,95,100})</f>
        <v>80</v>
      </c>
      <c r="P536" s="6">
        <v>3.49</v>
      </c>
      <c r="Q536" s="6">
        <f>10-P536</f>
        <v>6.51</v>
      </c>
      <c r="R536" s="40">
        <f>LOOKUP(Q536,{0,4.7,4.8,4.9,5,5.5,5.6,5.65,5.7,5.75,5.8,5.85,5.9,5.95,6,6.45,6.5,6.57,6.64,6.7,6.76},{0,10,20,30,40,50,60,62,64,66,68,70,72,74,76,78,80,85,90,95,100})</f>
        <v>80</v>
      </c>
      <c r="S536" s="45"/>
      <c r="T536" s="45"/>
      <c r="U536" s="7">
        <f>R536+T536</f>
        <v>80</v>
      </c>
      <c r="W536" s="7">
        <f>E536*0.1+G536*0.1+I536*0.1+O536*0.2+R536*0.2</f>
        <v>54.4</v>
      </c>
      <c r="X536" s="21">
        <f>W536/0.7+K536+T536</f>
        <v>77.7142857142857</v>
      </c>
    </row>
    <row r="537" ht="15.6" spans="1:24">
      <c r="A537" s="6">
        <v>107</v>
      </c>
      <c r="B537" s="29" t="s">
        <v>347</v>
      </c>
      <c r="C537" s="29" t="s">
        <v>46</v>
      </c>
      <c r="D537" s="6">
        <v>16</v>
      </c>
      <c r="E537" s="40">
        <f>LOOKUP(D537,{0,0.4,1.2,2,2.8,3.6,4.4,5.7,7,8.3,9.6,10.9,12.2,13.5,14.8,16.1,17.4,19.1,20.8,22.5,24.2},{0,10,20,30,40,50,60,62,64,66,68,70,72,74,76,78,80,85,90,95,100})</f>
        <v>76</v>
      </c>
      <c r="F537" s="6">
        <v>184</v>
      </c>
      <c r="G537" s="40">
        <f>LOOKUP(F537,{0,123,128,133,138,143,148,151,154,157,160,163,166,169,172,175,178,185,192,198,204},{0,10,20,30,40,50,60,62,64,66,68,70,72,74,76,78,80,85,90,95,100})</f>
        <v>80</v>
      </c>
      <c r="H537" s="6">
        <v>45</v>
      </c>
      <c r="I537" s="40">
        <f>LOOKUP(H537,{0,13,15,17,19,21,23,25,27,29,31,33,35,37,39,41,43,46,49,51,53},{0,10,20,30,40,50,60,62,64,66,68,70,72,74,76,78,80,85,90,95,100})</f>
        <v>80</v>
      </c>
      <c r="J537" s="45"/>
      <c r="K537" s="45"/>
      <c r="L537" s="7">
        <f>I537+K537</f>
        <v>80</v>
      </c>
      <c r="M537" s="6">
        <v>9</v>
      </c>
      <c r="N537" s="43">
        <f>13-M537</f>
        <v>4</v>
      </c>
      <c r="O537" s="40">
        <f>LOOKUP(N537,{0,1.4,1.6,1.8,2,2.2,2.4,2.6,2.8,3,3.2,3.4,3.6,3.8,4,4.2,4.4,4.7,5,5.1,5.2},{0,10,20,30,40,50,60,62,64,66,68,70,72,74,76,78,80,85,90,95,100})</f>
        <v>76</v>
      </c>
      <c r="P537" s="6">
        <v>3.51</v>
      </c>
      <c r="Q537" s="6">
        <f>10-P537</f>
        <v>6.49</v>
      </c>
      <c r="R537" s="40">
        <f>LOOKUP(Q537,{0,4.7,4.8,4.9,5,5.5,5.6,5.65,5.7,5.75,5.8,5.85,5.9,5.95,6,6.45,6.5,6.57,6.64,6.7,6.76},{0,10,20,30,40,50,60,62,64,66,68,70,72,74,76,78,80,85,90,95,100})</f>
        <v>78</v>
      </c>
      <c r="S537" s="45"/>
      <c r="T537" s="45"/>
      <c r="U537" s="7">
        <f>R537+T537</f>
        <v>78</v>
      </c>
      <c r="W537" s="7">
        <f>E537*0.1+G537*0.1+I537*0.1+O537*0.2+R537*0.2</f>
        <v>54.4</v>
      </c>
      <c r="X537" s="21">
        <f>W537/0.7+K537+T537</f>
        <v>77.7142857142857</v>
      </c>
    </row>
    <row r="538" ht="15.6" spans="1:24">
      <c r="A538" s="6">
        <v>103</v>
      </c>
      <c r="B538" s="29" t="s">
        <v>165</v>
      </c>
      <c r="C538" s="29" t="s">
        <v>46</v>
      </c>
      <c r="D538" s="6">
        <v>14</v>
      </c>
      <c r="E538" s="40">
        <f>LOOKUP(D538,{0,0.4,1.2,2,2.8,3.6,4.4,5.7,7,8.3,9.6,10.9,12.2,13.5,14.8,16.1,17.4,19.1,20.8,22.5,24.2},{0,10,20,30,40,50,60,62,64,66,68,70,72,74,76,78,80,85,90,95,100})</f>
        <v>74</v>
      </c>
      <c r="F538" s="6">
        <v>187</v>
      </c>
      <c r="G538" s="40">
        <f>LOOKUP(F538,{0,123,128,133,138,143,148,151,154,157,160,163,166,169,172,175,178,185,192,198,204},{0,10,20,30,40,50,60,62,64,66,68,70,72,74,76,78,80,85,90,95,100})</f>
        <v>85</v>
      </c>
      <c r="H538" s="6">
        <v>47</v>
      </c>
      <c r="I538" s="40">
        <f>LOOKUP(H538,{0,13,15,17,19,21,23,25,27,29,31,33,35,37,39,41,43,46,49,51,53},{0,10,20,30,40,50,60,62,64,66,68,70,72,74,76,78,80,85,90,95,100})</f>
        <v>85</v>
      </c>
      <c r="J538" s="45"/>
      <c r="K538" s="45"/>
      <c r="L538" s="7">
        <f>I538+K538</f>
        <v>85</v>
      </c>
      <c r="M538" s="6">
        <v>9</v>
      </c>
      <c r="N538" s="43">
        <f>13-M538</f>
        <v>4</v>
      </c>
      <c r="O538" s="40">
        <f>LOOKUP(N538,{0,1.4,1.6,1.8,2,2.2,2.4,2.6,2.8,3,3.2,3.4,3.6,3.8,4,4.2,4.4,4.7,5,5.1,5.2},{0,10,20,30,40,50,60,62,64,66,68,70,72,74,76,78,80,85,90,95,100})</f>
        <v>76</v>
      </c>
      <c r="P538" s="6">
        <v>4.01</v>
      </c>
      <c r="Q538" s="6">
        <f>10-P538</f>
        <v>5.99</v>
      </c>
      <c r="R538" s="40">
        <f>LOOKUP(Q538,{0,4.7,4.8,4.9,5,5.5,5.6,5.65,5.7,5.75,5.8,5.85,5.9,5.95,6,6.45,6.5,6.57,6.64,6.7,6.76},{0,10,20,30,40,50,60,62,64,66,68,70,72,74,76,78,80,85,90,95,100})</f>
        <v>74</v>
      </c>
      <c r="S538" s="45"/>
      <c r="T538" s="45"/>
      <c r="U538" s="7">
        <f>R538+T538</f>
        <v>74</v>
      </c>
      <c r="W538" s="7">
        <f>E538*0.1+G538*0.1+I538*0.1+O538*0.2+R538*0.2</f>
        <v>54.4</v>
      </c>
      <c r="X538" s="21">
        <f>W538/0.7+K538+T538</f>
        <v>77.7142857142857</v>
      </c>
    </row>
    <row r="539" ht="15.6" spans="1:24">
      <c r="A539" s="6">
        <v>112</v>
      </c>
      <c r="B539" s="29" t="s">
        <v>616</v>
      </c>
      <c r="C539" s="29" t="s">
        <v>46</v>
      </c>
      <c r="D539" s="6">
        <v>15.7</v>
      </c>
      <c r="E539" s="40">
        <f>LOOKUP(D539,{0,0.4,1.2,2,2.8,3.6,4.4,5.7,7,8.3,9.6,10.9,12.2,13.5,14.8,16.1,17.4,19.1,20.8,22.5,24.2},{0,10,20,30,40,50,60,62,64,66,68,70,72,74,76,78,80,85,90,95,100})</f>
        <v>76</v>
      </c>
      <c r="F539" s="6">
        <v>174</v>
      </c>
      <c r="G539" s="40">
        <f>LOOKUP(F539,{0,123,128,133,138,143,148,151,154,157,160,163,166,169,172,175,178,185,192,198,204},{0,10,20,30,40,50,60,62,64,66,68,70,72,74,76,78,80,85,90,95,100})</f>
        <v>76</v>
      </c>
      <c r="H539" s="6">
        <v>52</v>
      </c>
      <c r="I539" s="40">
        <f>LOOKUP(H539,{0,13,15,17,19,21,23,25,27,29,31,33,35,37,39,41,43,46,49,51,53},{0,10,20,30,40,50,60,62,64,66,68,70,72,74,76,78,80,85,90,95,100})</f>
        <v>95</v>
      </c>
      <c r="J539" s="45"/>
      <c r="K539" s="45"/>
      <c r="L539" s="7">
        <f>I539+K539</f>
        <v>95</v>
      </c>
      <c r="M539" s="6">
        <v>8.4</v>
      </c>
      <c r="N539" s="43">
        <f>13-M539</f>
        <v>4.6</v>
      </c>
      <c r="O539" s="40">
        <f>LOOKUP(N539,{0,1.4,1.6,1.8,2,2.2,2.4,2.6,2.8,3,3.2,3.4,3.6,3.8,4,4.2,4.4,4.7,5,5.1,5.2},{0,10,20,30,40,50,60,62,64,66,68,70,72,74,76,78,80,85,90,95,100})</f>
        <v>80</v>
      </c>
      <c r="P539" s="6">
        <v>4.19</v>
      </c>
      <c r="Q539" s="6">
        <f>10-P539</f>
        <v>5.81</v>
      </c>
      <c r="R539" s="40">
        <f>LOOKUP(Q539,{0,4.7,4.8,4.9,5,5.5,5.6,5.65,5.7,5.75,5.8,5.85,5.9,5.95,6,6.45,6.5,6.57,6.64,6.7,6.76},{0,10,20,30,40,50,60,62,64,66,68,70,72,74,76,78,80,85,90,95,100})</f>
        <v>68</v>
      </c>
      <c r="S539" s="45"/>
      <c r="T539" s="45"/>
      <c r="U539" s="7">
        <f>R539+T539</f>
        <v>68</v>
      </c>
      <c r="W539" s="7">
        <f>E539*0.1+G539*0.1+I539*0.1+O539*0.2+R539*0.2</f>
        <v>54.3</v>
      </c>
      <c r="X539" s="21">
        <f>W539/0.7+K539+T539</f>
        <v>77.5714285714286</v>
      </c>
    </row>
    <row r="540" ht="15.6" spans="1:24">
      <c r="A540" s="6">
        <v>114</v>
      </c>
      <c r="B540" s="29" t="s">
        <v>715</v>
      </c>
      <c r="C540" s="29" t="s">
        <v>46</v>
      </c>
      <c r="D540" s="6">
        <v>4.4</v>
      </c>
      <c r="E540" s="40">
        <f>LOOKUP(D540,{0,0.4,1.2,2,2.8,3.6,4.4,5.7,7,8.3,9.6,10.9,12.2,13.5,14.8,16.1,17.4,19.1,20.8,22.5,24.2},{0,10,20,30,40,50,60,62,64,66,68,70,72,74,76,78,80,85,90,95,100})</f>
        <v>60</v>
      </c>
      <c r="F540" s="6">
        <v>189</v>
      </c>
      <c r="G540" s="40">
        <f>LOOKUP(F540,{0,123,128,133,138,143,148,151,154,157,160,163,166,169,172,175,178,185,192,198,204},{0,10,20,30,40,50,60,62,64,66,68,70,72,74,76,78,80,85,90,95,100})</f>
        <v>85</v>
      </c>
      <c r="H540" s="6">
        <v>41</v>
      </c>
      <c r="I540" s="40">
        <f>LOOKUP(H540,{0,13,15,17,19,21,23,25,27,29,31,33,35,37,39,41,43,46,49,51,53},{0,10,20,30,40,50,60,62,64,66,68,70,72,74,76,78,80,85,90,95,100})</f>
        <v>78</v>
      </c>
      <c r="J540" s="45"/>
      <c r="K540" s="45"/>
      <c r="L540" s="7">
        <f>I540+K540</f>
        <v>78</v>
      </c>
      <c r="M540" s="6">
        <v>8.4</v>
      </c>
      <c r="N540" s="43">
        <f>13-M540</f>
        <v>4.6</v>
      </c>
      <c r="O540" s="40">
        <f>LOOKUP(N540,{0,1.4,1.6,1.8,2,2.2,2.4,2.6,2.8,3,3.2,3.4,3.6,3.8,4,4.2,4.4,4.7,5,5.1,5.2},{0,10,20,30,40,50,60,62,64,66,68,70,72,74,76,78,80,85,90,95,100})</f>
        <v>80</v>
      </c>
      <c r="P540" s="6">
        <v>3.48</v>
      </c>
      <c r="Q540" s="6">
        <f>10-P540</f>
        <v>6.52</v>
      </c>
      <c r="R540" s="40">
        <f>LOOKUP(Q540,{0,4.7,4.8,4.9,5,5.5,5.6,5.65,5.7,5.75,5.8,5.85,5.9,5.95,6,6.45,6.5,6.57,6.64,6.7,6.76},{0,10,20,30,40,50,60,62,64,66,68,70,72,74,76,78,80,85,90,95,100})</f>
        <v>80</v>
      </c>
      <c r="S540" s="45"/>
      <c r="T540" s="45"/>
      <c r="U540" s="7">
        <f>R540+T540</f>
        <v>80</v>
      </c>
      <c r="W540" s="7">
        <f>E540*0.1+G540*0.1+I540*0.1+O540*0.2+R540*0.2</f>
        <v>54.3</v>
      </c>
      <c r="X540" s="21">
        <f>W540/0.7+K540+T540</f>
        <v>77.5714285714286</v>
      </c>
    </row>
    <row r="541" ht="15.6" spans="1:24">
      <c r="A541" s="6">
        <v>106</v>
      </c>
      <c r="B541" s="29" t="s">
        <v>284</v>
      </c>
      <c r="C541" s="29" t="s">
        <v>46</v>
      </c>
      <c r="D541" s="6">
        <v>12.2</v>
      </c>
      <c r="E541" s="40">
        <f>LOOKUP(D541,{0,0.4,1.2,2,2.8,3.6,4.4,5.7,7,8.3,9.6,10.9,12.2,13.5,14.8,16.1,17.4,19.1,20.8,22.5,24.2},{0,10,20,30,40,50,60,62,64,66,68,70,72,74,76,78,80,85,90,95,100})</f>
        <v>72</v>
      </c>
      <c r="F541" s="6">
        <v>165</v>
      </c>
      <c r="G541" s="40">
        <f>LOOKUP(F541,{0,123,128,133,138,143,148,151,154,157,160,163,166,169,172,175,178,185,192,198,204},{0,10,20,30,40,50,60,62,64,66,68,70,72,74,76,78,80,85,90,95,100})</f>
        <v>70</v>
      </c>
      <c r="H541" s="6">
        <v>48</v>
      </c>
      <c r="I541" s="40">
        <f>LOOKUP(H541,{0,13,15,17,19,21,23,25,27,29,31,33,35,37,39,41,43,46,49,51,53},{0,10,20,30,40,50,60,62,64,66,68,70,72,74,76,78,80,85,90,95,100})</f>
        <v>85</v>
      </c>
      <c r="J541" s="45"/>
      <c r="K541" s="45"/>
      <c r="L541" s="7">
        <f>I541+K541</f>
        <v>85</v>
      </c>
      <c r="M541" s="6">
        <v>8.8</v>
      </c>
      <c r="N541" s="43">
        <f>13-M541</f>
        <v>4.2</v>
      </c>
      <c r="O541" s="40">
        <f>LOOKUP(N541,{0,1.4,1.6,1.8,2,2.2,2.4,2.6,2.8,3,3.2,3.4,3.6,3.8,4,4.2,4.4,4.7,5,5.1,5.2},{0,10,20,30,40,50,60,62,64,66,68,70,72,74,76,78,80,85,90,95,100})</f>
        <v>78</v>
      </c>
      <c r="P541" s="6">
        <v>3.49</v>
      </c>
      <c r="Q541" s="6">
        <f>10-P541</f>
        <v>6.51</v>
      </c>
      <c r="R541" s="40">
        <f>LOOKUP(Q541,{0,4.7,4.8,4.9,5,5.5,5.6,5.65,5.7,5.75,5.8,5.85,5.9,5.95,6,6.45,6.5,6.57,6.64,6.7,6.76},{0,10,20,30,40,50,60,62,64,66,68,70,72,74,76,78,80,85,90,95,100})</f>
        <v>80</v>
      </c>
      <c r="S541" s="45"/>
      <c r="T541" s="45"/>
      <c r="U541" s="7">
        <f>R541+T541</f>
        <v>80</v>
      </c>
      <c r="W541" s="7">
        <f>E541*0.1+G541*0.1+I541*0.1+O541*0.2+R541*0.2</f>
        <v>54.3</v>
      </c>
      <c r="X541" s="21">
        <f>W541/0.7+K541+T541</f>
        <v>77.5714285714286</v>
      </c>
    </row>
    <row r="542" ht="15.6" spans="1:24">
      <c r="A542" s="6">
        <v>108</v>
      </c>
      <c r="B542" s="29" t="s">
        <v>391</v>
      </c>
      <c r="C542" s="29" t="s">
        <v>46</v>
      </c>
      <c r="D542" s="6">
        <v>12</v>
      </c>
      <c r="E542" s="40">
        <f>LOOKUP(D542,{0,0.4,1.2,2,2.8,3.6,4.4,5.7,7,8.3,9.6,10.9,12.2,13.5,14.8,16.1,17.4,19.1,20.8,22.5,24.2},{0,10,20,30,40,50,60,62,64,66,68,70,72,74,76,78,80,85,90,95,100})</f>
        <v>70</v>
      </c>
      <c r="F542" s="6">
        <v>155</v>
      </c>
      <c r="G542" s="40">
        <f>LOOKUP(F542,{0,123,128,133,138,143,148,151,154,157,160,163,166,169,172,175,178,185,192,198,204},{0,10,20,30,40,50,60,62,64,66,68,70,72,74,76,78,80,85,90,95,100})</f>
        <v>64</v>
      </c>
      <c r="H542" s="6">
        <v>45</v>
      </c>
      <c r="I542" s="40">
        <f>LOOKUP(H542,{0,13,15,17,19,21,23,25,27,29,31,33,35,37,39,41,43,46,49,51,53},{0,10,20,30,40,50,60,62,64,66,68,70,72,74,76,78,80,85,90,95,100})</f>
        <v>80</v>
      </c>
      <c r="J542" s="45"/>
      <c r="K542" s="45"/>
      <c r="L542" s="7">
        <f>I542+K542</f>
        <v>80</v>
      </c>
      <c r="M542" s="6">
        <v>9.1</v>
      </c>
      <c r="N542" s="43">
        <f>13-M542</f>
        <v>3.9</v>
      </c>
      <c r="O542" s="40">
        <f>LOOKUP(N542,{0,1.4,1.6,1.8,2,2.2,2.4,2.6,2.8,3,3.2,3.4,3.6,3.8,4,4.2,4.4,4.7,5,5.1,5.2},{0,10,20,30,40,50,60,62,64,66,68,70,72,74,76,78,80,85,90,95,100})</f>
        <v>74</v>
      </c>
      <c r="P542" s="6">
        <v>3.34</v>
      </c>
      <c r="Q542" s="6">
        <f>10-P542</f>
        <v>6.66</v>
      </c>
      <c r="R542" s="40">
        <f>LOOKUP(Q542,{0,4.7,4.8,4.9,5,5.5,5.6,5.65,5.7,5.75,5.8,5.85,5.9,5.95,6,6.45,6.5,6.57,6.64,6.7,6.76},{0,10,20,30,40,50,60,62,64,66,68,70,72,74,76,78,80,85,90,95,100})</f>
        <v>90</v>
      </c>
      <c r="S542" s="45"/>
      <c r="T542" s="45"/>
      <c r="U542" s="7">
        <f>R542+T542</f>
        <v>90</v>
      </c>
      <c r="W542" s="7">
        <f>E542*0.1+G542*0.1+I542*0.1+O542*0.2+R542*0.2</f>
        <v>54.2</v>
      </c>
      <c r="X542" s="21">
        <f>W542/0.7+K542+T542</f>
        <v>77.4285714285714</v>
      </c>
    </row>
    <row r="543" ht="15.6" spans="1:24">
      <c r="A543" s="6">
        <v>116</v>
      </c>
      <c r="B543" s="29" t="s">
        <v>825</v>
      </c>
      <c r="C543" s="29" t="s">
        <v>46</v>
      </c>
      <c r="D543" s="6">
        <v>8.2</v>
      </c>
      <c r="E543" s="40">
        <f>LOOKUP(D543,{0,0.4,1.2,2,2.8,3.6,4.4,5.7,7,8.3,9.6,10.9,12.2,13.5,14.8,16.1,17.4,19.1,20.8,22.5,24.2},{0,10,20,30,40,50,60,62,64,66,68,70,72,74,76,78,80,85,90,95,100})</f>
        <v>64</v>
      </c>
      <c r="F543" s="6">
        <v>182</v>
      </c>
      <c r="G543" s="40">
        <f>LOOKUP(F543,{0,123,128,133,138,143,148,151,154,157,160,163,166,169,172,175,178,185,192,198,204},{0,10,20,30,40,50,60,62,64,66,68,70,72,74,76,78,80,85,90,95,100})</f>
        <v>80</v>
      </c>
      <c r="H543" s="6">
        <v>41</v>
      </c>
      <c r="I543" s="40">
        <f>LOOKUP(H543,{0,13,15,17,19,21,23,25,27,29,31,33,35,37,39,41,43,46,49,51,53},{0,10,20,30,40,50,60,62,64,66,68,70,72,74,76,78,80,85,90,95,100})</f>
        <v>78</v>
      </c>
      <c r="J543" s="45"/>
      <c r="K543" s="45"/>
      <c r="L543" s="7">
        <f>I543+K543</f>
        <v>78</v>
      </c>
      <c r="M543" s="6">
        <v>8.5</v>
      </c>
      <c r="N543" s="43">
        <f>13-M543</f>
        <v>4.5</v>
      </c>
      <c r="O543" s="40">
        <f>LOOKUP(N543,{0,1.4,1.6,1.8,2,2.2,2.4,2.6,2.8,3,3.2,3.4,3.6,3.8,4,4.2,4.4,4.7,5,5.1,5.2},{0,10,20,30,40,50,60,62,64,66,68,70,72,74,76,78,80,85,90,95,100})</f>
        <v>80</v>
      </c>
      <c r="P543" s="6">
        <v>3.5</v>
      </c>
      <c r="Q543" s="6">
        <f>10-P543</f>
        <v>6.5</v>
      </c>
      <c r="R543" s="40">
        <f>LOOKUP(Q543,{0,4.7,4.8,4.9,5,5.5,5.6,5.65,5.7,5.75,5.8,5.85,5.9,5.95,6,6.45,6.5,6.57,6.64,6.7,6.76},{0,10,20,30,40,50,60,62,64,66,68,70,72,74,76,78,80,85,90,95,100})</f>
        <v>80</v>
      </c>
      <c r="S543" s="45"/>
      <c r="T543" s="45"/>
      <c r="U543" s="7">
        <f>R543+T543</f>
        <v>80</v>
      </c>
      <c r="W543" s="7">
        <f>E543*0.1+G543*0.1+I543*0.1+O543*0.2+R543*0.2</f>
        <v>54.2</v>
      </c>
      <c r="X543" s="21">
        <f>W543/0.7+K543+T543</f>
        <v>77.4285714285714</v>
      </c>
    </row>
    <row r="544" ht="15.6" spans="1:24">
      <c r="A544" s="6">
        <v>116</v>
      </c>
      <c r="B544" s="29" t="s">
        <v>810</v>
      </c>
      <c r="C544" s="29" t="s">
        <v>46</v>
      </c>
      <c r="D544" s="6">
        <v>15.6</v>
      </c>
      <c r="E544" s="40">
        <f>LOOKUP(D544,{0,0.4,1.2,2,2.8,3.6,4.4,5.7,7,8.3,9.6,10.9,12.2,13.5,14.8,16.1,17.4,19.1,20.8,22.5,24.2},{0,10,20,30,40,50,60,62,64,66,68,70,72,74,76,78,80,85,90,95,100})</f>
        <v>76</v>
      </c>
      <c r="F544" s="6">
        <v>173</v>
      </c>
      <c r="G544" s="40">
        <f>LOOKUP(F544,{0,123,128,133,138,143,148,151,154,157,160,163,166,169,172,175,178,185,192,198,204},{0,10,20,30,40,50,60,62,64,66,68,70,72,74,76,78,80,85,90,95,100})</f>
        <v>76</v>
      </c>
      <c r="H544" s="6">
        <v>50</v>
      </c>
      <c r="I544" s="40">
        <f>LOOKUP(H544,{0,13,15,17,19,21,23,25,27,29,31,33,35,37,39,41,43,46,49,51,53},{0,10,20,30,40,50,60,62,64,66,68,70,72,74,76,78,80,85,90,95,100})</f>
        <v>90</v>
      </c>
      <c r="J544" s="45"/>
      <c r="K544" s="45"/>
      <c r="L544" s="7">
        <f>I544+K544</f>
        <v>90</v>
      </c>
      <c r="M544" s="6">
        <v>9.4</v>
      </c>
      <c r="N544" s="43">
        <f>13-M544</f>
        <v>3.6</v>
      </c>
      <c r="O544" s="40">
        <f>LOOKUP(N544,{0,1.4,1.6,1.8,2,2.2,2.4,2.6,2.8,3,3.2,3.4,3.6,3.8,4,4.2,4.4,4.7,5,5.1,5.2},{0,10,20,30,40,50,60,62,64,66,68,70,72,74,76,78,80,85,90,95,100})</f>
        <v>72</v>
      </c>
      <c r="P544" s="6">
        <v>3.52</v>
      </c>
      <c r="Q544" s="6">
        <f>10-P544</f>
        <v>6.48</v>
      </c>
      <c r="R544" s="40">
        <f>LOOKUP(Q544,{0,4.7,4.8,4.9,5,5.5,5.6,5.65,5.7,5.75,5.8,5.85,5.9,5.95,6,6.45,6.5,6.57,6.64,6.7,6.76},{0,10,20,30,40,50,60,62,64,66,68,70,72,74,76,78,80,85,90,95,100})</f>
        <v>78</v>
      </c>
      <c r="S544" s="45"/>
      <c r="T544" s="45"/>
      <c r="U544" s="7">
        <f>R544+T544</f>
        <v>78</v>
      </c>
      <c r="W544" s="7">
        <f>E544*0.1+G544*0.1+I544*0.1+O544*0.2+R544*0.2</f>
        <v>54.2</v>
      </c>
      <c r="X544" s="21">
        <f>W544/0.7+K544+T544</f>
        <v>77.4285714285714</v>
      </c>
    </row>
    <row r="545" ht="15.6" spans="1:24">
      <c r="A545" s="6">
        <v>110</v>
      </c>
      <c r="B545" s="39" t="s">
        <v>491</v>
      </c>
      <c r="C545" s="29" t="s">
        <v>46</v>
      </c>
      <c r="D545" s="6">
        <v>18</v>
      </c>
      <c r="E545" s="40">
        <f>LOOKUP(D545,{0,0.4,1.2,2,2.8,3.6,4.4,5.7,7,8.3,9.6,10.9,12.2,13.5,14.8,16.1,17.4,19.1,20.8,22.5,24.2},{0,10,20,30,40,50,60,62,64,66,68,70,72,74,76,78,80,85,90,95,100})</f>
        <v>80</v>
      </c>
      <c r="F545" s="6">
        <v>170</v>
      </c>
      <c r="G545" s="40">
        <f>LOOKUP(F545,{0,123,128,133,138,143,148,151,154,157,160,163,166,169,172,175,178,185,192,198,204},{0,10,20,30,40,50,60,62,64,66,68,70,72,74,76,78,80,85,90,95,100})</f>
        <v>74</v>
      </c>
      <c r="H545" s="6">
        <v>45</v>
      </c>
      <c r="I545" s="40">
        <f>LOOKUP(H545,{0,13,15,17,19,21,23,25,27,29,31,33,35,37,39,41,43,46,49,51,53},{0,10,20,30,40,50,60,62,64,66,68,70,72,74,76,78,80,85,90,95,100})</f>
        <v>80</v>
      </c>
      <c r="J545" s="45"/>
      <c r="K545" s="45"/>
      <c r="L545" s="7">
        <f>I545+K545</f>
        <v>80</v>
      </c>
      <c r="M545" s="6">
        <v>8.7</v>
      </c>
      <c r="N545" s="43">
        <f>13-M545</f>
        <v>4.3</v>
      </c>
      <c r="O545" s="40">
        <f>LOOKUP(N545,{0,1.4,1.6,1.8,2,2.2,2.4,2.6,2.8,3,3.2,3.4,3.6,3.8,4,4.2,4.4,4.7,5,5.1,5.2},{0,10,20,30,40,50,60,62,64,66,68,70,72,74,76,78,80,85,90,95,100})</f>
        <v>78</v>
      </c>
      <c r="P545" s="6">
        <v>3.56</v>
      </c>
      <c r="Q545" s="6">
        <f>10-P545</f>
        <v>6.44</v>
      </c>
      <c r="R545" s="40">
        <f>LOOKUP(Q545,{0,4.7,4.8,4.9,5,5.5,5.6,5.65,5.7,5.75,5.8,5.85,5.9,5.95,6,6.45,6.5,6.57,6.64,6.7,6.76},{0,10,20,30,40,50,60,62,64,66,68,70,72,74,76,78,80,85,90,95,100})</f>
        <v>76</v>
      </c>
      <c r="S545" s="45"/>
      <c r="T545" s="45"/>
      <c r="U545" s="7">
        <f>R545+T545</f>
        <v>76</v>
      </c>
      <c r="W545" s="7">
        <f>E545*0.1+G545*0.1+I545*0.1+O545*0.2+R545*0.2</f>
        <v>54.2</v>
      </c>
      <c r="X545" s="21">
        <f>W545/0.7+K545+T545</f>
        <v>77.4285714285714</v>
      </c>
    </row>
    <row r="546" ht="15.6" spans="1:24">
      <c r="A546" s="6">
        <v>108</v>
      </c>
      <c r="B546" s="29" t="s">
        <v>403</v>
      </c>
      <c r="C546" s="29" t="s">
        <v>46</v>
      </c>
      <c r="D546" s="6">
        <v>3.5</v>
      </c>
      <c r="E546" s="40">
        <f>LOOKUP(D546,{0,0.4,1.2,2,2.8,3.6,4.4,5.7,7,8.3,9.6,10.9,12.2,13.5,14.8,16.1,17.4,19.1,20.8,22.5,24.2},{0,10,20,30,40,50,60,62,64,66,68,70,72,74,76,78,80,85,90,95,100})</f>
        <v>40</v>
      </c>
      <c r="F546" s="6">
        <v>165</v>
      </c>
      <c r="G546" s="40">
        <f>LOOKUP(F546,{0,123,128,133,138,143,148,151,154,157,160,163,166,169,172,175,178,185,192,198,204},{0,10,20,30,40,50,60,62,64,66,68,70,72,74,76,78,80,85,90,95,100})</f>
        <v>70</v>
      </c>
      <c r="H546" s="6">
        <v>45</v>
      </c>
      <c r="I546" s="40">
        <f>LOOKUP(H546,{0,13,15,17,19,21,23,25,27,29,31,33,35,37,39,41,43,46,49,51,53},{0,10,20,30,40,50,60,62,64,66,68,70,72,74,76,78,80,85,90,95,100})</f>
        <v>80</v>
      </c>
      <c r="J546" s="45"/>
      <c r="K546" s="45"/>
      <c r="L546" s="7">
        <f>I546+K546</f>
        <v>80</v>
      </c>
      <c r="M546" s="6">
        <v>8.6</v>
      </c>
      <c r="N546" s="43">
        <f>13-M546</f>
        <v>4.4</v>
      </c>
      <c r="O546" s="40">
        <f>LOOKUP(N546,{0,1.4,1.6,1.8,2,2.2,2.4,2.6,2.8,3,3.2,3.4,3.6,3.8,4,4.2,4.4,4.7,5,5.1,5.2},{0,10,20,30,40,50,60,62,64,66,68,70,72,74,76,78,80,85,90,95,100})</f>
        <v>80</v>
      </c>
      <c r="P546" s="6">
        <v>3.27</v>
      </c>
      <c r="Q546" s="6">
        <f>10-P546</f>
        <v>6.73</v>
      </c>
      <c r="R546" s="40">
        <f>LOOKUP(Q546,{0,4.7,4.8,4.9,5,5.5,5.6,5.65,5.7,5.75,5.8,5.85,5.9,5.95,6,6.45,6.5,6.57,6.64,6.7,6.76},{0,10,20,30,40,50,60,62,64,66,68,70,72,74,76,78,80,85,90,95,100})</f>
        <v>95</v>
      </c>
      <c r="S546" s="45"/>
      <c r="T546" s="45"/>
      <c r="U546" s="7">
        <f>R546+T546</f>
        <v>95</v>
      </c>
      <c r="W546" s="7">
        <f>E546*0.1+G546*0.1+I546*0.1+O546*0.2+R546*0.2</f>
        <v>54</v>
      </c>
      <c r="X546" s="21">
        <f>W546/0.7+K546+T546</f>
        <v>77.1428571428572</v>
      </c>
    </row>
    <row r="547" ht="15.6" hidden="1" spans="1:24">
      <c r="A547" s="6">
        <v>116</v>
      </c>
      <c r="B547" s="29" t="s">
        <v>792</v>
      </c>
      <c r="C547" s="29" t="s">
        <v>11</v>
      </c>
      <c r="D547" s="6">
        <v>1</v>
      </c>
      <c r="E547" s="40">
        <f>LOOKUP(D547,{0,-4,-3,-2,-1,0,1,2.4,3.8,5.2,6.6,8,9.4,10.8,12.2,13.6,15,17.2,19.4,21.5,23.6},{0,10,20,30,40,50,60,62,64,66,68,70,72,74,76,78,80,85,90,95,100})</f>
        <v>60</v>
      </c>
      <c r="F547" s="6">
        <v>212</v>
      </c>
      <c r="G547" s="40">
        <f>LOOKUP(F547,{0,170,175,180,185,190,195,199,203,207,211,215,219,223,227,231,235,243,250,255,260},{0,10,20,30,40,50,60,62,64,66,68,70,72,74,76,78,80,85,90,95,100})</f>
        <v>68</v>
      </c>
      <c r="H547" s="6">
        <v>0</v>
      </c>
      <c r="I547" s="40">
        <f>LOOKUP(H547,{0,2,3,4,5,6,7,8,9,10,11,12,13,14,15,16},{0,10,20,30,40,50,60,64,68,72,76,80,85,90,95,100})</f>
        <v>0</v>
      </c>
      <c r="J547" s="7"/>
      <c r="K547" s="7"/>
      <c r="L547" s="7">
        <f>I547+K547</f>
        <v>0</v>
      </c>
      <c r="M547" s="6">
        <v>7.8</v>
      </c>
      <c r="N547" s="43">
        <f>13-M547</f>
        <v>5.2</v>
      </c>
      <c r="O547" s="40">
        <f>LOOKUP(N547,{0,2.5,2.7,2.9,3.1,3.3,3.5,3.7,3.9,4.1,4.3,4.5,4.7,4.9,5.1,5.3,5.5,5.6,5.7,5.8,5.9},{0,10,20,30,40,50,60,62,64,66,68,70,72,74,76,78,80,85,90,95,100})</f>
        <v>76</v>
      </c>
      <c r="P547" s="6">
        <v>4.41</v>
      </c>
      <c r="Q547" s="6">
        <f>10-P547</f>
        <v>5.59</v>
      </c>
      <c r="R547" s="40">
        <f>LOOKUP(Q547,{0,3.75,3.95,4.55,4.75,4.95,5.55,5.6,5.65,5.7,5.75,5.8,5.85,5.9,5.95,6,6.45,6.53,6.6,6.65,6.7},{0,10,20,30,40,50,60,62,64,66,68,70,72,74,76,78,80,85,90,95,100})</f>
        <v>60</v>
      </c>
      <c r="S547" s="7"/>
      <c r="T547" s="7"/>
      <c r="U547" s="7">
        <f>R547+T547</f>
        <v>60</v>
      </c>
      <c r="W547" s="7">
        <f>E547*0.1+G547*0.1+I547*0.1+O547*0.2+R547*0.2</f>
        <v>40</v>
      </c>
      <c r="X547" s="21">
        <f>W547/0.7+K547+T547</f>
        <v>57.1428571428571</v>
      </c>
    </row>
    <row r="548" ht="15.6" hidden="1" spans="1:24">
      <c r="A548" s="6">
        <v>104</v>
      </c>
      <c r="B548" s="29" t="s">
        <v>169</v>
      </c>
      <c r="C548" s="29" t="s">
        <v>11</v>
      </c>
      <c r="D548" s="6">
        <v>18.5</v>
      </c>
      <c r="E548" s="40">
        <f>LOOKUP(D548,{0,-4,-3,-2,-1,0,1,2.4,3.8,5.2,6.6,8,9.4,10.8,12.2,13.6,15,17.2,19.4,21.5,23.6},{0,10,20,30,40,50,60,62,64,66,68,70,72,74,76,78,80,85,90,95,100})</f>
        <v>85</v>
      </c>
      <c r="F548" s="6">
        <v>206</v>
      </c>
      <c r="G548" s="40">
        <f>LOOKUP(F548,{0,170,175,180,185,190,195,199,203,207,211,215,219,223,227,231,235,243,250,255,260},{0,10,20,30,40,50,60,62,64,66,68,70,72,74,76,78,80,85,90,95,100})</f>
        <v>64</v>
      </c>
      <c r="H548" s="6">
        <v>0</v>
      </c>
      <c r="I548" s="40">
        <f>LOOKUP(H548,{0,2,3,4,5,6,7,8,9,10,11,12,13,14,15,16},{0,10,20,30,40,50,60,64,68,72,76,80,85,90,95,100})</f>
        <v>0</v>
      </c>
      <c r="J548" s="7"/>
      <c r="K548" s="7"/>
      <c r="L548" s="7">
        <f>I548+K548</f>
        <v>0</v>
      </c>
      <c r="M548" s="6">
        <v>7.8</v>
      </c>
      <c r="N548" s="43">
        <f>13-M548</f>
        <v>5.2</v>
      </c>
      <c r="O548" s="40">
        <f>LOOKUP(N548,{0,2.5,2.7,2.9,3.1,3.3,3.5,3.7,3.9,4.1,4.3,4.5,4.7,4.9,5.1,5.3,5.5,5.6,5.7,5.8,5.9},{0,10,20,30,40,50,60,62,64,66,68,70,72,74,76,78,80,85,90,95,100})</f>
        <v>76</v>
      </c>
      <c r="P548" s="6">
        <v>4.42</v>
      </c>
      <c r="Q548" s="6">
        <f>10-P548</f>
        <v>5.58</v>
      </c>
      <c r="R548" s="40">
        <f>LOOKUP(Q548,{0,3.75,3.95,4.55,4.75,4.95,5.55,5.6,5.65,5.7,5.75,5.8,5.85,5.9,5.95,6,6.45,6.53,6.6,6.65,6.7},{0,10,20,30,40,50,60,62,64,66,68,70,72,74,76,78,80,85,90,95,100})</f>
        <v>60</v>
      </c>
      <c r="S548" s="7"/>
      <c r="T548" s="7"/>
      <c r="U548" s="7">
        <f>R548+T548</f>
        <v>60</v>
      </c>
      <c r="W548" s="7">
        <f>E548*0.1+G548*0.1+I548*0.1+O548*0.2+R548*0.2</f>
        <v>42.1</v>
      </c>
      <c r="X548" s="21">
        <f>W548/0.7+K548+T548</f>
        <v>60.1428571428571</v>
      </c>
    </row>
    <row r="549" s="3" customFormat="1" ht="15.6" hidden="1" spans="1:24">
      <c r="A549" s="6">
        <v>114</v>
      </c>
      <c r="B549" s="29" t="s">
        <v>678</v>
      </c>
      <c r="C549" s="29" t="s">
        <v>11</v>
      </c>
      <c r="D549" s="6">
        <v>2.5</v>
      </c>
      <c r="E549" s="40">
        <f>LOOKUP(D549,{0,-4,-3,-2,-1,0,1,2.4,3.8,5.2,6.6,8,9.4,10.8,12.2,13.6,15,17.2,19.4,21.5,23.6},{0,10,20,30,40,50,60,62,64,66,68,70,72,74,76,78,80,85,90,95,100})</f>
        <v>62</v>
      </c>
      <c r="F549" s="6">
        <v>215</v>
      </c>
      <c r="G549" s="40">
        <f>LOOKUP(F549,{0,170,175,180,185,190,195,199,203,207,211,215,219,223,227,231,235,243,250,255,260},{0,10,20,30,40,50,60,62,64,66,68,70,72,74,76,78,80,85,90,95,100})</f>
        <v>70</v>
      </c>
      <c r="H549" s="6">
        <v>6</v>
      </c>
      <c r="I549" s="40">
        <f>LOOKUP(H549,{0,2,3,4,5,6,7,8,9,10,11,12,13,14,15,16},{0,10,20,30,40,50,60,64,68,72,76,80,85,90,95,100})</f>
        <v>50</v>
      </c>
      <c r="J549" s="7"/>
      <c r="K549" s="7"/>
      <c r="L549" s="7">
        <f>I549+K549</f>
        <v>50</v>
      </c>
      <c r="M549" s="6">
        <v>7.8</v>
      </c>
      <c r="N549" s="43">
        <f>13-M549</f>
        <v>5.2</v>
      </c>
      <c r="O549" s="40">
        <f>LOOKUP(N549,{0,2.5,2.7,2.9,3.1,3.3,3.5,3.7,3.9,4.1,4.3,4.5,4.7,4.9,5.1,5.3,5.5,5.6,5.7,5.8,5.9},{0,10,20,30,40,50,60,62,64,66,68,70,72,74,76,78,80,85,90,95,100})</f>
        <v>76</v>
      </c>
      <c r="P549" s="6">
        <v>5.2</v>
      </c>
      <c r="Q549" s="6">
        <f>10-P549</f>
        <v>4.8</v>
      </c>
      <c r="R549" s="40">
        <f>LOOKUP(Q549,{0,3.75,3.95,4.55,4.75,4.95,5.55,5.6,5.65,5.7,5.75,5.8,5.85,5.9,5.95,6,6.45,6.53,6.6,6.65,6.7},{0,10,20,30,40,50,60,62,64,66,68,70,72,74,76,78,80,85,90,95,100})</f>
        <v>40</v>
      </c>
      <c r="S549" s="7"/>
      <c r="T549" s="7"/>
      <c r="U549" s="7">
        <f>R549+T549</f>
        <v>40</v>
      </c>
      <c r="V549" s="6"/>
      <c r="W549" s="7">
        <f>E549*0.1+G549*0.1+I549*0.1+O549*0.2+R549*0.2</f>
        <v>41.4</v>
      </c>
      <c r="X549" s="21">
        <f>W549/0.7+K549+T549</f>
        <v>59.1428571428571</v>
      </c>
    </row>
    <row r="550" ht="15.6" hidden="1" spans="1:24">
      <c r="A550" s="6">
        <v>109</v>
      </c>
      <c r="B550" s="39" t="s">
        <v>405</v>
      </c>
      <c r="C550" s="29" t="s">
        <v>11</v>
      </c>
      <c r="D550" s="6">
        <v>11</v>
      </c>
      <c r="E550" s="40">
        <f>LOOKUP(D550,{0,-4,-3,-2,-1,0,1,2.4,3.8,5.2,6.6,8,9.4,10.8,12.2,13.6,15,17.2,19.4,21.5,23.6},{0,10,20,30,40,50,60,62,64,66,68,70,72,74,76,78,80,85,90,95,100})</f>
        <v>74</v>
      </c>
      <c r="F550" s="6">
        <v>205</v>
      </c>
      <c r="G550" s="40">
        <f>LOOKUP(F550,{0,170,175,180,185,190,195,199,203,207,211,215,219,223,227,231,235,243,250,255,260},{0,10,20,30,40,50,60,62,64,66,68,70,72,74,76,78,80,85,90,95,100})</f>
        <v>64</v>
      </c>
      <c r="H550" s="6">
        <v>0</v>
      </c>
      <c r="I550" s="40">
        <f>LOOKUP(H550,{0,2,3,4,5,6,7,8,9,10,11,12,13,14,15,16},{0,10,20,30,40,50,60,64,68,72,76,80,85,90,95,100})</f>
        <v>0</v>
      </c>
      <c r="J550" s="7"/>
      <c r="K550" s="7"/>
      <c r="L550" s="7">
        <f>I550+K550</f>
        <v>0</v>
      </c>
      <c r="M550" s="6">
        <v>7.8</v>
      </c>
      <c r="N550" s="43">
        <f>13-M550</f>
        <v>5.2</v>
      </c>
      <c r="O550" s="40">
        <f>LOOKUP(N550,{0,2.5,2.7,2.9,3.1,3.3,3.5,3.7,3.9,4.1,4.3,4.5,4.7,4.9,5.1,5.3,5.5,5.6,5.7,5.8,5.9},{0,10,20,30,40,50,60,62,64,66,68,70,72,74,76,78,80,85,90,95,100})</f>
        <v>76</v>
      </c>
      <c r="P550" s="6">
        <v>5.35</v>
      </c>
      <c r="Q550" s="6">
        <f>10-P550</f>
        <v>4.65</v>
      </c>
      <c r="R550" s="40">
        <f>LOOKUP(Q550,{0,3.75,3.95,4.55,4.75,4.95,5.55,5.6,5.65,5.7,5.75,5.8,5.85,5.9,5.95,6,6.45,6.53,6.6,6.65,6.7},{0,10,20,30,40,50,60,62,64,66,68,70,72,74,76,78,80,85,90,95,100})</f>
        <v>30</v>
      </c>
      <c r="S550" s="7"/>
      <c r="T550" s="7"/>
      <c r="U550" s="7">
        <f>R550+T550</f>
        <v>30</v>
      </c>
      <c r="W550" s="7">
        <f>E550*0.1+G550*0.1+I550*0.1+O550*0.2+R550*0.2</f>
        <v>35</v>
      </c>
      <c r="X550" s="21">
        <f>W550/0.7+K550+T550</f>
        <v>50</v>
      </c>
    </row>
    <row r="551" ht="15.6" hidden="1" spans="1:24">
      <c r="A551" s="6">
        <v>110</v>
      </c>
      <c r="B551" s="29" t="s">
        <v>489</v>
      </c>
      <c r="C551" s="29" t="s">
        <v>11</v>
      </c>
      <c r="D551" s="6">
        <v>23.5</v>
      </c>
      <c r="E551" s="40">
        <f>LOOKUP(D551,{0,-4,-3,-2,-1,0,1,2.4,3.8,5.2,6.6,8,9.4,10.8,12.2,13.6,15,17.2,19.4,21.5,23.6},{0,10,20,30,40,50,60,62,64,66,68,70,72,74,76,78,80,85,90,95,100})</f>
        <v>95</v>
      </c>
      <c r="F551" s="6">
        <v>235</v>
      </c>
      <c r="G551" s="40">
        <f>LOOKUP(F551,{0,170,175,180,185,190,195,199,203,207,211,215,219,223,227,231,235,243,250,255,260},{0,10,20,30,40,50,60,62,64,66,68,70,72,74,76,78,80,85,90,95,100})</f>
        <v>80</v>
      </c>
      <c r="H551" s="6">
        <v>12</v>
      </c>
      <c r="I551" s="40">
        <f>LOOKUP(H551,{0,2,3,4,5,6,7,8,9,10,11,12,13,14,15,16},{0,10,20,30,40,50,60,64,68,72,76,80,85,90,95,100})</f>
        <v>80</v>
      </c>
      <c r="J551" s="7"/>
      <c r="K551" s="7"/>
      <c r="L551" s="7">
        <f>I551+K551</f>
        <v>80</v>
      </c>
      <c r="M551" s="6">
        <v>7.9</v>
      </c>
      <c r="N551" s="43">
        <f>13-M551</f>
        <v>5.1</v>
      </c>
      <c r="O551" s="40">
        <f>LOOKUP(N551,{0,2.5,2.7,2.9,3.1,3.3,3.5,3.7,3.9,4.1,4.3,4.5,4.7,4.9,5.1,5.3,5.5,5.6,5.7,5.8,5.9},{0,10,20,30,40,50,60,62,64,66,68,70,72,74,76,78,80,85,90,95,100})</f>
        <v>76</v>
      </c>
      <c r="P551" s="6">
        <v>3.47</v>
      </c>
      <c r="Q551" s="6">
        <f>10-P551</f>
        <v>6.53</v>
      </c>
      <c r="R551" s="40">
        <f>LOOKUP(Q551,{0,3.75,3.95,4.55,4.75,4.95,5.55,5.6,5.65,5.7,5.75,5.8,5.85,5.9,5.95,6,6.45,6.53,6.6,6.65,6.7},{0,10,20,30,40,50,60,62,64,66,68,70,72,74,76,78,80,85,90,95,100})</f>
        <v>85</v>
      </c>
      <c r="S551" s="7"/>
      <c r="T551" s="7"/>
      <c r="U551" s="7">
        <f>R551+T551</f>
        <v>85</v>
      </c>
      <c r="W551" s="7">
        <f>E551*0.1+G551*0.1+I551*0.1+O551*0.2+R551*0.2</f>
        <v>57.7</v>
      </c>
      <c r="X551" s="21">
        <f>W551/0.7+K551+T551</f>
        <v>82.4285714285714</v>
      </c>
    </row>
    <row r="552" ht="15.6" hidden="1" spans="1:24">
      <c r="A552" s="6">
        <v>115</v>
      </c>
      <c r="B552" s="29" t="s">
        <v>748</v>
      </c>
      <c r="C552" s="29" t="s">
        <v>11</v>
      </c>
      <c r="D552" s="6">
        <v>17.5</v>
      </c>
      <c r="E552" s="40">
        <f>LOOKUP(D552,{0,-4,-3,-2,-1,0,1,2.4,3.8,5.2,6.6,8,9.4,10.8,12.2,13.6,15,17.2,19.4,21.5,23.6},{0,10,20,30,40,50,60,62,64,66,68,70,72,74,76,78,80,85,90,95,100})</f>
        <v>85</v>
      </c>
      <c r="F552" s="6">
        <v>228</v>
      </c>
      <c r="G552" s="40">
        <f>LOOKUP(F552,{0,170,175,180,185,190,195,199,203,207,211,215,219,223,227,231,235,243,250,255,260},{0,10,20,30,40,50,60,62,64,66,68,70,72,74,76,78,80,85,90,95,100})</f>
        <v>76</v>
      </c>
      <c r="H552" s="6">
        <v>17</v>
      </c>
      <c r="I552" s="40">
        <f>LOOKUP(H552,{0,2,3,4,5,6,7,8,9,10,11,12,13,14,15,16},{0,10,20,30,40,50,60,64,68,72,76,80,85,90,95,100})</f>
        <v>100</v>
      </c>
      <c r="J552" s="7">
        <f>H552-16</f>
        <v>1</v>
      </c>
      <c r="K552" s="40">
        <f>LOOKUP(J552,{0,1,2,3,4,5,6,7,8,9,10},{0,1,2,3,4,5,6,7,8,9,10})</f>
        <v>1</v>
      </c>
      <c r="L552" s="7">
        <f>I552+K552</f>
        <v>101</v>
      </c>
      <c r="M552" s="6">
        <v>7.9</v>
      </c>
      <c r="N552" s="43">
        <f>13-M552</f>
        <v>5.1</v>
      </c>
      <c r="O552" s="40">
        <f>LOOKUP(N552,{0,2.5,2.7,2.9,3.1,3.3,3.5,3.7,3.9,4.1,4.3,4.5,4.7,4.9,5.1,5.3,5.5,5.6,5.7,5.8,5.9},{0,10,20,30,40,50,60,62,64,66,68,70,72,74,76,78,80,85,90,95,100})</f>
        <v>76</v>
      </c>
      <c r="P552" s="6">
        <v>3.48</v>
      </c>
      <c r="Q552" s="6">
        <f>10-P552</f>
        <v>6.52</v>
      </c>
      <c r="R552" s="40">
        <f>LOOKUP(Q552,{0,3.75,3.95,4.55,4.75,4.95,5.55,5.6,5.65,5.7,5.75,5.8,5.85,5.9,5.95,6,6.45,6.53,6.6,6.65,6.7},{0,10,20,30,40,50,60,62,64,66,68,70,72,74,76,78,80,85,90,95,100})</f>
        <v>80</v>
      </c>
      <c r="S552" s="7"/>
      <c r="T552" s="7"/>
      <c r="U552" s="7">
        <f>R552+T552</f>
        <v>80</v>
      </c>
      <c r="W552" s="7">
        <f>E552*0.1+G552*0.1+I552*0.1+O552*0.2+R552*0.2</f>
        <v>57.3</v>
      </c>
      <c r="X552" s="21">
        <f>W552/0.7+K552+T552</f>
        <v>82.8571428571429</v>
      </c>
    </row>
    <row r="553" ht="15.6" hidden="1" spans="1:24">
      <c r="A553" s="6">
        <v>112</v>
      </c>
      <c r="B553" s="6" t="s">
        <v>596</v>
      </c>
      <c r="C553" s="30" t="s">
        <v>11</v>
      </c>
      <c r="D553" s="6">
        <v>11.2</v>
      </c>
      <c r="E553" s="40">
        <f>LOOKUP(D553,{0,-4,-3,-2,-1,0,1,2.4,3.8,5.2,6.6,8,9.4,10.8,12.2,13.6,15,17.2,19.4,21.5,23.6},{0,10,20,30,40,50,60,62,64,66,68,70,72,74,76,78,80,85,90,95,100})</f>
        <v>74</v>
      </c>
      <c r="F553" s="6">
        <v>210</v>
      </c>
      <c r="G553" s="40">
        <f>LOOKUP(F553,{0,170,175,180,185,190,195,199,203,207,211,215,219,223,227,231,235,243,250,255,260},{0,10,20,30,40,50,60,62,64,66,68,70,72,74,76,78,80,85,90,95,100})</f>
        <v>66</v>
      </c>
      <c r="H553" s="6">
        <v>6</v>
      </c>
      <c r="I553" s="40">
        <f>LOOKUP(H553,{0,2,3,4,5,6,7,8,9,10,11,12,13,14,15,16},{0,10,20,30,40,50,60,64,68,72,76,80,85,90,95,100})</f>
        <v>50</v>
      </c>
      <c r="J553" s="7"/>
      <c r="K553" s="7"/>
      <c r="L553" s="7">
        <f>I553+K553</f>
        <v>50</v>
      </c>
      <c r="M553" s="6">
        <v>7.9</v>
      </c>
      <c r="N553" s="43">
        <f>13-M553</f>
        <v>5.1</v>
      </c>
      <c r="O553" s="40">
        <f>LOOKUP(N553,{0,2.5,2.7,2.9,3.1,3.3,3.5,3.7,3.9,4.1,4.3,4.5,4.7,4.9,5.1,5.3,5.5,5.6,5.7,5.8,5.9},{0,10,20,30,40,50,60,62,64,66,68,70,72,74,76,78,80,85,90,95,100})</f>
        <v>76</v>
      </c>
      <c r="P553" s="6">
        <v>3.5</v>
      </c>
      <c r="Q553" s="6">
        <f>10-P553</f>
        <v>6.5</v>
      </c>
      <c r="R553" s="40">
        <f>LOOKUP(Q553,{0,3.75,3.95,4.55,4.75,4.95,5.55,5.6,5.65,5.7,5.75,5.8,5.85,5.9,5.95,6,6.45,6.53,6.6,6.65,6.7},{0,10,20,30,40,50,60,62,64,66,68,70,72,74,76,78,80,85,90,95,100})</f>
        <v>80</v>
      </c>
      <c r="S553" s="7"/>
      <c r="T553" s="7"/>
      <c r="U553" s="7">
        <f>R553+T553</f>
        <v>80</v>
      </c>
      <c r="W553" s="7">
        <f>E553*0.1+G553*0.1+I553*0.1+O553*0.2+R553*0.2</f>
        <v>50.2</v>
      </c>
      <c r="X553" s="21">
        <f>W553/0.7+K553+T553</f>
        <v>71.7142857142857</v>
      </c>
    </row>
    <row r="554" ht="15.6" hidden="1" spans="1:24">
      <c r="A554" s="6">
        <v>116</v>
      </c>
      <c r="B554" s="29" t="s">
        <v>797</v>
      </c>
      <c r="C554" s="29" t="s">
        <v>11</v>
      </c>
      <c r="D554" s="6">
        <v>7.1</v>
      </c>
      <c r="E554" s="40">
        <f>LOOKUP(D554,{0,-4,-3,-2,-1,0,1,2.4,3.8,5.2,6.6,8,9.4,10.8,12.2,13.6,15,17.2,19.4,21.5,23.6},{0,10,20,30,40,50,60,62,64,66,68,70,72,74,76,78,80,85,90,95,100})</f>
        <v>68</v>
      </c>
      <c r="F554" s="6">
        <v>185</v>
      </c>
      <c r="G554" s="40">
        <f>LOOKUP(F554,{0,170,175,180,185,190,195,199,203,207,211,215,219,223,227,231,235,243,250,255,260},{0,10,20,30,40,50,60,62,64,66,68,70,72,74,76,78,80,85,90,95,100})</f>
        <v>40</v>
      </c>
      <c r="H554" s="6">
        <v>19</v>
      </c>
      <c r="I554" s="40">
        <f>LOOKUP(H554,{0,2,3,4,5,6,7,8,9,10,11,12,13,14,15,16},{0,10,20,30,40,50,60,64,68,72,76,80,85,90,95,100})</f>
        <v>100</v>
      </c>
      <c r="J554" s="7">
        <f>H554-16</f>
        <v>3</v>
      </c>
      <c r="K554" s="40">
        <f>LOOKUP(J554,{0,1,2,3,4,5,6,7,8,9,10},{0,1,2,3,4,5,6,7,8,9,10})</f>
        <v>3</v>
      </c>
      <c r="L554" s="7">
        <f>I554+K554</f>
        <v>103</v>
      </c>
      <c r="M554" s="6">
        <v>7.9</v>
      </c>
      <c r="N554" s="43">
        <f>13-M554</f>
        <v>5.1</v>
      </c>
      <c r="O554" s="40">
        <f>LOOKUP(N554,{0,2.5,2.7,2.9,3.1,3.3,3.5,3.7,3.9,4.1,4.3,4.5,4.7,4.9,5.1,5.3,5.5,5.6,5.7,5.8,5.9},{0,10,20,30,40,50,60,62,64,66,68,70,72,74,76,78,80,85,90,95,100})</f>
        <v>76</v>
      </c>
      <c r="P554" s="6">
        <v>3.52</v>
      </c>
      <c r="Q554" s="6">
        <f>10-P554</f>
        <v>6.48</v>
      </c>
      <c r="R554" s="40">
        <f>LOOKUP(Q554,{0,3.75,3.95,4.55,4.75,4.95,5.55,5.6,5.65,5.7,5.75,5.8,5.85,5.9,5.95,6,6.45,6.53,6.6,6.65,6.7},{0,10,20,30,40,50,60,62,64,66,68,70,72,74,76,78,80,85,90,95,100})</f>
        <v>80</v>
      </c>
      <c r="S554" s="7"/>
      <c r="T554" s="7"/>
      <c r="U554" s="7">
        <f>R554+T554</f>
        <v>80</v>
      </c>
      <c r="W554" s="7">
        <f>E554*0.1+G554*0.1+I554*0.1+O554*0.2+R554*0.2</f>
        <v>52</v>
      </c>
      <c r="X554" s="21">
        <f>W554/0.7+K554+T554</f>
        <v>77.2857142857143</v>
      </c>
    </row>
    <row r="555" ht="15.6" hidden="1" spans="1:24">
      <c r="A555" s="6">
        <v>113</v>
      </c>
      <c r="B555" s="29" t="s">
        <v>638</v>
      </c>
      <c r="C555" s="29" t="s">
        <v>11</v>
      </c>
      <c r="D555" s="6">
        <v>14</v>
      </c>
      <c r="E555" s="40">
        <f>LOOKUP(D555,{0,-4,-3,-2,-1,0,1,2.4,3.8,5.2,6.6,8,9.4,10.8,12.2,13.6,15,17.2,19.4,21.5,23.6},{0,10,20,30,40,50,60,62,64,66,68,70,72,74,76,78,80,85,90,95,100})</f>
        <v>78</v>
      </c>
      <c r="F555" s="6">
        <v>245</v>
      </c>
      <c r="G555" s="40">
        <f>LOOKUP(F555,{0,170,175,180,185,190,195,199,203,207,211,215,219,223,227,231,235,243,250,255,260},{0,10,20,30,40,50,60,62,64,66,68,70,72,74,76,78,80,85,90,95,100})</f>
        <v>85</v>
      </c>
      <c r="H555" s="6">
        <v>0</v>
      </c>
      <c r="I555" s="40">
        <f>LOOKUP(H555,{0,2,3,4,5,6,7,8,9,10,11,12,13,14,15,16},{0,10,20,30,40,50,60,64,68,72,76,80,85,90,95,100})</f>
        <v>0</v>
      </c>
      <c r="J555" s="7"/>
      <c r="K555" s="7"/>
      <c r="L555" s="7">
        <f>I555+K555</f>
        <v>0</v>
      </c>
      <c r="M555" s="6">
        <v>7.9</v>
      </c>
      <c r="N555" s="43">
        <f>13-M555</f>
        <v>5.1</v>
      </c>
      <c r="O555" s="40">
        <f>LOOKUP(N555,{0,2.5,2.7,2.9,3.1,3.3,3.5,3.7,3.9,4.1,4.3,4.5,4.7,4.9,5.1,5.3,5.5,5.6,5.7,5.8,5.9},{0,10,20,30,40,50,60,62,64,66,68,70,72,74,76,78,80,85,90,95,100})</f>
        <v>76</v>
      </c>
      <c r="P555" s="6">
        <v>3.52</v>
      </c>
      <c r="Q555" s="6">
        <f>10-P555</f>
        <v>6.48</v>
      </c>
      <c r="R555" s="40">
        <f>LOOKUP(Q555,{0,3.75,3.95,4.55,4.75,4.95,5.55,5.6,5.65,5.7,5.75,5.8,5.85,5.9,5.95,6,6.45,6.53,6.6,6.65,6.7},{0,10,20,30,40,50,60,62,64,66,68,70,72,74,76,78,80,85,90,95,100})</f>
        <v>80</v>
      </c>
      <c r="S555" s="7"/>
      <c r="T555" s="7"/>
      <c r="U555" s="7">
        <f>R555+T555</f>
        <v>80</v>
      </c>
      <c r="W555" s="7">
        <f>E555*0.1+G555*0.1+I555*0.1+O555*0.2+R555*0.2</f>
        <v>47.5</v>
      </c>
      <c r="X555" s="21">
        <f>W555/0.7+K555+T555</f>
        <v>67.8571428571429</v>
      </c>
    </row>
    <row r="556" ht="15.6" hidden="1" spans="1:24">
      <c r="A556" s="6">
        <v>106</v>
      </c>
      <c r="B556" s="29" t="s">
        <v>253</v>
      </c>
      <c r="C556" s="29" t="s">
        <v>11</v>
      </c>
      <c r="D556" s="6">
        <v>9</v>
      </c>
      <c r="E556" s="40">
        <f>LOOKUP(D556,{0,-4,-3,-2,-1,0,1,2.4,3.8,5.2,6.6,8,9.4,10.8,12.2,13.6,15,17.2,19.4,21.5,23.6},{0,10,20,30,40,50,60,62,64,66,68,70,72,74,76,78,80,85,90,95,100})</f>
        <v>70</v>
      </c>
      <c r="F556" s="6">
        <v>205</v>
      </c>
      <c r="G556" s="40">
        <f>LOOKUP(F556,{0,170,175,180,185,190,195,199,203,207,211,215,219,223,227,231,235,243,250,255,260},{0,10,20,30,40,50,60,62,64,66,68,70,72,74,76,78,80,85,90,95,100})</f>
        <v>64</v>
      </c>
      <c r="H556" s="6">
        <v>0</v>
      </c>
      <c r="I556" s="40">
        <f>LOOKUP(H556,{0,2,3,4,5,6,7,8,9,10,11,12,13,14,15,16},{0,10,20,30,40,50,60,64,68,72,76,80,85,90,95,100})</f>
        <v>0</v>
      </c>
      <c r="J556" s="7"/>
      <c r="K556" s="7"/>
      <c r="L556" s="7">
        <f>I556+K556</f>
        <v>0</v>
      </c>
      <c r="M556" s="6">
        <v>7.9</v>
      </c>
      <c r="N556" s="43">
        <f>13-M556</f>
        <v>5.1</v>
      </c>
      <c r="O556" s="40">
        <f>LOOKUP(N556,{0,2.5,2.7,2.9,3.1,3.3,3.5,3.7,3.9,4.1,4.3,4.5,4.7,4.9,5.1,5.3,5.5,5.6,5.7,5.8,5.9},{0,10,20,30,40,50,60,62,64,66,68,70,72,74,76,78,80,85,90,95,100})</f>
        <v>76</v>
      </c>
      <c r="P556" s="6">
        <v>3.52</v>
      </c>
      <c r="Q556" s="6">
        <f>10-P556</f>
        <v>6.48</v>
      </c>
      <c r="R556" s="40">
        <f>LOOKUP(Q556,{0,3.75,3.95,4.55,4.75,4.95,5.55,5.6,5.65,5.7,5.75,5.8,5.85,5.9,5.95,6,6.45,6.53,6.6,6.65,6.7},{0,10,20,30,40,50,60,62,64,66,68,70,72,74,76,78,80,85,90,95,100})</f>
        <v>80</v>
      </c>
      <c r="S556" s="7"/>
      <c r="T556" s="7"/>
      <c r="U556" s="7">
        <f>R556+T556</f>
        <v>80</v>
      </c>
      <c r="W556" s="7">
        <f>E556*0.1+G556*0.1+I556*0.1+O556*0.2+R556*0.2</f>
        <v>44.6</v>
      </c>
      <c r="X556" s="21">
        <f>W556/0.7+K556+T556</f>
        <v>63.7142857142857</v>
      </c>
    </row>
    <row r="557" ht="15.6" hidden="1" spans="1:24">
      <c r="A557" s="6">
        <v>113</v>
      </c>
      <c r="B557" s="29" t="s">
        <v>626</v>
      </c>
      <c r="C557" s="29" t="s">
        <v>11</v>
      </c>
      <c r="D557" s="6">
        <v>14.5</v>
      </c>
      <c r="E557" s="40">
        <f>LOOKUP(D557,{0,-4,-3,-2,-1,0,1,2.4,3.8,5.2,6.6,8,9.4,10.8,12.2,13.6,15,17.2,19.4,21.5,23.6},{0,10,20,30,40,50,60,62,64,66,68,70,72,74,76,78,80,85,90,95,100})</f>
        <v>78</v>
      </c>
      <c r="F557" s="6">
        <v>213</v>
      </c>
      <c r="G557" s="40">
        <f>LOOKUP(F557,{0,170,175,180,185,190,195,199,203,207,211,215,219,223,227,231,235,243,250,255,260},{0,10,20,30,40,50,60,62,64,66,68,70,72,74,76,78,80,85,90,95,100})</f>
        <v>68</v>
      </c>
      <c r="H557" s="6">
        <v>1</v>
      </c>
      <c r="I557" s="40">
        <f>LOOKUP(H557,{0,2,3,4,5,6,7,8,9,10,11,12,13,14,15,16},{0,10,20,30,40,50,60,64,68,72,76,80,85,90,95,100})</f>
        <v>0</v>
      </c>
      <c r="J557" s="7"/>
      <c r="K557" s="7"/>
      <c r="L557" s="7">
        <f>I557+K557</f>
        <v>0</v>
      </c>
      <c r="M557" s="6">
        <v>7.9</v>
      </c>
      <c r="N557" s="43">
        <f>13-M557</f>
        <v>5.1</v>
      </c>
      <c r="O557" s="40">
        <f>LOOKUP(N557,{0,2.5,2.7,2.9,3.1,3.3,3.5,3.7,3.9,4.1,4.3,4.5,4.7,4.9,5.1,5.3,5.5,5.6,5.7,5.8,5.9},{0,10,20,30,40,50,60,62,64,66,68,70,72,74,76,78,80,85,90,95,100})</f>
        <v>76</v>
      </c>
      <c r="P557" s="6">
        <v>3.54</v>
      </c>
      <c r="Q557" s="6">
        <f>10-P557</f>
        <v>6.46</v>
      </c>
      <c r="R557" s="40">
        <f>LOOKUP(Q557,{0,3.75,3.95,4.55,4.75,4.95,5.55,5.6,5.65,5.7,5.75,5.8,5.85,5.9,5.95,6,6.45,6.53,6.6,6.65,6.7},{0,10,20,30,40,50,60,62,64,66,68,70,72,74,76,78,80,85,90,95,100})</f>
        <v>80</v>
      </c>
      <c r="S557" s="7"/>
      <c r="T557" s="7"/>
      <c r="U557" s="7">
        <f>R557+T557</f>
        <v>80</v>
      </c>
      <c r="W557" s="7">
        <f>E557*0.1+G557*0.1+I557*0.1+O557*0.2+R557*0.2</f>
        <v>45.8</v>
      </c>
      <c r="X557" s="21">
        <f>W557/0.7+K557+T557</f>
        <v>65.4285714285714</v>
      </c>
    </row>
    <row r="558" ht="15.6" hidden="1" spans="1:24">
      <c r="A558" s="6">
        <v>113</v>
      </c>
      <c r="B558" s="29" t="s">
        <v>629</v>
      </c>
      <c r="C558" s="29" t="s">
        <v>11</v>
      </c>
      <c r="D558" s="6">
        <v>4.5</v>
      </c>
      <c r="E558" s="40">
        <f>LOOKUP(D558,{0,-4,-3,-2,-1,0,1,2.4,3.8,5.2,6.6,8,9.4,10.8,12.2,13.6,15,17.2,19.4,21.5,23.6},{0,10,20,30,40,50,60,62,64,66,68,70,72,74,76,78,80,85,90,95,100})</f>
        <v>64</v>
      </c>
      <c r="F558" s="6">
        <v>223</v>
      </c>
      <c r="G558" s="40">
        <f>LOOKUP(F558,{0,170,175,180,185,190,195,199,203,207,211,215,219,223,227,231,235,243,250,255,260},{0,10,20,30,40,50,60,62,64,66,68,70,72,74,76,78,80,85,90,95,100})</f>
        <v>74</v>
      </c>
      <c r="H558" s="6">
        <v>1</v>
      </c>
      <c r="I558" s="40">
        <f>LOOKUP(H558,{0,2,3,4,5,6,7,8,9,10,11,12,13,14,15,16},{0,10,20,30,40,50,60,64,68,72,76,80,85,90,95,100})</f>
        <v>0</v>
      </c>
      <c r="J558" s="7"/>
      <c r="K558" s="7"/>
      <c r="L558" s="7">
        <f>I558+K558</f>
        <v>0</v>
      </c>
      <c r="M558" s="6">
        <v>7.9</v>
      </c>
      <c r="N558" s="43">
        <f>13-M558</f>
        <v>5.1</v>
      </c>
      <c r="O558" s="40">
        <f>LOOKUP(N558,{0,2.5,2.7,2.9,3.1,3.3,3.5,3.7,3.9,4.1,4.3,4.5,4.7,4.9,5.1,5.3,5.5,5.6,5.7,5.8,5.9},{0,10,20,30,40,50,60,62,64,66,68,70,72,74,76,78,80,85,90,95,100})</f>
        <v>76</v>
      </c>
      <c r="P558" s="6">
        <v>3.55</v>
      </c>
      <c r="Q558" s="6">
        <f>10-P558</f>
        <v>6.45</v>
      </c>
      <c r="R558" s="40">
        <f>LOOKUP(Q558,{0,3.75,3.95,4.55,4.75,4.95,5.55,5.6,5.65,5.7,5.75,5.8,5.85,5.9,5.95,6,6.45,6.53,6.6,6.65,6.7},{0,10,20,30,40,50,60,62,64,66,68,70,72,74,76,78,80,85,90,95,100})</f>
        <v>80</v>
      </c>
      <c r="S558" s="7"/>
      <c r="T558" s="7"/>
      <c r="U558" s="7">
        <f>R558+T558</f>
        <v>80</v>
      </c>
      <c r="W558" s="7">
        <f>E558*0.1+G558*0.1+I558*0.1+O558*0.2+R558*0.2</f>
        <v>45</v>
      </c>
      <c r="X558" s="21">
        <f>W558/0.7+K558+T558</f>
        <v>64.2857142857143</v>
      </c>
    </row>
    <row r="559" ht="15.6" hidden="1" spans="1:24">
      <c r="A559" s="6">
        <v>115</v>
      </c>
      <c r="B559" s="29" t="s">
        <v>736</v>
      </c>
      <c r="C559" s="29" t="s">
        <v>11</v>
      </c>
      <c r="D559" s="6">
        <v>15.5</v>
      </c>
      <c r="E559" s="40">
        <f>LOOKUP(D559,{0,-4,-3,-2,-1,0,1,2.4,3.8,5.2,6.6,8,9.4,10.8,12.2,13.6,15,17.2,19.4,21.5,23.6},{0,10,20,30,40,50,60,62,64,66,68,70,72,74,76,78,80,85,90,95,100})</f>
        <v>80</v>
      </c>
      <c r="F559" s="6">
        <v>192</v>
      </c>
      <c r="G559" s="40">
        <f>LOOKUP(F559,{0,170,175,180,185,190,195,199,203,207,211,215,219,223,227,231,235,243,250,255,260},{0,10,20,30,40,50,60,62,64,66,68,70,72,74,76,78,80,85,90,95,100})</f>
        <v>50</v>
      </c>
      <c r="H559" s="6">
        <v>1</v>
      </c>
      <c r="I559" s="40">
        <f>LOOKUP(H559,{0,2,3,4,5,6,7,8,9,10,11,12,13,14,15,16},{0,10,20,30,40,50,60,64,68,72,76,80,85,90,95,100})</f>
        <v>0</v>
      </c>
      <c r="J559" s="7"/>
      <c r="K559" s="7"/>
      <c r="L559" s="7">
        <f>I559+K559</f>
        <v>0</v>
      </c>
      <c r="M559" s="6">
        <v>7.9</v>
      </c>
      <c r="N559" s="43">
        <f>13-M559</f>
        <v>5.1</v>
      </c>
      <c r="O559" s="40">
        <f>LOOKUP(N559,{0,2.5,2.7,2.9,3.1,3.3,3.5,3.7,3.9,4.1,4.3,4.5,4.7,4.9,5.1,5.3,5.5,5.6,5.7,5.8,5.9},{0,10,20,30,40,50,60,62,64,66,68,70,72,74,76,78,80,85,90,95,100})</f>
        <v>76</v>
      </c>
      <c r="P559" s="6">
        <v>3.55</v>
      </c>
      <c r="Q559" s="6">
        <f>10-P559</f>
        <v>6.45</v>
      </c>
      <c r="R559" s="40">
        <f>LOOKUP(Q559,{0,3.75,3.95,4.55,4.75,4.95,5.55,5.6,5.65,5.7,5.75,5.8,5.85,5.9,5.95,6,6.45,6.53,6.6,6.65,6.7},{0,10,20,30,40,50,60,62,64,66,68,70,72,74,76,78,80,85,90,95,100})</f>
        <v>80</v>
      </c>
      <c r="S559" s="7"/>
      <c r="T559" s="7"/>
      <c r="U559" s="7">
        <f>R559+T559</f>
        <v>80</v>
      </c>
      <c r="W559" s="7">
        <f>E559*0.1+G559*0.1+I559*0.1+O559*0.2+R559*0.2</f>
        <v>44.2</v>
      </c>
      <c r="X559" s="21">
        <f>W559/0.7+K559+T559</f>
        <v>63.1428571428572</v>
      </c>
    </row>
    <row r="560" ht="15.6" hidden="1" spans="1:24">
      <c r="A560" s="6">
        <v>101</v>
      </c>
      <c r="B560" s="29" t="s">
        <v>19</v>
      </c>
      <c r="C560" s="29" t="s">
        <v>11</v>
      </c>
      <c r="D560" s="6">
        <v>10</v>
      </c>
      <c r="E560" s="40">
        <f>LOOKUP(D560,{0,-4,-3,-2,-1,0,1,2.4,3.8,5.2,6.6,8,9.4,10.8,12.2,13.6,15,17.2,19.4,21.5,23.6},{0,10,20,30,40,50,60,62,64,66,68,70,72,74,76,78,80,85,90,95,100})</f>
        <v>72</v>
      </c>
      <c r="F560" s="6">
        <v>238</v>
      </c>
      <c r="G560" s="40">
        <f>LOOKUP(F560,{0,170,175,180,185,190,195,199,203,207,211,215,219,223,227,231,235,243,250,255,260},{0,10,20,30,40,50,60,62,64,66,68,70,72,74,76,78,80,85,90,95,100})</f>
        <v>80</v>
      </c>
      <c r="H560" s="6">
        <v>10</v>
      </c>
      <c r="I560" s="40">
        <f>LOOKUP(H560,{0,2,3,4,5,6,7,8,9,10,11,12,13,14,15,16},{0,10,20,30,40,50,60,64,68,72,76,80,85,90,95,100})</f>
        <v>72</v>
      </c>
      <c r="J560" s="7"/>
      <c r="K560" s="7"/>
      <c r="L560" s="7">
        <f>I560+K560</f>
        <v>72</v>
      </c>
      <c r="M560" s="6">
        <v>7.9</v>
      </c>
      <c r="N560" s="43">
        <f>13-M560</f>
        <v>5.1</v>
      </c>
      <c r="O560" s="40">
        <f>LOOKUP(N560,{0,2.5,2.7,2.9,3.1,3.3,3.5,3.7,3.9,4.1,4.3,4.5,4.7,4.9,5.1,5.3,5.5,5.6,5.7,5.8,5.9},{0,10,20,30,40,50,60,62,64,66,68,70,72,74,76,78,80,85,90,95,100})</f>
        <v>76</v>
      </c>
      <c r="P560" s="6">
        <v>3.58</v>
      </c>
      <c r="Q560" s="6">
        <f>10-P560</f>
        <v>6.42</v>
      </c>
      <c r="R560" s="40">
        <f>LOOKUP(Q560,{0,3.75,3.95,4.55,4.75,4.95,5.55,5.6,5.65,5.7,5.75,5.8,5.85,5.9,5.95,6,6.45,6.53,6.6,6.65,6.7},{0,10,20,30,40,50,60,62,64,66,68,70,72,74,76,78,80,85,90,95,100})</f>
        <v>78</v>
      </c>
      <c r="S560" s="7"/>
      <c r="T560" s="7"/>
      <c r="U560" s="7">
        <f>R560+T560</f>
        <v>78</v>
      </c>
      <c r="W560" s="7">
        <f>E560*0.1+G560*0.1+I560*0.1+O560*0.2+R560*0.2</f>
        <v>53.2</v>
      </c>
      <c r="X560" s="21">
        <f>W560/0.7+K560+T560</f>
        <v>76</v>
      </c>
    </row>
    <row r="561" s="3" customFormat="1" ht="15.6" hidden="1" spans="1:24">
      <c r="A561" s="6">
        <v>113</v>
      </c>
      <c r="B561" s="29" t="s">
        <v>646</v>
      </c>
      <c r="C561" s="29" t="s">
        <v>11</v>
      </c>
      <c r="D561" s="6">
        <v>11</v>
      </c>
      <c r="E561" s="40">
        <f>LOOKUP(D561,{0,-4,-3,-2,-1,0,1,2.4,3.8,5.2,6.6,8,9.4,10.8,12.2,13.6,15,17.2,19.4,21.5,23.6},{0,10,20,30,40,50,60,62,64,66,68,70,72,74,76,78,80,85,90,95,100})</f>
        <v>74</v>
      </c>
      <c r="F561" s="6">
        <v>245</v>
      </c>
      <c r="G561" s="40">
        <f>LOOKUP(F561,{0,170,175,180,185,190,195,199,203,207,211,215,219,223,227,231,235,243,250,255,260},{0,10,20,30,40,50,60,62,64,66,68,70,72,74,76,78,80,85,90,95,100})</f>
        <v>85</v>
      </c>
      <c r="H561" s="6">
        <v>3</v>
      </c>
      <c r="I561" s="40">
        <f>LOOKUP(H561,{0,2,3,4,5,6,7,8,9,10,11,12,13,14,15,16},{0,10,20,30,40,50,60,64,68,72,76,80,85,90,95,100})</f>
        <v>20</v>
      </c>
      <c r="J561" s="7"/>
      <c r="K561" s="7"/>
      <c r="L561" s="7">
        <f>I561+K561</f>
        <v>20</v>
      </c>
      <c r="M561" s="6">
        <v>7.9</v>
      </c>
      <c r="N561" s="43">
        <f>13-M561</f>
        <v>5.1</v>
      </c>
      <c r="O561" s="40">
        <f>LOOKUP(N561,{0,2.5,2.7,2.9,3.1,3.3,3.5,3.7,3.9,4.1,4.3,4.5,4.7,4.9,5.1,5.3,5.5,5.6,5.7,5.8,5.9},{0,10,20,30,40,50,60,62,64,66,68,70,72,74,76,78,80,85,90,95,100})</f>
        <v>76</v>
      </c>
      <c r="P561" s="6">
        <v>4.05</v>
      </c>
      <c r="Q561" s="6">
        <f>10-P561</f>
        <v>5.95</v>
      </c>
      <c r="R561" s="40">
        <f>LOOKUP(Q561,{0,3.75,3.95,4.55,4.75,4.95,5.55,5.6,5.65,5.7,5.75,5.8,5.85,5.9,5.95,6,6.45,6.53,6.6,6.65,6.7},{0,10,20,30,40,50,60,62,64,66,68,70,72,74,76,78,80,85,90,95,100})</f>
        <v>76</v>
      </c>
      <c r="S561" s="7"/>
      <c r="T561" s="7"/>
      <c r="U561" s="7">
        <f>R561+T561</f>
        <v>76</v>
      </c>
      <c r="V561" s="6"/>
      <c r="W561" s="7">
        <f>E561*0.1+G561*0.1+I561*0.1+O561*0.2+R561*0.2</f>
        <v>48.3</v>
      </c>
      <c r="X561" s="21">
        <f>W561/0.7+K561+T561</f>
        <v>69</v>
      </c>
    </row>
    <row r="562" ht="15.6" hidden="1" spans="1:24">
      <c r="A562" s="6">
        <v>106</v>
      </c>
      <c r="B562" s="29" t="s">
        <v>272</v>
      </c>
      <c r="C562" s="29" t="s">
        <v>11</v>
      </c>
      <c r="D562" s="6">
        <v>16.5</v>
      </c>
      <c r="E562" s="40">
        <f>LOOKUP(D562,{0,-4,-3,-2,-1,0,1,2.4,3.8,5.2,6.6,8,9.4,10.8,12.2,13.6,15,17.2,19.4,21.5,23.6},{0,10,20,30,40,50,60,62,64,66,68,70,72,74,76,78,80,85,90,95,100})</f>
        <v>80</v>
      </c>
      <c r="F562" s="6">
        <v>212</v>
      </c>
      <c r="G562" s="40">
        <f>LOOKUP(F562,{0,170,175,180,185,190,195,199,203,207,211,215,219,223,227,231,235,243,250,255,260},{0,10,20,30,40,50,60,62,64,66,68,70,72,74,76,78,80,85,90,95,100})</f>
        <v>68</v>
      </c>
      <c r="H562" s="6">
        <v>0</v>
      </c>
      <c r="I562" s="40">
        <f>LOOKUP(H562,{0,2,3,4,5,6,7,8,9,10,11,12,13,14,15,16},{0,10,20,30,40,50,60,64,68,72,76,80,85,90,95,100})</f>
        <v>0</v>
      </c>
      <c r="J562" s="7"/>
      <c r="K562" s="7"/>
      <c r="L562" s="7">
        <f>I562+K562</f>
        <v>0</v>
      </c>
      <c r="M562" s="6">
        <v>7.9</v>
      </c>
      <c r="N562" s="43">
        <f>13-M562</f>
        <v>5.1</v>
      </c>
      <c r="O562" s="40">
        <f>LOOKUP(N562,{0,2.5,2.7,2.9,3.1,3.3,3.5,3.7,3.9,4.1,4.3,4.5,4.7,4.9,5.1,5.3,5.5,5.6,5.7,5.8,5.9},{0,10,20,30,40,50,60,62,64,66,68,70,72,74,76,78,80,85,90,95,100})</f>
        <v>76</v>
      </c>
      <c r="P562" s="6">
        <v>4.13</v>
      </c>
      <c r="Q562" s="6">
        <f>10-P562</f>
        <v>5.87</v>
      </c>
      <c r="R562" s="40">
        <f>LOOKUP(Q562,{0,3.75,3.95,4.55,4.75,4.95,5.55,5.6,5.65,5.7,5.75,5.8,5.85,5.9,5.95,6,6.45,6.53,6.6,6.65,6.7},{0,10,20,30,40,50,60,62,64,66,68,70,72,74,76,78,80,85,90,95,100})</f>
        <v>72</v>
      </c>
      <c r="S562" s="7"/>
      <c r="T562" s="7"/>
      <c r="U562" s="7">
        <f>R562+T562</f>
        <v>72</v>
      </c>
      <c r="W562" s="7">
        <f>E562*0.1+G562*0.1+I562*0.1+O562*0.2+R562*0.2</f>
        <v>44.4</v>
      </c>
      <c r="X562" s="21">
        <f>W562/0.7+K562+T562</f>
        <v>63.4285714285714</v>
      </c>
    </row>
    <row r="563" ht="15.6" hidden="1" spans="1:24">
      <c r="A563" s="6">
        <v>106</v>
      </c>
      <c r="B563" s="29" t="s">
        <v>274</v>
      </c>
      <c r="C563" s="29" t="s">
        <v>11</v>
      </c>
      <c r="D563" s="6">
        <v>16.6</v>
      </c>
      <c r="E563" s="40">
        <f>LOOKUP(D563,{0,-4,-3,-2,-1,0,1,2.4,3.8,5.2,6.6,8,9.4,10.8,12.2,13.6,15,17.2,19.4,21.5,23.6},{0,10,20,30,40,50,60,62,64,66,68,70,72,74,76,78,80,85,90,95,100})</f>
        <v>80</v>
      </c>
      <c r="F563" s="6">
        <v>180</v>
      </c>
      <c r="G563" s="40">
        <f>LOOKUP(F563,{0,170,175,180,185,190,195,199,203,207,211,215,219,223,227,231,235,243,250,255,260},{0,10,20,30,40,50,60,62,64,66,68,70,72,74,76,78,80,85,90,95,100})</f>
        <v>30</v>
      </c>
      <c r="H563" s="6">
        <v>0</v>
      </c>
      <c r="I563" s="40">
        <f>LOOKUP(H563,{0,2,3,4,5,6,7,8,9,10,11,12,13,14,15,16},{0,10,20,30,40,50,60,64,68,72,76,80,85,90,95,100})</f>
        <v>0</v>
      </c>
      <c r="J563" s="7"/>
      <c r="K563" s="7"/>
      <c r="L563" s="7">
        <f>I563+K563</f>
        <v>0</v>
      </c>
      <c r="M563" s="6">
        <v>7.9</v>
      </c>
      <c r="N563" s="43">
        <f>13-M563</f>
        <v>5.1</v>
      </c>
      <c r="O563" s="40">
        <f>LOOKUP(N563,{0,2.5,2.7,2.9,3.1,3.3,3.5,3.7,3.9,4.1,4.3,4.5,4.7,4.9,5.1,5.3,5.5,5.6,5.7,5.8,5.9},{0,10,20,30,40,50,60,62,64,66,68,70,72,74,76,78,80,85,90,95,100})</f>
        <v>76</v>
      </c>
      <c r="P563" s="6">
        <v>4.16</v>
      </c>
      <c r="Q563" s="6">
        <f>10-P563</f>
        <v>5.84</v>
      </c>
      <c r="R563" s="40">
        <f>LOOKUP(Q563,{0,3.75,3.95,4.55,4.75,4.95,5.55,5.6,5.65,5.7,5.75,5.8,5.85,5.9,5.95,6,6.45,6.53,6.6,6.65,6.7},{0,10,20,30,40,50,60,62,64,66,68,70,72,74,76,78,80,85,90,95,100})</f>
        <v>70</v>
      </c>
      <c r="S563" s="7"/>
      <c r="T563" s="7"/>
      <c r="U563" s="7">
        <f>R563+T563</f>
        <v>70</v>
      </c>
      <c r="W563" s="7">
        <f>E563*0.1+G563*0.1+I563*0.1+O563*0.2+R563*0.2</f>
        <v>40.2</v>
      </c>
      <c r="X563" s="21">
        <f>W563/0.7+K563+T563</f>
        <v>57.4285714285714</v>
      </c>
    </row>
    <row r="564" ht="15.6" hidden="1" spans="1:24">
      <c r="A564" s="6">
        <v>105</v>
      </c>
      <c r="B564" s="29" t="s">
        <v>225</v>
      </c>
      <c r="C564" s="29" t="s">
        <v>11</v>
      </c>
      <c r="D564" s="6">
        <v>8.8</v>
      </c>
      <c r="E564" s="40">
        <f>LOOKUP(D564,{0,-4,-3,-2,-1,0,1,2.4,3.8,5.2,6.6,8,9.4,10.8,12.2,13.6,15,17.2,19.4,21.5,23.6},{0,10,20,30,40,50,60,62,64,66,68,70,72,74,76,78,80,85,90,95,100})</f>
        <v>70</v>
      </c>
      <c r="F564" s="6">
        <v>215</v>
      </c>
      <c r="G564" s="40">
        <f>LOOKUP(F564,{0,170,175,180,185,190,195,199,203,207,211,215,219,223,227,231,235,243,250,255,260},{0,10,20,30,40,50,60,62,64,66,68,70,72,74,76,78,80,85,90,95,100})</f>
        <v>70</v>
      </c>
      <c r="H564" s="6">
        <v>0</v>
      </c>
      <c r="I564" s="40">
        <f>LOOKUP(H564,{0,2,3,4,5,6,7,8,9,10,11,12,13,14,15,16},{0,10,20,30,40,50,60,64,68,72,76,80,85,90,95,100})</f>
        <v>0</v>
      </c>
      <c r="J564" s="7"/>
      <c r="K564" s="7"/>
      <c r="L564" s="7">
        <f>I564+K564</f>
        <v>0</v>
      </c>
      <c r="M564" s="6">
        <v>7.9</v>
      </c>
      <c r="N564" s="43">
        <f>13-M564</f>
        <v>5.1</v>
      </c>
      <c r="O564" s="40">
        <f>LOOKUP(N564,{0,2.5,2.7,2.9,3.1,3.3,3.5,3.7,3.9,4.1,4.3,4.5,4.7,4.9,5.1,5.3,5.5,5.6,5.7,5.8,5.9},{0,10,20,30,40,50,60,62,64,66,68,70,72,74,76,78,80,85,90,95,100})</f>
        <v>76</v>
      </c>
      <c r="P564" s="6">
        <v>4.18</v>
      </c>
      <c r="Q564" s="6">
        <f>10-P564</f>
        <v>5.82</v>
      </c>
      <c r="R564" s="40">
        <f>LOOKUP(Q564,{0,3.75,3.95,4.55,4.75,4.95,5.55,5.6,5.65,5.7,5.75,5.8,5.85,5.9,5.95,6,6.45,6.53,6.6,6.65,6.7},{0,10,20,30,40,50,60,62,64,66,68,70,72,74,76,78,80,85,90,95,100})</f>
        <v>70</v>
      </c>
      <c r="S564" s="7"/>
      <c r="T564" s="7"/>
      <c r="U564" s="7">
        <f>R564+T564</f>
        <v>70</v>
      </c>
      <c r="W564" s="7">
        <f>E564*0.1+G564*0.1+I564*0.1+O564*0.2+R564*0.2</f>
        <v>43.2</v>
      </c>
      <c r="X564" s="21">
        <f>W564/0.7+K564+T564</f>
        <v>61.7142857142857</v>
      </c>
    </row>
    <row r="565" ht="15.6" hidden="1" spans="1:24">
      <c r="A565" s="6">
        <v>109</v>
      </c>
      <c r="B565" s="29" t="s">
        <v>433</v>
      </c>
      <c r="C565" s="29" t="s">
        <v>11</v>
      </c>
      <c r="D565" s="6">
        <v>18.3</v>
      </c>
      <c r="E565" s="40">
        <f>LOOKUP(D565,{0,-4,-3,-2,-1,0,1,2.4,3.8,5.2,6.6,8,9.4,10.8,12.2,13.6,15,17.2,19.4,21.5,23.6},{0,10,20,30,40,50,60,62,64,66,68,70,72,74,76,78,80,85,90,95,100})</f>
        <v>85</v>
      </c>
      <c r="F565" s="6">
        <v>212</v>
      </c>
      <c r="G565" s="40">
        <f>LOOKUP(F565,{0,170,175,180,185,190,195,199,203,207,211,215,219,223,227,231,235,243,250,255,260},{0,10,20,30,40,50,60,62,64,66,68,70,72,74,76,78,80,85,90,95,100})</f>
        <v>68</v>
      </c>
      <c r="H565" s="6">
        <v>0</v>
      </c>
      <c r="I565" s="40">
        <f>LOOKUP(H565,{0,2,3,4,5,6,7,8,9,10,11,12,13,14,15,16},{0,10,20,30,40,50,60,64,68,72,76,80,85,90,95,100})</f>
        <v>0</v>
      </c>
      <c r="J565" s="7"/>
      <c r="K565" s="7"/>
      <c r="L565" s="7">
        <f>I565+K565</f>
        <v>0</v>
      </c>
      <c r="M565" s="6">
        <v>7.9</v>
      </c>
      <c r="N565" s="43">
        <f>13-M565</f>
        <v>5.1</v>
      </c>
      <c r="O565" s="40">
        <f>LOOKUP(N565,{0,2.5,2.7,2.9,3.1,3.3,3.5,3.7,3.9,4.1,4.3,4.5,4.7,4.9,5.1,5.3,5.5,5.6,5.7,5.8,5.9},{0,10,20,30,40,50,60,62,64,66,68,70,72,74,76,78,80,85,90,95,100})</f>
        <v>76</v>
      </c>
      <c r="P565" s="6">
        <v>4.18</v>
      </c>
      <c r="Q565" s="6">
        <f>10-P565</f>
        <v>5.82</v>
      </c>
      <c r="R565" s="40">
        <f>LOOKUP(Q565,{0,3.75,3.95,4.55,4.75,4.95,5.55,5.6,5.65,5.7,5.75,5.8,5.85,5.9,5.95,6,6.45,6.53,6.6,6.65,6.7},{0,10,20,30,40,50,60,62,64,66,68,70,72,74,76,78,80,85,90,95,100})</f>
        <v>70</v>
      </c>
      <c r="S565" s="7"/>
      <c r="T565" s="7"/>
      <c r="U565" s="7">
        <f>R565+T565</f>
        <v>70</v>
      </c>
      <c r="W565" s="7">
        <f>E565*0.1+G565*0.1+I565*0.1+O565*0.2+R565*0.2</f>
        <v>44.5</v>
      </c>
      <c r="X565" s="21">
        <f>W565/0.7+K565+T565</f>
        <v>63.5714285714286</v>
      </c>
    </row>
    <row r="566" ht="15.6" hidden="1" spans="1:24">
      <c r="A566" s="6">
        <v>109</v>
      </c>
      <c r="B566" s="29" t="s">
        <v>434</v>
      </c>
      <c r="C566" s="29" t="s">
        <v>11</v>
      </c>
      <c r="D566" s="6">
        <v>-13.5</v>
      </c>
      <c r="E566" s="40">
        <v>0</v>
      </c>
      <c r="F566" s="6">
        <v>172</v>
      </c>
      <c r="G566" s="40">
        <f>LOOKUP(F566,{0,170,175,180,185,190,195,199,203,207,211,215,219,223,227,231,235,243,250,255,260},{0,10,20,30,40,50,60,62,64,66,68,70,72,74,76,78,80,85,90,95,100})</f>
        <v>10</v>
      </c>
      <c r="H566" s="6">
        <v>3</v>
      </c>
      <c r="I566" s="40">
        <f>LOOKUP(H566,{0,2,3,4,5,6,7,8,9,10,11,12,13,14,15,16},{0,10,20,30,40,50,60,64,68,72,76,80,85,90,95,100})</f>
        <v>20</v>
      </c>
      <c r="J566" s="7"/>
      <c r="K566" s="7"/>
      <c r="L566" s="7">
        <f>I566+K566</f>
        <v>20</v>
      </c>
      <c r="M566" s="6">
        <v>7.9</v>
      </c>
      <c r="N566" s="43">
        <f>13-M566</f>
        <v>5.1</v>
      </c>
      <c r="O566" s="40">
        <f>LOOKUP(N566,{0,2.5,2.7,2.9,3.1,3.3,3.5,3.7,3.9,4.1,4.3,4.5,4.7,4.9,5.1,5.3,5.5,5.6,5.7,5.8,5.9},{0,10,20,30,40,50,60,62,64,66,68,70,72,74,76,78,80,85,90,95,100})</f>
        <v>76</v>
      </c>
      <c r="P566" s="6">
        <v>4.24</v>
      </c>
      <c r="Q566" s="6">
        <f>10-P566</f>
        <v>5.76</v>
      </c>
      <c r="R566" s="40">
        <f>LOOKUP(Q566,{0,3.75,3.95,4.55,4.75,4.95,5.55,5.6,5.65,5.7,5.75,5.8,5.85,5.9,5.95,6,6.45,6.53,6.6,6.65,6.7},{0,10,20,30,40,50,60,62,64,66,68,70,72,74,76,78,80,85,90,95,100})</f>
        <v>68</v>
      </c>
      <c r="S566" s="7"/>
      <c r="T566" s="7"/>
      <c r="U566" s="7">
        <f>R566+T566</f>
        <v>68</v>
      </c>
      <c r="W566" s="7">
        <f>E566*0.1+G566*0.1+I566*0.1+O566*0.2+R566*0.2</f>
        <v>31.8</v>
      </c>
      <c r="X566" s="21">
        <f>W566/0.7+K566+T566</f>
        <v>45.4285714285714</v>
      </c>
    </row>
    <row r="567" ht="15.6" hidden="1" spans="1:24">
      <c r="A567" s="6">
        <v>110</v>
      </c>
      <c r="B567" s="29" t="s">
        <v>484</v>
      </c>
      <c r="C567" s="29" t="s">
        <v>11</v>
      </c>
      <c r="D567" s="6">
        <v>2.5</v>
      </c>
      <c r="E567" s="40">
        <f>LOOKUP(D567,{0,-4,-3,-2,-1,0,1,2.4,3.8,5.2,6.6,8,9.4,10.8,12.2,13.6,15,17.2,19.4,21.5,23.6},{0,10,20,30,40,50,60,62,64,66,68,70,72,74,76,78,80,85,90,95,100})</f>
        <v>62</v>
      </c>
      <c r="F567" s="6">
        <v>201</v>
      </c>
      <c r="G567" s="40">
        <f>LOOKUP(F567,{0,170,175,180,185,190,195,199,203,207,211,215,219,223,227,231,235,243,250,255,260},{0,10,20,30,40,50,60,62,64,66,68,70,72,74,76,78,80,85,90,95,100})</f>
        <v>62</v>
      </c>
      <c r="H567" s="6">
        <v>1</v>
      </c>
      <c r="I567" s="40">
        <f>LOOKUP(H567,{0,2,3,4,5,6,7,8,9,10,11,12,13,14,15,16},{0,10,20,30,40,50,60,64,68,72,76,80,85,90,95,100})</f>
        <v>0</v>
      </c>
      <c r="J567" s="7"/>
      <c r="K567" s="7"/>
      <c r="L567" s="7">
        <f>I567+K567</f>
        <v>0</v>
      </c>
      <c r="M567" s="6">
        <v>7.9</v>
      </c>
      <c r="N567" s="43">
        <f>13-M567</f>
        <v>5.1</v>
      </c>
      <c r="O567" s="40">
        <f>LOOKUP(N567,{0,2.5,2.7,2.9,3.1,3.3,3.5,3.7,3.9,4.1,4.3,4.5,4.7,4.9,5.1,5.3,5.5,5.6,5.7,5.8,5.9},{0,10,20,30,40,50,60,62,64,66,68,70,72,74,76,78,80,85,90,95,100})</f>
        <v>76</v>
      </c>
      <c r="P567" s="6">
        <v>4.25</v>
      </c>
      <c r="Q567" s="6">
        <f>10-P567</f>
        <v>5.75</v>
      </c>
      <c r="R567" s="40">
        <f>LOOKUP(Q567,{0,3.75,3.95,4.55,4.75,4.95,5.55,5.6,5.65,5.7,5.75,5.8,5.85,5.9,5.95,6,6.45,6.53,6.6,6.65,6.7},{0,10,20,30,40,50,60,62,64,66,68,70,72,74,76,78,80,85,90,95,100})</f>
        <v>68</v>
      </c>
      <c r="S567" s="7"/>
      <c r="T567" s="7"/>
      <c r="U567" s="7">
        <f>R567+T567</f>
        <v>68</v>
      </c>
      <c r="W567" s="7">
        <f>E567*0.1+G567*0.1+I567*0.1+O567*0.2+R567*0.2</f>
        <v>41.2</v>
      </c>
      <c r="X567" s="21">
        <f>W567/0.7+K567+T567</f>
        <v>58.8571428571429</v>
      </c>
    </row>
    <row r="568" ht="15.6" hidden="1" spans="1:24">
      <c r="A568" s="6">
        <v>110</v>
      </c>
      <c r="B568" s="29" t="s">
        <v>485</v>
      </c>
      <c r="C568" s="29" t="s">
        <v>11</v>
      </c>
      <c r="D568" s="6">
        <v>4</v>
      </c>
      <c r="E568" s="40">
        <f>LOOKUP(D568,{0,-4,-3,-2,-1,0,1,2.4,3.8,5.2,6.6,8,9.4,10.8,12.2,13.6,15,17.2,19.4,21.5,23.6},{0,10,20,30,40,50,60,62,64,66,68,70,72,74,76,78,80,85,90,95,100})</f>
        <v>64</v>
      </c>
      <c r="F568" s="6">
        <v>221</v>
      </c>
      <c r="G568" s="40">
        <f>LOOKUP(F568,{0,170,175,180,185,190,195,199,203,207,211,215,219,223,227,231,235,243,250,255,260},{0,10,20,30,40,50,60,62,64,66,68,70,72,74,76,78,80,85,90,95,100})</f>
        <v>72</v>
      </c>
      <c r="H568" s="6">
        <v>7</v>
      </c>
      <c r="I568" s="40">
        <f>LOOKUP(H568,{0,2,3,4,5,6,7,8,9,10,11,12,13,14,15,16},{0,10,20,30,40,50,60,64,68,72,76,80,85,90,95,100})</f>
        <v>60</v>
      </c>
      <c r="J568" s="7"/>
      <c r="K568" s="7"/>
      <c r="L568" s="7">
        <f>I568+K568</f>
        <v>60</v>
      </c>
      <c r="M568" s="6">
        <v>7.9</v>
      </c>
      <c r="N568" s="43">
        <f>13-M568</f>
        <v>5.1</v>
      </c>
      <c r="O568" s="40">
        <f>LOOKUP(N568,{0,2.5,2.7,2.9,3.1,3.3,3.5,3.7,3.9,4.1,4.3,4.5,4.7,4.9,5.1,5.3,5.5,5.6,5.7,5.8,5.9},{0,10,20,30,40,50,60,62,64,66,68,70,72,74,76,78,80,85,90,95,100})</f>
        <v>76</v>
      </c>
      <c r="P568" s="6">
        <v>4.43</v>
      </c>
      <c r="Q568" s="6">
        <f>10-P568</f>
        <v>5.57</v>
      </c>
      <c r="R568" s="40">
        <f>LOOKUP(Q568,{0,3.75,3.95,4.55,4.75,4.95,5.55,5.6,5.65,5.7,5.75,5.8,5.85,5.9,5.95,6,6.45,6.53,6.6,6.65,6.7},{0,10,20,30,40,50,60,62,64,66,68,70,72,74,76,78,80,85,90,95,100})</f>
        <v>60</v>
      </c>
      <c r="S568" s="7"/>
      <c r="T568" s="7"/>
      <c r="U568" s="7">
        <f>R568+T568</f>
        <v>60</v>
      </c>
      <c r="W568" s="7">
        <f>E568*0.1+G568*0.1+I568*0.1+O568*0.2+R568*0.2</f>
        <v>46.8</v>
      </c>
      <c r="X568" s="21">
        <f>W568/0.7+K568+T568</f>
        <v>66.8571428571429</v>
      </c>
    </row>
    <row r="569" ht="15.6" hidden="1" spans="1:24">
      <c r="A569" s="6">
        <v>112</v>
      </c>
      <c r="B569" s="29" t="s">
        <v>571</v>
      </c>
      <c r="C569" s="29" t="s">
        <v>11</v>
      </c>
      <c r="D569" s="6">
        <v>13</v>
      </c>
      <c r="E569" s="40">
        <f>LOOKUP(D569,{0,-4,-3,-2,-1,0,1,2.4,3.8,5.2,6.6,8,9.4,10.8,12.2,13.6,15,17.2,19.4,21.5,23.6},{0,10,20,30,40,50,60,62,64,66,68,70,72,74,76,78,80,85,90,95,100})</f>
        <v>76</v>
      </c>
      <c r="F569" s="6">
        <v>232</v>
      </c>
      <c r="G569" s="40">
        <f>LOOKUP(F569,{0,170,175,180,185,190,195,199,203,207,211,215,219,223,227,231,235,243,250,255,260},{0,10,20,30,40,50,60,62,64,66,68,70,72,74,76,78,80,85,90,95,100})</f>
        <v>78</v>
      </c>
      <c r="H569" s="6">
        <v>7</v>
      </c>
      <c r="I569" s="40">
        <f>LOOKUP(H569,{0,2,3,4,5,6,7,8,9,10,11,12,13,14,15,16},{0,10,20,30,40,50,60,64,68,72,76,80,85,90,95,100})</f>
        <v>60</v>
      </c>
      <c r="J569" s="7"/>
      <c r="K569" s="7"/>
      <c r="L569" s="7">
        <f>I569+K569</f>
        <v>60</v>
      </c>
      <c r="M569" s="6">
        <v>8</v>
      </c>
      <c r="N569" s="43">
        <f>13-M569</f>
        <v>5</v>
      </c>
      <c r="O569" s="40">
        <f>LOOKUP(N569,{0,2.5,2.7,2.9,3.1,3.3,3.5,3.7,3.9,4.1,4.3,4.5,4.7,4.9,5.1,5.3,5.5,5.6,5.7,5.8,5.9},{0,10,20,30,40,50,60,62,64,66,68,70,72,74,76,78,80,85,90,95,100})</f>
        <v>74</v>
      </c>
      <c r="P569" s="6">
        <v>3.33</v>
      </c>
      <c r="Q569" s="6">
        <f>10-P569</f>
        <v>6.67</v>
      </c>
      <c r="R569" s="40">
        <f>LOOKUP(Q569,{0,3.75,3.95,4.55,4.75,4.95,5.55,5.6,5.65,5.7,5.75,5.8,5.85,5.9,5.95,6,6.45,6.53,6.6,6.65,6.7},{0,10,20,30,40,50,60,62,64,66,68,70,72,74,76,78,80,85,90,95,100})</f>
        <v>95</v>
      </c>
      <c r="S569" s="7"/>
      <c r="T569" s="7"/>
      <c r="U569" s="7">
        <f>R569+T569</f>
        <v>95</v>
      </c>
      <c r="W569" s="7">
        <f>E569*0.1+G569*0.1+I569*0.1+O569*0.2+R569*0.2</f>
        <v>55.2</v>
      </c>
      <c r="X569" s="21">
        <f>W569/0.7+K569+T569</f>
        <v>78.8571428571429</v>
      </c>
    </row>
    <row r="570" ht="15.6" hidden="1" spans="1:24">
      <c r="A570" s="6">
        <v>116</v>
      </c>
      <c r="B570" s="6" t="s">
        <v>805</v>
      </c>
      <c r="C570" s="6" t="s">
        <v>11</v>
      </c>
      <c r="D570" s="6">
        <v>17</v>
      </c>
      <c r="E570" s="40">
        <f>LOOKUP(D570,{0,-4,-3,-2,-1,0,1,2.4,3.8,5.2,6.6,8,9.4,10.8,12.2,13.6,15,17.2,19.4,21.5,23.6},{0,10,20,30,40,50,60,62,64,66,68,70,72,74,76,78,80,85,90,95,100})</f>
        <v>80</v>
      </c>
      <c r="F570" s="6">
        <v>220</v>
      </c>
      <c r="G570" s="40">
        <f>LOOKUP(F570,{0,170,175,180,185,190,195,199,203,207,211,215,219,223,227,231,235,243,250,255,260},{0,10,20,30,40,50,60,62,64,66,68,70,72,74,76,78,80,85,90,95,100})</f>
        <v>72</v>
      </c>
      <c r="H570" s="6">
        <v>10</v>
      </c>
      <c r="I570" s="40">
        <f>LOOKUP(H570,{0,2,3,4,5,6,7,8,9,10,11,12,13,14,15,16},{0,10,20,30,40,50,60,64,68,72,76,80,85,90,95,100})</f>
        <v>72</v>
      </c>
      <c r="J570" s="7"/>
      <c r="K570" s="7"/>
      <c r="L570" s="7">
        <f>I570+K570</f>
        <v>72</v>
      </c>
      <c r="M570" s="6">
        <v>8</v>
      </c>
      <c r="N570" s="43">
        <f>13-M570</f>
        <v>5</v>
      </c>
      <c r="O570" s="40">
        <f>LOOKUP(N570,{0,2.5,2.7,2.9,3.1,3.3,3.5,3.7,3.9,4.1,4.3,4.5,4.7,4.9,5.1,5.3,5.5,5.6,5.7,5.8,5.9},{0,10,20,30,40,50,60,62,64,66,68,70,72,74,76,78,80,85,90,95,100})</f>
        <v>74</v>
      </c>
      <c r="P570" s="6">
        <v>3.48</v>
      </c>
      <c r="Q570" s="6">
        <f>10-P570</f>
        <v>6.52</v>
      </c>
      <c r="R570" s="40">
        <f>LOOKUP(Q570,{0,3.75,3.95,4.55,4.75,4.95,5.55,5.6,5.65,5.7,5.75,5.8,5.85,5.9,5.95,6,6.45,6.53,6.6,6.65,6.7},{0,10,20,30,40,50,60,62,64,66,68,70,72,74,76,78,80,85,90,95,100})</f>
        <v>80</v>
      </c>
      <c r="S570" s="7"/>
      <c r="T570" s="7"/>
      <c r="U570" s="7">
        <f>R570+T570</f>
        <v>80</v>
      </c>
      <c r="W570" s="7">
        <f>E570*0.1+G570*0.1+I570*0.1+O570*0.2+R570*0.2</f>
        <v>53.2</v>
      </c>
      <c r="X570" s="21">
        <f>W570/0.7+K570+T570</f>
        <v>76</v>
      </c>
    </row>
    <row r="571" ht="15.6" hidden="1" spans="1:24">
      <c r="A571" s="6">
        <v>110</v>
      </c>
      <c r="B571" s="29" t="s">
        <v>486</v>
      </c>
      <c r="C571" s="29" t="s">
        <v>11</v>
      </c>
      <c r="D571" s="6">
        <v>13</v>
      </c>
      <c r="E571" s="40">
        <f>LOOKUP(D571,{0,-4,-3,-2,-1,0,1,2.4,3.8,5.2,6.6,8,9.4,10.8,12.2,13.6,15,17.2,19.4,21.5,23.6},{0,10,20,30,40,50,60,62,64,66,68,70,72,74,76,78,80,85,90,95,100})</f>
        <v>76</v>
      </c>
      <c r="F571" s="6">
        <v>225</v>
      </c>
      <c r="G571" s="40">
        <f>LOOKUP(F571,{0,170,175,180,185,190,195,199,203,207,211,215,219,223,227,231,235,243,250,255,260},{0,10,20,30,40,50,60,62,64,66,68,70,72,74,76,78,80,85,90,95,100})</f>
        <v>74</v>
      </c>
      <c r="H571" s="6">
        <v>0</v>
      </c>
      <c r="I571" s="40">
        <f>LOOKUP(H571,{0,2,3,4,5,6,7,8,9,10,11,12,13,14,15,16},{0,10,20,30,40,50,60,64,68,72,76,80,85,90,95,100})</f>
        <v>0</v>
      </c>
      <c r="J571" s="7"/>
      <c r="K571" s="7"/>
      <c r="L571" s="7">
        <f>I571+K571</f>
        <v>0</v>
      </c>
      <c r="M571" s="6">
        <v>8</v>
      </c>
      <c r="N571" s="43">
        <f>13-M571</f>
        <v>5</v>
      </c>
      <c r="O571" s="40">
        <f>LOOKUP(N571,{0,2.5,2.7,2.9,3.1,3.3,3.5,3.7,3.9,4.1,4.3,4.5,4.7,4.9,5.1,5.3,5.5,5.6,5.7,5.8,5.9},{0,10,20,30,40,50,60,62,64,66,68,70,72,74,76,78,80,85,90,95,100})</f>
        <v>74</v>
      </c>
      <c r="P571" s="6">
        <v>3.52</v>
      </c>
      <c r="Q571" s="6">
        <f>10-P571</f>
        <v>6.48</v>
      </c>
      <c r="R571" s="40">
        <f>LOOKUP(Q571,{0,3.75,3.95,4.55,4.75,4.95,5.55,5.6,5.65,5.7,5.75,5.8,5.85,5.9,5.95,6,6.45,6.53,6.6,6.65,6.7},{0,10,20,30,40,50,60,62,64,66,68,70,72,74,76,78,80,85,90,95,100})</f>
        <v>80</v>
      </c>
      <c r="S571" s="7"/>
      <c r="T571" s="7"/>
      <c r="U571" s="7">
        <f>R571+T571</f>
        <v>80</v>
      </c>
      <c r="W571" s="7">
        <f>E571*0.1+G571*0.1+I571*0.1+O571*0.2+R571*0.2</f>
        <v>45.8</v>
      </c>
      <c r="X571" s="21">
        <f>W571/0.7+K571+T571</f>
        <v>65.4285714285714</v>
      </c>
    </row>
    <row r="572" ht="15.6" spans="1:24">
      <c r="A572" s="6">
        <v>115</v>
      </c>
      <c r="B572" s="29" t="s">
        <v>757</v>
      </c>
      <c r="C572" s="29" t="s">
        <v>46</v>
      </c>
      <c r="D572" s="6">
        <v>14.2</v>
      </c>
      <c r="E572" s="40">
        <f>LOOKUP(D572,{0,0.4,1.2,2,2.8,3.6,4.4,5.7,7,8.3,9.6,10.9,12.2,13.5,14.8,16.1,17.4,19.1,20.8,22.5,24.2},{0,10,20,30,40,50,60,62,64,66,68,70,72,74,76,78,80,85,90,95,100})</f>
        <v>74</v>
      </c>
      <c r="F572" s="6">
        <v>197</v>
      </c>
      <c r="G572" s="40">
        <f>LOOKUP(F572,{0,123,128,133,138,143,148,151,154,157,160,163,166,169,172,175,178,185,192,198,204},{0,10,20,30,40,50,60,62,64,66,68,70,72,74,76,78,80,85,90,95,100})</f>
        <v>90</v>
      </c>
      <c r="H572" s="6">
        <v>27</v>
      </c>
      <c r="I572" s="40">
        <f>LOOKUP(H572,{0,13,15,17,19,21,23,25,27,29,31,33,35,37,39,41,43,46,49,51,53},{0,10,20,30,40,50,60,62,64,66,68,70,72,74,76,78,80,85,90,95,100})</f>
        <v>64</v>
      </c>
      <c r="J572" s="45"/>
      <c r="K572" s="45"/>
      <c r="L572" s="7">
        <f>I572+K572</f>
        <v>64</v>
      </c>
      <c r="M572" s="6">
        <v>8.4</v>
      </c>
      <c r="N572" s="43">
        <f>13-M572</f>
        <v>4.6</v>
      </c>
      <c r="O572" s="40">
        <f>LOOKUP(N572,{0,1.4,1.6,1.8,2,2.2,2.4,2.6,2.8,3,3.2,3.4,3.6,3.8,4,4.2,4.4,4.7,5,5.1,5.2},{0,10,20,30,40,50,60,62,64,66,68,70,72,74,76,78,80,85,90,95,100})</f>
        <v>80</v>
      </c>
      <c r="P572" s="6">
        <v>3.57</v>
      </c>
      <c r="Q572" s="6">
        <f>10-P572</f>
        <v>6.43</v>
      </c>
      <c r="R572" s="40">
        <f>LOOKUP(Q572,{0,4.7,4.8,4.9,5,5.5,5.6,5.65,5.7,5.75,5.8,5.85,5.9,5.95,6,6.45,6.5,6.57,6.64,6.7,6.76},{0,10,20,30,40,50,60,62,64,66,68,70,72,74,76,78,80,85,90,95,100})</f>
        <v>76</v>
      </c>
      <c r="S572" s="45"/>
      <c r="T572" s="45"/>
      <c r="U572" s="7">
        <f>R572+T572</f>
        <v>76</v>
      </c>
      <c r="W572" s="7">
        <f>E572*0.1+G572*0.1+I572*0.1+O572*0.2+R572*0.2</f>
        <v>54</v>
      </c>
      <c r="X572" s="21">
        <f>W572/0.7+K572+T572</f>
        <v>77.1428571428572</v>
      </c>
    </row>
    <row r="573" ht="15.6" spans="1:24">
      <c r="A573" s="6">
        <v>106</v>
      </c>
      <c r="B573" s="29" t="s">
        <v>290</v>
      </c>
      <c r="C573" s="29" t="s">
        <v>46</v>
      </c>
      <c r="D573" s="6">
        <v>15</v>
      </c>
      <c r="E573" s="40">
        <f>LOOKUP(D573,{0,0.4,1.2,2,2.8,3.6,4.4,5.7,7,8.3,9.6,10.9,12.2,13.5,14.8,16.1,17.4,19.1,20.8,22.5,24.2},{0,10,20,30,40,50,60,62,64,66,68,70,72,74,76,78,80,85,90,95,100})</f>
        <v>76</v>
      </c>
      <c r="F573" s="6">
        <v>158</v>
      </c>
      <c r="G573" s="40">
        <f>LOOKUP(F573,{0,123,128,133,138,143,148,151,154,157,160,163,166,169,172,175,178,185,192,198,204},{0,10,20,30,40,50,60,62,64,66,68,70,72,74,76,78,80,85,90,95,100})</f>
        <v>66</v>
      </c>
      <c r="H573" s="6">
        <v>49</v>
      </c>
      <c r="I573" s="40">
        <f>LOOKUP(H573,{0,13,15,17,19,21,23,25,27,29,31,33,35,37,39,41,43,46,49,51,53},{0,10,20,30,40,50,60,62,64,66,68,70,72,74,76,78,80,85,90,95,100})</f>
        <v>90</v>
      </c>
      <c r="J573" s="45"/>
      <c r="K573" s="45"/>
      <c r="L573" s="7">
        <f>I573+K573</f>
        <v>90</v>
      </c>
      <c r="M573" s="6">
        <v>8.7</v>
      </c>
      <c r="N573" s="43">
        <f>13-M573</f>
        <v>4.3</v>
      </c>
      <c r="O573" s="40">
        <f>LOOKUP(N573,{0,1.4,1.6,1.8,2,2.2,2.4,2.6,2.8,3,3.2,3.4,3.6,3.8,4,4.2,4.4,4.7,5,5.1,5.2},{0,10,20,30,40,50,60,62,64,66,68,70,72,74,76,78,80,85,90,95,100})</f>
        <v>78</v>
      </c>
      <c r="P573" s="6">
        <v>3.59</v>
      </c>
      <c r="Q573" s="6">
        <f>10-P573</f>
        <v>6.41</v>
      </c>
      <c r="R573" s="40">
        <f>LOOKUP(Q573,{0,4.7,4.8,4.9,5,5.5,5.6,5.65,5.7,5.75,5.8,5.85,5.9,5.95,6,6.45,6.5,6.57,6.64,6.7,6.76},{0,10,20,30,40,50,60,62,64,66,68,70,72,74,76,78,80,85,90,95,100})</f>
        <v>76</v>
      </c>
      <c r="S573" s="45"/>
      <c r="T573" s="45"/>
      <c r="U573" s="7">
        <f>R573+T573</f>
        <v>76</v>
      </c>
      <c r="W573" s="7">
        <f>E573*0.1+G573*0.1+I573*0.1+O573*0.2+R573*0.2</f>
        <v>54</v>
      </c>
      <c r="X573" s="21">
        <f>W573/0.7+K573+T573</f>
        <v>77.1428571428572</v>
      </c>
    </row>
    <row r="574" ht="15.6" spans="1:24">
      <c r="A574" s="6">
        <v>106</v>
      </c>
      <c r="B574" s="29" t="s">
        <v>282</v>
      </c>
      <c r="C574" s="29" t="s">
        <v>46</v>
      </c>
      <c r="D574" s="6">
        <v>19</v>
      </c>
      <c r="E574" s="40">
        <f>LOOKUP(D574,{0,0.4,1.2,2,2.8,3.6,4.4,5.7,7,8.3,9.6,10.9,12.2,13.5,14.8,16.1,17.4,19.1,20.8,22.5,24.2},{0,10,20,30,40,50,60,62,64,66,68,70,72,74,76,78,80,85,90,95,100})</f>
        <v>80</v>
      </c>
      <c r="F574" s="6">
        <v>179</v>
      </c>
      <c r="G574" s="40">
        <f>LOOKUP(F574,{0,123,128,133,138,143,148,151,154,157,160,163,166,169,172,175,178,185,192,198,204},{0,10,20,30,40,50,60,62,64,66,68,70,72,74,76,78,80,85,90,95,100})</f>
        <v>80</v>
      </c>
      <c r="H574" s="6">
        <v>53</v>
      </c>
      <c r="I574" s="40">
        <f>LOOKUP(H574,{0,13,15,17,19,21,23,25,27,29,31,33,35,37,39,41,43,46,49,51,53},{0,10,20,30,40,50,60,62,64,66,68,70,72,74,76,78,80,85,90,95,100})</f>
        <v>100</v>
      </c>
      <c r="J574" s="45">
        <f>H574-53</f>
        <v>0</v>
      </c>
      <c r="K574" s="40">
        <f>LOOKUP(J574,{0,2,4,6,7,8,9,10,11,12,13},{0,1,2,3,4,5,6,7,8,9,10})</f>
        <v>0</v>
      </c>
      <c r="L574" s="7">
        <f>I574+K574</f>
        <v>100</v>
      </c>
      <c r="M574" s="6">
        <v>9.1</v>
      </c>
      <c r="N574" s="43">
        <f>13-M574</f>
        <v>3.9</v>
      </c>
      <c r="O574" s="40">
        <f>LOOKUP(N574,{0,1.4,1.6,1.8,2,2.2,2.4,2.6,2.8,3,3.2,3.4,3.6,3.8,4,4.2,4.4,4.7,5,5.1,5.2},{0,10,20,30,40,50,60,62,64,66,68,70,72,74,76,78,80,85,90,95,100})</f>
        <v>74</v>
      </c>
      <c r="P574" s="6">
        <v>4.21</v>
      </c>
      <c r="Q574" s="6">
        <f>10-P574</f>
        <v>5.79</v>
      </c>
      <c r="R574" s="40">
        <f>LOOKUP(Q574,{0,4.7,4.8,4.9,5,5.5,5.6,5.65,5.7,5.75,5.8,5.85,5.9,5.95,6,6.45,6.5,6.57,6.64,6.7,6.76},{0,10,20,30,40,50,60,62,64,66,68,70,72,74,76,78,80,85,90,95,100})</f>
        <v>66</v>
      </c>
      <c r="S574" s="45"/>
      <c r="T574" s="45"/>
      <c r="U574" s="7">
        <f>R574+T574</f>
        <v>66</v>
      </c>
      <c r="W574" s="7">
        <f>E574*0.1+G574*0.1+I574*0.1+O574*0.2+R574*0.2</f>
        <v>54</v>
      </c>
      <c r="X574" s="21">
        <f>W574/0.7+K574+T574</f>
        <v>77.1428571428572</v>
      </c>
    </row>
    <row r="575" ht="15.6" spans="1:24">
      <c r="A575" s="6">
        <v>109</v>
      </c>
      <c r="B575" s="29" t="s">
        <v>452</v>
      </c>
      <c r="C575" s="29" t="s">
        <v>46</v>
      </c>
      <c r="D575" s="6">
        <v>20</v>
      </c>
      <c r="E575" s="40">
        <f>LOOKUP(D575,{0,0.4,1.2,2,2.8,3.6,4.4,5.7,7,8.3,9.6,10.9,12.2,13.5,14.8,16.1,17.4,19.1,20.8,22.5,24.2},{0,10,20,30,40,50,60,62,64,66,68,70,72,74,76,78,80,85,90,95,100})</f>
        <v>85</v>
      </c>
      <c r="F575" s="6">
        <v>157</v>
      </c>
      <c r="G575" s="40">
        <f>LOOKUP(F575,{0,123,128,133,138,143,148,151,154,157,160,163,166,169,172,175,178,185,192,198,204},{0,10,20,30,40,50,60,62,64,66,68,70,72,74,76,78,80,85,90,95,100})</f>
        <v>66</v>
      </c>
      <c r="H575" s="6">
        <v>44</v>
      </c>
      <c r="I575" s="40">
        <f>LOOKUP(H575,{0,13,15,17,19,21,23,25,27,29,31,33,35,37,39,41,43,46,49,51,53},{0,10,20,30,40,50,60,62,64,66,68,70,72,74,76,78,80,85,90,95,100})</f>
        <v>80</v>
      </c>
      <c r="J575" s="45"/>
      <c r="K575" s="45"/>
      <c r="L575" s="7">
        <f>I575+K575</f>
        <v>80</v>
      </c>
      <c r="M575" s="6">
        <v>9.1</v>
      </c>
      <c r="N575" s="43">
        <f>13-M575</f>
        <v>3.9</v>
      </c>
      <c r="O575" s="40">
        <f>LOOKUP(N575,{0,1.4,1.6,1.8,2,2.2,2.4,2.6,2.8,3,3.2,3.4,3.6,3.8,4,4.2,4.4,4.7,5,5.1,5.2},{0,10,20,30,40,50,60,62,64,66,68,70,72,74,76,78,80,85,90,95,100})</f>
        <v>74</v>
      </c>
      <c r="P575" s="6">
        <v>3.5</v>
      </c>
      <c r="Q575" s="6">
        <f>10-P575</f>
        <v>6.5</v>
      </c>
      <c r="R575" s="40">
        <f>LOOKUP(Q575,{0,4.7,4.8,4.9,5,5.5,5.6,5.65,5.7,5.75,5.8,5.85,5.9,5.95,6,6.45,6.5,6.57,6.64,6.7,6.76},{0,10,20,30,40,50,60,62,64,66,68,70,72,74,76,78,80,85,90,95,100})</f>
        <v>80</v>
      </c>
      <c r="S575" s="45"/>
      <c r="T575" s="45"/>
      <c r="U575" s="7">
        <f>R575+T575</f>
        <v>80</v>
      </c>
      <c r="W575" s="7">
        <f>E575*0.1+G575*0.1+I575*0.1+O575*0.2+R575*0.2</f>
        <v>53.9</v>
      </c>
      <c r="X575" s="21">
        <f>W575/0.7+K575+T575</f>
        <v>77</v>
      </c>
    </row>
    <row r="576" ht="15.6" spans="1:24">
      <c r="A576" s="6">
        <v>103</v>
      </c>
      <c r="B576" s="29" t="s">
        <v>160</v>
      </c>
      <c r="C576" s="29" t="s">
        <v>46</v>
      </c>
      <c r="D576" s="6">
        <v>12.5</v>
      </c>
      <c r="E576" s="40">
        <f>LOOKUP(D576,{0,0.4,1.2,2,2.8,3.6,4.4,5.7,7,8.3,9.6,10.9,12.2,13.5,14.8,16.1,17.4,19.1,20.8,22.5,24.2},{0,10,20,30,40,50,60,62,64,66,68,70,72,74,76,78,80,85,90,95,100})</f>
        <v>72</v>
      </c>
      <c r="F576" s="6">
        <v>164</v>
      </c>
      <c r="G576" s="40">
        <f>LOOKUP(F576,{0,123,128,133,138,143,148,151,154,157,160,163,166,169,172,175,178,185,192,198,204},{0,10,20,30,40,50,60,62,64,66,68,70,72,74,76,78,80,85,90,95,100})</f>
        <v>70</v>
      </c>
      <c r="H576" s="6">
        <v>48</v>
      </c>
      <c r="I576" s="40">
        <f>LOOKUP(H576,{0,13,15,17,19,21,23,25,27,29,31,33,35,37,39,41,43,46,49,51,53},{0,10,20,30,40,50,60,62,64,66,68,70,72,74,76,78,80,85,90,95,100})</f>
        <v>85</v>
      </c>
      <c r="J576" s="45"/>
      <c r="K576" s="45"/>
      <c r="L576" s="7">
        <f>I576+K576</f>
        <v>85</v>
      </c>
      <c r="M576" s="6">
        <v>8.5</v>
      </c>
      <c r="N576" s="43">
        <f>13-M576</f>
        <v>4.5</v>
      </c>
      <c r="O576" s="40">
        <f>LOOKUP(N576,{0,1.4,1.6,1.8,2,2.2,2.4,2.6,2.8,3,3.2,3.4,3.6,3.8,4,4.2,4.4,4.7,5,5.1,5.2},{0,10,20,30,40,50,60,62,64,66,68,70,72,74,76,78,80,85,90,95,100})</f>
        <v>80</v>
      </c>
      <c r="P576" s="6">
        <v>4</v>
      </c>
      <c r="Q576" s="6">
        <f>10-P576</f>
        <v>6</v>
      </c>
      <c r="R576" s="40">
        <f>LOOKUP(Q576,{0,4.7,4.8,4.9,5,5.5,5.6,5.65,5.7,5.75,5.8,5.85,5.9,5.95,6,6.45,6.5,6.57,6.64,6.7,6.76},{0,10,20,30,40,50,60,62,64,66,68,70,72,74,76,78,80,85,90,95,100})</f>
        <v>76</v>
      </c>
      <c r="S576" s="45"/>
      <c r="T576" s="45"/>
      <c r="U576" s="7">
        <f>R576+T576</f>
        <v>76</v>
      </c>
      <c r="W576" s="7">
        <f>E576*0.1+G576*0.1+I576*0.1+O576*0.2+R576*0.2</f>
        <v>53.9</v>
      </c>
      <c r="X576" s="21">
        <f>W576/0.7+K576+T576</f>
        <v>77</v>
      </c>
    </row>
    <row r="577" ht="15.6" spans="1:24">
      <c r="A577" s="6">
        <v>102</v>
      </c>
      <c r="B577" s="29" t="s">
        <v>107</v>
      </c>
      <c r="C577" s="29" t="s">
        <v>46</v>
      </c>
      <c r="D577" s="6">
        <v>27</v>
      </c>
      <c r="E577" s="40">
        <f>LOOKUP(D577,{0,0.4,1.2,2,2.8,3.6,4.4,5.7,7,8.3,9.6,10.9,12.2,13.5,14.8,16.1,17.4,19.1,20.8,22.5,24.2},{0,10,20,30,40,50,60,62,64,66,68,70,72,74,76,78,80,85,90,95,100})</f>
        <v>100</v>
      </c>
      <c r="F577" s="6">
        <v>155</v>
      </c>
      <c r="G577" s="40">
        <f>LOOKUP(F577,{0,123,128,133,138,143,148,151,154,157,160,163,166,169,172,175,178,185,192,198,204},{0,10,20,30,40,50,60,62,64,66,68,70,72,74,76,78,80,85,90,95,100})</f>
        <v>64</v>
      </c>
      <c r="H577" s="6">
        <v>34</v>
      </c>
      <c r="I577" s="40">
        <f>LOOKUP(H577,{0,13,15,17,19,21,23,25,27,29,31,33,35,37,39,41,43,46,49,51,53},{0,10,20,30,40,50,60,62,64,66,68,70,72,74,76,78,80,85,90,95,100})</f>
        <v>70</v>
      </c>
      <c r="J577" s="45"/>
      <c r="K577" s="45"/>
      <c r="L577" s="7">
        <f>I577+K577</f>
        <v>70</v>
      </c>
      <c r="M577" s="6">
        <v>9.4</v>
      </c>
      <c r="N577" s="43">
        <f>13-M577</f>
        <v>3.6</v>
      </c>
      <c r="O577" s="40">
        <f>LOOKUP(N577,{0,1.4,1.6,1.8,2,2.2,2.4,2.6,2.8,3,3.2,3.4,3.6,3.8,4,4.2,4.4,4.7,5,5.1,5.2},{0,10,20,30,40,50,60,62,64,66,68,70,72,74,76,78,80,85,90,95,100})</f>
        <v>72</v>
      </c>
      <c r="P577" s="6">
        <v>3.48</v>
      </c>
      <c r="Q577" s="6">
        <f>10-P577</f>
        <v>6.52</v>
      </c>
      <c r="R577" s="40">
        <f>LOOKUP(Q577,{0,4.7,4.8,4.9,5,5.5,5.6,5.65,5.7,5.75,5.8,5.85,5.9,5.95,6,6.45,6.5,6.57,6.64,6.7,6.76},{0,10,20,30,40,50,60,62,64,66,68,70,72,74,76,78,80,85,90,95,100})</f>
        <v>80</v>
      </c>
      <c r="S577" s="45"/>
      <c r="T577" s="45"/>
      <c r="U577" s="7">
        <f>R577+T577</f>
        <v>80</v>
      </c>
      <c r="W577" s="7">
        <f>E577*0.1+G577*0.1+I577*0.1+O577*0.2+R577*0.2</f>
        <v>53.8</v>
      </c>
      <c r="X577" s="21">
        <f>W577/0.7+K577+T577</f>
        <v>76.8571428571429</v>
      </c>
    </row>
    <row r="578" ht="15.6" spans="1:24">
      <c r="A578" s="6">
        <v>108</v>
      </c>
      <c r="B578" s="29" t="s">
        <v>386</v>
      </c>
      <c r="C578" s="29" t="s">
        <v>46</v>
      </c>
      <c r="D578" s="6">
        <v>7</v>
      </c>
      <c r="E578" s="40">
        <f>LOOKUP(D578,{0,0.4,1.2,2,2.8,3.6,4.4,5.7,7,8.3,9.6,10.9,12.2,13.5,14.8,16.1,17.4,19.1,20.8,22.5,24.2},{0,10,20,30,40,50,60,62,64,66,68,70,72,74,76,78,80,85,90,95,100})</f>
        <v>64</v>
      </c>
      <c r="F578" s="6">
        <v>190</v>
      </c>
      <c r="G578" s="40">
        <f>LOOKUP(F578,{0,123,128,133,138,143,148,151,154,157,160,163,166,169,172,175,178,185,192,198,204},{0,10,20,30,40,50,60,62,64,66,68,70,72,74,76,78,80,85,90,95,100})</f>
        <v>85</v>
      </c>
      <c r="H578" s="6">
        <v>46</v>
      </c>
      <c r="I578" s="40">
        <f>LOOKUP(H578,{0,13,15,17,19,21,23,25,27,29,31,33,35,37,39,41,43,46,49,51,53},{0,10,20,30,40,50,60,62,64,66,68,70,72,74,76,78,80,85,90,95,100})</f>
        <v>85</v>
      </c>
      <c r="J578" s="45"/>
      <c r="K578" s="45"/>
      <c r="L578" s="7">
        <f>I578+K578</f>
        <v>85</v>
      </c>
      <c r="M578" s="6">
        <v>8.8</v>
      </c>
      <c r="N578" s="43">
        <f>13-M578</f>
        <v>4.2</v>
      </c>
      <c r="O578" s="40">
        <f>LOOKUP(N578,{0,1.4,1.6,1.8,2,2.2,2.4,2.6,2.8,3,3.2,3.4,3.6,3.8,4,4.2,4.4,4.7,5,5.1,5.2},{0,10,20,30,40,50,60,62,64,66,68,70,72,74,76,78,80,85,90,95,100})</f>
        <v>78</v>
      </c>
      <c r="P578" s="6">
        <v>4.02</v>
      </c>
      <c r="Q578" s="6">
        <f>10-P578</f>
        <v>5.98</v>
      </c>
      <c r="R578" s="40">
        <f>LOOKUP(Q578,{0,4.7,4.8,4.9,5,5.5,5.6,5.65,5.7,5.75,5.8,5.85,5.9,5.95,6,6.45,6.5,6.57,6.64,6.7,6.76},{0,10,20,30,40,50,60,62,64,66,68,70,72,74,76,78,80,85,90,95,100})</f>
        <v>74</v>
      </c>
      <c r="S578" s="45"/>
      <c r="T578" s="45"/>
      <c r="U578" s="7">
        <f>R578+T578</f>
        <v>74</v>
      </c>
      <c r="W578" s="7">
        <f>E578*0.1+G578*0.1+I578*0.1+O578*0.2+R578*0.2</f>
        <v>53.8</v>
      </c>
      <c r="X578" s="21">
        <f>W578/0.7+K578+T578</f>
        <v>76.8571428571429</v>
      </c>
    </row>
    <row r="579" ht="15.6" spans="1:24">
      <c r="A579" s="6">
        <v>104</v>
      </c>
      <c r="B579" s="39" t="s">
        <v>209</v>
      </c>
      <c r="C579" s="29" t="s">
        <v>46</v>
      </c>
      <c r="D579" s="6">
        <v>6</v>
      </c>
      <c r="E579" s="40">
        <f>LOOKUP(D579,{0,0.4,1.2,2,2.8,3.6,4.4,5.7,7,8.3,9.6,10.9,12.2,13.5,14.8,16.1,17.4,19.1,20.8,22.5,24.2},{0,10,20,30,40,50,60,62,64,66,68,70,72,74,76,78,80,85,90,95,100})</f>
        <v>62</v>
      </c>
      <c r="F579" s="6">
        <v>158</v>
      </c>
      <c r="G579" s="40">
        <f>LOOKUP(F579,{0,123,128,133,138,143,148,151,154,157,160,163,166,169,172,175,178,185,192,198,204},{0,10,20,30,40,50,60,62,64,66,68,70,72,74,76,78,80,85,90,95,100})</f>
        <v>66</v>
      </c>
      <c r="H579" s="6">
        <v>43</v>
      </c>
      <c r="I579" s="40">
        <f>LOOKUP(H579,{0,13,15,17,19,21,23,25,27,29,31,33,35,37,39,41,43,46,49,51,53},{0,10,20,30,40,50,60,62,64,66,68,70,72,74,76,78,80,85,90,95,100})</f>
        <v>80</v>
      </c>
      <c r="J579" s="45"/>
      <c r="K579" s="45"/>
      <c r="L579" s="7">
        <f>I579+K579</f>
        <v>80</v>
      </c>
      <c r="M579" s="6">
        <v>9.2</v>
      </c>
      <c r="N579" s="43">
        <f>13-M579</f>
        <v>3.8</v>
      </c>
      <c r="O579" s="40">
        <f>LOOKUP(N579,{0,1.4,1.6,1.8,2,2.2,2.4,2.6,2.8,3,3.2,3.4,3.6,3.8,4,4.2,4.4,4.7,5,5.1,5.2},{0,10,20,30,40,50,60,62,64,66,68,70,72,74,76,78,80,85,90,95,100})</f>
        <v>74</v>
      </c>
      <c r="P579" s="6">
        <v>3.35</v>
      </c>
      <c r="Q579" s="6">
        <f>10-P579</f>
        <v>6.65</v>
      </c>
      <c r="R579" s="40">
        <f>LOOKUP(Q579,{0,4.7,4.8,4.9,5,5.5,5.6,5.65,5.7,5.75,5.8,5.85,5.9,5.95,6,6.45,6.5,6.57,6.64,6.7,6.76},{0,10,20,30,40,50,60,62,64,66,68,70,72,74,76,78,80,85,90,95,100})</f>
        <v>90</v>
      </c>
      <c r="S579" s="45"/>
      <c r="T579" s="45"/>
      <c r="U579" s="7">
        <f>R579+T579</f>
        <v>90</v>
      </c>
      <c r="W579" s="7">
        <f>E579*0.1+G579*0.1+I579*0.1+O579*0.2+R579*0.2</f>
        <v>53.6</v>
      </c>
      <c r="X579" s="21">
        <f>W579/0.7+K579+T579</f>
        <v>76.5714285714286</v>
      </c>
    </row>
    <row r="580" ht="15.6" spans="1:24">
      <c r="A580" s="6">
        <v>103</v>
      </c>
      <c r="B580" s="29" t="s">
        <v>166</v>
      </c>
      <c r="C580" s="29" t="s">
        <v>46</v>
      </c>
      <c r="D580" s="6">
        <v>10</v>
      </c>
      <c r="E580" s="40">
        <f>LOOKUP(D580,{0,0.4,1.2,2,2.8,3.6,4.4,5.7,7,8.3,9.6,10.9,12.2,13.5,14.8,16.1,17.4,19.1,20.8,22.5,24.2},{0,10,20,30,40,50,60,62,64,66,68,70,72,74,76,78,80,85,90,95,100})</f>
        <v>68</v>
      </c>
      <c r="F580" s="6">
        <v>170</v>
      </c>
      <c r="G580" s="40">
        <f>LOOKUP(F580,{0,123,128,133,138,143,148,151,154,157,160,163,166,169,172,175,178,185,192,198,204},{0,10,20,30,40,50,60,62,64,66,68,70,72,74,76,78,80,85,90,95,100})</f>
        <v>74</v>
      </c>
      <c r="H580" s="6">
        <v>44</v>
      </c>
      <c r="I580" s="40">
        <f>LOOKUP(H580,{0,13,15,17,19,21,23,25,27,29,31,33,35,37,39,41,43,46,49,51,53},{0,10,20,30,40,50,60,62,64,66,68,70,72,74,76,78,80,85,90,95,100})</f>
        <v>80</v>
      </c>
      <c r="J580" s="45"/>
      <c r="K580" s="45"/>
      <c r="L580" s="7">
        <f>I580+K580</f>
        <v>80</v>
      </c>
      <c r="M580" s="6">
        <v>9.4</v>
      </c>
      <c r="N580" s="43">
        <f>13-M580</f>
        <v>3.6</v>
      </c>
      <c r="O580" s="40">
        <f>LOOKUP(N580,{0,1.4,1.6,1.8,2,2.2,2.4,2.6,2.8,3,3.2,3.4,3.6,3.8,4,4.2,4.4,4.7,5,5.1,5.2},{0,10,20,30,40,50,60,62,64,66,68,70,72,74,76,78,80,85,90,95,100})</f>
        <v>72</v>
      </c>
      <c r="P580" s="6">
        <v>3.41</v>
      </c>
      <c r="Q580" s="6">
        <f>10-P580</f>
        <v>6.59</v>
      </c>
      <c r="R580" s="40">
        <f>LOOKUP(Q580,{0,4.7,4.8,4.9,5,5.5,5.6,5.65,5.7,5.75,5.8,5.85,5.9,5.95,6,6.45,6.5,6.57,6.64,6.7,6.76},{0,10,20,30,40,50,60,62,64,66,68,70,72,74,76,78,80,85,90,95,100})</f>
        <v>85</v>
      </c>
      <c r="S580" s="45"/>
      <c r="T580" s="45"/>
      <c r="U580" s="7">
        <f>R580+T580</f>
        <v>85</v>
      </c>
      <c r="W580" s="7">
        <f>E580*0.1+G580*0.1+I580*0.1+O580*0.2+R580*0.2</f>
        <v>53.6</v>
      </c>
      <c r="X580" s="21">
        <f>W580/0.7+K580+T580</f>
        <v>76.5714285714286</v>
      </c>
    </row>
    <row r="581" s="3" customFormat="1" ht="15.6" spans="1:24">
      <c r="A581" s="6">
        <v>103</v>
      </c>
      <c r="B581" s="29" t="s">
        <v>155</v>
      </c>
      <c r="C581" s="29" t="s">
        <v>46</v>
      </c>
      <c r="D581" s="6">
        <v>19</v>
      </c>
      <c r="E581" s="40">
        <f>LOOKUP(D581,{0,0.4,1.2,2,2.8,3.6,4.4,5.7,7,8.3,9.6,10.9,12.2,13.5,14.8,16.1,17.4,19.1,20.8,22.5,24.2},{0,10,20,30,40,50,60,62,64,66,68,70,72,74,76,78,80,85,90,95,100})</f>
        <v>80</v>
      </c>
      <c r="F581" s="6">
        <v>181</v>
      </c>
      <c r="G581" s="40">
        <f>LOOKUP(F581,{0,123,128,133,138,143,148,151,154,157,160,163,166,169,172,175,178,185,192,198,204},{0,10,20,30,40,50,60,62,64,66,68,70,72,74,76,78,80,85,90,95,100})</f>
        <v>80</v>
      </c>
      <c r="H581" s="6">
        <v>43</v>
      </c>
      <c r="I581" s="40">
        <f>LOOKUP(H581,{0,13,15,17,19,21,23,25,27,29,31,33,35,37,39,41,43,46,49,51,53},{0,10,20,30,40,50,60,62,64,66,68,70,72,74,76,78,80,85,90,95,100})</f>
        <v>80</v>
      </c>
      <c r="J581" s="45"/>
      <c r="K581" s="45"/>
      <c r="L581" s="7">
        <f>I581+K581</f>
        <v>80</v>
      </c>
      <c r="M581" s="6">
        <v>8.8</v>
      </c>
      <c r="N581" s="43">
        <f>13-M581</f>
        <v>4.2</v>
      </c>
      <c r="O581" s="40">
        <f>LOOKUP(N581,{0,1.4,1.6,1.8,2,2.2,2.4,2.6,2.8,3,3.2,3.4,3.6,3.8,4,4.2,4.4,4.7,5,5.1,5.2},{0,10,20,30,40,50,60,62,64,66,68,70,72,74,76,78,80,85,90,95,100})</f>
        <v>78</v>
      </c>
      <c r="P581" s="6">
        <v>4.15</v>
      </c>
      <c r="Q581" s="6">
        <f>10-P581</f>
        <v>5.85</v>
      </c>
      <c r="R581" s="40">
        <f>LOOKUP(Q581,{0,4.7,4.8,4.9,5,5.5,5.6,5.65,5.7,5.75,5.8,5.85,5.9,5.95,6,6.45,6.5,6.57,6.64,6.7,6.76},{0,10,20,30,40,50,60,62,64,66,68,70,72,74,76,78,80,85,90,95,100})</f>
        <v>70</v>
      </c>
      <c r="S581" s="45"/>
      <c r="T581" s="45"/>
      <c r="U581" s="7">
        <f>R581+T581</f>
        <v>70</v>
      </c>
      <c r="V581" s="6"/>
      <c r="W581" s="7">
        <f>E581*0.1+G581*0.1+I581*0.1+O581*0.2+R581*0.2</f>
        <v>53.6</v>
      </c>
      <c r="X581" s="21">
        <f>W581/0.7+K581+T581</f>
        <v>76.5714285714286</v>
      </c>
    </row>
    <row r="582" ht="15.6" spans="1:24">
      <c r="A582" s="6">
        <v>113</v>
      </c>
      <c r="B582" s="29" t="s">
        <v>667</v>
      </c>
      <c r="C582" s="29" t="s">
        <v>46</v>
      </c>
      <c r="D582" s="6">
        <v>13.5</v>
      </c>
      <c r="E582" s="40">
        <f>LOOKUP(D582,{0,0.4,1.2,2,2.8,3.6,4.4,5.7,7,8.3,9.6,10.9,12.2,13.5,14.8,16.1,17.4,19.1,20.8,22.5,24.2},{0,10,20,30,40,50,60,62,64,66,68,70,72,74,76,78,80,85,90,95,100})</f>
        <v>74</v>
      </c>
      <c r="F582" s="6">
        <v>168</v>
      </c>
      <c r="G582" s="40">
        <f>LOOKUP(F582,{0,123,128,133,138,143,148,151,154,157,160,163,166,169,172,175,178,185,192,198,204},{0,10,20,30,40,50,60,62,64,66,68,70,72,74,76,78,80,85,90,95,100})</f>
        <v>72</v>
      </c>
      <c r="H582" s="6">
        <v>47</v>
      </c>
      <c r="I582" s="40">
        <f>LOOKUP(H582,{0,13,15,17,19,21,23,25,27,29,31,33,35,37,39,41,43,46,49,51,53},{0,10,20,30,40,50,60,62,64,66,68,70,72,74,76,78,80,85,90,95,100})</f>
        <v>85</v>
      </c>
      <c r="J582" s="45"/>
      <c r="K582" s="45"/>
      <c r="L582" s="7">
        <f>I582+K582</f>
        <v>85</v>
      </c>
      <c r="M582" s="6">
        <v>9.1</v>
      </c>
      <c r="N582" s="43">
        <f>13-M582</f>
        <v>3.9</v>
      </c>
      <c r="O582" s="40">
        <f>LOOKUP(N582,{0,1.4,1.6,1.8,2,2.2,2.4,2.6,2.8,3,3.2,3.4,3.6,3.8,4,4.2,4.4,4.7,5,5.1,5.2},{0,10,20,30,40,50,60,62,64,66,68,70,72,74,76,78,80,85,90,95,100})</f>
        <v>74</v>
      </c>
      <c r="P582" s="6">
        <v>3.52</v>
      </c>
      <c r="Q582" s="6">
        <f>10-P582</f>
        <v>6.48</v>
      </c>
      <c r="R582" s="40">
        <f>LOOKUP(Q582,{0,4.7,4.8,4.9,5,5.5,5.6,5.65,5.7,5.75,5.8,5.85,5.9,5.95,6,6.45,6.5,6.57,6.64,6.7,6.76},{0,10,20,30,40,50,60,62,64,66,68,70,72,74,76,78,80,85,90,95,100})</f>
        <v>78</v>
      </c>
      <c r="S582" s="45"/>
      <c r="T582" s="45"/>
      <c r="U582" s="7">
        <f>R582+T582</f>
        <v>78</v>
      </c>
      <c r="W582" s="7">
        <f>E582*0.1+G582*0.1+I582*0.1+O582*0.2+R582*0.2</f>
        <v>53.5</v>
      </c>
      <c r="X582" s="21">
        <f>W582/0.7+K582+T582</f>
        <v>76.4285714285714</v>
      </c>
    </row>
    <row r="583" ht="15.6" spans="1:24">
      <c r="A583" s="6">
        <v>108</v>
      </c>
      <c r="B583" s="29" t="s">
        <v>399</v>
      </c>
      <c r="C583" s="29" t="s">
        <v>46</v>
      </c>
      <c r="D583" s="6">
        <v>20.5</v>
      </c>
      <c r="E583" s="40">
        <f>LOOKUP(D583,{0,0.4,1.2,2,2.8,3.6,4.4,5.7,7,8.3,9.6,10.9,12.2,13.5,14.8,16.1,17.4,19.1,20.8,22.5,24.2},{0,10,20,30,40,50,60,62,64,66,68,70,72,74,76,78,80,85,90,95,100})</f>
        <v>85</v>
      </c>
      <c r="F583" s="6">
        <v>170</v>
      </c>
      <c r="G583" s="40">
        <f>LOOKUP(F583,{0,123,128,133,138,143,148,151,154,157,160,163,166,169,172,175,178,185,192,198,204},{0,10,20,30,40,50,60,62,64,66,68,70,72,74,76,78,80,85,90,95,100})</f>
        <v>74</v>
      </c>
      <c r="H583" s="6">
        <v>44</v>
      </c>
      <c r="I583" s="40">
        <f>LOOKUP(H583,{0,13,15,17,19,21,23,25,27,29,31,33,35,37,39,41,43,46,49,51,53},{0,10,20,30,40,50,60,62,64,66,68,70,72,74,76,78,80,85,90,95,100})</f>
        <v>80</v>
      </c>
      <c r="J583" s="45"/>
      <c r="K583" s="45"/>
      <c r="L583" s="7">
        <f>I583+K583</f>
        <v>80</v>
      </c>
      <c r="M583" s="6">
        <v>8.9</v>
      </c>
      <c r="N583" s="43">
        <f>13-M583</f>
        <v>4.1</v>
      </c>
      <c r="O583" s="40">
        <f>LOOKUP(N583,{0,1.4,1.6,1.8,2,2.2,2.4,2.6,2.8,3,3.2,3.4,3.6,3.8,4,4.2,4.4,4.7,5,5.1,5.2},{0,10,20,30,40,50,60,62,64,66,68,70,72,74,76,78,80,85,90,95,100})</f>
        <v>76</v>
      </c>
      <c r="P583" s="6">
        <v>4.1</v>
      </c>
      <c r="Q583" s="6">
        <f>10-P583</f>
        <v>5.9</v>
      </c>
      <c r="R583" s="40">
        <f>LOOKUP(Q583,{0,4.7,4.8,4.9,5,5.5,5.6,5.65,5.7,5.75,5.8,5.85,5.9,5.95,6,6.45,6.5,6.57,6.64,6.7,6.76},{0,10,20,30,40,50,60,62,64,66,68,70,72,74,76,78,80,85,90,95,100})</f>
        <v>72</v>
      </c>
      <c r="S583" s="45"/>
      <c r="T583" s="45"/>
      <c r="U583" s="7">
        <f>R583+T583</f>
        <v>72</v>
      </c>
      <c r="W583" s="7">
        <f>E583*0.1+G583*0.1+I583*0.1+O583*0.2+R583*0.2</f>
        <v>53.5</v>
      </c>
      <c r="X583" s="21">
        <f>W583/0.7+K583+T583</f>
        <v>76.4285714285714</v>
      </c>
    </row>
    <row r="584" ht="15.6" spans="1:24">
      <c r="A584" s="6">
        <v>108</v>
      </c>
      <c r="B584" s="29" t="s">
        <v>389</v>
      </c>
      <c r="C584" s="29" t="s">
        <v>46</v>
      </c>
      <c r="D584" s="6">
        <v>23</v>
      </c>
      <c r="E584" s="40">
        <f>LOOKUP(D584,{0,0.4,1.2,2,2.8,3.6,4.4,5.7,7,8.3,9.6,10.9,12.2,13.5,14.8,16.1,17.4,19.1,20.8,22.5,24.2},{0,10,20,30,40,50,60,62,64,66,68,70,72,74,76,78,80,85,90,95,100})</f>
        <v>95</v>
      </c>
      <c r="F584" s="6">
        <v>173</v>
      </c>
      <c r="G584" s="40">
        <f>LOOKUP(F584,{0,123,128,133,138,143,148,151,154,157,160,163,166,169,172,175,178,185,192,198,204},{0,10,20,30,40,50,60,62,64,66,68,70,72,74,76,78,80,85,90,95,100})</f>
        <v>76</v>
      </c>
      <c r="H584" s="6">
        <v>40</v>
      </c>
      <c r="I584" s="40">
        <f>LOOKUP(H584,{0,13,15,17,19,21,23,25,27,29,31,33,35,37,39,41,43,46,49,51,53},{0,10,20,30,40,50,60,62,64,66,68,70,72,74,76,78,80,85,90,95,100})</f>
        <v>76</v>
      </c>
      <c r="J584" s="45"/>
      <c r="K584" s="45"/>
      <c r="L584" s="7">
        <f>I584+K584</f>
        <v>76</v>
      </c>
      <c r="M584" s="6">
        <v>8.6</v>
      </c>
      <c r="N584" s="43">
        <f>13-M584</f>
        <v>4.4</v>
      </c>
      <c r="O584" s="40">
        <f>LOOKUP(N584,{0,1.4,1.6,1.8,2,2.2,2.4,2.6,2.8,3,3.2,3.4,3.6,3.8,4,4.2,4.4,4.7,5,5.1,5.2},{0,10,20,30,40,50,60,62,64,66,68,70,72,74,76,78,80,85,90,95,100})</f>
        <v>80</v>
      </c>
      <c r="P584" s="6">
        <v>4.28</v>
      </c>
      <c r="Q584" s="6">
        <f>10-P584</f>
        <v>5.72</v>
      </c>
      <c r="R584" s="40">
        <f>LOOKUP(Q584,{0,4.7,4.8,4.9,5,5.5,5.6,5.65,5.7,5.75,5.8,5.85,5.9,5.95,6,6.45,6.5,6.57,6.64,6.7,6.76},{0,10,20,30,40,50,60,62,64,66,68,70,72,74,76,78,80,85,90,95,100})</f>
        <v>64</v>
      </c>
      <c r="S584" s="45"/>
      <c r="T584" s="45"/>
      <c r="U584" s="7">
        <f>R584+T584</f>
        <v>64</v>
      </c>
      <c r="W584" s="7">
        <f>E584*0.1+G584*0.1+I584*0.1+O584*0.2+R584*0.2</f>
        <v>53.5</v>
      </c>
      <c r="X584" s="21">
        <f>W584/0.7+K584+T584</f>
        <v>76.4285714285714</v>
      </c>
    </row>
    <row r="585" ht="15.6" spans="1:24">
      <c r="A585" s="6">
        <v>112</v>
      </c>
      <c r="B585" s="29" t="s">
        <v>614</v>
      </c>
      <c r="C585" s="29" t="s">
        <v>46</v>
      </c>
      <c r="D585" s="6">
        <v>16.5</v>
      </c>
      <c r="E585" s="40">
        <f>LOOKUP(D585,{0,0.4,1.2,2,2.8,3.6,4.4,5.7,7,8.3,9.6,10.9,12.2,13.5,14.8,16.1,17.4,19.1,20.8,22.5,24.2},{0,10,20,30,40,50,60,62,64,66,68,70,72,74,76,78,80,85,90,95,100})</f>
        <v>78</v>
      </c>
      <c r="F585" s="6">
        <v>159</v>
      </c>
      <c r="G585" s="40">
        <f>LOOKUP(F585,{0,123,128,133,138,143,148,151,154,157,160,163,166,169,172,175,178,185,192,198,204},{0,10,20,30,40,50,60,62,64,66,68,70,72,74,76,78,80,85,90,95,100})</f>
        <v>66</v>
      </c>
      <c r="H585" s="6">
        <v>50</v>
      </c>
      <c r="I585" s="40">
        <f>LOOKUP(H585,{0,13,15,17,19,21,23,25,27,29,31,33,35,37,39,41,43,46,49,51,53},{0,10,20,30,40,50,60,62,64,66,68,70,72,74,76,78,80,85,90,95,100})</f>
        <v>90</v>
      </c>
      <c r="J585" s="45"/>
      <c r="K585" s="45"/>
      <c r="L585" s="7">
        <f>I585+K585</f>
        <v>90</v>
      </c>
      <c r="M585" s="6">
        <v>9.2</v>
      </c>
      <c r="N585" s="43">
        <f>13-M585</f>
        <v>3.8</v>
      </c>
      <c r="O585" s="40">
        <f>LOOKUP(N585,{0,1.4,1.6,1.8,2,2.2,2.4,2.6,2.8,3,3.2,3.4,3.6,3.8,4,4.2,4.4,4.7,5,5.1,5.2},{0,10,20,30,40,50,60,62,64,66,68,70,72,74,76,78,80,85,90,95,100})</f>
        <v>74</v>
      </c>
      <c r="P585" s="6">
        <v>3.59</v>
      </c>
      <c r="Q585" s="6">
        <f>10-P585</f>
        <v>6.41</v>
      </c>
      <c r="R585" s="40">
        <f>LOOKUP(Q585,{0,4.7,4.8,4.9,5,5.5,5.6,5.65,5.7,5.75,5.8,5.85,5.9,5.95,6,6.45,6.5,6.57,6.64,6.7,6.76},{0,10,20,30,40,50,60,62,64,66,68,70,72,74,76,78,80,85,90,95,100})</f>
        <v>76</v>
      </c>
      <c r="S585" s="45"/>
      <c r="T585" s="45"/>
      <c r="U585" s="7">
        <f>R585+T585</f>
        <v>76</v>
      </c>
      <c r="W585" s="7">
        <f>E585*0.1+G585*0.1+I585*0.1+O585*0.2+R585*0.2</f>
        <v>53.4</v>
      </c>
      <c r="X585" s="21">
        <f>W585/0.7+K585+T585</f>
        <v>76.2857142857143</v>
      </c>
    </row>
    <row r="586" ht="15.6" spans="1:24">
      <c r="A586" s="6">
        <v>116</v>
      </c>
      <c r="B586" s="29" t="s">
        <v>809</v>
      </c>
      <c r="C586" s="29" t="s">
        <v>46</v>
      </c>
      <c r="D586" s="6">
        <v>13.7</v>
      </c>
      <c r="E586" s="40">
        <f>LOOKUP(D586,{0,0.4,1.2,2,2.8,3.6,4.4,5.7,7,8.3,9.6,10.9,12.2,13.5,14.8,16.1,17.4,19.1,20.8,22.5,24.2},{0,10,20,30,40,50,60,62,64,66,68,70,72,74,76,78,80,85,90,95,100})</f>
        <v>74</v>
      </c>
      <c r="F586" s="6">
        <v>171</v>
      </c>
      <c r="G586" s="40">
        <f>LOOKUP(F586,{0,123,128,133,138,143,148,151,154,157,160,163,166,169,172,175,178,185,192,198,204},{0,10,20,30,40,50,60,62,64,66,68,70,72,74,76,78,80,85,90,95,100})</f>
        <v>74</v>
      </c>
      <c r="H586" s="6">
        <v>57</v>
      </c>
      <c r="I586" s="40">
        <f>LOOKUP(H586,{0,13,15,17,19,21,23,25,27,29,31,33,35,37,39,41,43,46,49,51,53},{0,10,20,30,40,50,60,62,64,66,68,70,72,74,76,78,80,85,90,95,100})</f>
        <v>100</v>
      </c>
      <c r="J586" s="45">
        <f>H586-53</f>
        <v>4</v>
      </c>
      <c r="K586" s="40">
        <f>LOOKUP(J586,{0,2,4,6,7,8,9,10,11,12,13},{0,1,2,3,4,5,6,7,8,9,10})</f>
        <v>2</v>
      </c>
      <c r="L586" s="7">
        <f>I586+K586</f>
        <v>102</v>
      </c>
      <c r="M586" s="6">
        <v>10.2</v>
      </c>
      <c r="N586" s="43">
        <f>13-M586</f>
        <v>2.8</v>
      </c>
      <c r="O586" s="40">
        <f>LOOKUP(N586,{0,1.4,1.6,1.8,2,2.2,2.4,2.6,2.8,3,3.2,3.4,3.6,3.8,4,4.2,4.4,4.7,5,5.1,5.2},{0,10,20,30,40,50,60,62,64,66,68,70,72,74,76,78,80,85,90,95,100})</f>
        <v>64</v>
      </c>
      <c r="P586" s="6">
        <v>4.08</v>
      </c>
      <c r="Q586" s="6">
        <f>10-P586</f>
        <v>5.92</v>
      </c>
      <c r="R586" s="40">
        <f>LOOKUP(Q586,{0,4.7,4.8,4.9,5,5.5,5.6,5.65,5.7,5.75,5.8,5.85,5.9,5.95,6,6.45,6.5,6.57,6.64,6.7,6.76},{0,10,20,30,40,50,60,62,64,66,68,70,72,74,76,78,80,85,90,95,100})</f>
        <v>72</v>
      </c>
      <c r="S586" s="45"/>
      <c r="T586" s="45"/>
      <c r="U586" s="7">
        <f>R586+T586</f>
        <v>72</v>
      </c>
      <c r="W586" s="7">
        <f>E586*0.1+G586*0.1+I586*0.1+O586*0.2+R586*0.2</f>
        <v>52</v>
      </c>
      <c r="X586" s="21">
        <f>W586/0.7+K586+T586</f>
        <v>76.2857142857143</v>
      </c>
    </row>
    <row r="587" ht="15.6" spans="1:24">
      <c r="A587" s="6">
        <v>110</v>
      </c>
      <c r="B587" s="29" t="s">
        <v>506</v>
      </c>
      <c r="C587" s="29" t="s">
        <v>46</v>
      </c>
      <c r="D587" s="6">
        <v>8</v>
      </c>
      <c r="E587" s="40">
        <f>LOOKUP(D587,{0,0.4,1.2,2,2.8,3.6,4.4,5.7,7,8.3,9.6,10.9,12.2,13.5,14.8,16.1,17.4,19.1,20.8,22.5,24.2},{0,10,20,30,40,50,60,62,64,66,68,70,72,74,76,78,80,85,90,95,100})</f>
        <v>64</v>
      </c>
      <c r="F587" s="6">
        <v>172</v>
      </c>
      <c r="G587" s="40">
        <f>LOOKUP(F587,{0,123,128,133,138,143,148,151,154,157,160,163,166,169,172,175,178,185,192,198,204},{0,10,20,30,40,50,60,62,64,66,68,70,72,74,76,78,80,85,90,95,100})</f>
        <v>76</v>
      </c>
      <c r="H587" s="6">
        <v>46</v>
      </c>
      <c r="I587" s="40">
        <f>LOOKUP(H587,{0,13,15,17,19,21,23,25,27,29,31,33,35,37,39,41,43,46,49,51,53},{0,10,20,30,40,50,60,62,64,66,68,70,72,74,76,78,80,85,90,95,100})</f>
        <v>85</v>
      </c>
      <c r="J587" s="45"/>
      <c r="K587" s="45"/>
      <c r="L587" s="7">
        <f>I587+K587</f>
        <v>85</v>
      </c>
      <c r="M587" s="6">
        <v>9</v>
      </c>
      <c r="N587" s="43">
        <f>13-M587</f>
        <v>4</v>
      </c>
      <c r="O587" s="40">
        <f>LOOKUP(N587,{0,1.4,1.6,1.8,2,2.2,2.4,2.6,2.8,3,3.2,3.4,3.6,3.8,4,4.2,4.4,4.7,5,5.1,5.2},{0,10,20,30,40,50,60,62,64,66,68,70,72,74,76,78,80,85,90,95,100})</f>
        <v>76</v>
      </c>
      <c r="P587" s="6">
        <v>3.52</v>
      </c>
      <c r="Q587" s="6">
        <f>10-P587</f>
        <v>6.48</v>
      </c>
      <c r="R587" s="40">
        <f>LOOKUP(Q587,{0,4.7,4.8,4.9,5,5.5,5.6,5.65,5.7,5.75,5.8,5.85,5.9,5.95,6,6.45,6.5,6.57,6.64,6.7,6.76},{0,10,20,30,40,50,60,62,64,66,68,70,72,74,76,78,80,85,90,95,100})</f>
        <v>78</v>
      </c>
      <c r="S587" s="45"/>
      <c r="T587" s="45"/>
      <c r="U587" s="7">
        <f>R587+T587</f>
        <v>78</v>
      </c>
      <c r="W587" s="7">
        <f>E587*0.1+G587*0.1+I587*0.1+O587*0.2+R587*0.2</f>
        <v>53.3</v>
      </c>
      <c r="X587" s="21">
        <f>W587/0.7+K587+T587</f>
        <v>76.1428571428572</v>
      </c>
    </row>
    <row r="588" ht="15.6" spans="1:24">
      <c r="A588" s="6">
        <v>104</v>
      </c>
      <c r="B588" s="29" t="s">
        <v>215</v>
      </c>
      <c r="C588" s="29" t="s">
        <v>46</v>
      </c>
      <c r="D588" s="6">
        <v>14.8</v>
      </c>
      <c r="E588" s="40">
        <f>LOOKUP(D588,{0,0.4,1.2,2,2.8,3.6,4.4,5.7,7,8.3,9.6,10.9,12.2,13.5,14.8,16.1,17.4,19.1,20.8,22.5,24.2},{0,10,20,30,40,50,60,62,64,66,68,70,72,74,76,78,80,85,90,95,100})</f>
        <v>76</v>
      </c>
      <c r="F588" s="6">
        <v>187</v>
      </c>
      <c r="G588" s="40">
        <f>LOOKUP(F588,{0,123,128,133,138,143,148,151,154,157,160,163,166,169,172,175,178,185,192,198,204},{0,10,20,30,40,50,60,62,64,66,68,70,72,74,76,78,80,85,90,95,100})</f>
        <v>85</v>
      </c>
      <c r="H588" s="6">
        <v>44</v>
      </c>
      <c r="I588" s="40">
        <f>LOOKUP(H588,{0,13,15,17,19,21,23,25,27,29,31,33,35,37,39,41,43,46,49,51,53},{0,10,20,30,40,50,60,62,64,66,68,70,72,74,76,78,80,85,90,95,100})</f>
        <v>80</v>
      </c>
      <c r="J588" s="45"/>
      <c r="K588" s="45"/>
      <c r="L588" s="7">
        <f>I588+K588</f>
        <v>80</v>
      </c>
      <c r="M588" s="6">
        <v>9.1</v>
      </c>
      <c r="N588" s="43">
        <f>13-M588</f>
        <v>3.9</v>
      </c>
      <c r="O588" s="40">
        <f>LOOKUP(N588,{0,1.4,1.6,1.8,2,2.2,2.4,2.6,2.8,3,3.2,3.4,3.6,3.8,4,4.2,4.4,4.7,5,5.1,5.2},{0,10,20,30,40,50,60,62,64,66,68,70,72,74,76,78,80,85,90,95,100})</f>
        <v>74</v>
      </c>
      <c r="P588" s="6">
        <v>4.07</v>
      </c>
      <c r="Q588" s="6">
        <f>10-P588</f>
        <v>5.93</v>
      </c>
      <c r="R588" s="40">
        <f>LOOKUP(Q588,{0,4.7,4.8,4.9,5,5.5,5.6,5.65,5.7,5.75,5.8,5.85,5.9,5.95,6,6.45,6.5,6.57,6.64,6.7,6.76},{0,10,20,30,40,50,60,62,64,66,68,70,72,74,76,78,80,85,90,95,100})</f>
        <v>72</v>
      </c>
      <c r="S588" s="45"/>
      <c r="T588" s="45"/>
      <c r="U588" s="7">
        <f>R588+T588</f>
        <v>72</v>
      </c>
      <c r="W588" s="7">
        <f>E588*0.1+G588*0.1+I588*0.1+O588*0.2+R588*0.2</f>
        <v>53.3</v>
      </c>
      <c r="X588" s="21">
        <f>W588/0.7+K588+T588</f>
        <v>76.1428571428572</v>
      </c>
    </row>
    <row r="589" ht="15.6" spans="1:24">
      <c r="A589" s="6">
        <v>109</v>
      </c>
      <c r="B589" s="29" t="s">
        <v>454</v>
      </c>
      <c r="C589" s="29" t="s">
        <v>46</v>
      </c>
      <c r="D589" s="6">
        <v>25.3</v>
      </c>
      <c r="E589" s="40">
        <f>LOOKUP(D589,{0,0.4,1.2,2,2.8,3.6,4.4,5.7,7,8.3,9.6,10.9,12.2,13.5,14.8,16.1,17.4,19.1,20.8,22.5,24.2},{0,10,20,30,40,50,60,62,64,66,68,70,72,74,76,78,80,85,90,95,100})</f>
        <v>100</v>
      </c>
      <c r="F589" s="6">
        <v>145</v>
      </c>
      <c r="G589" s="40">
        <f>LOOKUP(F589,{0,123,128,133,138,143,148,151,154,157,160,163,166,169,172,175,178,185,192,198,204},{0,10,20,30,40,50,60,62,64,66,68,70,72,74,76,78,80,85,90,95,100})</f>
        <v>50</v>
      </c>
      <c r="H589" s="6">
        <v>49</v>
      </c>
      <c r="I589" s="40">
        <f>LOOKUP(H589,{0,13,15,17,19,21,23,25,27,29,31,33,35,37,39,41,43,46,49,51,53},{0,10,20,30,40,50,60,62,64,66,68,70,72,74,76,78,80,85,90,95,100})</f>
        <v>90</v>
      </c>
      <c r="J589" s="45"/>
      <c r="K589" s="45"/>
      <c r="L589" s="7">
        <f>I589+K589</f>
        <v>90</v>
      </c>
      <c r="M589" s="6">
        <v>9.4</v>
      </c>
      <c r="N589" s="43">
        <f>13-M589</f>
        <v>3.6</v>
      </c>
      <c r="O589" s="40">
        <f>LOOKUP(N589,{0,1.4,1.6,1.8,2,2.2,2.4,2.6,2.8,3,3.2,3.4,3.6,3.8,4,4.2,4.4,4.7,5,5.1,5.2},{0,10,20,30,40,50,60,62,64,66,68,70,72,74,76,78,80,85,90,95,100})</f>
        <v>72</v>
      </c>
      <c r="P589" s="6">
        <v>4.02</v>
      </c>
      <c r="Q589" s="6">
        <f>10-P589</f>
        <v>5.98</v>
      </c>
      <c r="R589" s="40">
        <f>LOOKUP(Q589,{0,4.7,4.8,4.9,5,5.5,5.6,5.65,5.7,5.75,5.8,5.85,5.9,5.95,6,6.45,6.5,6.57,6.64,6.7,6.76},{0,10,20,30,40,50,60,62,64,66,68,70,72,74,76,78,80,85,90,95,100})</f>
        <v>74</v>
      </c>
      <c r="S589" s="45"/>
      <c r="T589" s="45"/>
      <c r="U589" s="7">
        <f>R589+T589</f>
        <v>74</v>
      </c>
      <c r="W589" s="7">
        <f>E589*0.1+G589*0.1+I589*0.1+O589*0.2+R589*0.2</f>
        <v>53.2</v>
      </c>
      <c r="X589" s="21">
        <f>W589/0.7+K589+T589</f>
        <v>76</v>
      </c>
    </row>
    <row r="590" ht="15.6" spans="1:24">
      <c r="A590" s="6">
        <v>110</v>
      </c>
      <c r="B590" s="29" t="s">
        <v>510</v>
      </c>
      <c r="C590" s="29" t="s">
        <v>46</v>
      </c>
      <c r="D590" s="6">
        <v>10</v>
      </c>
      <c r="E590" s="40">
        <f>LOOKUP(D590,{0,0.4,1.2,2,2.8,3.6,4.4,5.7,7,8.3,9.6,10.9,12.2,13.5,14.8,16.1,17.4,19.1,20.8,22.5,24.2},{0,10,20,30,40,50,60,62,64,66,68,70,72,74,76,78,80,85,90,95,100})</f>
        <v>68</v>
      </c>
      <c r="F590" s="6">
        <v>178</v>
      </c>
      <c r="G590" s="40">
        <f>LOOKUP(F590,{0,123,128,133,138,143,148,151,154,157,160,163,166,169,172,175,178,185,192,198,204},{0,10,20,30,40,50,60,62,64,66,68,70,72,74,76,78,80,85,90,95,100})</f>
        <v>80</v>
      </c>
      <c r="H590" s="6">
        <v>45</v>
      </c>
      <c r="I590" s="40">
        <f>LOOKUP(H590,{0,13,15,17,19,21,23,25,27,29,31,33,35,37,39,41,43,46,49,51,53},{0,10,20,30,40,50,60,62,64,66,68,70,72,74,76,78,80,85,90,95,100})</f>
        <v>80</v>
      </c>
      <c r="J590" s="45"/>
      <c r="K590" s="45"/>
      <c r="L590" s="7">
        <f>I590+K590</f>
        <v>80</v>
      </c>
      <c r="M590" s="6">
        <v>8.8</v>
      </c>
      <c r="N590" s="43">
        <f>13-M590</f>
        <v>4.2</v>
      </c>
      <c r="O590" s="40">
        <f>LOOKUP(N590,{0,1.4,1.6,1.8,2,2.2,2.4,2.6,2.8,3,3.2,3.4,3.6,3.8,4,4.2,4.4,4.7,5,5.1,5.2},{0,10,20,30,40,50,60,62,64,66,68,70,72,74,76,78,80,85,90,95,100})</f>
        <v>78</v>
      </c>
      <c r="P590" s="6">
        <v>4.04</v>
      </c>
      <c r="Q590" s="6">
        <f>10-P590</f>
        <v>5.96</v>
      </c>
      <c r="R590" s="40">
        <f>LOOKUP(Q590,{0,4.7,4.8,4.9,5,5.5,5.6,5.65,5.7,5.75,5.8,5.85,5.9,5.95,6,6.45,6.5,6.57,6.64,6.7,6.76},{0,10,20,30,40,50,60,62,64,66,68,70,72,74,76,78,80,85,90,95,100})</f>
        <v>74</v>
      </c>
      <c r="S590" s="45"/>
      <c r="T590" s="45"/>
      <c r="U590" s="7">
        <f>R590+T590</f>
        <v>74</v>
      </c>
      <c r="W590" s="7">
        <f>E590*0.1+G590*0.1+I590*0.1+O590*0.2+R590*0.2</f>
        <v>53.2</v>
      </c>
      <c r="X590" s="21">
        <f>W590/0.7+K590+T590</f>
        <v>76</v>
      </c>
    </row>
    <row r="591" ht="15.6" spans="1:24">
      <c r="A591" s="6">
        <v>113</v>
      </c>
      <c r="B591" s="29" t="s">
        <v>673</v>
      </c>
      <c r="C591" s="29" t="s">
        <v>46</v>
      </c>
      <c r="D591" s="6">
        <v>24</v>
      </c>
      <c r="E591" s="40">
        <f>LOOKUP(D591,{0,0.4,1.2,2,2.8,3.6,4.4,5.7,7,8.3,9.6,10.9,12.2,13.5,14.8,16.1,17.4,19.1,20.8,22.5,24.2},{0,10,20,30,40,50,60,62,64,66,68,70,72,74,76,78,80,85,90,95,100})</f>
        <v>95</v>
      </c>
      <c r="F591" s="6">
        <v>206</v>
      </c>
      <c r="G591" s="40">
        <f>LOOKUP(F591,{0,123,128,133,138,143,148,151,154,157,160,163,166,169,172,175,178,185,192,198,204},{0,10,20,30,40,50,60,62,64,66,68,70,72,74,76,78,80,85,90,95,100})</f>
        <v>100</v>
      </c>
      <c r="H591" s="6">
        <v>46</v>
      </c>
      <c r="I591" s="40">
        <f>LOOKUP(H591,{0,13,15,17,19,21,23,25,27,29,31,33,35,37,39,41,43,46,49,51,53},{0,10,20,30,40,50,60,62,64,66,68,70,72,74,76,78,80,85,90,95,100})</f>
        <v>85</v>
      </c>
      <c r="J591" s="45"/>
      <c r="K591" s="45"/>
      <c r="L591" s="7">
        <f>I591+K591</f>
        <v>85</v>
      </c>
      <c r="M591" s="6">
        <v>8.9</v>
      </c>
      <c r="N591" s="43">
        <f>13-M591</f>
        <v>4.1</v>
      </c>
      <c r="O591" s="40">
        <f>LOOKUP(N591,{0,1.4,1.6,1.8,2,2.2,2.4,2.6,2.8,3,3.2,3.4,3.6,3.8,4,4.2,4.4,4.7,5,5.1,5.2},{0,10,20,30,40,50,60,62,64,66,68,70,72,74,76,78,80,85,90,95,100})</f>
        <v>76</v>
      </c>
      <c r="P591" s="6">
        <v>4.43</v>
      </c>
      <c r="Q591" s="6">
        <f>10-P591</f>
        <v>5.57</v>
      </c>
      <c r="R591" s="40">
        <f>LOOKUP(Q591,{0,4.7,4.8,4.9,5,5.5,5.6,5.65,5.7,5.75,5.8,5.85,5.9,5.95,6,6.45,6.5,6.57,6.64,6.7,6.76},{0,10,20,30,40,50,60,62,64,66,68,70,72,74,76,78,80,85,90,95,100})</f>
        <v>50</v>
      </c>
      <c r="S591" s="45"/>
      <c r="T591" s="45"/>
      <c r="U591" s="7">
        <f>R591+T591</f>
        <v>50</v>
      </c>
      <c r="W591" s="7">
        <f>E591*0.1+G591*0.1+I591*0.1+O591*0.2+R591*0.2</f>
        <v>53.2</v>
      </c>
      <c r="X591" s="21">
        <f>W591/0.7+K591+T591</f>
        <v>76</v>
      </c>
    </row>
    <row r="592" ht="15.6" spans="1:24">
      <c r="A592" s="6">
        <v>102</v>
      </c>
      <c r="B592" s="29" t="s">
        <v>115</v>
      </c>
      <c r="C592" s="29" t="s">
        <v>46</v>
      </c>
      <c r="D592" s="6">
        <v>6</v>
      </c>
      <c r="E592" s="40">
        <f>LOOKUP(D592,{0,0.4,1.2,2,2.8,3.6,4.4,5.7,7,8.3,9.6,10.9,12.2,13.5,14.8,16.1,17.4,19.1,20.8,22.5,24.2},{0,10,20,30,40,50,60,62,64,66,68,70,72,74,76,78,80,85,90,95,100})</f>
        <v>62</v>
      </c>
      <c r="F592" s="6">
        <v>175</v>
      </c>
      <c r="G592" s="40">
        <f>LOOKUP(F592,{0,123,128,133,138,143,148,151,154,157,160,163,166,169,172,175,178,185,192,198,204},{0,10,20,30,40,50,60,62,64,66,68,70,72,74,76,78,80,85,90,95,100})</f>
        <v>78</v>
      </c>
      <c r="H592" s="6">
        <v>37</v>
      </c>
      <c r="I592" s="40">
        <f>LOOKUP(H592,{0,13,15,17,19,21,23,25,27,29,31,33,35,37,39,41,43,46,49,51,53},{0,10,20,30,40,50,60,62,64,66,68,70,72,74,76,78,80,85,90,95,100})</f>
        <v>74</v>
      </c>
      <c r="J592" s="45"/>
      <c r="K592" s="45"/>
      <c r="L592" s="7">
        <f>I592+K592</f>
        <v>74</v>
      </c>
      <c r="M592" s="6">
        <v>8.7</v>
      </c>
      <c r="N592" s="43">
        <f>13-M592</f>
        <v>4.3</v>
      </c>
      <c r="O592" s="40">
        <f>LOOKUP(N592,{0,1.4,1.6,1.8,2,2.2,2.4,2.6,2.8,3,3.2,3.4,3.6,3.8,4,4.2,4.4,4.7,5,5.1,5.2},{0,10,20,30,40,50,60,62,64,66,68,70,72,74,76,78,80,85,90,95,100})</f>
        <v>78</v>
      </c>
      <c r="P592" s="6">
        <v>3.44</v>
      </c>
      <c r="Q592" s="6">
        <f>10-P592</f>
        <v>6.56</v>
      </c>
      <c r="R592" s="40">
        <f>LOOKUP(Q592,{0,4.7,4.8,4.9,5,5.5,5.6,5.65,5.7,5.75,5.8,5.85,5.9,5.95,6,6.45,6.5,6.57,6.64,6.7,6.76},{0,10,20,30,40,50,60,62,64,66,68,70,72,74,76,78,80,85,90,95,100})</f>
        <v>80</v>
      </c>
      <c r="S592" s="45"/>
      <c r="T592" s="45"/>
      <c r="U592" s="7">
        <f>R592+T592</f>
        <v>80</v>
      </c>
      <c r="W592" s="7">
        <f>E592*0.1+G592*0.1+I592*0.1+O592*0.2+R592*0.2</f>
        <v>53</v>
      </c>
      <c r="X592" s="21">
        <f>W592/0.7+K592+T592</f>
        <v>75.7142857142857</v>
      </c>
    </row>
    <row r="593" ht="15.6" spans="1:24">
      <c r="A593" s="6">
        <v>106</v>
      </c>
      <c r="B593" s="29" t="s">
        <v>295</v>
      </c>
      <c r="C593" s="29" t="s">
        <v>46</v>
      </c>
      <c r="D593" s="6">
        <v>11</v>
      </c>
      <c r="E593" s="40">
        <f>LOOKUP(D593,{0,0.4,1.2,2,2.8,3.6,4.4,5.7,7,8.3,9.6,10.9,12.2,13.5,14.8,16.1,17.4,19.1,20.8,22.5,24.2},{0,10,20,30,40,50,60,62,64,66,68,70,72,74,76,78,80,85,90,95,100})</f>
        <v>70</v>
      </c>
      <c r="F593" s="6">
        <v>145</v>
      </c>
      <c r="G593" s="40">
        <f>LOOKUP(F593,{0,123,128,133,138,143,148,151,154,157,160,163,166,169,172,175,178,185,192,198,204},{0,10,20,30,40,50,60,62,64,66,68,70,72,74,76,78,80,85,90,95,100})</f>
        <v>50</v>
      </c>
      <c r="H593" s="6">
        <v>43</v>
      </c>
      <c r="I593" s="40">
        <f>LOOKUP(H593,{0,13,15,17,19,21,23,25,27,29,31,33,35,37,39,41,43,46,49,51,53},{0,10,20,30,40,50,60,62,64,66,68,70,72,74,76,78,80,85,90,95,100})</f>
        <v>80</v>
      </c>
      <c r="J593" s="45"/>
      <c r="K593" s="45"/>
      <c r="L593" s="7">
        <f>I593+K593</f>
        <v>80</v>
      </c>
      <c r="M593" s="6">
        <v>9.1</v>
      </c>
      <c r="N593" s="43">
        <f>13-M593</f>
        <v>3.9</v>
      </c>
      <c r="O593" s="40">
        <f>LOOKUP(N593,{0,1.4,1.6,1.8,2,2.2,2.4,2.6,2.8,3,3.2,3.4,3.6,3.8,4,4.2,4.4,4.7,5,5.1,5.2},{0,10,20,30,40,50,60,62,64,66,68,70,72,74,76,78,80,85,90,95,100})</f>
        <v>74</v>
      </c>
      <c r="P593" s="6">
        <v>3.36</v>
      </c>
      <c r="Q593" s="6">
        <f>10-P593</f>
        <v>6.64</v>
      </c>
      <c r="R593" s="40">
        <f>LOOKUP(Q593,{0,4.7,4.8,4.9,5,5.5,5.6,5.65,5.7,5.75,5.8,5.85,5.9,5.95,6,6.45,6.5,6.57,6.64,6.7,6.76},{0,10,20,30,40,50,60,62,64,66,68,70,72,74,76,78,80,85,90,95,100})</f>
        <v>90</v>
      </c>
      <c r="S593" s="45"/>
      <c r="T593" s="45"/>
      <c r="U593" s="7">
        <f>R593+T593</f>
        <v>90</v>
      </c>
      <c r="W593" s="7">
        <f>E593*0.1+G593*0.1+I593*0.1+O593*0.2+R593*0.2</f>
        <v>52.8</v>
      </c>
      <c r="X593" s="21">
        <f>W593/0.7+K593+T593</f>
        <v>75.4285714285714</v>
      </c>
    </row>
    <row r="594" ht="15.6" spans="1:24">
      <c r="A594" s="6">
        <v>110</v>
      </c>
      <c r="B594" s="29" t="s">
        <v>494</v>
      </c>
      <c r="C594" s="29" t="s">
        <v>46</v>
      </c>
      <c r="D594" s="6">
        <v>15</v>
      </c>
      <c r="E594" s="40">
        <f>LOOKUP(D594,{0,0.4,1.2,2,2.8,3.6,4.4,5.7,7,8.3,9.6,10.9,12.2,13.5,14.8,16.1,17.4,19.1,20.8,22.5,24.2},{0,10,20,30,40,50,60,62,64,66,68,70,72,74,76,78,80,85,90,95,100})</f>
        <v>76</v>
      </c>
      <c r="F594" s="6">
        <v>169</v>
      </c>
      <c r="G594" s="40">
        <f>LOOKUP(F594,{0,123,128,133,138,143,148,151,154,157,160,163,166,169,172,175,178,185,192,198,204},{0,10,20,30,40,50,60,62,64,66,68,70,72,74,76,78,80,85,90,95,100})</f>
        <v>74</v>
      </c>
      <c r="H594" s="6">
        <v>44</v>
      </c>
      <c r="I594" s="40">
        <f>LOOKUP(H594,{0,13,15,17,19,21,23,25,27,29,31,33,35,37,39,41,43,46,49,51,53},{0,10,20,30,40,50,60,62,64,66,68,70,72,74,76,78,80,85,90,95,100})</f>
        <v>80</v>
      </c>
      <c r="J594" s="45"/>
      <c r="K594" s="45"/>
      <c r="L594" s="7">
        <f>I594+K594</f>
        <v>80</v>
      </c>
      <c r="M594" s="6">
        <v>9</v>
      </c>
      <c r="N594" s="43">
        <f>13-M594</f>
        <v>4</v>
      </c>
      <c r="O594" s="40">
        <f>LOOKUP(N594,{0,1.4,1.6,1.8,2,2.2,2.4,2.6,2.8,3,3.2,3.4,3.6,3.8,4,4.2,4.4,4.7,5,5.1,5.2},{0,10,20,30,40,50,60,62,64,66,68,70,72,74,76,78,80,85,90,95,100})</f>
        <v>76</v>
      </c>
      <c r="P594" s="6">
        <v>4.07</v>
      </c>
      <c r="Q594" s="6">
        <f>10-P594</f>
        <v>5.93</v>
      </c>
      <c r="R594" s="40">
        <f>LOOKUP(Q594,{0,4.7,4.8,4.9,5,5.5,5.6,5.65,5.7,5.75,5.8,5.85,5.9,5.95,6,6.45,6.5,6.57,6.64,6.7,6.76},{0,10,20,30,40,50,60,62,64,66,68,70,72,74,76,78,80,85,90,95,100})</f>
        <v>72</v>
      </c>
      <c r="S594" s="45"/>
      <c r="T594" s="45"/>
      <c r="U594" s="7">
        <f>R594+T594</f>
        <v>72</v>
      </c>
      <c r="W594" s="7">
        <f>E594*0.1+G594*0.1+I594*0.1+O594*0.2+R594*0.2</f>
        <v>52.6</v>
      </c>
      <c r="X594" s="21">
        <f>W594/0.7+K594+T594</f>
        <v>75.1428571428572</v>
      </c>
    </row>
    <row r="595" ht="15.6" spans="1:24">
      <c r="A595" s="6">
        <v>102</v>
      </c>
      <c r="B595" s="29" t="s">
        <v>103</v>
      </c>
      <c r="C595" s="29" t="s">
        <v>46</v>
      </c>
      <c r="D595" s="6">
        <v>6.4</v>
      </c>
      <c r="E595" s="40">
        <f>LOOKUP(D595,{0,0.4,1.2,2,2.8,3.6,4.4,5.7,7,8.3,9.6,10.9,12.2,13.5,14.8,16.1,17.4,19.1,20.8,22.5,24.2},{0,10,20,30,40,50,60,62,64,66,68,70,72,74,76,78,80,85,90,95,100})</f>
        <v>62</v>
      </c>
      <c r="F595" s="6">
        <v>178</v>
      </c>
      <c r="G595" s="40">
        <f>LOOKUP(F595,{0,123,128,133,138,143,148,151,154,157,160,163,166,169,172,175,178,185,192,198,204},{0,10,20,30,40,50,60,62,64,66,68,70,72,74,76,78,80,85,90,95,100})</f>
        <v>80</v>
      </c>
      <c r="H595" s="6">
        <v>41</v>
      </c>
      <c r="I595" s="40">
        <f>LOOKUP(H595,{0,13,15,17,19,21,23,25,27,29,31,33,35,37,39,41,43,46,49,51,53},{0,10,20,30,40,50,60,62,64,66,68,70,72,74,76,78,80,85,90,95,100})</f>
        <v>78</v>
      </c>
      <c r="J595" s="45"/>
      <c r="K595" s="45"/>
      <c r="L595" s="7">
        <f>I595+K595</f>
        <v>78</v>
      </c>
      <c r="M595" s="6">
        <v>9.4</v>
      </c>
      <c r="N595" s="43">
        <f>13-M595</f>
        <v>3.6</v>
      </c>
      <c r="O595" s="40">
        <f>LOOKUP(N595,{0,1.4,1.6,1.8,2,2.2,2.4,2.6,2.8,3,3.2,3.4,3.6,3.8,4,4.2,4.4,4.7,5,5.1,5.2},{0,10,20,30,40,50,60,62,64,66,68,70,72,74,76,78,80,85,90,95,100})</f>
        <v>72</v>
      </c>
      <c r="P595" s="6">
        <v>3.49</v>
      </c>
      <c r="Q595" s="6">
        <f>10-P595</f>
        <v>6.51</v>
      </c>
      <c r="R595" s="40">
        <f>LOOKUP(Q595,{0,4.7,4.8,4.9,5,5.5,5.6,5.65,5.7,5.75,5.8,5.85,5.9,5.95,6,6.45,6.5,6.57,6.64,6.7,6.76},{0,10,20,30,40,50,60,62,64,66,68,70,72,74,76,78,80,85,90,95,100})</f>
        <v>80</v>
      </c>
      <c r="S595" s="45"/>
      <c r="T595" s="45"/>
      <c r="U595" s="7">
        <f>R595+T595</f>
        <v>80</v>
      </c>
      <c r="W595" s="7">
        <f>E595*0.1+G595*0.1+I595*0.1+O595*0.2+R595*0.2</f>
        <v>52.4</v>
      </c>
      <c r="X595" s="21">
        <f>W595/0.7+K595+T595</f>
        <v>74.8571428571429</v>
      </c>
    </row>
    <row r="596" s="3" customFormat="1" ht="15.6" spans="1:24">
      <c r="A596" s="6">
        <v>103</v>
      </c>
      <c r="B596" s="29" t="s">
        <v>164</v>
      </c>
      <c r="C596" s="29" t="s">
        <v>46</v>
      </c>
      <c r="D596" s="6">
        <v>8</v>
      </c>
      <c r="E596" s="40">
        <f>LOOKUP(D596,{0,0.4,1.2,2,2.8,3.6,4.4,5.7,7,8.3,9.6,10.9,12.2,13.5,14.8,16.1,17.4,19.1,20.8,22.5,24.2},{0,10,20,30,40,50,60,62,64,66,68,70,72,74,76,78,80,85,90,95,100})</f>
        <v>64</v>
      </c>
      <c r="F596" s="6">
        <v>175</v>
      </c>
      <c r="G596" s="40">
        <f>LOOKUP(F596,{0,123,128,133,138,143,148,151,154,157,160,163,166,169,172,175,178,185,192,198,204},{0,10,20,30,40,50,60,62,64,66,68,70,72,74,76,78,80,85,90,95,100})</f>
        <v>78</v>
      </c>
      <c r="H596" s="6">
        <v>47</v>
      </c>
      <c r="I596" s="40">
        <f>LOOKUP(H596,{0,13,15,17,19,21,23,25,27,29,31,33,35,37,39,41,43,46,49,51,53},{0,10,20,30,40,50,60,62,64,66,68,70,72,74,76,78,80,85,90,95,100})</f>
        <v>85</v>
      </c>
      <c r="J596" s="45"/>
      <c r="K596" s="45"/>
      <c r="L596" s="7">
        <f>I596+K596</f>
        <v>85</v>
      </c>
      <c r="M596" s="6">
        <v>9.1</v>
      </c>
      <c r="N596" s="43">
        <f>13-M596</f>
        <v>3.9</v>
      </c>
      <c r="O596" s="40">
        <f>LOOKUP(N596,{0,1.4,1.6,1.8,2,2.2,2.4,2.6,2.8,3,3.2,3.4,3.6,3.8,4,4.2,4.4,4.7,5,5.1,5.2},{0,10,20,30,40,50,60,62,64,66,68,70,72,74,76,78,80,85,90,95,100})</f>
        <v>74</v>
      </c>
      <c r="P596" s="6">
        <v>4.05</v>
      </c>
      <c r="Q596" s="6">
        <f>10-P596</f>
        <v>5.95</v>
      </c>
      <c r="R596" s="40">
        <f>LOOKUP(Q596,{0,4.7,4.8,4.9,5,5.5,5.6,5.65,5.7,5.75,5.8,5.85,5.9,5.95,6,6.45,6.5,6.57,6.64,6.7,6.76},{0,10,20,30,40,50,60,62,64,66,68,70,72,74,76,78,80,85,90,95,100})</f>
        <v>74</v>
      </c>
      <c r="S596" s="45"/>
      <c r="T596" s="45"/>
      <c r="U596" s="7">
        <f>R596+T596</f>
        <v>74</v>
      </c>
      <c r="V596" s="6"/>
      <c r="W596" s="7">
        <f>E596*0.1+G596*0.1+I596*0.1+O596*0.2+R596*0.2</f>
        <v>52.3</v>
      </c>
      <c r="X596" s="21">
        <f>W596/0.7+K596+T596</f>
        <v>74.7142857142857</v>
      </c>
    </row>
    <row r="597" s="34" customFormat="1" ht="15.6" hidden="1" spans="1:24">
      <c r="A597" s="6">
        <v>111</v>
      </c>
      <c r="B597" s="29" t="s">
        <v>539</v>
      </c>
      <c r="C597" s="29" t="s">
        <v>11</v>
      </c>
      <c r="D597" s="6">
        <v>-2.5</v>
      </c>
      <c r="E597" s="40">
        <f>LOOKUP(D597,{0,-4,-3,-2,-1,0,1,2.4,3.8,5.2,6.6,8,9.4,10.8,12.2,13.6,15,17.2,19.4,21.5,23.6},{0,10,20,30,40,50,60,62,64,66,68,70,72,74,76,78,80,85,90,95,100})</f>
        <v>20</v>
      </c>
      <c r="F597" s="6">
        <v>206</v>
      </c>
      <c r="G597" s="40">
        <f>LOOKUP(F597,{0,170,175,180,185,190,195,199,203,207,211,215,219,223,227,231,235,243,250,255,260},{0,10,20,30,40,50,60,62,64,66,68,70,72,74,76,78,80,85,90,95,100})</f>
        <v>64</v>
      </c>
      <c r="H597" s="6">
        <v>1</v>
      </c>
      <c r="I597" s="40">
        <f>LOOKUP(H597,{0,2,3,4,5,6,7,8,9,10,11,12,13,14,15,16},{0,10,20,30,40,50,60,64,68,72,76,80,85,90,95,100})</f>
        <v>0</v>
      </c>
      <c r="J597" s="7"/>
      <c r="K597" s="7"/>
      <c r="L597" s="7">
        <f>I597+K597</f>
        <v>0</v>
      </c>
      <c r="M597" s="6">
        <v>8</v>
      </c>
      <c r="N597" s="43">
        <f>13-M597</f>
        <v>5</v>
      </c>
      <c r="O597" s="40">
        <f>LOOKUP(N597,{0,2.5,2.7,2.9,3.1,3.3,3.5,3.7,3.9,4.1,4.3,4.5,4.7,4.9,5.1,5.3,5.5,5.6,5.7,5.8,5.9},{0,10,20,30,40,50,60,62,64,66,68,70,72,74,76,78,80,85,90,95,100})</f>
        <v>74</v>
      </c>
      <c r="P597" s="6">
        <v>4.02</v>
      </c>
      <c r="Q597" s="6">
        <f>10-P597</f>
        <v>5.98</v>
      </c>
      <c r="R597" s="40">
        <f>LOOKUP(Q597,{0,3.75,3.95,4.55,4.75,4.95,5.55,5.6,5.65,5.7,5.75,5.8,5.85,5.9,5.95,6,6.45,6.53,6.6,6.65,6.7},{0,10,20,30,40,50,60,62,64,66,68,70,72,74,76,78,80,85,90,95,100})</f>
        <v>76</v>
      </c>
      <c r="S597" s="7"/>
      <c r="T597" s="7"/>
      <c r="U597" s="7">
        <f>R597+T597</f>
        <v>76</v>
      </c>
      <c r="V597" s="6"/>
      <c r="W597" s="7">
        <f>E597*0.1+G597*0.1+I597*0.1+O597*0.2+R597*0.2</f>
        <v>38.4</v>
      </c>
      <c r="X597" s="21">
        <f>W597/0.7+K597+T597</f>
        <v>54.8571428571429</v>
      </c>
    </row>
    <row r="598" ht="15.6" hidden="1" spans="1:24">
      <c r="A598" s="6">
        <v>105</v>
      </c>
      <c r="B598" s="29" t="s">
        <v>233</v>
      </c>
      <c r="C598" s="29" t="s">
        <v>11</v>
      </c>
      <c r="D598" s="6">
        <v>-1.5</v>
      </c>
      <c r="E598" s="40">
        <f>LOOKUP(D598,{0,-4,-3,-2,-1,0,1,2.4,3.8,5.2,6.6,8,9.4,10.8,12.2,13.6,15,17.2,19.4,21.5,23.6},{0,10,20,30,40,50,60,62,64,66,68,70,72,74,76,78,80,85,90,95,100})</f>
        <v>30</v>
      </c>
      <c r="F598" s="6">
        <v>235</v>
      </c>
      <c r="G598" s="40">
        <f>LOOKUP(F598,{0,170,175,180,185,190,195,199,203,207,211,215,219,223,227,231,235,243,250,255,260},{0,10,20,30,40,50,60,62,64,66,68,70,72,74,76,78,80,85,90,95,100})</f>
        <v>80</v>
      </c>
      <c r="H598" s="6">
        <v>0</v>
      </c>
      <c r="I598" s="40">
        <f>LOOKUP(H598,{0,2,3,4,5,6,7,8,9,10,11,12,13,14,15,16},{0,10,20,30,40,50,60,64,68,72,76,80,85,90,95,100})</f>
        <v>0</v>
      </c>
      <c r="J598" s="7"/>
      <c r="K598" s="7"/>
      <c r="L598" s="7">
        <f>I598+K598</f>
        <v>0</v>
      </c>
      <c r="M598" s="6">
        <v>8</v>
      </c>
      <c r="N598" s="43">
        <f>13-M598</f>
        <v>5</v>
      </c>
      <c r="O598" s="40">
        <f>LOOKUP(N598,{0,2.5,2.7,2.9,3.1,3.3,3.5,3.7,3.9,4.1,4.3,4.5,4.7,4.9,5.1,5.3,5.5,5.6,5.7,5.8,5.9},{0,10,20,30,40,50,60,62,64,66,68,70,72,74,76,78,80,85,90,95,100})</f>
        <v>74</v>
      </c>
      <c r="P598" s="6">
        <v>4.03</v>
      </c>
      <c r="Q598" s="6">
        <f>10-P598</f>
        <v>5.97</v>
      </c>
      <c r="R598" s="40">
        <f>LOOKUP(Q598,{0,3.75,3.95,4.55,4.75,4.95,5.55,5.6,5.65,5.7,5.75,5.8,5.85,5.9,5.95,6,6.45,6.53,6.6,6.65,6.7},{0,10,20,30,40,50,60,62,64,66,68,70,72,74,76,78,80,85,90,95,100})</f>
        <v>76</v>
      </c>
      <c r="S598" s="7"/>
      <c r="T598" s="7"/>
      <c r="U598" s="7">
        <f>R598+T598</f>
        <v>76</v>
      </c>
      <c r="W598" s="7">
        <f>E598*0.1+G598*0.1+I598*0.1+O598*0.2+R598*0.2</f>
        <v>41</v>
      </c>
      <c r="X598" s="21">
        <f>W598/0.7+K598+T598</f>
        <v>58.5714285714286</v>
      </c>
    </row>
    <row r="599" ht="15.6" hidden="1" spans="1:24">
      <c r="A599" s="6">
        <v>103</v>
      </c>
      <c r="B599" s="29" t="s">
        <v>130</v>
      </c>
      <c r="C599" s="29" t="s">
        <v>11</v>
      </c>
      <c r="D599" s="6">
        <v>8</v>
      </c>
      <c r="E599" s="40">
        <f>LOOKUP(D599,{0,-4,-3,-2,-1,0,1,2.4,3.8,5.2,6.6,8,9.4,10.8,12.2,13.6,15,17.2,19.4,21.5,23.6},{0,10,20,30,40,50,60,62,64,66,68,70,72,74,76,78,80,85,90,95,100})</f>
        <v>70</v>
      </c>
      <c r="F599" s="6">
        <v>205</v>
      </c>
      <c r="G599" s="40">
        <f>LOOKUP(F599,{0,170,175,180,185,190,195,199,203,207,211,215,219,223,227,231,235,243,250,255,260},{0,10,20,30,40,50,60,62,64,66,68,70,72,74,76,78,80,85,90,95,100})</f>
        <v>64</v>
      </c>
      <c r="H599" s="6">
        <v>13</v>
      </c>
      <c r="I599" s="40">
        <f>LOOKUP(H599,{0,2,3,4,5,6,7,8,9,10,11,12,13,14,15,16},{0,10,20,30,40,50,60,64,68,72,76,80,85,90,95,100})</f>
        <v>85</v>
      </c>
      <c r="J599" s="7"/>
      <c r="K599" s="7"/>
      <c r="L599" s="7">
        <f>I599+K599</f>
        <v>85</v>
      </c>
      <c r="M599" s="6">
        <v>8</v>
      </c>
      <c r="N599" s="43">
        <f>13-M599</f>
        <v>5</v>
      </c>
      <c r="O599" s="40">
        <f>LOOKUP(N599,{0,2.5,2.7,2.9,3.1,3.3,3.5,3.7,3.9,4.1,4.3,4.5,4.7,4.9,5.1,5.3,5.5,5.6,5.7,5.8,5.9},{0,10,20,30,40,50,60,62,64,66,68,70,72,74,76,78,80,85,90,95,100})</f>
        <v>74</v>
      </c>
      <c r="P599" s="6">
        <v>4.16</v>
      </c>
      <c r="Q599" s="6">
        <f>10-P599</f>
        <v>5.84</v>
      </c>
      <c r="R599" s="40">
        <f>LOOKUP(Q599,{0,3.75,3.95,4.55,4.75,4.95,5.55,5.6,5.65,5.7,5.75,5.8,5.85,5.9,5.95,6,6.45,6.53,6.6,6.65,6.7},{0,10,20,30,40,50,60,62,64,66,68,70,72,74,76,78,80,85,90,95,100})</f>
        <v>70</v>
      </c>
      <c r="S599" s="7"/>
      <c r="T599" s="7"/>
      <c r="U599" s="7">
        <f>R599+T599</f>
        <v>70</v>
      </c>
      <c r="W599" s="7">
        <f>E599*0.1+G599*0.1+I599*0.1+O599*0.2+R599*0.2</f>
        <v>50.7</v>
      </c>
      <c r="X599" s="21">
        <f>W599/0.7+K599+T599</f>
        <v>72.4285714285714</v>
      </c>
    </row>
    <row r="600" ht="15.6" hidden="1" spans="1:24">
      <c r="A600" s="6">
        <v>106</v>
      </c>
      <c r="B600" s="29" t="s">
        <v>248</v>
      </c>
      <c r="C600" s="29" t="s">
        <v>11</v>
      </c>
      <c r="D600" s="6">
        <v>8.5</v>
      </c>
      <c r="E600" s="40">
        <f>LOOKUP(D600,{0,-4,-3,-2,-1,0,1,2.4,3.8,5.2,6.6,8,9.4,10.8,12.2,13.6,15,17.2,19.4,21.5,23.6},{0,10,20,30,40,50,60,62,64,66,68,70,72,74,76,78,80,85,90,95,100})</f>
        <v>70</v>
      </c>
      <c r="F600" s="6">
        <v>213</v>
      </c>
      <c r="G600" s="40">
        <f>LOOKUP(F600,{0,170,175,180,185,190,195,199,203,207,211,215,219,223,227,231,235,243,250,255,260},{0,10,20,30,40,50,60,62,64,66,68,70,72,74,76,78,80,85,90,95,100})</f>
        <v>68</v>
      </c>
      <c r="H600" s="6">
        <v>0</v>
      </c>
      <c r="I600" s="40">
        <f>LOOKUP(H600,{0,2,3,4,5,6,7,8,9,10,11,12,13,14,15,16},{0,10,20,30,40,50,60,64,68,72,76,80,85,90,95,100})</f>
        <v>0</v>
      </c>
      <c r="J600" s="7"/>
      <c r="K600" s="7"/>
      <c r="L600" s="7">
        <f>I600+K600</f>
        <v>0</v>
      </c>
      <c r="M600" s="6">
        <v>8</v>
      </c>
      <c r="N600" s="43">
        <f>13-M600</f>
        <v>5</v>
      </c>
      <c r="O600" s="40">
        <f>LOOKUP(N600,{0,2.5,2.7,2.9,3.1,3.3,3.5,3.7,3.9,4.1,4.3,4.5,4.7,4.9,5.1,5.3,5.5,5.6,5.7,5.8,5.9},{0,10,20,30,40,50,60,62,64,66,68,70,72,74,76,78,80,85,90,95,100})</f>
        <v>74</v>
      </c>
      <c r="P600" s="6">
        <v>4.17</v>
      </c>
      <c r="Q600" s="6">
        <f>10-P600</f>
        <v>5.83</v>
      </c>
      <c r="R600" s="40">
        <f>LOOKUP(Q600,{0,3.75,3.95,4.55,4.75,4.95,5.55,5.6,5.65,5.7,5.75,5.8,5.85,5.9,5.95,6,6.45,6.53,6.6,6.65,6.7},{0,10,20,30,40,50,60,62,64,66,68,70,72,74,76,78,80,85,90,95,100})</f>
        <v>70</v>
      </c>
      <c r="S600" s="7"/>
      <c r="T600" s="7"/>
      <c r="U600" s="7">
        <f>R600+T600</f>
        <v>70</v>
      </c>
      <c r="W600" s="7">
        <f>E600*0.1+G600*0.1+I600*0.1+O600*0.2+R600*0.2</f>
        <v>42.6</v>
      </c>
      <c r="X600" s="21">
        <f>W600/0.7+K600+T600</f>
        <v>60.8571428571429</v>
      </c>
    </row>
    <row r="601" ht="15.6" hidden="1" spans="1:24">
      <c r="A601" s="6">
        <v>110</v>
      </c>
      <c r="B601" s="29" t="s">
        <v>472</v>
      </c>
      <c r="C601" s="29" t="s">
        <v>11</v>
      </c>
      <c r="D601" s="6">
        <v>8.5</v>
      </c>
      <c r="E601" s="40">
        <f>LOOKUP(D601,{0,-4,-3,-2,-1,0,1,2.4,3.8,5.2,6.6,8,9.4,10.8,12.2,13.6,15,17.2,19.4,21.5,23.6},{0,10,20,30,40,50,60,62,64,66,68,70,72,74,76,78,80,85,90,95,100})</f>
        <v>70</v>
      </c>
      <c r="F601" s="6">
        <v>210</v>
      </c>
      <c r="G601" s="40">
        <f>LOOKUP(F601,{0,170,175,180,185,190,195,199,203,207,211,215,219,223,227,231,235,243,250,255,260},{0,10,20,30,40,50,60,62,64,66,68,70,72,74,76,78,80,85,90,95,100})</f>
        <v>66</v>
      </c>
      <c r="H601" s="6">
        <v>0</v>
      </c>
      <c r="I601" s="40">
        <f>LOOKUP(H601,{0,2,3,4,5,6,7,8,9,10,11,12,13,14,15,16},{0,10,20,30,40,50,60,64,68,72,76,80,85,90,95,100})</f>
        <v>0</v>
      </c>
      <c r="J601" s="7"/>
      <c r="K601" s="7"/>
      <c r="L601" s="7">
        <f>I601+K601</f>
        <v>0</v>
      </c>
      <c r="M601" s="6">
        <v>8</v>
      </c>
      <c r="N601" s="43">
        <f>13-M601</f>
        <v>5</v>
      </c>
      <c r="O601" s="40">
        <f>LOOKUP(N601,{0,2.5,2.7,2.9,3.1,3.3,3.5,3.7,3.9,4.1,4.3,4.5,4.7,4.9,5.1,5.3,5.5,5.6,5.7,5.8,5.9},{0,10,20,30,40,50,60,62,64,66,68,70,72,74,76,78,80,85,90,95,100})</f>
        <v>74</v>
      </c>
      <c r="P601" s="6">
        <v>4.17</v>
      </c>
      <c r="Q601" s="6">
        <f>10-P601</f>
        <v>5.83</v>
      </c>
      <c r="R601" s="40">
        <f>LOOKUP(Q601,{0,3.75,3.95,4.55,4.75,4.95,5.55,5.6,5.65,5.7,5.75,5.8,5.85,5.9,5.95,6,6.45,6.53,6.6,6.65,6.7},{0,10,20,30,40,50,60,62,64,66,68,70,72,74,76,78,80,85,90,95,100})</f>
        <v>70</v>
      </c>
      <c r="S601" s="7"/>
      <c r="T601" s="7"/>
      <c r="U601" s="7">
        <f>R601+T601</f>
        <v>70</v>
      </c>
      <c r="W601" s="7">
        <f>E601*0.1+G601*0.1+I601*0.1+O601*0.2+R601*0.2</f>
        <v>42.4</v>
      </c>
      <c r="X601" s="21">
        <f>W601/0.7+K601+T601</f>
        <v>60.5714285714286</v>
      </c>
    </row>
    <row r="602" ht="15.6" hidden="1" spans="1:24">
      <c r="A602" s="6">
        <v>114</v>
      </c>
      <c r="B602" s="29" t="s">
        <v>698</v>
      </c>
      <c r="C602" s="29" t="s">
        <v>11</v>
      </c>
      <c r="D602" s="6">
        <v>12.9</v>
      </c>
      <c r="E602" s="40">
        <f>LOOKUP(D602,{0,-4,-3,-2,-1,0,1,2.4,3.8,5.2,6.6,8,9.4,10.8,12.2,13.6,15,17.2,19.4,21.5,23.6},{0,10,20,30,40,50,60,62,64,66,68,70,72,74,76,78,80,85,90,95,100})</f>
        <v>76</v>
      </c>
      <c r="F602" s="6">
        <v>223</v>
      </c>
      <c r="G602" s="40">
        <f>LOOKUP(F602,{0,170,175,180,185,190,195,199,203,207,211,215,219,223,227,231,235,243,250,255,260},{0,10,20,30,40,50,60,62,64,66,68,70,72,74,76,78,80,85,90,95,100})</f>
        <v>74</v>
      </c>
      <c r="H602" s="6">
        <v>10</v>
      </c>
      <c r="I602" s="40">
        <f>LOOKUP(H602,{0,2,3,4,5,6,7,8,9,10,11,12,13,14,15,16},{0,10,20,30,40,50,60,64,68,72,76,80,85,90,95,100})</f>
        <v>72</v>
      </c>
      <c r="J602" s="7"/>
      <c r="K602" s="7"/>
      <c r="L602" s="7">
        <f>I602+K602</f>
        <v>72</v>
      </c>
      <c r="M602" s="6">
        <v>8</v>
      </c>
      <c r="N602" s="43">
        <f>13-M602</f>
        <v>5</v>
      </c>
      <c r="O602" s="40">
        <f>LOOKUP(N602,{0,2.5,2.7,2.9,3.1,3.3,3.5,3.7,3.9,4.1,4.3,4.5,4.7,4.9,5.1,5.3,5.5,5.6,5.7,5.8,5.9},{0,10,20,30,40,50,60,62,64,66,68,70,72,74,76,78,80,85,90,95,100})</f>
        <v>74</v>
      </c>
      <c r="P602" s="6">
        <v>4.18</v>
      </c>
      <c r="Q602" s="6">
        <f>10-P602</f>
        <v>5.82</v>
      </c>
      <c r="R602" s="40">
        <f>LOOKUP(Q602,{0,3.75,3.95,4.55,4.75,4.95,5.55,5.6,5.65,5.7,5.75,5.8,5.85,5.9,5.95,6,6.45,6.53,6.6,6.65,6.7},{0,10,20,30,40,50,60,62,64,66,68,70,72,74,76,78,80,85,90,95,100})</f>
        <v>70</v>
      </c>
      <c r="S602" s="7"/>
      <c r="T602" s="7"/>
      <c r="U602" s="7">
        <f>R602+T602</f>
        <v>70</v>
      </c>
      <c r="W602" s="7">
        <f>E602*0.1+G602*0.1+I602*0.1+O602*0.2+R602*0.2</f>
        <v>51</v>
      </c>
      <c r="X602" s="21">
        <f>W602/0.7+K602+T602</f>
        <v>72.8571428571429</v>
      </c>
    </row>
    <row r="603" ht="15.6" hidden="1" spans="1:24">
      <c r="A603" s="6">
        <v>108</v>
      </c>
      <c r="B603" s="39" t="s">
        <v>362</v>
      </c>
      <c r="C603" s="29" t="s">
        <v>11</v>
      </c>
      <c r="D603" s="6">
        <v>10.6</v>
      </c>
      <c r="E603" s="40">
        <f>LOOKUP(D603,{0,-4,-3,-2,-1,0,1,2.4,3.8,5.2,6.6,8,9.4,10.8,12.2,13.6,15,17.2,19.4,21.5,23.6},{0,10,20,30,40,50,60,62,64,66,68,70,72,74,76,78,80,85,90,95,100})</f>
        <v>72</v>
      </c>
      <c r="F603" s="6">
        <v>198</v>
      </c>
      <c r="G603" s="40">
        <f>LOOKUP(F603,{0,170,175,180,185,190,195,199,203,207,211,215,219,223,227,231,235,243,250,255,260},{0,10,20,30,40,50,60,62,64,66,68,70,72,74,76,78,80,85,90,95,100})</f>
        <v>60</v>
      </c>
      <c r="H603" s="6">
        <v>11</v>
      </c>
      <c r="I603" s="40">
        <f>LOOKUP(H603,{0,2,3,4,5,6,7,8,9,10,11,12,13,14,15,16},{0,10,20,30,40,50,60,64,68,72,76,80,85,90,95,100})</f>
        <v>76</v>
      </c>
      <c r="J603" s="7"/>
      <c r="K603" s="7"/>
      <c r="L603" s="7">
        <f>I603+K603</f>
        <v>76</v>
      </c>
      <c r="M603" s="6">
        <v>8</v>
      </c>
      <c r="N603" s="43">
        <f>13-M603</f>
        <v>5</v>
      </c>
      <c r="O603" s="40">
        <f>LOOKUP(N603,{0,2.5,2.7,2.9,3.1,3.3,3.5,3.7,3.9,4.1,4.3,4.5,4.7,4.9,5.1,5.3,5.5,5.6,5.7,5.8,5.9},{0,10,20,30,40,50,60,62,64,66,68,70,72,74,76,78,80,85,90,95,100})</f>
        <v>74</v>
      </c>
      <c r="P603" s="6">
        <v>4.21</v>
      </c>
      <c r="Q603" s="6">
        <f>10-P603</f>
        <v>5.79</v>
      </c>
      <c r="R603" s="40">
        <f>LOOKUP(Q603,{0,3.75,3.95,4.55,4.75,4.95,5.55,5.6,5.65,5.7,5.75,5.8,5.85,5.9,5.95,6,6.45,6.53,6.6,6.65,6.7},{0,10,20,30,40,50,60,62,64,66,68,70,72,74,76,78,80,85,90,95,100})</f>
        <v>68</v>
      </c>
      <c r="S603" s="7"/>
      <c r="T603" s="7"/>
      <c r="U603" s="7">
        <f>R603+T603</f>
        <v>68</v>
      </c>
      <c r="W603" s="7">
        <f>E603*0.1+G603*0.1+I603*0.1+O603*0.2+R603*0.2</f>
        <v>49.2</v>
      </c>
      <c r="X603" s="21">
        <f>W603/0.7+K603+T603</f>
        <v>70.2857142857143</v>
      </c>
    </row>
    <row r="604" ht="15.6" hidden="1" spans="1:24">
      <c r="A604" s="6">
        <v>103</v>
      </c>
      <c r="B604" s="29" t="s">
        <v>135</v>
      </c>
      <c r="C604" s="29" t="s">
        <v>11</v>
      </c>
      <c r="D604" s="6">
        <v>-1</v>
      </c>
      <c r="E604" s="40">
        <f>LOOKUP(D604,{0,-4,-3,-2,-1,0,1,2.4,3.8,5.2,6.6,8,9.4,10.8,12.2,13.6,15,17.2,19.4,21.5,23.6},{0,10,20,30,40,50,60,62,64,66,68,70,72,74,76,78,80,85,90,95,100})</f>
        <v>40</v>
      </c>
      <c r="F604" s="6">
        <v>210</v>
      </c>
      <c r="G604" s="40">
        <f>LOOKUP(F604,{0,170,175,180,185,190,195,199,203,207,211,215,219,223,227,231,235,243,250,255,260},{0,10,20,30,40,50,60,62,64,66,68,70,72,74,76,78,80,85,90,95,100})</f>
        <v>66</v>
      </c>
      <c r="H604" s="6">
        <v>12</v>
      </c>
      <c r="I604" s="40">
        <f>LOOKUP(H604,{0,2,3,4,5,6,7,8,9,10,11,12,13,14,15,16},{0,10,20,30,40,50,60,64,68,72,76,80,85,90,95,100})</f>
        <v>80</v>
      </c>
      <c r="J604" s="7"/>
      <c r="K604" s="7"/>
      <c r="L604" s="7">
        <f>I604+K604</f>
        <v>80</v>
      </c>
      <c r="M604" s="6">
        <v>8</v>
      </c>
      <c r="N604" s="43">
        <f>13-M604</f>
        <v>5</v>
      </c>
      <c r="O604" s="40">
        <f>LOOKUP(N604,{0,2.5,2.7,2.9,3.1,3.3,3.5,3.7,3.9,4.1,4.3,4.5,4.7,4.9,5.1,5.3,5.5,5.6,5.7,5.8,5.9},{0,10,20,30,40,50,60,62,64,66,68,70,72,74,76,78,80,85,90,95,100})</f>
        <v>74</v>
      </c>
      <c r="P604" s="6">
        <v>4.3</v>
      </c>
      <c r="Q604" s="6">
        <f>10-P604</f>
        <v>5.7</v>
      </c>
      <c r="R604" s="40">
        <f>LOOKUP(Q604,{0,3.75,3.95,4.55,4.75,4.95,5.55,5.6,5.65,5.7,5.75,5.8,5.85,5.9,5.95,6,6.45,6.53,6.6,6.65,6.7},{0,10,20,30,40,50,60,62,64,66,68,70,72,74,76,78,80,85,90,95,100})</f>
        <v>66</v>
      </c>
      <c r="S604" s="7"/>
      <c r="T604" s="7"/>
      <c r="U604" s="7">
        <f>R604+T604</f>
        <v>66</v>
      </c>
      <c r="W604" s="7">
        <f>E604*0.1+G604*0.1+I604*0.1+O604*0.2+R604*0.2</f>
        <v>46.6</v>
      </c>
      <c r="X604" s="21">
        <f>W604/0.7+K604+T604</f>
        <v>66.5714285714286</v>
      </c>
    </row>
    <row r="605" ht="15.6" hidden="1" spans="1:24">
      <c r="A605" s="6">
        <v>104</v>
      </c>
      <c r="B605" s="29" t="s">
        <v>187</v>
      </c>
      <c r="C605" s="29" t="s">
        <v>11</v>
      </c>
      <c r="D605" s="6"/>
      <c r="E605" s="40"/>
      <c r="F605" s="6"/>
      <c r="G605" s="40"/>
      <c r="H605" s="6"/>
      <c r="I605" s="40"/>
      <c r="J605" s="7"/>
      <c r="K605" s="7"/>
      <c r="L605" s="7"/>
      <c r="M605" s="6">
        <v>8</v>
      </c>
      <c r="N605" s="43">
        <f>13-M605</f>
        <v>5</v>
      </c>
      <c r="O605" s="40">
        <f>LOOKUP(N605,{0,2.5,2.7,2.9,3.1,3.3,3.5,3.7,3.9,4.1,4.3,4.5,4.7,4.9,5.1,5.3,5.5,5.6,5.7,5.8,5.9},{0,10,20,30,40,50,60,62,64,66,68,70,72,74,76,78,80,85,90,95,100})</f>
        <v>74</v>
      </c>
      <c r="R605" s="40"/>
      <c r="S605" s="7"/>
      <c r="T605" s="40"/>
      <c r="U605" s="7"/>
      <c r="V605" s="6" t="s">
        <v>84</v>
      </c>
      <c r="W605" s="7">
        <f>E605*0.1+G605*0.1+I605*0.1+O605*0.2+R605*0.2</f>
        <v>14.8</v>
      </c>
      <c r="X605" s="21">
        <v>50</v>
      </c>
    </row>
    <row r="606" ht="15.6" hidden="1" spans="1:24">
      <c r="A606" s="6">
        <v>106</v>
      </c>
      <c r="B606" s="29" t="s">
        <v>257</v>
      </c>
      <c r="C606" s="29" t="s">
        <v>11</v>
      </c>
      <c r="D606" s="6"/>
      <c r="E606" s="40"/>
      <c r="F606" s="6"/>
      <c r="G606" s="40"/>
      <c r="H606" s="6"/>
      <c r="I606" s="40"/>
      <c r="J606" s="7"/>
      <c r="K606" s="7"/>
      <c r="L606" s="7"/>
      <c r="M606" s="6">
        <v>8</v>
      </c>
      <c r="N606" s="43">
        <f>13-M606</f>
        <v>5</v>
      </c>
      <c r="O606" s="40">
        <f>LOOKUP(N606,{0,2.5,2.7,2.9,3.1,3.3,3.5,3.7,3.9,4.1,4.3,4.5,4.7,4.9,5.1,5.3,5.5,5.6,5.7,5.8,5.9},{0,10,20,30,40,50,60,62,64,66,68,70,72,74,76,78,80,85,90,95,100})</f>
        <v>74</v>
      </c>
      <c r="R606" s="40"/>
      <c r="S606" s="7"/>
      <c r="T606" s="40"/>
      <c r="U606" s="7"/>
      <c r="V606" s="6" t="s">
        <v>84</v>
      </c>
      <c r="W606" s="7">
        <f>E606*0.1+G606*0.1+I606*0.1+O606*0.2+R606*0.2</f>
        <v>14.8</v>
      </c>
      <c r="X606" s="21">
        <v>50</v>
      </c>
    </row>
    <row r="607" ht="15.6" hidden="1" spans="1:24">
      <c r="A607" s="6">
        <v>115</v>
      </c>
      <c r="B607" s="29" t="s">
        <v>749</v>
      </c>
      <c r="C607" s="29" t="s">
        <v>11</v>
      </c>
      <c r="D607" s="6">
        <v>21.5</v>
      </c>
      <c r="E607" s="40">
        <f>LOOKUP(D607,{0,-4,-3,-2,-1,0,1,2.4,3.8,5.2,6.6,8,9.4,10.8,12.2,13.6,15,17.2,19.4,21.5,23.6},{0,10,20,30,40,50,60,62,64,66,68,70,72,74,76,78,80,85,90,95,100})</f>
        <v>95</v>
      </c>
      <c r="F607" s="6">
        <v>235</v>
      </c>
      <c r="G607" s="40">
        <f>LOOKUP(F607,{0,170,175,180,185,190,195,199,203,207,211,215,219,223,227,231,235,243,250,255,260},{0,10,20,30,40,50,60,62,64,66,68,70,72,74,76,78,80,85,90,95,100})</f>
        <v>80</v>
      </c>
      <c r="H607" s="6">
        <v>24</v>
      </c>
      <c r="I607" s="40">
        <f>LOOKUP(H607,{0,2,3,4,5,6,7,8,9,10,11,12,13,14,15,16},{0,10,20,30,40,50,60,64,68,72,76,80,85,90,95,100})</f>
        <v>100</v>
      </c>
      <c r="J607" s="7">
        <f>H607-16</f>
        <v>8</v>
      </c>
      <c r="K607" s="40">
        <f>LOOKUP(J607,{0,1,2,3,4,5,6,7,8,9,10},{0,1,2,3,4,5,6,7,8,9,10})</f>
        <v>8</v>
      </c>
      <c r="L607" s="7">
        <f>I607+K607</f>
        <v>108</v>
      </c>
      <c r="M607" s="6">
        <v>8.1</v>
      </c>
      <c r="N607" s="43">
        <f>13-M607</f>
        <v>4.9</v>
      </c>
      <c r="O607" s="40">
        <f>LOOKUP(N607,{0,2.5,2.7,2.9,3.1,3.3,3.5,3.7,3.9,4.1,4.3,4.5,4.7,4.9,5.1,5.3,5.5,5.6,5.7,5.8,5.9},{0,10,20,30,40,50,60,62,64,66,68,70,72,74,76,78,80,85,90,95,100})</f>
        <v>74</v>
      </c>
      <c r="P607" s="6">
        <v>3.53</v>
      </c>
      <c r="Q607" s="6">
        <f>10-P607</f>
        <v>6.47</v>
      </c>
      <c r="R607" s="40">
        <f>LOOKUP(Q607,{0,3.75,3.95,4.55,4.75,4.95,5.55,5.6,5.65,5.7,5.75,5.8,5.85,5.9,5.95,6,6.45,6.53,6.6,6.65,6.7},{0,10,20,30,40,50,60,62,64,66,68,70,72,74,76,78,80,85,90,95,100})</f>
        <v>80</v>
      </c>
      <c r="S607" s="7"/>
      <c r="T607" s="7"/>
      <c r="U607" s="7">
        <f>R607+T607</f>
        <v>80</v>
      </c>
      <c r="W607" s="7">
        <f>E607*0.1+G607*0.1+I607*0.1+O607*0.2+R607*0.2</f>
        <v>58.3</v>
      </c>
      <c r="X607" s="21">
        <f>W607/0.7+K607+T607</f>
        <v>91.2857142857143</v>
      </c>
    </row>
    <row r="608" ht="15.6" hidden="1" spans="1:24">
      <c r="A608" s="6">
        <v>115</v>
      </c>
      <c r="B608" s="29" t="s">
        <v>732</v>
      </c>
      <c r="C608" s="29" t="s">
        <v>11</v>
      </c>
      <c r="D608" s="6">
        <v>21.4</v>
      </c>
      <c r="E608" s="40">
        <f>LOOKUP(D608,{0,-4,-3,-2,-1,0,1,2.4,3.8,5.2,6.6,8,9.4,10.8,12.2,13.6,15,17.2,19.4,21.5,23.6},{0,10,20,30,40,50,60,62,64,66,68,70,72,74,76,78,80,85,90,95,100})</f>
        <v>90</v>
      </c>
      <c r="F608" s="6">
        <v>205</v>
      </c>
      <c r="G608" s="40">
        <f>LOOKUP(F608,{0,170,175,180,185,190,195,199,203,207,211,215,219,223,227,231,235,243,250,255,260},{0,10,20,30,40,50,60,62,64,66,68,70,72,74,76,78,80,85,90,95,100})</f>
        <v>64</v>
      </c>
      <c r="H608" s="6">
        <v>3</v>
      </c>
      <c r="I608" s="40">
        <f>LOOKUP(H608,{0,2,3,4,5,6,7,8,9,10,11,12,13,14,15,16},{0,10,20,30,40,50,60,64,68,72,76,80,85,90,95,100})</f>
        <v>20</v>
      </c>
      <c r="J608" s="7"/>
      <c r="K608" s="7"/>
      <c r="L608" s="7">
        <f>I608+K608</f>
        <v>20</v>
      </c>
      <c r="M608" s="6">
        <v>8.1</v>
      </c>
      <c r="N608" s="43">
        <f>13-M608</f>
        <v>4.9</v>
      </c>
      <c r="O608" s="40">
        <f>LOOKUP(N608,{0,2.5,2.7,2.9,3.1,3.3,3.5,3.7,3.9,4.1,4.3,4.5,4.7,4.9,5.1,5.3,5.5,5.6,5.7,5.8,5.9},{0,10,20,30,40,50,60,62,64,66,68,70,72,74,76,78,80,85,90,95,100})</f>
        <v>74</v>
      </c>
      <c r="P608" s="6">
        <v>3.57</v>
      </c>
      <c r="Q608" s="6">
        <f>10-P608</f>
        <v>6.43</v>
      </c>
      <c r="R608" s="40">
        <f>LOOKUP(Q608,{0,3.75,3.95,4.55,4.75,4.95,5.55,5.6,5.65,5.7,5.75,5.8,5.85,5.9,5.95,6,6.45,6.53,6.6,6.65,6.7},{0,10,20,30,40,50,60,62,64,66,68,70,72,74,76,78,80,85,90,95,100})</f>
        <v>78</v>
      </c>
      <c r="S608" s="7"/>
      <c r="T608" s="7"/>
      <c r="U608" s="7">
        <f>R608+T608</f>
        <v>78</v>
      </c>
      <c r="W608" s="7">
        <f>E608*0.1+G608*0.1+I608*0.1+O608*0.2+R608*0.2</f>
        <v>47.8</v>
      </c>
      <c r="X608" s="21">
        <f>W608/0.7+K608+T608</f>
        <v>68.2857142857143</v>
      </c>
    </row>
    <row r="609" ht="15.6" hidden="1" spans="1:24">
      <c r="A609" s="6">
        <v>104</v>
      </c>
      <c r="B609" s="29" t="s">
        <v>183</v>
      </c>
      <c r="C609" s="29" t="s">
        <v>11</v>
      </c>
      <c r="D609" s="6">
        <v>10.6</v>
      </c>
      <c r="E609" s="40">
        <f>LOOKUP(D609,{0,-4,-3,-2,-1,0,1,2.4,3.8,5.2,6.6,8,9.4,10.8,12.2,13.6,15,17.2,19.4,21.5,23.6},{0,10,20,30,40,50,60,62,64,66,68,70,72,74,76,78,80,85,90,95,100})</f>
        <v>72</v>
      </c>
      <c r="F609" s="6">
        <v>216</v>
      </c>
      <c r="G609" s="40">
        <f>LOOKUP(F609,{0,170,175,180,185,190,195,199,203,207,211,215,219,223,227,231,235,243,250,255,260},{0,10,20,30,40,50,60,62,64,66,68,70,72,74,76,78,80,85,90,95,100})</f>
        <v>70</v>
      </c>
      <c r="H609" s="6">
        <v>0</v>
      </c>
      <c r="I609" s="40">
        <f>LOOKUP(H609,{0,2,3,4,5,6,7,8,9,10,11,12,13,14,15,16},{0,10,20,30,40,50,60,64,68,72,76,80,85,90,95,100})</f>
        <v>0</v>
      </c>
      <c r="J609" s="7"/>
      <c r="K609" s="7"/>
      <c r="L609" s="7">
        <f>I609+K609</f>
        <v>0</v>
      </c>
      <c r="M609" s="6">
        <v>8.1</v>
      </c>
      <c r="N609" s="43">
        <f>13-M609</f>
        <v>4.9</v>
      </c>
      <c r="O609" s="40">
        <f>LOOKUP(N609,{0,2.5,2.7,2.9,3.1,3.3,3.5,3.7,3.9,4.1,4.3,4.5,4.7,4.9,5.1,5.3,5.5,5.6,5.7,5.8,5.9},{0,10,20,30,40,50,60,62,64,66,68,70,72,74,76,78,80,85,90,95,100})</f>
        <v>74</v>
      </c>
      <c r="P609" s="6">
        <v>4.1</v>
      </c>
      <c r="Q609" s="6">
        <f>10-P609</f>
        <v>5.9</v>
      </c>
      <c r="R609" s="40">
        <f>LOOKUP(Q609,{0,3.75,3.95,4.55,4.75,4.95,5.55,5.6,5.65,5.7,5.75,5.8,5.85,5.9,5.95,6,6.45,6.53,6.6,6.65,6.7},{0,10,20,30,40,50,60,62,64,66,68,70,72,74,76,78,80,85,90,95,100})</f>
        <v>74</v>
      </c>
      <c r="S609" s="7"/>
      <c r="T609" s="7"/>
      <c r="U609" s="7">
        <f>R609+T609</f>
        <v>74</v>
      </c>
      <c r="W609" s="7">
        <f>E609*0.1+G609*0.1+I609*0.1+O609*0.2+R609*0.2</f>
        <v>43.8</v>
      </c>
      <c r="X609" s="21">
        <f>W609/0.7+K609+T609</f>
        <v>62.5714285714286</v>
      </c>
    </row>
    <row r="610" ht="15.6" hidden="1" spans="1:24">
      <c r="A610" s="6">
        <v>106</v>
      </c>
      <c r="B610" s="29" t="s">
        <v>264</v>
      </c>
      <c r="C610" s="29" t="s">
        <v>11</v>
      </c>
      <c r="D610" s="6">
        <v>17.2</v>
      </c>
      <c r="E610" s="40">
        <f>LOOKUP(D610,{0,-4,-3,-2,-1,0,1,2.4,3.8,5.2,6.6,8,9.4,10.8,12.2,13.6,15,17.2,19.4,21.5,23.6},{0,10,20,30,40,50,60,62,64,66,68,70,72,74,76,78,80,85,90,95,100})</f>
        <v>85</v>
      </c>
      <c r="F610" s="6">
        <v>220</v>
      </c>
      <c r="G610" s="40">
        <f>LOOKUP(F610,{0,170,175,180,185,190,195,199,203,207,211,215,219,223,227,231,235,243,250,255,260},{0,10,20,30,40,50,60,62,64,66,68,70,72,74,76,78,80,85,90,95,100})</f>
        <v>72</v>
      </c>
      <c r="H610" s="6">
        <v>1</v>
      </c>
      <c r="I610" s="40">
        <f>LOOKUP(H610,{0,2,3,4,5,6,7,8,9,10,11,12,13,14,15,16},{0,10,20,30,40,50,60,64,68,72,76,80,85,90,95,100})</f>
        <v>0</v>
      </c>
      <c r="J610" s="7"/>
      <c r="K610" s="7"/>
      <c r="L610" s="7">
        <f>I610+K610</f>
        <v>0</v>
      </c>
      <c r="M610" s="6">
        <v>8.1</v>
      </c>
      <c r="N610" s="43">
        <f>13-M610</f>
        <v>4.9</v>
      </c>
      <c r="O610" s="40">
        <f>LOOKUP(N610,{0,2.5,2.7,2.9,3.1,3.3,3.5,3.7,3.9,4.1,4.3,4.5,4.7,4.9,5.1,5.3,5.5,5.6,5.7,5.8,5.9},{0,10,20,30,40,50,60,62,64,66,68,70,72,74,76,78,80,85,90,95,100})</f>
        <v>74</v>
      </c>
      <c r="P610" s="6">
        <v>5.19</v>
      </c>
      <c r="Q610" s="6">
        <f>10-P610</f>
        <v>4.81</v>
      </c>
      <c r="R610" s="40">
        <f>LOOKUP(Q610,{0,3.75,3.95,4.55,4.75,4.95,5.55,5.6,5.65,5.7,5.75,5.8,5.85,5.9,5.95,6,6.45,6.53,6.6,6.65,6.7},{0,10,20,30,40,50,60,62,64,66,68,70,72,74,76,78,80,85,90,95,100})</f>
        <v>40</v>
      </c>
      <c r="S610" s="7"/>
      <c r="T610" s="7"/>
      <c r="U610" s="7">
        <f>R610+T610</f>
        <v>40</v>
      </c>
      <c r="W610" s="7">
        <f>E610*0.1+G610*0.1+I610*0.1+O610*0.2+R610*0.2</f>
        <v>38.5</v>
      </c>
      <c r="X610" s="21">
        <f>W610/0.7+K610+T610</f>
        <v>55</v>
      </c>
    </row>
    <row r="611" ht="15.6" hidden="1" spans="1:24">
      <c r="A611" s="6">
        <v>108</v>
      </c>
      <c r="B611" s="29" t="s">
        <v>356</v>
      </c>
      <c r="C611" s="29" t="s">
        <v>11</v>
      </c>
      <c r="D611" s="6">
        <v>4</v>
      </c>
      <c r="E611" s="40">
        <f>LOOKUP(D611,{0,-4,-3,-2,-1,0,1,2.4,3.8,5.2,6.6,8,9.4,10.8,12.2,13.6,15,17.2,19.4,21.5,23.6},{0,10,20,30,40,50,60,62,64,66,68,70,72,74,76,78,80,85,90,95,100})</f>
        <v>64</v>
      </c>
      <c r="F611" s="6">
        <v>176</v>
      </c>
      <c r="G611" s="40">
        <f>LOOKUP(F611,{0,170,175,180,185,190,195,199,203,207,211,215,219,223,227,231,235,243,250,255,260},{0,10,20,30,40,50,60,62,64,66,68,70,72,74,76,78,80,85,90,95,100})</f>
        <v>20</v>
      </c>
      <c r="H611" s="6">
        <v>0</v>
      </c>
      <c r="I611" s="40">
        <f>LOOKUP(H611,{0,2,3,4,5,6,7,8,9,10,11,12,13,14,15,16},{0,10,20,30,40,50,60,64,68,72,76,80,85,90,95,100})</f>
        <v>0</v>
      </c>
      <c r="J611" s="7"/>
      <c r="K611" s="7"/>
      <c r="L611" s="7">
        <f>I611+K611</f>
        <v>0</v>
      </c>
      <c r="M611" s="6">
        <v>8.2</v>
      </c>
      <c r="N611" s="43">
        <f>13-M611</f>
        <v>4.8</v>
      </c>
      <c r="O611" s="40">
        <f>LOOKUP(N611,{0,2.5,2.7,2.9,3.1,3.3,3.5,3.7,3.9,4.1,4.3,4.5,4.7,4.9,5.1,5.3,5.5,5.6,5.7,5.8,5.9},{0,10,20,30,40,50,60,62,64,66,68,70,72,74,76,78,80,85,90,95,100})</f>
        <v>72</v>
      </c>
      <c r="P611" s="6">
        <v>4.01</v>
      </c>
      <c r="Q611" s="6">
        <f>10-P611</f>
        <v>5.99</v>
      </c>
      <c r="R611" s="40">
        <f>LOOKUP(Q611,{0,3.75,3.95,4.55,4.75,4.95,5.55,5.6,5.65,5.7,5.75,5.8,5.85,5.9,5.95,6,6.45,6.53,6.6,6.65,6.7},{0,10,20,30,40,50,60,62,64,66,68,70,72,74,76,78,80,85,90,95,100})</f>
        <v>76</v>
      </c>
      <c r="S611" s="7"/>
      <c r="T611" s="7"/>
      <c r="U611" s="7">
        <f>R611+T611</f>
        <v>76</v>
      </c>
      <c r="W611" s="7">
        <f>E611*0.1+G611*0.1+I611*0.1+O611*0.2+R611*0.2</f>
        <v>38</v>
      </c>
      <c r="X611" s="21">
        <f>W611/0.7+K611+T611</f>
        <v>54.2857142857143</v>
      </c>
    </row>
    <row r="612" ht="15.6" hidden="1" spans="1:24">
      <c r="A612" s="6">
        <v>105</v>
      </c>
      <c r="B612" s="52" t="s">
        <v>238</v>
      </c>
      <c r="C612" s="52" t="s">
        <v>11</v>
      </c>
      <c r="D612" s="6">
        <v>-3</v>
      </c>
      <c r="E612" s="40">
        <f>LOOKUP(D612,{0,-4,-3,-2,-1,0,1,2.4,3.8,5.2,6.6,8,9.4,10.8,12.2,13.6,15,17.2,19.4,21.5,23.6},{0,10,20,30,40,50,60,62,64,66,68,70,72,74,76,78,80,85,90,95,100})</f>
        <v>20</v>
      </c>
      <c r="F612" s="6">
        <v>203</v>
      </c>
      <c r="G612" s="40">
        <f>LOOKUP(F612,{0,170,175,180,185,190,195,199,203,207,211,215,219,223,227,231,235,243,250,255,260},{0,10,20,30,40,50,60,62,64,66,68,70,72,74,76,78,80,85,90,95,100})</f>
        <v>64</v>
      </c>
      <c r="H612" s="6">
        <v>2</v>
      </c>
      <c r="I612" s="40">
        <f>LOOKUP(H612,{0,2,3,4,5,6,7,8,9,10,11,12,13,14,15,16},{0,10,20,30,40,50,60,64,68,72,76,80,85,90,95,100})</f>
        <v>10</v>
      </c>
      <c r="J612" s="7"/>
      <c r="K612" s="7"/>
      <c r="L612" s="7">
        <f>I612+K612</f>
        <v>10</v>
      </c>
      <c r="M612" s="6">
        <v>8.2</v>
      </c>
      <c r="N612" s="43">
        <f>13-M612</f>
        <v>4.8</v>
      </c>
      <c r="O612" s="40">
        <f>LOOKUP(N612,{0,2.5,2.7,2.9,3.1,3.3,3.5,3.7,3.9,4.1,4.3,4.5,4.7,4.9,5.1,5.3,5.5,5.6,5.7,5.8,5.9},{0,10,20,30,40,50,60,62,64,66,68,70,72,74,76,78,80,85,90,95,100})</f>
        <v>72</v>
      </c>
      <c r="P612" s="6">
        <v>4.04</v>
      </c>
      <c r="Q612" s="6">
        <f>10-P612</f>
        <v>5.96</v>
      </c>
      <c r="R612" s="40">
        <f>LOOKUP(Q612,{0,3.75,3.95,4.55,4.75,4.95,5.55,5.6,5.65,5.7,5.75,5.8,5.85,5.9,5.95,6,6.45,6.53,6.6,6.65,6.7},{0,10,20,30,40,50,60,62,64,66,68,70,72,74,76,78,80,85,90,95,100})</f>
        <v>76</v>
      </c>
      <c r="S612" s="7"/>
      <c r="T612" s="7"/>
      <c r="U612" s="7">
        <f>R612+T612</f>
        <v>76</v>
      </c>
      <c r="W612" s="7">
        <f>E612*0.1+G612*0.1+I612*0.1+O612*0.2+R612*0.2</f>
        <v>39</v>
      </c>
      <c r="X612" s="21">
        <f>W612/0.7+K612+T612</f>
        <v>55.7142857142857</v>
      </c>
    </row>
    <row r="613" ht="15.6" hidden="1" spans="1:24">
      <c r="A613" s="6">
        <v>113</v>
      </c>
      <c r="B613" s="29" t="s">
        <v>645</v>
      </c>
      <c r="C613" s="29" t="s">
        <v>11</v>
      </c>
      <c r="D613" s="6">
        <v>16</v>
      </c>
      <c r="E613" s="40">
        <f>LOOKUP(D613,{0,-4,-3,-2,-1,0,1,2.4,3.8,5.2,6.6,8,9.4,10.8,12.2,13.6,15,17.2,19.4,21.5,23.6},{0,10,20,30,40,50,60,62,64,66,68,70,72,74,76,78,80,85,90,95,100})</f>
        <v>80</v>
      </c>
      <c r="F613" s="6">
        <v>195</v>
      </c>
      <c r="G613" s="40">
        <f>LOOKUP(F613,{0,170,175,180,185,190,195,199,203,207,211,215,219,223,227,231,235,243,250,255,260},{0,10,20,30,40,50,60,62,64,66,68,70,72,74,76,78,80,85,90,95,100})</f>
        <v>60</v>
      </c>
      <c r="H613" s="6">
        <v>1</v>
      </c>
      <c r="I613" s="40">
        <f>LOOKUP(H613,{0,2,3,4,5,6,7,8,9,10,11,12,13,14,15,16},{0,10,20,30,40,50,60,64,68,72,76,80,85,90,95,100})</f>
        <v>0</v>
      </c>
      <c r="J613" s="7"/>
      <c r="K613" s="7"/>
      <c r="L613" s="7">
        <f>I613+K613</f>
        <v>0</v>
      </c>
      <c r="M613" s="6">
        <v>8.2</v>
      </c>
      <c r="N613" s="43">
        <f>13-M613</f>
        <v>4.8</v>
      </c>
      <c r="O613" s="40">
        <f>LOOKUP(N613,{0,2.5,2.7,2.9,3.1,3.3,3.5,3.7,3.9,4.1,4.3,4.5,4.7,4.9,5.1,5.3,5.5,5.6,5.7,5.8,5.9},{0,10,20,30,40,50,60,62,64,66,68,70,72,74,76,78,80,85,90,95,100})</f>
        <v>72</v>
      </c>
      <c r="P613" s="6">
        <v>4.14</v>
      </c>
      <c r="Q613" s="6">
        <f>10-P613</f>
        <v>5.86</v>
      </c>
      <c r="R613" s="40">
        <f>LOOKUP(Q613,{0,3.75,3.95,4.55,4.75,4.95,5.55,5.6,5.65,5.7,5.75,5.8,5.85,5.9,5.95,6,6.45,6.53,6.6,6.65,6.7},{0,10,20,30,40,50,60,62,64,66,68,70,72,74,76,78,80,85,90,95,100})</f>
        <v>72</v>
      </c>
      <c r="S613" s="7"/>
      <c r="T613" s="7"/>
      <c r="U613" s="7">
        <f>R613+T613</f>
        <v>72</v>
      </c>
      <c r="W613" s="7">
        <f>E613*0.1+G613*0.1+I613*0.1+O613*0.2+R613*0.2</f>
        <v>42.8</v>
      </c>
      <c r="X613" s="21">
        <f>W613/0.7+K613+T613</f>
        <v>61.1428571428571</v>
      </c>
    </row>
    <row r="614" ht="15.6" hidden="1" spans="1:24">
      <c r="A614" s="6">
        <v>101</v>
      </c>
      <c r="B614" s="29" t="s">
        <v>31</v>
      </c>
      <c r="C614" s="29" t="s">
        <v>11</v>
      </c>
      <c r="D614" s="6">
        <v>15</v>
      </c>
      <c r="E614" s="40">
        <f>LOOKUP(D614,{0,-4,-3,-2,-1,0,1,2.4,3.8,5.2,6.6,8,9.4,10.8,12.2,13.6,15,17.2,19.4,21.5,23.6},{0,10,20,30,40,50,60,62,64,66,68,70,72,74,76,78,80,85,90,95,100})</f>
        <v>80</v>
      </c>
      <c r="F614" s="6">
        <v>227</v>
      </c>
      <c r="G614" s="40">
        <f>LOOKUP(F614,{0,170,175,180,185,190,195,199,203,207,211,215,219,223,227,231,235,243,250,255,260},{0,10,20,30,40,50,60,62,64,66,68,70,72,74,76,78,80,85,90,95,100})</f>
        <v>76</v>
      </c>
      <c r="H614" s="6">
        <v>2</v>
      </c>
      <c r="I614" s="40">
        <f>LOOKUP(H614,{0,2,3,4,5,6,7,8,9,10,11,12,13,14,15,16},{0,10,20,30,40,50,60,64,68,72,76,80,85,90,95,100})</f>
        <v>10</v>
      </c>
      <c r="J614" s="7"/>
      <c r="K614" s="7"/>
      <c r="L614" s="7">
        <f>I614+K614</f>
        <v>10</v>
      </c>
      <c r="M614" s="6">
        <v>8.2</v>
      </c>
      <c r="N614" s="43">
        <f>13-M614</f>
        <v>4.8</v>
      </c>
      <c r="O614" s="40">
        <f>LOOKUP(N614,{0,2.5,2.7,2.9,3.1,3.3,3.5,3.7,3.9,4.1,4.3,4.5,4.7,4.9,5.1,5.3,5.5,5.6,5.7,5.8,5.9},{0,10,20,30,40,50,60,62,64,66,68,70,72,74,76,78,80,85,90,95,100})</f>
        <v>72</v>
      </c>
      <c r="P614" s="6">
        <v>4.42</v>
      </c>
      <c r="Q614" s="6">
        <f>10-P614</f>
        <v>5.58</v>
      </c>
      <c r="R614" s="40">
        <f>LOOKUP(Q614,{0,3.75,3.95,4.55,4.75,4.95,5.55,5.6,5.65,5.7,5.75,5.8,5.85,5.9,5.95,6,6.45,6.53,6.6,6.65,6.7},{0,10,20,30,40,50,60,62,64,66,68,70,72,74,76,78,80,85,90,95,100})</f>
        <v>60</v>
      </c>
      <c r="S614" s="7"/>
      <c r="T614" s="7"/>
      <c r="U614" s="7">
        <f>R614+T614</f>
        <v>60</v>
      </c>
      <c r="W614" s="7">
        <f>E614*0.1+G614*0.1+I614*0.1+O614*0.2+R614*0.2</f>
        <v>43</v>
      </c>
      <c r="X614" s="21">
        <f>W614/0.7+K614+T614</f>
        <v>61.4285714285714</v>
      </c>
    </row>
    <row r="615" ht="15.6" hidden="1" spans="1:24">
      <c r="A615" s="6">
        <v>116</v>
      </c>
      <c r="B615" s="29" t="s">
        <v>411</v>
      </c>
      <c r="C615" s="29" t="s">
        <v>11</v>
      </c>
      <c r="D615" s="6">
        <v>18.5</v>
      </c>
      <c r="E615" s="40">
        <f>LOOKUP(D615,{0,-4,-3,-2,-1,0,1,2.4,3.8,5.2,6.6,8,9.4,10.8,12.2,13.6,15,17.2,19.4,21.5,23.6},{0,10,20,30,40,50,60,62,64,66,68,70,72,74,76,78,80,85,90,95,100})</f>
        <v>85</v>
      </c>
      <c r="F615" s="6">
        <v>200</v>
      </c>
      <c r="G615" s="40">
        <f>LOOKUP(F615,{0,170,175,180,185,190,195,199,203,207,211,215,219,223,227,231,235,243,250,255,260},{0,10,20,30,40,50,60,62,64,66,68,70,72,74,76,78,80,85,90,95,100})</f>
        <v>62</v>
      </c>
      <c r="H615" s="6">
        <v>1</v>
      </c>
      <c r="I615" s="40">
        <f>LOOKUP(H615,{0,2,3,4,5,6,7,8,9,10,11,12,13,14,15,16},{0,10,20,30,40,50,60,64,68,72,76,80,85,90,95,100})</f>
        <v>0</v>
      </c>
      <c r="J615" s="7"/>
      <c r="K615" s="7"/>
      <c r="L615" s="7">
        <f>I615+K615</f>
        <v>0</v>
      </c>
      <c r="M615" s="6">
        <v>8.2</v>
      </c>
      <c r="N615" s="43">
        <f>13-M615</f>
        <v>4.8</v>
      </c>
      <c r="O615" s="40">
        <f>LOOKUP(N615,{0,2.5,2.7,2.9,3.1,3.3,3.5,3.7,3.9,4.1,4.3,4.5,4.7,4.9,5.1,5.3,5.5,5.6,5.7,5.8,5.9},{0,10,20,30,40,50,60,62,64,66,68,70,72,74,76,78,80,85,90,95,100})</f>
        <v>72</v>
      </c>
      <c r="P615" s="6">
        <v>4.59</v>
      </c>
      <c r="Q615" s="6">
        <f>10-P615</f>
        <v>5.41</v>
      </c>
      <c r="R615" s="40">
        <f>LOOKUP(Q615,{0,3.75,3.95,4.55,4.75,4.95,5.55,5.6,5.65,5.7,5.75,5.8,5.85,5.9,5.95,6,6.45,6.53,6.6,6.65,6.7},{0,10,20,30,40,50,60,62,64,66,68,70,72,74,76,78,80,85,90,95,100})</f>
        <v>50</v>
      </c>
      <c r="S615" s="7"/>
      <c r="T615" s="7"/>
      <c r="U615" s="7">
        <f>R615+T615</f>
        <v>50</v>
      </c>
      <c r="W615" s="7">
        <f>E615*0.1+G615*0.1+I615*0.1+O615*0.2+R615*0.2</f>
        <v>39.1</v>
      </c>
      <c r="X615" s="21">
        <f>W615/0.7+K615+T615</f>
        <v>55.8571428571429</v>
      </c>
    </row>
    <row r="616" ht="15.6" hidden="1" spans="1:24">
      <c r="A616" s="6">
        <v>116</v>
      </c>
      <c r="B616" s="29" t="s">
        <v>789</v>
      </c>
      <c r="C616" s="29" t="s">
        <v>11</v>
      </c>
      <c r="D616" s="6">
        <v>6.5</v>
      </c>
      <c r="E616" s="40">
        <f>LOOKUP(D616,{0,-4,-3,-2,-1,0,1,2.4,3.8,5.2,6.6,8,9.4,10.8,12.2,13.6,15,17.2,19.4,21.5,23.6},{0,10,20,30,40,50,60,62,64,66,68,70,72,74,76,78,80,85,90,95,100})</f>
        <v>66</v>
      </c>
      <c r="F616" s="6">
        <v>177</v>
      </c>
      <c r="G616" s="40">
        <f>LOOKUP(F616,{0,170,175,180,185,190,195,199,203,207,211,215,219,223,227,231,235,243,250,255,260},{0,10,20,30,40,50,60,62,64,66,68,70,72,74,76,78,80,85,90,95,100})</f>
        <v>20</v>
      </c>
      <c r="H616" s="6">
        <v>0</v>
      </c>
      <c r="I616" s="40">
        <f>LOOKUP(H616,{0,2,3,4,5,6,7,8,9,10,11,12,13,14,15,16},{0,10,20,30,40,50,60,64,68,72,76,80,85,90,95,100})</f>
        <v>0</v>
      </c>
      <c r="J616" s="7"/>
      <c r="K616" s="7"/>
      <c r="L616" s="7">
        <f>I616+K616</f>
        <v>0</v>
      </c>
      <c r="M616" s="6">
        <v>8.3</v>
      </c>
      <c r="N616" s="43">
        <f>13-M616</f>
        <v>4.7</v>
      </c>
      <c r="O616" s="40">
        <f>LOOKUP(N616,{0,2.5,2.7,2.9,3.1,3.3,3.5,3.7,3.9,4.1,4.3,4.5,4.7,4.9,5.1,5.3,5.5,5.6,5.7,5.8,5.9},{0,10,20,30,40,50,60,62,64,66,68,70,72,74,76,78,80,85,90,95,100})</f>
        <v>72</v>
      </c>
      <c r="P616" s="6">
        <v>4.44</v>
      </c>
      <c r="Q616" s="6">
        <f>10-P616</f>
        <v>5.56</v>
      </c>
      <c r="R616" s="40">
        <f>LOOKUP(Q616,{0,3.75,3.95,4.55,4.75,4.95,5.55,5.6,5.65,5.7,5.75,5.8,5.85,5.9,5.95,6,6.45,6.53,6.6,6.65,6.7},{0,10,20,30,40,50,60,62,64,66,68,70,72,74,76,78,80,85,90,95,100})</f>
        <v>60</v>
      </c>
      <c r="S616" s="7"/>
      <c r="T616" s="7"/>
      <c r="U616" s="7">
        <f>R616+T616</f>
        <v>60</v>
      </c>
      <c r="W616" s="7">
        <f>E616*0.1+G616*0.1+I616*0.1+O616*0.2+R616*0.2</f>
        <v>35</v>
      </c>
      <c r="X616" s="21">
        <f>W616/0.7+K616+T616</f>
        <v>50</v>
      </c>
    </row>
    <row r="617" s="3" customFormat="1" ht="15.6" hidden="1" spans="1:24">
      <c r="A617" s="6">
        <v>105</v>
      </c>
      <c r="B617" s="29" t="s">
        <v>229</v>
      </c>
      <c r="C617" s="29" t="s">
        <v>11</v>
      </c>
      <c r="D617" s="6"/>
      <c r="E617" s="40"/>
      <c r="F617" s="6"/>
      <c r="G617" s="40"/>
      <c r="H617" s="6"/>
      <c r="I617" s="40"/>
      <c r="J617" s="7"/>
      <c r="K617" s="7"/>
      <c r="L617" s="7"/>
      <c r="M617" s="6">
        <v>8.3</v>
      </c>
      <c r="N617" s="43">
        <f>13-M617</f>
        <v>4.7</v>
      </c>
      <c r="O617" s="40">
        <f>LOOKUP(N617,{0,2.5,2.7,2.9,3.1,3.3,3.5,3.7,3.9,4.1,4.3,4.5,4.7,4.9,5.1,5.3,5.5,5.6,5.7,5.8,5.9},{0,10,20,30,40,50,60,62,64,66,68,70,72,74,76,78,80,85,90,95,100})</f>
        <v>72</v>
      </c>
      <c r="P617" s="6"/>
      <c r="Q617" s="6"/>
      <c r="R617" s="40"/>
      <c r="S617" s="7"/>
      <c r="T617" s="40"/>
      <c r="U617" s="7"/>
      <c r="V617" s="6" t="s">
        <v>222</v>
      </c>
      <c r="W617" s="7">
        <f>E617*0.1+G617*0.1+I617*0.1+O617*0.2+R617*0.2</f>
        <v>14.4</v>
      </c>
      <c r="X617" s="21">
        <v>50</v>
      </c>
    </row>
    <row r="618" ht="15.6" hidden="1" spans="1:24">
      <c r="A618" s="6">
        <v>105</v>
      </c>
      <c r="B618" s="29" t="s">
        <v>230</v>
      </c>
      <c r="C618" s="29" t="s">
        <v>11</v>
      </c>
      <c r="D618" s="6"/>
      <c r="E618" s="40"/>
      <c r="F618" s="6"/>
      <c r="G618" s="40"/>
      <c r="H618" s="6"/>
      <c r="I618" s="40"/>
      <c r="J618" s="7"/>
      <c r="K618" s="7"/>
      <c r="L618" s="7"/>
      <c r="M618" s="6">
        <v>8.3</v>
      </c>
      <c r="N618" s="43">
        <f>13-M618</f>
        <v>4.7</v>
      </c>
      <c r="O618" s="40">
        <f>LOOKUP(N618,{0,2.5,2.7,2.9,3.1,3.3,3.5,3.7,3.9,4.1,4.3,4.5,4.7,4.9,5.1,5.3,5.5,5.6,5.7,5.8,5.9},{0,10,20,30,40,50,60,62,64,66,68,70,72,74,76,78,80,85,90,95,100})</f>
        <v>72</v>
      </c>
      <c r="R618" s="40"/>
      <c r="S618" s="7"/>
      <c r="T618" s="40"/>
      <c r="U618" s="7"/>
      <c r="V618" s="6" t="s">
        <v>222</v>
      </c>
      <c r="W618" s="7">
        <f>E618*0.1+G618*0.1+I618*0.1+O618*0.2+R618*0.2</f>
        <v>14.4</v>
      </c>
      <c r="X618" s="21">
        <v>50</v>
      </c>
    </row>
    <row r="619" ht="15.6" hidden="1" spans="1:24">
      <c r="A619" s="6">
        <v>102</v>
      </c>
      <c r="B619" s="29" t="s">
        <v>77</v>
      </c>
      <c r="C619" s="29" t="s">
        <v>11</v>
      </c>
      <c r="D619" s="6">
        <v>11</v>
      </c>
      <c r="E619" s="40">
        <f>LOOKUP(D619,{0,-4,-3,-2,-1,0,1,2.4,3.8,5.2,6.6,8,9.4,10.8,12.2,13.6,15,17.2,19.4,21.5,23.6},{0,10,20,30,40,50,60,62,64,66,68,70,72,74,76,78,80,85,90,95,100})</f>
        <v>74</v>
      </c>
      <c r="F619" s="6">
        <v>186</v>
      </c>
      <c r="G619" s="40">
        <f>LOOKUP(F619,{0,170,175,180,185,190,195,199,203,207,211,215,219,223,227,231,235,243,250,255,260},{0,10,20,30,40,50,60,62,64,66,68,70,72,74,76,78,80,85,90,95,100})</f>
        <v>40</v>
      </c>
      <c r="H619" s="6">
        <v>11</v>
      </c>
      <c r="I619" s="40">
        <f>LOOKUP(H619,{0,2,3,4,5,6,7,8,9,10,11,12,13,14,15,16},{0,10,20,30,40,50,60,64,68,72,76,80,85,90,95,100})</f>
        <v>76</v>
      </c>
      <c r="J619" s="7"/>
      <c r="K619" s="7"/>
      <c r="L619" s="7">
        <f>I619+K619</f>
        <v>76</v>
      </c>
      <c r="M619" s="6">
        <v>8.4</v>
      </c>
      <c r="N619" s="43">
        <f>13-M619</f>
        <v>4.6</v>
      </c>
      <c r="O619" s="40">
        <f>LOOKUP(N619,{0,2.5,2.7,2.9,3.1,3.3,3.5,3.7,3.9,4.1,4.3,4.5,4.7,4.9,5.1,5.3,5.5,5.6,5.7,5.8,5.9},{0,10,20,30,40,50,60,62,64,66,68,70,72,74,76,78,80,85,90,95,100})</f>
        <v>70</v>
      </c>
      <c r="P619" s="6">
        <v>3.42</v>
      </c>
      <c r="Q619" s="6">
        <f>10-P619</f>
        <v>6.58</v>
      </c>
      <c r="R619" s="40">
        <f>LOOKUP(Q619,{0,3.75,3.95,4.55,4.75,4.95,5.55,5.6,5.65,5.7,5.75,5.8,5.85,5.9,5.95,6,6.45,6.53,6.6,6.65,6.7},{0,10,20,30,40,50,60,62,64,66,68,70,72,74,76,78,80,85,90,95,100})</f>
        <v>85</v>
      </c>
      <c r="S619" s="7"/>
      <c r="T619" s="7"/>
      <c r="U619" s="7">
        <f>R619+T619</f>
        <v>85</v>
      </c>
      <c r="W619" s="7">
        <f>E619*0.1+G619*0.1+I619*0.1+O619*0.2+R619*0.2</f>
        <v>50</v>
      </c>
      <c r="X619" s="21">
        <f>W619/0.7+K619+T619</f>
        <v>71.4285714285714</v>
      </c>
    </row>
    <row r="620" ht="15.6" hidden="1" spans="1:24">
      <c r="A620" s="6">
        <v>113</v>
      </c>
      <c r="B620" s="39" t="s">
        <v>623</v>
      </c>
      <c r="C620" s="29" t="s">
        <v>11</v>
      </c>
      <c r="D620" s="6">
        <v>3.5</v>
      </c>
      <c r="E620" s="40">
        <f>LOOKUP(D620,{0,-4,-3,-2,-1,0,1,2.4,3.8,5.2,6.6,8,9.4,10.8,12.2,13.6,15,17.2,19.4,21.5,23.6},{0,10,20,30,40,50,60,62,64,66,68,70,72,74,76,78,80,85,90,95,100})</f>
        <v>62</v>
      </c>
      <c r="F620" s="6">
        <v>178</v>
      </c>
      <c r="G620" s="40">
        <f>LOOKUP(F620,{0,170,175,180,185,190,195,199,203,207,211,215,219,223,227,231,235,243,250,255,260},{0,10,20,30,40,50,60,62,64,66,68,70,72,74,76,78,80,85,90,95,100})</f>
        <v>20</v>
      </c>
      <c r="H620" s="6">
        <v>0</v>
      </c>
      <c r="I620" s="40">
        <f>LOOKUP(H620,{0,2,3,4,5,6,7,8,9,10,11,12,13,14,15,16},{0,10,20,30,40,50,60,64,68,72,76,80,85,90,95,100})</f>
        <v>0</v>
      </c>
      <c r="J620" s="7"/>
      <c r="K620" s="7"/>
      <c r="L620" s="7">
        <f>I620+K620</f>
        <v>0</v>
      </c>
      <c r="M620" s="6">
        <v>8.4</v>
      </c>
      <c r="N620" s="43">
        <f>13-M620</f>
        <v>4.6</v>
      </c>
      <c r="O620" s="40">
        <f>LOOKUP(N620,{0,2.5,2.7,2.9,3.1,3.3,3.5,3.7,3.9,4.1,4.3,4.5,4.7,4.9,5.1,5.3,5.5,5.6,5.7,5.8,5.9},{0,10,20,30,40,50,60,62,64,66,68,70,72,74,76,78,80,85,90,95,100})</f>
        <v>70</v>
      </c>
      <c r="P620" s="6">
        <v>4.08</v>
      </c>
      <c r="Q620" s="6">
        <f>10-P620</f>
        <v>5.92</v>
      </c>
      <c r="R620" s="40">
        <f>LOOKUP(Q620,{0,3.75,3.95,4.55,4.75,4.95,5.55,5.6,5.65,5.7,5.75,5.8,5.85,5.9,5.95,6,6.45,6.53,6.6,6.65,6.7},{0,10,20,30,40,50,60,62,64,66,68,70,72,74,76,78,80,85,90,95,100})</f>
        <v>74</v>
      </c>
      <c r="S620" s="7"/>
      <c r="T620" s="7"/>
      <c r="U620" s="7">
        <f>R620+T620</f>
        <v>74</v>
      </c>
      <c r="W620" s="7">
        <f>E620*0.1+G620*0.1+I620*0.1+O620*0.2+R620*0.2</f>
        <v>37</v>
      </c>
      <c r="X620" s="21">
        <f>W620/0.7+K620+T620</f>
        <v>52.8571428571429</v>
      </c>
    </row>
    <row r="621" ht="15.6" hidden="1" spans="1:24">
      <c r="A621" s="6">
        <v>102</v>
      </c>
      <c r="B621" s="39" t="s">
        <v>88</v>
      </c>
      <c r="C621" s="29" t="s">
        <v>11</v>
      </c>
      <c r="D621" s="6">
        <v>24</v>
      </c>
      <c r="E621" s="40">
        <f>LOOKUP(D621,{0,-4,-3,-2,-1,0,1,2.4,3.8,5.2,6.6,8,9.4,10.8,12.2,13.6,15,17.2,19.4,21.5,23.6},{0,10,20,30,40,50,60,62,64,66,68,70,72,74,76,78,80,85,90,95,100})</f>
        <v>100</v>
      </c>
      <c r="F621" s="6">
        <v>207</v>
      </c>
      <c r="G621" s="40">
        <f>LOOKUP(F621,{0,170,175,180,185,190,195,199,203,207,211,215,219,223,227,231,235,243,250,255,260},{0,10,20,30,40,50,60,62,64,66,68,70,72,74,76,78,80,85,90,95,100})</f>
        <v>66</v>
      </c>
      <c r="H621" s="6">
        <v>4</v>
      </c>
      <c r="I621" s="40">
        <f>LOOKUP(H621,{0,2,3,4,5,6,7,8,9,10,11,12,13,14,15,16},{0,10,20,30,40,50,60,64,68,72,76,80,85,90,95,100})</f>
        <v>30</v>
      </c>
      <c r="J621" s="7"/>
      <c r="K621" s="7"/>
      <c r="L621" s="7">
        <f>I621+K621</f>
        <v>30</v>
      </c>
      <c r="M621" s="6">
        <v>8.5</v>
      </c>
      <c r="N621" s="43">
        <f>13-M621</f>
        <v>4.5</v>
      </c>
      <c r="O621" s="40">
        <f>LOOKUP(N621,{0,2.5,2.7,2.9,3.1,3.3,3.5,3.7,3.9,4.1,4.3,4.5,4.7,4.9,5.1,5.3,5.5,5.6,5.7,5.8,5.9},{0,10,20,30,40,50,60,62,64,66,68,70,72,74,76,78,80,85,90,95,100})</f>
        <v>70</v>
      </c>
      <c r="P621" s="6">
        <v>4.18</v>
      </c>
      <c r="Q621" s="6">
        <f>10-P621</f>
        <v>5.82</v>
      </c>
      <c r="R621" s="40">
        <f>LOOKUP(Q621,{0,3.75,3.95,4.55,4.75,4.95,5.55,5.6,5.65,5.7,5.75,5.8,5.85,5.9,5.95,6,6.45,6.53,6.6,6.65,6.7},{0,10,20,30,40,50,60,62,64,66,68,70,72,74,76,78,80,85,90,95,100})</f>
        <v>70</v>
      </c>
      <c r="S621" s="7"/>
      <c r="T621" s="7"/>
      <c r="U621" s="7">
        <f>R621+T621</f>
        <v>70</v>
      </c>
      <c r="W621" s="7">
        <f>E621*0.1+G621*0.1+I621*0.1+O621*0.2+R621*0.2</f>
        <v>47.6</v>
      </c>
      <c r="X621" s="21">
        <f>W621/0.7+K621+T621</f>
        <v>68</v>
      </c>
    </row>
    <row r="622" ht="15.6" spans="1:24">
      <c r="A622" s="6">
        <v>112</v>
      </c>
      <c r="B622" s="29" t="s">
        <v>620</v>
      </c>
      <c r="C622" s="29" t="s">
        <v>46</v>
      </c>
      <c r="D622" s="6">
        <v>14.5</v>
      </c>
      <c r="E622" s="40">
        <f>LOOKUP(D622,{0,0.4,1.2,2,2.8,3.6,4.4,5.7,7,8.3,9.6,10.9,12.2,13.5,14.8,16.1,17.4,19.1,20.8,22.5,24.2},{0,10,20,30,40,50,60,62,64,66,68,70,72,74,76,78,80,85,90,95,100})</f>
        <v>74</v>
      </c>
      <c r="F622" s="6">
        <v>157</v>
      </c>
      <c r="G622" s="40">
        <f>LOOKUP(F622,{0,123,128,133,138,143,148,151,154,157,160,163,166,169,172,175,178,185,192,198,204},{0,10,20,30,40,50,60,62,64,66,68,70,72,74,76,78,80,85,90,95,100})</f>
        <v>66</v>
      </c>
      <c r="H622" s="6">
        <v>39</v>
      </c>
      <c r="I622" s="40">
        <f>LOOKUP(H622,{0,13,15,17,19,21,23,25,27,29,31,33,35,37,39,41,43,46,49,51,53},{0,10,20,30,40,50,60,62,64,66,68,70,72,74,76,78,80,85,90,95,100})</f>
        <v>76</v>
      </c>
      <c r="J622" s="45"/>
      <c r="K622" s="45"/>
      <c r="L622" s="7">
        <f>I622+K622</f>
        <v>76</v>
      </c>
      <c r="M622" s="6">
        <v>8.9</v>
      </c>
      <c r="N622" s="43">
        <f>13-M622</f>
        <v>4.1</v>
      </c>
      <c r="O622" s="40">
        <f>LOOKUP(N622,{0,1.4,1.6,1.8,2,2.2,2.4,2.6,2.8,3,3.2,3.4,3.6,3.8,4,4.2,4.4,4.7,5,5.1,5.2},{0,10,20,30,40,50,60,62,64,66,68,70,72,74,76,78,80,85,90,95,100})</f>
        <v>76</v>
      </c>
      <c r="P622" s="6">
        <v>4</v>
      </c>
      <c r="Q622" s="6">
        <f>10-P622</f>
        <v>6</v>
      </c>
      <c r="R622" s="40">
        <f>LOOKUP(Q622,{0,4.7,4.8,4.9,5,5.5,5.6,5.65,5.7,5.75,5.8,5.85,5.9,5.95,6,6.45,6.5,6.57,6.64,6.7,6.76},{0,10,20,30,40,50,60,62,64,66,68,70,72,74,76,78,80,85,90,95,100})</f>
        <v>76</v>
      </c>
      <c r="S622" s="45"/>
      <c r="T622" s="45"/>
      <c r="U622" s="7">
        <f>R622+T622</f>
        <v>76</v>
      </c>
      <c r="W622" s="7">
        <f>E622*0.1+G622*0.1+I622*0.1+O622*0.2+R622*0.2</f>
        <v>52</v>
      </c>
      <c r="X622" s="21">
        <f>W622/0.7+K622+T622</f>
        <v>74.2857142857143</v>
      </c>
    </row>
    <row r="623" ht="15.6" spans="1:24">
      <c r="A623" s="6">
        <v>109</v>
      </c>
      <c r="B623" s="30" t="s">
        <v>457</v>
      </c>
      <c r="C623" s="30" t="s">
        <v>46</v>
      </c>
      <c r="D623" s="6">
        <v>24.5</v>
      </c>
      <c r="E623" s="40">
        <f>LOOKUP(D623,{0,0.4,1.2,2,2.8,3.6,4.4,5.7,7,8.3,9.6,10.9,12.2,13.5,14.8,16.1,17.4,19.1,20.8,22.5,24.2},{0,10,20,30,40,50,60,62,64,66,68,70,72,74,76,78,80,85,90,95,100})</f>
        <v>100</v>
      </c>
      <c r="F623" s="6">
        <v>160</v>
      </c>
      <c r="G623" s="40">
        <f>LOOKUP(F623,{0,123,128,133,138,143,148,151,154,157,160,163,166,169,172,175,178,185,192,198,204},{0,10,20,30,40,50,60,62,64,66,68,70,72,74,76,78,80,85,90,95,100})</f>
        <v>68</v>
      </c>
      <c r="H623" s="6">
        <v>37</v>
      </c>
      <c r="I623" s="40">
        <f>LOOKUP(H623,{0,13,15,17,19,21,23,25,27,29,31,33,35,37,39,41,43,46,49,51,53},{0,10,20,30,40,50,60,62,64,66,68,70,72,74,76,78,80,85,90,95,100})</f>
        <v>74</v>
      </c>
      <c r="J623" s="45"/>
      <c r="K623" s="45"/>
      <c r="L623" s="7">
        <f>I623+K623</f>
        <v>74</v>
      </c>
      <c r="M623" s="6">
        <v>9.3</v>
      </c>
      <c r="N623" s="43">
        <f>13-M623</f>
        <v>3.7</v>
      </c>
      <c r="O623" s="40">
        <f>LOOKUP(N623,{0,1.4,1.6,1.8,2,2.2,2.4,2.6,2.8,3,3.2,3.4,3.6,3.8,4,4.2,4.4,4.7,5,5.1,5.2},{0,10,20,30,40,50,60,62,64,66,68,70,72,74,76,78,80,85,90,95,100})</f>
        <v>72</v>
      </c>
      <c r="P623" s="6">
        <v>4.23</v>
      </c>
      <c r="Q623" s="6">
        <f>10-P623</f>
        <v>5.77</v>
      </c>
      <c r="R623" s="40">
        <f>LOOKUP(Q623,{0,4.7,4.8,4.9,5,5.5,5.6,5.65,5.7,5.75,5.8,5.85,5.9,5.95,6,6.45,6.5,6.57,6.64,6.7,6.76},{0,10,20,30,40,50,60,62,64,66,68,70,72,74,76,78,80,85,90,95,100})</f>
        <v>66</v>
      </c>
      <c r="S623" s="45"/>
      <c r="T623" s="45"/>
      <c r="U623" s="7">
        <f>R623+T623</f>
        <v>66</v>
      </c>
      <c r="W623" s="7">
        <f>E623*0.1+G623*0.1+I623*0.1+O623*0.2+R623*0.2</f>
        <v>51.8</v>
      </c>
      <c r="X623" s="21">
        <f>W623/0.7+K623+T623</f>
        <v>74</v>
      </c>
    </row>
    <row r="624" ht="15.6" spans="1:24">
      <c r="A624" s="6">
        <v>106</v>
      </c>
      <c r="B624" s="29" t="s">
        <v>278</v>
      </c>
      <c r="C624" s="29" t="s">
        <v>46</v>
      </c>
      <c r="D624" s="6">
        <v>17.2</v>
      </c>
      <c r="E624" s="40">
        <f>LOOKUP(D624,{0,0.4,1.2,2,2.8,3.6,4.4,5.7,7,8.3,9.6,10.9,12.2,13.5,14.8,16.1,17.4,19.1,20.8,22.5,24.2},{0,10,20,30,40,50,60,62,64,66,68,70,72,74,76,78,80,85,90,95,100})</f>
        <v>78</v>
      </c>
      <c r="F624" s="6">
        <v>155</v>
      </c>
      <c r="G624" s="40">
        <f>LOOKUP(F624,{0,123,128,133,138,143,148,151,154,157,160,163,166,169,172,175,178,185,192,198,204},{0,10,20,30,40,50,60,62,64,66,68,70,72,74,76,78,80,85,90,95,100})</f>
        <v>64</v>
      </c>
      <c r="H624" s="6">
        <v>53</v>
      </c>
      <c r="I624" s="40">
        <f>LOOKUP(H624,{0,13,15,17,19,21,23,25,27,29,31,33,35,37,39,41,43,46,49,51,53},{0,10,20,30,40,50,60,62,64,66,68,70,72,74,76,78,80,85,90,95,100})</f>
        <v>100</v>
      </c>
      <c r="J624" s="45">
        <f>H624-53</f>
        <v>0</v>
      </c>
      <c r="K624" s="40">
        <f>LOOKUP(J624,{0,2,4,6,7,8,9,10,11,12,13},{0,1,2,3,4,5,6,7,8,9,10})</f>
        <v>0</v>
      </c>
      <c r="L624" s="7">
        <f>I624+K624</f>
        <v>100</v>
      </c>
      <c r="M624" s="6">
        <v>9.2</v>
      </c>
      <c r="N624" s="43">
        <f>13-M624</f>
        <v>3.8</v>
      </c>
      <c r="O624" s="40">
        <f>LOOKUP(N624,{0,1.4,1.6,1.8,2,2.2,2.4,2.6,2.8,3,3.2,3.4,3.6,3.8,4,4.2,4.4,4.7,5,5.1,5.2},{0,10,20,30,40,50,60,62,64,66,68,70,72,74,76,78,80,85,90,95,100})</f>
        <v>74</v>
      </c>
      <c r="P624" s="6">
        <v>4.3</v>
      </c>
      <c r="Q624" s="6">
        <f>10-P624</f>
        <v>5.7</v>
      </c>
      <c r="R624" s="40">
        <f>LOOKUP(Q624,{0,4.7,4.8,4.9,5,5.5,5.6,5.65,5.7,5.75,5.8,5.85,5.9,5.95,6,6.45,6.5,6.57,6.64,6.7,6.76},{0,10,20,30,40,50,60,62,64,66,68,70,72,74,76,78,80,85,90,95,100})</f>
        <v>64</v>
      </c>
      <c r="S624" s="45"/>
      <c r="T624" s="45"/>
      <c r="U624" s="7">
        <f>R624+T624</f>
        <v>64</v>
      </c>
      <c r="W624" s="7">
        <f>E624*0.1+G624*0.1+I624*0.1+O624*0.2+R624*0.2</f>
        <v>51.8</v>
      </c>
      <c r="X624" s="21">
        <f>W624/0.7+K624+T624</f>
        <v>74</v>
      </c>
    </row>
    <row r="625" ht="15.6" spans="1:24">
      <c r="A625" s="6">
        <v>113</v>
      </c>
      <c r="B625" s="39" t="s">
        <v>664</v>
      </c>
      <c r="C625" s="29" t="s">
        <v>46</v>
      </c>
      <c r="D625" s="6">
        <v>21.8</v>
      </c>
      <c r="E625" s="40">
        <f>LOOKUP(D625,{0,0.4,1.2,2,2.8,3.6,4.4,5.7,7,8.3,9.6,10.9,12.2,13.5,14.8,16.1,17.4,19.1,20.8,22.5,24.2},{0,10,20,30,40,50,60,62,64,66,68,70,72,74,76,78,80,85,90,95,100})</f>
        <v>90</v>
      </c>
      <c r="F625" s="6">
        <v>166</v>
      </c>
      <c r="G625" s="40">
        <f>LOOKUP(F625,{0,123,128,133,138,143,148,151,154,157,160,163,166,169,172,175,178,185,192,198,204},{0,10,20,30,40,50,60,62,64,66,68,70,72,74,76,78,80,85,90,95,100})</f>
        <v>72</v>
      </c>
      <c r="H625" s="6">
        <v>33</v>
      </c>
      <c r="I625" s="40">
        <f>LOOKUP(H625,{0,13,15,17,19,21,23,25,27,29,31,33,35,37,39,41,43,46,49,51,53},{0,10,20,30,40,50,60,62,64,66,68,70,72,74,76,78,80,85,90,95,100})</f>
        <v>70</v>
      </c>
      <c r="J625" s="45"/>
      <c r="K625" s="45"/>
      <c r="L625" s="7">
        <f>I625+K625</f>
        <v>70</v>
      </c>
      <c r="M625" s="6">
        <v>9.5</v>
      </c>
      <c r="N625" s="43">
        <f>13-M625</f>
        <v>3.5</v>
      </c>
      <c r="O625" s="40">
        <f>LOOKUP(N625,{0,1.4,1.6,1.8,2,2.2,2.4,2.6,2.8,3,3.2,3.4,3.6,3.8,4,4.2,4.4,4.7,5,5.1,5.2},{0,10,20,30,40,50,60,62,64,66,68,70,72,74,76,78,80,85,90,95,100})</f>
        <v>70</v>
      </c>
      <c r="P625" s="6">
        <v>4.09</v>
      </c>
      <c r="Q625" s="6">
        <f>10-P625</f>
        <v>5.91</v>
      </c>
      <c r="R625" s="40">
        <f>LOOKUP(Q625,{0,4.7,4.8,4.9,5,5.5,5.6,5.65,5.7,5.75,5.8,5.85,5.9,5.95,6,6.45,6.5,6.57,6.64,6.7,6.76},{0,10,20,30,40,50,60,62,64,66,68,70,72,74,76,78,80,85,90,95,100})</f>
        <v>72</v>
      </c>
      <c r="S625" s="45"/>
      <c r="T625" s="45"/>
      <c r="U625" s="7">
        <f>R625+T625</f>
        <v>72</v>
      </c>
      <c r="W625" s="7">
        <f>E625*0.1+G625*0.1+I625*0.1+O625*0.2+R625*0.2</f>
        <v>51.6</v>
      </c>
      <c r="X625" s="21">
        <f>W625/0.7+K625+T625</f>
        <v>73.7142857142857</v>
      </c>
    </row>
    <row r="626" ht="15.6" spans="1:24">
      <c r="A626" s="6">
        <v>116</v>
      </c>
      <c r="B626" s="29" t="s">
        <v>811</v>
      </c>
      <c r="C626" s="29" t="s">
        <v>46</v>
      </c>
      <c r="D626" s="6">
        <v>16.5</v>
      </c>
      <c r="E626" s="40">
        <f>LOOKUP(D626,{0,0.4,1.2,2,2.8,3.6,4.4,5.7,7,8.3,9.6,10.9,12.2,13.5,14.8,16.1,17.4,19.1,20.8,22.5,24.2},{0,10,20,30,40,50,60,62,64,66,68,70,72,74,76,78,80,85,90,95,100})</f>
        <v>78</v>
      </c>
      <c r="F626" s="6">
        <v>153</v>
      </c>
      <c r="G626" s="40">
        <f>LOOKUP(F626,{0,123,128,133,138,143,148,151,154,157,160,163,166,169,172,175,178,185,192,198,204},{0,10,20,30,40,50,60,62,64,66,68,70,72,74,76,78,80,85,90,95,100})</f>
        <v>62</v>
      </c>
      <c r="H626" s="6">
        <v>51</v>
      </c>
      <c r="I626" s="40">
        <f>LOOKUP(H626,{0,13,15,17,19,21,23,25,27,29,31,33,35,37,39,41,43,46,49,51,53},{0,10,20,30,40,50,60,62,64,66,68,70,72,74,76,78,80,85,90,95,100})</f>
        <v>95</v>
      </c>
      <c r="J626" s="45"/>
      <c r="K626" s="45"/>
      <c r="L626" s="7">
        <f>I626+K626</f>
        <v>95</v>
      </c>
      <c r="M626" s="6">
        <v>9.3</v>
      </c>
      <c r="N626" s="43">
        <f>13-M626</f>
        <v>3.7</v>
      </c>
      <c r="O626" s="40">
        <f>LOOKUP(N626,{0,1.4,1.6,1.8,2,2.2,2.4,2.6,2.8,3,3.2,3.4,3.6,3.8,4,4.2,4.4,4.7,5,5.1,5.2},{0,10,20,30,40,50,60,62,64,66,68,70,72,74,76,78,80,85,90,95,100})</f>
        <v>72</v>
      </c>
      <c r="P626" s="6">
        <v>4.2</v>
      </c>
      <c r="Q626" s="6">
        <f>10-P626</f>
        <v>5.8</v>
      </c>
      <c r="R626" s="40">
        <f>LOOKUP(Q626,{0,4.7,4.8,4.9,5,5.5,5.6,5.65,5.7,5.75,5.8,5.85,5.9,5.95,6,6.45,6.5,6.57,6.64,6.7,6.76},{0,10,20,30,40,50,60,62,64,66,68,70,72,74,76,78,80,85,90,95,100})</f>
        <v>68</v>
      </c>
      <c r="S626" s="45"/>
      <c r="T626" s="45"/>
      <c r="U626" s="7">
        <f>R626+T626</f>
        <v>68</v>
      </c>
      <c r="W626" s="7">
        <f>E626*0.1+G626*0.1+I626*0.1+O626*0.2+R626*0.2</f>
        <v>51.5</v>
      </c>
      <c r="X626" s="21">
        <f>W626/0.7+K626+T626</f>
        <v>73.5714285714286</v>
      </c>
    </row>
    <row r="627" ht="15.6" spans="1:24">
      <c r="A627" s="6">
        <v>106</v>
      </c>
      <c r="B627" s="29" t="s">
        <v>285</v>
      </c>
      <c r="C627" s="29" t="s">
        <v>46</v>
      </c>
      <c r="D627" s="6">
        <v>8.5</v>
      </c>
      <c r="E627" s="40">
        <f>LOOKUP(D627,{0,0.4,1.2,2,2.8,3.6,4.4,5.7,7,8.3,9.6,10.9,12.2,13.5,14.8,16.1,17.4,19.1,20.8,22.5,24.2},{0,10,20,30,40,50,60,62,64,66,68,70,72,74,76,78,80,85,90,95,100})</f>
        <v>66</v>
      </c>
      <c r="F627" s="6">
        <v>165</v>
      </c>
      <c r="G627" s="40">
        <f>LOOKUP(F627,{0,123,128,133,138,143,148,151,154,157,160,163,166,169,172,175,178,185,192,198,204},{0,10,20,30,40,50,60,62,64,66,68,70,72,74,76,78,80,85,90,95,100})</f>
        <v>70</v>
      </c>
      <c r="H627" s="6">
        <v>46</v>
      </c>
      <c r="I627" s="40">
        <f>LOOKUP(H627,{0,13,15,17,19,21,23,25,27,29,31,33,35,37,39,41,43,46,49,51,53},{0,10,20,30,40,50,60,62,64,66,68,70,72,74,76,78,80,85,90,95,100})</f>
        <v>85</v>
      </c>
      <c r="J627" s="45"/>
      <c r="K627" s="45"/>
      <c r="L627" s="7">
        <f>I627+K627</f>
        <v>85</v>
      </c>
      <c r="M627" s="6">
        <v>8.9</v>
      </c>
      <c r="N627" s="43">
        <f>13-M627</f>
        <v>4.1</v>
      </c>
      <c r="O627" s="40">
        <f>LOOKUP(N627,{0,1.4,1.6,1.8,2,2.2,2.4,2.6,2.8,3,3.2,3.4,3.6,3.8,4,4.2,4.4,4.7,5,5.1,5.2},{0,10,20,30,40,50,60,62,64,66,68,70,72,74,76,78,80,85,90,95,100})</f>
        <v>76</v>
      </c>
      <c r="P627" s="6">
        <v>4.15</v>
      </c>
      <c r="Q627" s="6">
        <f>10-P627</f>
        <v>5.85</v>
      </c>
      <c r="R627" s="40">
        <f>LOOKUP(Q627,{0,4.7,4.8,4.9,5,5.5,5.6,5.65,5.7,5.75,5.8,5.85,5.9,5.95,6,6.45,6.5,6.57,6.64,6.7,6.76},{0,10,20,30,40,50,60,62,64,66,68,70,72,74,76,78,80,85,90,95,100})</f>
        <v>70</v>
      </c>
      <c r="S627" s="45"/>
      <c r="T627" s="45"/>
      <c r="U627" s="7">
        <f>R627+T627</f>
        <v>70</v>
      </c>
      <c r="W627" s="7">
        <f>E627*0.1+G627*0.1+I627*0.1+O627*0.2+R627*0.2</f>
        <v>51.3</v>
      </c>
      <c r="X627" s="21">
        <f>W627/0.7+K627+T627</f>
        <v>73.2857142857143</v>
      </c>
    </row>
    <row r="628" ht="15.6" spans="1:24">
      <c r="A628" s="6">
        <v>109</v>
      </c>
      <c r="B628" s="29" t="s">
        <v>443</v>
      </c>
      <c r="C628" s="29" t="s">
        <v>46</v>
      </c>
      <c r="D628" s="6">
        <v>17</v>
      </c>
      <c r="E628" s="40">
        <f>LOOKUP(D628,{0,0.4,1.2,2,2.8,3.6,4.4,5.7,7,8.3,9.6,10.9,12.2,13.5,14.8,16.1,17.4,19.1,20.8,22.5,24.2},{0,10,20,30,40,50,60,62,64,66,68,70,72,74,76,78,80,85,90,95,100})</f>
        <v>78</v>
      </c>
      <c r="F628" s="6">
        <v>161</v>
      </c>
      <c r="G628" s="40">
        <f>LOOKUP(F628,{0,123,128,133,138,143,148,151,154,157,160,163,166,169,172,175,178,185,192,198,204},{0,10,20,30,40,50,60,62,64,66,68,70,72,74,76,78,80,85,90,95,100})</f>
        <v>68</v>
      </c>
      <c r="H628" s="6">
        <v>33</v>
      </c>
      <c r="I628" s="40">
        <f>LOOKUP(H628,{0,13,15,17,19,21,23,25,27,29,31,33,35,37,39,41,43,46,49,51,53},{0,10,20,30,40,50,60,62,64,66,68,70,72,74,76,78,80,85,90,95,100})</f>
        <v>70</v>
      </c>
      <c r="J628" s="45"/>
      <c r="K628" s="45"/>
      <c r="L628" s="7">
        <f>I628+K628</f>
        <v>70</v>
      </c>
      <c r="M628" s="6">
        <v>9.5</v>
      </c>
      <c r="N628" s="43">
        <f>13-M628</f>
        <v>3.5</v>
      </c>
      <c r="O628" s="40">
        <f>LOOKUP(N628,{0,1.4,1.6,1.8,2,2.2,2.4,2.6,2.8,3,3.2,3.4,3.6,3.8,4,4.2,4.4,4.7,5,5.1,5.2},{0,10,20,30,40,50,60,62,64,66,68,70,72,74,76,78,80,85,90,95,100})</f>
        <v>70</v>
      </c>
      <c r="P628" s="6">
        <v>3.55</v>
      </c>
      <c r="Q628" s="6">
        <f>10-P628</f>
        <v>6.45</v>
      </c>
      <c r="R628" s="40">
        <f>LOOKUP(Q628,{0,4.7,4.8,4.9,5,5.5,5.6,5.65,5.7,5.75,5.8,5.85,5.9,5.95,6,6.45,6.5,6.57,6.64,6.7,6.76},{0,10,20,30,40,50,60,62,64,66,68,70,72,74,76,78,80,85,90,95,100})</f>
        <v>78</v>
      </c>
      <c r="S628" s="45"/>
      <c r="T628" s="45"/>
      <c r="U628" s="7">
        <f>R628+T628</f>
        <v>78</v>
      </c>
      <c r="W628" s="7">
        <f>E628*0.1+G628*0.1+I628*0.1+O628*0.2+R628*0.2</f>
        <v>51.2</v>
      </c>
      <c r="X628" s="21">
        <f>W628/0.7+K628+T628</f>
        <v>73.1428571428572</v>
      </c>
    </row>
    <row r="629" ht="15.6" spans="1:24">
      <c r="A629" s="6">
        <v>114</v>
      </c>
      <c r="B629" s="29" t="s">
        <v>714</v>
      </c>
      <c r="C629" s="29" t="s">
        <v>46</v>
      </c>
      <c r="D629" s="6">
        <v>12.3</v>
      </c>
      <c r="E629" s="40">
        <f>LOOKUP(D629,{0,0.4,1.2,2,2.8,3.6,4.4,5.7,7,8.3,9.6,10.9,12.2,13.5,14.8,16.1,17.4,19.1,20.8,22.5,24.2},{0,10,20,30,40,50,60,62,64,66,68,70,72,74,76,78,80,85,90,95,100})</f>
        <v>72</v>
      </c>
      <c r="F629" s="6">
        <v>157</v>
      </c>
      <c r="G629" s="40">
        <f>LOOKUP(F629,{0,123,128,133,138,143,148,151,154,157,160,163,166,169,172,175,178,185,192,198,204},{0,10,20,30,40,50,60,62,64,66,68,70,72,74,76,78,80,85,90,95,100})</f>
        <v>66</v>
      </c>
      <c r="H629" s="6">
        <v>45</v>
      </c>
      <c r="I629" s="40">
        <f>LOOKUP(H629,{0,13,15,17,19,21,23,25,27,29,31,33,35,37,39,41,43,46,49,51,53},{0,10,20,30,40,50,60,62,64,66,68,70,72,74,76,78,80,85,90,95,100})</f>
        <v>80</v>
      </c>
      <c r="J629" s="45"/>
      <c r="K629" s="45"/>
      <c r="L629" s="7">
        <f>I629+K629</f>
        <v>80</v>
      </c>
      <c r="M629" s="6">
        <v>9.8</v>
      </c>
      <c r="N629" s="43">
        <f>13-M629</f>
        <v>3.2</v>
      </c>
      <c r="O629" s="40">
        <f>LOOKUP(N629,{0,1.4,1.6,1.8,2,2.2,2.4,2.6,2.8,3,3.2,3.4,3.6,3.8,4,4.2,4.4,4.7,5,5.1,5.2},{0,10,20,30,40,50,60,62,64,66,68,70,72,74,76,78,80,85,90,95,100})</f>
        <v>68</v>
      </c>
      <c r="P629" s="6">
        <v>3.51</v>
      </c>
      <c r="Q629" s="6">
        <f>10-P629</f>
        <v>6.49</v>
      </c>
      <c r="R629" s="40">
        <f>LOOKUP(Q629,{0,4.7,4.8,4.9,5,5.5,5.6,5.65,5.7,5.75,5.8,5.85,5.9,5.95,6,6.45,6.5,6.57,6.64,6.7,6.76},{0,10,20,30,40,50,60,62,64,66,68,70,72,74,76,78,80,85,90,95,100})</f>
        <v>78</v>
      </c>
      <c r="S629" s="45"/>
      <c r="T629" s="45"/>
      <c r="U629" s="7">
        <f>R629+T629</f>
        <v>78</v>
      </c>
      <c r="W629" s="7">
        <f>E629*0.1+G629*0.1+I629*0.1+O629*0.2+R629*0.2</f>
        <v>51</v>
      </c>
      <c r="X629" s="21">
        <f>W629/0.7+K629+T629</f>
        <v>72.8571428571429</v>
      </c>
    </row>
    <row r="630" ht="15.6" spans="1:24">
      <c r="A630" s="6">
        <v>109</v>
      </c>
      <c r="B630" s="29" t="s">
        <v>441</v>
      </c>
      <c r="C630" s="29" t="s">
        <v>46</v>
      </c>
      <c r="D630" s="6">
        <v>12.6</v>
      </c>
      <c r="E630" s="40">
        <f>LOOKUP(D630,{0,0.4,1.2,2,2.8,3.6,4.4,5.7,7,8.3,9.6,10.9,12.2,13.5,14.8,16.1,17.4,19.1,20.8,22.5,24.2},{0,10,20,30,40,50,60,62,64,66,68,70,72,74,76,78,80,85,90,95,100})</f>
        <v>72</v>
      </c>
      <c r="F630" s="6">
        <v>178</v>
      </c>
      <c r="G630" s="40">
        <f>LOOKUP(F630,{0,123,128,133,138,143,148,151,154,157,160,163,166,169,172,175,178,185,192,198,204},{0,10,20,30,40,50,60,62,64,66,68,70,72,74,76,78,80,85,90,95,100})</f>
        <v>80</v>
      </c>
      <c r="H630" s="6">
        <v>38</v>
      </c>
      <c r="I630" s="40">
        <f>LOOKUP(H630,{0,13,15,17,19,21,23,25,27,29,31,33,35,37,39,41,43,46,49,51,53},{0,10,20,30,40,50,60,62,64,66,68,70,72,74,76,78,80,85,90,95,100})</f>
        <v>74</v>
      </c>
      <c r="J630" s="45"/>
      <c r="K630" s="45"/>
      <c r="L630" s="7">
        <f>I630+K630</f>
        <v>74</v>
      </c>
      <c r="M630" s="6">
        <v>9.4</v>
      </c>
      <c r="N630" s="43">
        <f>13-M630</f>
        <v>3.6</v>
      </c>
      <c r="O630" s="40">
        <f>LOOKUP(N630,{0,1.4,1.6,1.8,2,2.2,2.4,2.6,2.8,3,3.2,3.4,3.6,3.8,4,4.2,4.4,4.7,5,5.1,5.2},{0,10,20,30,40,50,60,62,64,66,68,70,72,74,76,78,80,85,90,95,100})</f>
        <v>72</v>
      </c>
      <c r="P630" s="6">
        <v>4.13</v>
      </c>
      <c r="Q630" s="6">
        <f>10-P630</f>
        <v>5.87</v>
      </c>
      <c r="R630" s="40">
        <f>LOOKUP(Q630,{0,4.7,4.8,4.9,5,5.5,5.6,5.65,5.7,5.75,5.8,5.85,5.9,5.95,6,6.45,6.5,6.57,6.64,6.7,6.76},{0,10,20,30,40,50,60,62,64,66,68,70,72,74,76,78,80,85,90,95,100})</f>
        <v>70</v>
      </c>
      <c r="S630" s="45"/>
      <c r="T630" s="45"/>
      <c r="U630" s="7">
        <f>R630+T630</f>
        <v>70</v>
      </c>
      <c r="W630" s="7">
        <f>E630*0.1+G630*0.1+I630*0.1+O630*0.2+R630*0.2</f>
        <v>51</v>
      </c>
      <c r="X630" s="21">
        <f>W630/0.7+K630+T630</f>
        <v>72.8571428571429</v>
      </c>
    </row>
    <row r="631" s="3" customFormat="1" ht="15.6" spans="1:24">
      <c r="A631" s="6">
        <v>114</v>
      </c>
      <c r="B631" s="29" t="s">
        <v>707</v>
      </c>
      <c r="C631" s="29" t="s">
        <v>46</v>
      </c>
      <c r="D631" s="6">
        <v>20.5</v>
      </c>
      <c r="E631" s="40">
        <f>LOOKUP(D631,{0,0.4,1.2,2,2.8,3.6,4.4,5.7,7,8.3,9.6,10.9,12.2,13.5,14.8,16.1,17.4,19.1,20.8,22.5,24.2},{0,10,20,30,40,50,60,62,64,66,68,70,72,74,76,78,80,85,90,95,100})</f>
        <v>85</v>
      </c>
      <c r="F631" s="6">
        <v>143</v>
      </c>
      <c r="G631" s="40">
        <f>LOOKUP(F631,{0,123,128,133,138,143,148,151,154,157,160,163,166,169,172,175,178,185,192,198,204},{0,10,20,30,40,50,60,62,64,66,68,70,72,74,76,78,80,85,90,95,100})</f>
        <v>50</v>
      </c>
      <c r="H631" s="6">
        <v>41</v>
      </c>
      <c r="I631" s="40">
        <f>LOOKUP(H631,{0,13,15,17,19,21,23,25,27,29,31,33,35,37,39,41,43,46,49,51,53},{0,10,20,30,40,50,60,62,64,66,68,70,72,74,76,78,80,85,90,95,100})</f>
        <v>78</v>
      </c>
      <c r="J631" s="45"/>
      <c r="K631" s="45"/>
      <c r="L631" s="7">
        <f>I631+K631</f>
        <v>78</v>
      </c>
      <c r="M631" s="6">
        <v>9.5</v>
      </c>
      <c r="N631" s="43">
        <f>13-M631</f>
        <v>3.5</v>
      </c>
      <c r="O631" s="40">
        <f>LOOKUP(N631,{0,1.4,1.6,1.8,2,2.2,2.4,2.6,2.8,3,3.2,3.4,3.6,3.8,4,4.2,4.4,4.7,5,5.1,5.2},{0,10,20,30,40,50,60,62,64,66,68,70,72,74,76,78,80,85,90,95,100})</f>
        <v>70</v>
      </c>
      <c r="P631" s="6">
        <v>3.53</v>
      </c>
      <c r="Q631" s="6">
        <f>10-P631</f>
        <v>6.47</v>
      </c>
      <c r="R631" s="40">
        <f>LOOKUP(Q631,{0,4.7,4.8,4.9,5,5.5,5.6,5.65,5.7,5.75,5.8,5.85,5.9,5.95,6,6.45,6.5,6.57,6.64,6.7,6.76},{0,10,20,30,40,50,60,62,64,66,68,70,72,74,76,78,80,85,90,95,100})</f>
        <v>78</v>
      </c>
      <c r="S631" s="45"/>
      <c r="T631" s="45"/>
      <c r="U631" s="7">
        <f>R631+T631</f>
        <v>78</v>
      </c>
      <c r="V631" s="6"/>
      <c r="W631" s="7">
        <f>E631*0.1+G631*0.1+I631*0.1+O631*0.2+R631*0.2</f>
        <v>50.9</v>
      </c>
      <c r="X631" s="21">
        <f>W631/0.7+K631+T631</f>
        <v>72.7142857142857</v>
      </c>
    </row>
    <row r="632" ht="15.6" spans="1:24">
      <c r="A632" s="6">
        <v>111</v>
      </c>
      <c r="B632" s="29" t="s">
        <v>548</v>
      </c>
      <c r="C632" s="29" t="s">
        <v>46</v>
      </c>
      <c r="D632" s="6">
        <v>22</v>
      </c>
      <c r="E632" s="40">
        <f>LOOKUP(D632,{0,0.4,1.2,2,2.8,3.6,4.4,5.7,7,8.3,9.6,10.9,12.2,13.5,14.8,16.1,17.4,19.1,20.8,22.5,24.2},{0,10,20,30,40,50,60,62,64,66,68,70,72,74,76,78,80,85,90,95,100})</f>
        <v>90</v>
      </c>
      <c r="F632" s="6">
        <v>135</v>
      </c>
      <c r="G632" s="40">
        <f>LOOKUP(F632,{0,123,128,133,138,143,148,151,154,157,160,163,166,169,172,175,178,185,192,198,204},{0,10,20,30,40,50,60,62,64,66,68,70,72,74,76,78,80,85,90,95,100})</f>
        <v>30</v>
      </c>
      <c r="H632" s="6">
        <v>46</v>
      </c>
      <c r="I632" s="40">
        <f>LOOKUP(H632,{0,13,15,17,19,21,23,25,27,29,31,33,35,37,39,41,43,46,49,51,53},{0,10,20,30,40,50,60,62,64,66,68,70,72,74,76,78,80,85,90,95,100})</f>
        <v>85</v>
      </c>
      <c r="J632" s="45"/>
      <c r="K632" s="45"/>
      <c r="L632" s="7">
        <f>I632+K632</f>
        <v>85</v>
      </c>
      <c r="M632" s="6">
        <v>10</v>
      </c>
      <c r="N632" s="43">
        <f>13-M632</f>
        <v>3</v>
      </c>
      <c r="O632" s="40">
        <f>LOOKUP(N632,{0,1.4,1.6,1.8,2,2.2,2.4,2.6,2.8,3,3.2,3.4,3.6,3.8,4,4.2,4.4,4.7,5,5.1,5.2},{0,10,20,30,40,50,60,62,64,66,68,70,72,74,76,78,80,85,90,95,100})</f>
        <v>66</v>
      </c>
      <c r="P632" s="6">
        <v>3.43</v>
      </c>
      <c r="Q632" s="6">
        <f>10-P632</f>
        <v>6.57</v>
      </c>
      <c r="R632" s="40">
        <f>LOOKUP(Q632,{0,4.7,4.8,4.9,5,5.5,5.6,5.65,5.7,5.75,5.8,5.85,5.9,5.95,6,6.45,6.5,6.57,6.64,6.7,6.76},{0,10,20,30,40,50,60,62,64,66,68,70,72,74,76,78,80,85,90,95,100})</f>
        <v>85</v>
      </c>
      <c r="S632" s="45"/>
      <c r="T632" s="45"/>
      <c r="U632" s="7">
        <f>R632+T632</f>
        <v>85</v>
      </c>
      <c r="W632" s="7">
        <f>E632*0.1+G632*0.1+I632*0.1+O632*0.2+R632*0.2</f>
        <v>50.7</v>
      </c>
      <c r="X632" s="21">
        <f>W632/0.7+K632+T632</f>
        <v>72.4285714285714</v>
      </c>
    </row>
    <row r="633" ht="15.6" spans="1:24">
      <c r="A633" s="6">
        <v>107</v>
      </c>
      <c r="B633" s="30" t="s">
        <v>349</v>
      </c>
      <c r="C633" s="30" t="s">
        <v>46</v>
      </c>
      <c r="D633" s="6">
        <v>25.1</v>
      </c>
      <c r="E633" s="40">
        <f>LOOKUP(D633,{0,0.4,1.2,2,2.8,3.6,4.4,5.7,7,8.3,9.6,10.9,12.2,13.5,14.8,16.1,17.4,19.1,20.8,22.5,24.2},{0,10,20,30,40,50,60,62,64,66,68,70,72,74,76,78,80,85,90,95,100})</f>
        <v>100</v>
      </c>
      <c r="F633" s="6">
        <v>181</v>
      </c>
      <c r="G633" s="40">
        <f>LOOKUP(F633,{0,123,128,133,138,143,148,151,154,157,160,163,166,169,172,175,178,185,192,198,204},{0,10,20,30,40,50,60,62,64,66,68,70,72,74,76,78,80,85,90,95,100})</f>
        <v>80</v>
      </c>
      <c r="H633" s="6">
        <v>41</v>
      </c>
      <c r="I633" s="40">
        <f>LOOKUP(H633,{0,13,15,17,19,21,23,25,27,29,31,33,35,37,39,41,43,46,49,51,53},{0,10,20,30,40,50,60,62,64,66,68,70,72,74,76,78,80,85,90,95,100})</f>
        <v>78</v>
      </c>
      <c r="J633" s="45"/>
      <c r="K633" s="45"/>
      <c r="L633" s="7">
        <f>I633+K633</f>
        <v>78</v>
      </c>
      <c r="M633" s="6">
        <v>9.2</v>
      </c>
      <c r="N633" s="43">
        <f>13-M633</f>
        <v>3.8</v>
      </c>
      <c r="O633" s="40">
        <f>LOOKUP(N633,{0,1.4,1.6,1.8,2,2.2,2.4,2.6,2.8,3,3.2,3.4,3.6,3.8,4,4.2,4.4,4.7,5,5.1,5.2},{0,10,20,30,40,50,60,62,64,66,68,70,72,74,76,78,80,85,90,95,100})</f>
        <v>74</v>
      </c>
      <c r="P633" s="6">
        <v>4.46</v>
      </c>
      <c r="Q633" s="6">
        <f>10-P633</f>
        <v>5.54</v>
      </c>
      <c r="R633" s="40">
        <f>LOOKUP(Q633,{0,4.7,4.8,4.9,5,5.5,5.6,5.65,5.7,5.75,5.8,5.85,5.9,5.95,6,6.45,6.5,6.57,6.64,6.7,6.76},{0,10,20,30,40,50,60,62,64,66,68,70,72,74,76,78,80,85,90,95,100})</f>
        <v>50</v>
      </c>
      <c r="S633" s="45"/>
      <c r="T633" s="45"/>
      <c r="U633" s="7">
        <f>R633+T633</f>
        <v>50</v>
      </c>
      <c r="W633" s="7">
        <f>E633*0.1+G633*0.1+I633*0.1+O633*0.2+R633*0.2</f>
        <v>50.6</v>
      </c>
      <c r="X633" s="21">
        <f>W633/0.7+K633+T633</f>
        <v>72.2857142857143</v>
      </c>
    </row>
    <row r="634" ht="15.6" spans="1:24">
      <c r="A634" s="52">
        <v>107</v>
      </c>
      <c r="B634" s="29" t="s">
        <v>335</v>
      </c>
      <c r="C634" s="29" t="s">
        <v>46</v>
      </c>
      <c r="D634" s="52">
        <v>19.5</v>
      </c>
      <c r="E634" s="40">
        <f>LOOKUP(D634,{0,0.4,1.2,2,2.8,3.6,4.4,5.7,7,8.3,9.6,10.9,12.2,13.5,14.8,16.1,17.4,19.1,20.8,22.5,24.2},{0,10,20,30,40,50,60,62,64,66,68,70,72,74,76,78,80,85,90,95,100})</f>
        <v>85</v>
      </c>
      <c r="F634" s="52">
        <v>2.08</v>
      </c>
      <c r="G634" s="40">
        <f>LOOKUP(F634,{0,123,128,133,138,143,148,151,154,157,160,163,166,169,172,175,178,185,192,198,204},{0,10,20,30,40,50,60,62,64,66,68,70,72,74,76,78,80,85,90,95,100})</f>
        <v>0</v>
      </c>
      <c r="H634" s="52">
        <v>50</v>
      </c>
      <c r="I634" s="40">
        <f>LOOKUP(H634,{0,13,15,17,19,21,23,25,27,29,31,33,35,37,39,41,43,46,49,51,53},{0,10,20,30,40,50,60,62,64,66,68,70,72,74,76,78,80,85,90,95,100})</f>
        <v>90</v>
      </c>
      <c r="J634" s="53"/>
      <c r="K634" s="53"/>
      <c r="L634" s="7">
        <f>I634+K634</f>
        <v>90</v>
      </c>
      <c r="M634" s="52">
        <v>8.1</v>
      </c>
      <c r="N634" s="43">
        <f>13-M634</f>
        <v>4.9</v>
      </c>
      <c r="O634" s="40">
        <f>LOOKUP(N634,{0,1.4,1.6,1.8,2,2.2,2.4,2.6,2.8,3,3.2,3.4,3.6,3.8,4,4.2,4.4,4.7,5,5.1,5.2},{0,10,20,30,40,50,60,62,64,66,68,70,72,74,76,78,80,85,90,95,100})</f>
        <v>85</v>
      </c>
      <c r="P634" s="52">
        <v>3.47</v>
      </c>
      <c r="Q634" s="6">
        <f>10-P634</f>
        <v>6.53</v>
      </c>
      <c r="R634" s="40">
        <f>LOOKUP(Q634,{0,4.7,4.8,4.9,5,5.5,5.6,5.65,5.7,5.75,5.8,5.85,5.9,5.95,6,6.45,6.5,6.57,6.64,6.7,6.76},{0,10,20,30,40,50,60,62,64,66,68,70,72,74,76,78,80,85,90,95,100})</f>
        <v>80</v>
      </c>
      <c r="S634" s="53"/>
      <c r="T634" s="53"/>
      <c r="U634" s="7">
        <f>R634+T634</f>
        <v>80</v>
      </c>
      <c r="V634" s="52"/>
      <c r="W634" s="7">
        <f>E634*0.1+G634*0.1+I634*0.1+O634*0.2+R634*0.2</f>
        <v>50.5</v>
      </c>
      <c r="X634" s="21">
        <f>W634/0.7+K634+T634</f>
        <v>72.1428571428572</v>
      </c>
    </row>
    <row r="635" ht="15.6" spans="1:24">
      <c r="A635" s="6">
        <v>112</v>
      </c>
      <c r="B635" s="29" t="s">
        <v>333</v>
      </c>
      <c r="C635" s="29" t="s">
        <v>46</v>
      </c>
      <c r="D635" s="6">
        <v>3</v>
      </c>
      <c r="E635" s="40">
        <f>LOOKUP(D635,{0,0.4,1.2,2,2.8,3.6,4.4,5.7,7,8.3,9.6,10.9,12.2,13.5,14.8,16.1,17.4,19.1,20.8,22.5,24.2},{0,10,20,30,40,50,60,62,64,66,68,70,72,74,76,78,80,85,90,95,100})</f>
        <v>40</v>
      </c>
      <c r="F635" s="6">
        <v>161</v>
      </c>
      <c r="G635" s="40">
        <f>LOOKUP(F635,{0,123,128,133,138,143,148,151,154,157,160,163,166,169,172,175,178,185,192,198,204},{0,10,20,30,40,50,60,62,64,66,68,70,72,74,76,78,80,85,90,95,100})</f>
        <v>68</v>
      </c>
      <c r="H635" s="6">
        <v>37</v>
      </c>
      <c r="I635" s="40">
        <f>LOOKUP(H635,{0,13,15,17,19,21,23,25,27,29,31,33,35,37,39,41,43,46,49,51,53},{0,10,20,30,40,50,60,62,64,66,68,70,72,74,76,78,80,85,90,95,100})</f>
        <v>74</v>
      </c>
      <c r="J635" s="45"/>
      <c r="K635" s="45"/>
      <c r="L635" s="7">
        <f>I635+K635</f>
        <v>74</v>
      </c>
      <c r="M635" s="6">
        <v>9</v>
      </c>
      <c r="N635" s="43">
        <f>13-M635</f>
        <v>4</v>
      </c>
      <c r="O635" s="40">
        <f>LOOKUP(N635,{0,1.4,1.6,1.8,2,2.2,2.4,2.6,2.8,3,3.2,3.4,3.6,3.8,4,4.2,4.4,4.7,5,5.1,5.2},{0,10,20,30,40,50,60,62,64,66,68,70,72,74,76,78,80,85,90,95,100})</f>
        <v>76</v>
      </c>
      <c r="P635" s="6">
        <v>3.42</v>
      </c>
      <c r="Q635" s="6">
        <f>10-P635</f>
        <v>6.58</v>
      </c>
      <c r="R635" s="40">
        <f>LOOKUP(Q635,{0,4.7,4.8,4.9,5,5.5,5.6,5.65,5.7,5.75,5.8,5.85,5.9,5.95,6,6.45,6.5,6.57,6.64,6.7,6.76},{0,10,20,30,40,50,60,62,64,66,68,70,72,74,76,78,80,85,90,95,100})</f>
        <v>85</v>
      </c>
      <c r="S635" s="45"/>
      <c r="T635" s="45"/>
      <c r="U635" s="7">
        <f>R635+T635</f>
        <v>85</v>
      </c>
      <c r="W635" s="7">
        <f>E635*0.1+G635*0.1+I635*0.1+O635*0.2+R635*0.2</f>
        <v>50.4</v>
      </c>
      <c r="X635" s="21">
        <f>W635/0.7+K635+T635</f>
        <v>72</v>
      </c>
    </row>
    <row r="636" ht="15.6" spans="1:24">
      <c r="A636" s="6">
        <v>113</v>
      </c>
      <c r="B636" s="6" t="s">
        <v>674</v>
      </c>
      <c r="C636" s="6" t="s">
        <v>46</v>
      </c>
      <c r="D636" s="6">
        <v>18</v>
      </c>
      <c r="E636" s="40">
        <f>LOOKUP(D636,{0,0.4,1.2,2,2.8,3.6,4.4,5.7,7,8.3,9.6,10.9,12.2,13.5,14.8,16.1,17.4,19.1,20.8,22.5,24.2},{0,10,20,30,40,50,60,62,64,66,68,70,72,74,76,78,80,85,90,95,100})</f>
        <v>80</v>
      </c>
      <c r="F636" s="6">
        <v>160</v>
      </c>
      <c r="G636" s="40">
        <f>LOOKUP(F636,{0,123,128,133,138,143,148,151,154,157,160,163,166,169,172,175,178,185,192,198,204},{0,10,20,30,40,50,60,62,64,66,68,70,72,74,76,78,80,85,90,95,100})</f>
        <v>68</v>
      </c>
      <c r="H636" s="6">
        <v>40</v>
      </c>
      <c r="I636" s="40">
        <f>LOOKUP(H636,{0,13,15,17,19,21,23,25,27,29,31,33,35,37,39,41,43,46,49,51,53},{0,10,20,30,40,50,60,62,64,66,68,70,72,74,76,78,80,85,90,95,100})</f>
        <v>76</v>
      </c>
      <c r="J636" s="45"/>
      <c r="K636" s="45"/>
      <c r="L636" s="7">
        <f>I636+K636</f>
        <v>76</v>
      </c>
      <c r="M636" s="6">
        <v>9.5</v>
      </c>
      <c r="N636" s="43">
        <f>13-M636</f>
        <v>3.5</v>
      </c>
      <c r="O636" s="40">
        <f>LOOKUP(N636,{0,1.4,1.6,1.8,2,2.2,2.4,2.6,2.8,3,3.2,3.4,3.6,3.8,4,4.2,4.4,4.7,5,5.1,5.2},{0,10,20,30,40,50,60,62,64,66,68,70,72,74,76,78,80,85,90,95,100})</f>
        <v>70</v>
      </c>
      <c r="P636" s="6">
        <v>4.12</v>
      </c>
      <c r="Q636" s="6">
        <f>10-P636</f>
        <v>5.88</v>
      </c>
      <c r="R636" s="40">
        <f>LOOKUP(Q636,{0,4.7,4.8,4.9,5,5.5,5.6,5.65,5.7,5.75,5.8,5.85,5.9,5.95,6,6.45,6.5,6.57,6.64,6.7,6.76},{0,10,20,30,40,50,60,62,64,66,68,70,72,74,76,78,80,85,90,95,100})</f>
        <v>70</v>
      </c>
      <c r="S636" s="45"/>
      <c r="T636" s="45"/>
      <c r="U636" s="7">
        <f>R636+T636</f>
        <v>70</v>
      </c>
      <c r="W636" s="7">
        <f>E636*0.1+G636*0.1+I636*0.1+O636*0.2+R636*0.2</f>
        <v>50.4</v>
      </c>
      <c r="X636" s="21">
        <f>W636/0.7+K636+T636</f>
        <v>72</v>
      </c>
    </row>
    <row r="637" ht="15.6" spans="1:24">
      <c r="A637" s="6">
        <v>106</v>
      </c>
      <c r="B637" s="29" t="s">
        <v>294</v>
      </c>
      <c r="C637" s="29" t="s">
        <v>46</v>
      </c>
      <c r="D637" s="6">
        <v>25</v>
      </c>
      <c r="E637" s="40">
        <f>LOOKUP(D637,{0,0.4,1.2,2,2.8,3.6,4.4,5.7,7,8.3,9.6,10.9,12.2,13.5,14.8,16.1,17.4,19.1,20.8,22.5,24.2},{0,10,20,30,40,50,60,62,64,66,68,70,72,74,76,78,80,85,90,95,100})</f>
        <v>100</v>
      </c>
      <c r="F637" s="6">
        <v>149</v>
      </c>
      <c r="G637" s="40">
        <f>LOOKUP(F637,{0,123,128,133,138,143,148,151,154,157,160,163,166,169,172,175,178,185,192,198,204},{0,10,20,30,40,50,60,62,64,66,68,70,72,74,76,78,80,85,90,95,100})</f>
        <v>60</v>
      </c>
      <c r="H637" s="6">
        <v>38</v>
      </c>
      <c r="I637" s="40">
        <f>LOOKUP(H637,{0,13,15,17,19,21,23,25,27,29,31,33,35,37,39,41,43,46,49,51,53},{0,10,20,30,40,50,60,62,64,66,68,70,72,74,76,78,80,85,90,95,100})</f>
        <v>74</v>
      </c>
      <c r="J637" s="45"/>
      <c r="K637" s="45"/>
      <c r="L637" s="7">
        <f>I637+K637</f>
        <v>74</v>
      </c>
      <c r="M637" s="6">
        <v>9.1</v>
      </c>
      <c r="N637" s="43">
        <f>13-M637</f>
        <v>3.9</v>
      </c>
      <c r="O637" s="40">
        <f>LOOKUP(N637,{0,1.4,1.6,1.8,2,2.2,2.4,2.6,2.8,3,3.2,3.4,3.6,3.8,4,4.2,4.4,4.7,5,5.1,5.2},{0,10,20,30,40,50,60,62,64,66,68,70,72,74,76,78,80,85,90,95,100})</f>
        <v>74</v>
      </c>
      <c r="P637" s="6">
        <v>4.39</v>
      </c>
      <c r="Q637" s="6">
        <f>10-P637</f>
        <v>5.61</v>
      </c>
      <c r="R637" s="40">
        <f>LOOKUP(Q637,{0,4.7,4.8,4.9,5,5.5,5.6,5.65,5.7,5.75,5.8,5.85,5.9,5.95,6,6.45,6.5,6.57,6.64,6.7,6.76},{0,10,20,30,40,50,60,62,64,66,68,70,72,74,76,78,80,85,90,95,100})</f>
        <v>60</v>
      </c>
      <c r="S637" s="45"/>
      <c r="T637" s="45"/>
      <c r="U637" s="7">
        <f>R637+T637</f>
        <v>60</v>
      </c>
      <c r="W637" s="7">
        <f>E637*0.1+G637*0.1+I637*0.1+O637*0.2+R637*0.2</f>
        <v>50.2</v>
      </c>
      <c r="X637" s="21">
        <f>W637/0.7+K637+T637</f>
        <v>71.7142857142857</v>
      </c>
    </row>
    <row r="638" ht="15.6" spans="1:24">
      <c r="A638" s="6">
        <v>111</v>
      </c>
      <c r="B638" s="29" t="s">
        <v>545</v>
      </c>
      <c r="C638" s="29" t="s">
        <v>46</v>
      </c>
      <c r="D638" s="6">
        <v>17</v>
      </c>
      <c r="E638" s="40">
        <f>LOOKUP(D638,{0,0.4,1.2,2,2.8,3.6,4.4,5.7,7,8.3,9.6,10.9,12.2,13.5,14.8,16.1,17.4,19.1,20.8,22.5,24.2},{0,10,20,30,40,50,60,62,64,66,68,70,72,74,76,78,80,85,90,95,100})</f>
        <v>78</v>
      </c>
      <c r="F638" s="6">
        <v>230</v>
      </c>
      <c r="G638" s="40">
        <f>LOOKUP(F638,{0,123,128,133,138,143,148,151,154,157,160,163,166,169,172,175,178,185,192,198,204},{0,10,20,30,40,50,60,62,64,66,68,70,72,74,76,78,80,85,90,95,100})</f>
        <v>100</v>
      </c>
      <c r="H638" s="6">
        <v>57</v>
      </c>
      <c r="I638" s="40">
        <f>LOOKUP(H638,{0,13,15,17,19,21,23,25,27,29,31,33,35,37,39,41,43,46,49,51,53},{0,10,20,30,40,50,60,62,64,66,68,70,72,74,76,78,80,85,90,95,100})</f>
        <v>100</v>
      </c>
      <c r="J638" s="45">
        <f>H638-53</f>
        <v>4</v>
      </c>
      <c r="K638" s="40">
        <f>LOOKUP(J638,{0,2,4,6,7,8,9,10,11,12,13},{0,1,2,3,4,5,6,7,8,9,10})</f>
        <v>2</v>
      </c>
      <c r="L638" s="7">
        <f>I638+K638</f>
        <v>102</v>
      </c>
      <c r="N638" s="43"/>
      <c r="O638" s="40"/>
      <c r="P638" s="6">
        <v>3.17</v>
      </c>
      <c r="Q638" s="6">
        <f>10-P638</f>
        <v>6.83</v>
      </c>
      <c r="R638" s="40">
        <f>LOOKUP(Q638,{0,4.7,4.8,4.9,5,5.5,5.6,5.65,5.7,5.75,5.8,5.85,5.9,5.95,6,6.45,6.5,6.57,6.64,6.7,6.76},{0,10,20,30,40,50,60,62,64,66,68,70,72,74,76,78,80,85,90,95,100})</f>
        <v>100</v>
      </c>
      <c r="S638" s="48">
        <f>3.24-P638</f>
        <v>0.0700000000000003</v>
      </c>
      <c r="T638" s="40">
        <f>LOOKUP(S638,{0,0.05,0.1,0.15,0.2,0.25,0.3,0.35,0.4,0.45,0.5},{0,1,2,3,4,5,6,7,8,9,10})</f>
        <v>1</v>
      </c>
      <c r="U638" s="7">
        <f>R638+T638</f>
        <v>101</v>
      </c>
      <c r="W638" s="7">
        <f>E638*0.1+G638*0.1+I638*0.1+O638*0.2+R638*0.2</f>
        <v>47.8</v>
      </c>
      <c r="X638" s="21">
        <f>W638/0.7+K638+T638</f>
        <v>71.2857142857143</v>
      </c>
    </row>
    <row r="639" ht="15.6" spans="1:24">
      <c r="A639" s="6">
        <v>113</v>
      </c>
      <c r="B639" s="29" t="s">
        <v>669</v>
      </c>
      <c r="C639" s="29" t="s">
        <v>46</v>
      </c>
      <c r="D639" s="6">
        <v>12.5</v>
      </c>
      <c r="E639" s="40">
        <f>LOOKUP(D639,{0,0.4,1.2,2,2.8,3.6,4.4,5.7,7,8.3,9.6,10.9,12.2,13.5,14.8,16.1,17.4,19.1,20.8,22.5,24.2},{0,10,20,30,40,50,60,62,64,66,68,70,72,74,76,78,80,85,90,95,100})</f>
        <v>72</v>
      </c>
      <c r="F639" s="6">
        <v>160</v>
      </c>
      <c r="G639" s="40">
        <f>LOOKUP(F639,{0,123,128,133,138,143,148,151,154,157,160,163,166,169,172,175,178,185,192,198,204},{0,10,20,30,40,50,60,62,64,66,68,70,72,74,76,78,80,85,90,95,100})</f>
        <v>68</v>
      </c>
      <c r="H639" s="6">
        <v>42</v>
      </c>
      <c r="I639" s="40">
        <f>LOOKUP(H639,{0,13,15,17,19,21,23,25,27,29,31,33,35,37,39,41,43,46,49,51,53},{0,10,20,30,40,50,60,62,64,66,68,70,72,74,76,78,80,85,90,95,100})</f>
        <v>78</v>
      </c>
      <c r="J639" s="45"/>
      <c r="K639" s="45"/>
      <c r="L639" s="7">
        <f>I639+K639</f>
        <v>78</v>
      </c>
      <c r="M639" s="6">
        <v>9.8</v>
      </c>
      <c r="N639" s="43">
        <f>13-M639</f>
        <v>3.2</v>
      </c>
      <c r="O639" s="40">
        <f>LOOKUP(N639,{0,1.4,1.6,1.8,2,2.2,2.4,2.6,2.8,3,3.2,3.4,3.6,3.8,4,4.2,4.4,4.7,5,5.1,5.2},{0,10,20,30,40,50,60,62,64,66,68,70,72,74,76,78,80,85,90,95,100})</f>
        <v>68</v>
      </c>
      <c r="P639" s="6">
        <v>4.06</v>
      </c>
      <c r="Q639" s="6">
        <f>10-P639</f>
        <v>5.94</v>
      </c>
      <c r="R639" s="40">
        <f>LOOKUP(Q639,{0,4.7,4.8,4.9,5,5.5,5.6,5.65,5.7,5.75,5.8,5.85,5.9,5.95,6,6.45,6.5,6.57,6.64,6.7,6.76},{0,10,20,30,40,50,60,62,64,66,68,70,72,74,76,78,80,85,90,95,100})</f>
        <v>72</v>
      </c>
      <c r="S639" s="45"/>
      <c r="T639" s="45"/>
      <c r="U639" s="7">
        <f>R639+T639</f>
        <v>72</v>
      </c>
      <c r="W639" s="7">
        <f>E639*0.1+G639*0.1+I639*0.1+O639*0.2+R639*0.2</f>
        <v>49.8</v>
      </c>
      <c r="X639" s="21">
        <f>W639/0.7+K639+T639</f>
        <v>71.1428571428572</v>
      </c>
    </row>
    <row r="640" ht="15.6" spans="1:24">
      <c r="A640" s="6">
        <v>115</v>
      </c>
      <c r="B640" s="29" t="s">
        <v>758</v>
      </c>
      <c r="C640" s="29" t="s">
        <v>46</v>
      </c>
      <c r="D640" s="6">
        <v>19.1</v>
      </c>
      <c r="E640" s="40">
        <f>LOOKUP(D640,{0,0.4,1.2,2,2.8,3.6,4.4,5.7,7,8.3,9.6,10.9,12.2,13.5,14.8,16.1,17.4,19.1,20.8,22.5,24.2},{0,10,20,30,40,50,60,62,64,66,68,70,72,74,76,78,80,85,90,95,100})</f>
        <v>85</v>
      </c>
      <c r="F640" s="6">
        <v>175</v>
      </c>
      <c r="G640" s="40">
        <f>LOOKUP(F640,{0,123,128,133,138,143,148,151,154,157,160,163,166,169,172,175,178,185,192,198,204},{0,10,20,30,40,50,60,62,64,66,68,70,72,74,76,78,80,85,90,95,100})</f>
        <v>78</v>
      </c>
      <c r="H640" s="6">
        <v>25</v>
      </c>
      <c r="I640" s="40">
        <f>LOOKUP(H640,{0,13,15,17,19,21,23,25,27,29,31,33,35,37,39,41,43,46,49,51,53},{0,10,20,30,40,50,60,62,64,66,68,70,72,74,76,78,80,85,90,95,100})</f>
        <v>62</v>
      </c>
      <c r="J640" s="45"/>
      <c r="K640" s="45"/>
      <c r="L640" s="7">
        <f>I640+K640</f>
        <v>62</v>
      </c>
      <c r="M640" s="6">
        <v>9.6</v>
      </c>
      <c r="N640" s="43">
        <f>13-M640</f>
        <v>3.4</v>
      </c>
      <c r="O640" s="40">
        <f>LOOKUP(N640,{0,1.4,1.6,1.8,2,2.2,2.4,2.6,2.8,3,3.2,3.4,3.6,3.8,4,4.2,4.4,4.7,5,5.1,5.2},{0,10,20,30,40,50,60,62,64,66,68,70,72,74,76,78,80,85,90,95,100})</f>
        <v>70</v>
      </c>
      <c r="P640" s="6">
        <v>4.21</v>
      </c>
      <c r="Q640" s="6">
        <f>10-P640</f>
        <v>5.79</v>
      </c>
      <c r="R640" s="40">
        <f>LOOKUP(Q640,{0,4.7,4.8,4.9,5,5.5,5.6,5.65,5.7,5.75,5.8,5.85,5.9,5.95,6,6.45,6.5,6.57,6.64,6.7,6.76},{0,10,20,30,40,50,60,62,64,66,68,70,72,74,76,78,80,85,90,95,100})</f>
        <v>66</v>
      </c>
      <c r="S640" s="45"/>
      <c r="T640" s="45"/>
      <c r="U640" s="7">
        <f>R640+T640</f>
        <v>66</v>
      </c>
      <c r="W640" s="7">
        <f>E640*0.1+G640*0.1+I640*0.1+O640*0.2+R640*0.2</f>
        <v>49.7</v>
      </c>
      <c r="X640" s="21">
        <f>W640/0.7+K640+T640</f>
        <v>71</v>
      </c>
    </row>
    <row r="641" ht="15.6" spans="1:24">
      <c r="A641" s="6">
        <v>109</v>
      </c>
      <c r="B641" s="29" t="s">
        <v>438</v>
      </c>
      <c r="C641" s="29" t="s">
        <v>46</v>
      </c>
      <c r="D641" s="6">
        <v>12.8</v>
      </c>
      <c r="E641" s="40">
        <f>LOOKUP(D641,{0,0.4,1.2,2,2.8,3.6,4.4,5.7,7,8.3,9.6,10.9,12.2,13.5,14.8,16.1,17.4,19.1,20.8,22.5,24.2},{0,10,20,30,40,50,60,62,64,66,68,70,72,74,76,78,80,85,90,95,100})</f>
        <v>72</v>
      </c>
      <c r="F641" s="6">
        <v>162</v>
      </c>
      <c r="G641" s="40">
        <f>LOOKUP(F641,{0,123,128,133,138,143,148,151,154,157,160,163,166,169,172,175,178,185,192,198,204},{0,10,20,30,40,50,60,62,64,66,68,70,72,74,76,78,80,85,90,95,100})</f>
        <v>68</v>
      </c>
      <c r="H641" s="6">
        <v>36</v>
      </c>
      <c r="I641" s="40">
        <f>LOOKUP(H641,{0,13,15,17,19,21,23,25,27,29,31,33,35,37,39,41,43,46,49,51,53},{0,10,20,30,40,50,60,62,64,66,68,70,72,74,76,78,80,85,90,95,100})</f>
        <v>72</v>
      </c>
      <c r="J641" s="45"/>
      <c r="K641" s="45"/>
      <c r="L641" s="7">
        <f>I641+K641</f>
        <v>72</v>
      </c>
      <c r="M641" s="6">
        <v>9.4</v>
      </c>
      <c r="N641" s="43">
        <f>13-M641</f>
        <v>3.6</v>
      </c>
      <c r="O641" s="40">
        <f>LOOKUP(N641,{0,1.4,1.6,1.8,2,2.2,2.4,2.6,2.8,3,3.2,3.4,3.6,3.8,4,4.2,4.4,4.7,5,5.1,5.2},{0,10,20,30,40,50,60,62,64,66,68,70,72,74,76,78,80,85,90,95,100})</f>
        <v>72</v>
      </c>
      <c r="P641" s="6">
        <v>4.13</v>
      </c>
      <c r="Q641" s="6">
        <f>10-P641</f>
        <v>5.87</v>
      </c>
      <c r="R641" s="40">
        <f>LOOKUP(Q641,{0,4.7,4.8,4.9,5,5.5,5.6,5.65,5.7,5.75,5.8,5.85,5.9,5.95,6,6.45,6.5,6.57,6.64,6.7,6.76},{0,10,20,30,40,50,60,62,64,66,68,70,72,74,76,78,80,85,90,95,100})</f>
        <v>70</v>
      </c>
      <c r="S641" s="45"/>
      <c r="T641" s="45"/>
      <c r="U641" s="7">
        <f>R641+T641</f>
        <v>70</v>
      </c>
      <c r="W641" s="7">
        <f>E641*0.1+G641*0.1+I641*0.1+O641*0.2+R641*0.2</f>
        <v>49.6</v>
      </c>
      <c r="X641" s="21">
        <f>W641/0.7+K641+T641</f>
        <v>70.8571428571429</v>
      </c>
    </row>
    <row r="642" ht="15.6" spans="1:24">
      <c r="A642" s="6">
        <v>114</v>
      </c>
      <c r="B642" s="6" t="s">
        <v>727</v>
      </c>
      <c r="C642" s="6" t="s">
        <v>46</v>
      </c>
      <c r="D642" s="6">
        <v>20.3</v>
      </c>
      <c r="E642" s="40">
        <f>LOOKUP(D642,{0,0.4,1.2,2,2.8,3.6,4.4,5.7,7,8.3,9.6,10.9,12.2,13.5,14.8,16.1,17.4,19.1,20.8,22.5,24.2},{0,10,20,30,40,50,60,62,64,66,68,70,72,74,76,78,80,85,90,95,100})</f>
        <v>85</v>
      </c>
      <c r="F642" s="6">
        <v>151</v>
      </c>
      <c r="G642" s="40">
        <f>LOOKUP(F642,{0,123,128,133,138,143,148,151,154,157,160,163,166,169,172,175,178,185,192,198,204},{0,10,20,30,40,50,60,62,64,66,68,70,72,74,76,78,80,85,90,95,100})</f>
        <v>62</v>
      </c>
      <c r="H642" s="6">
        <v>25</v>
      </c>
      <c r="I642" s="40">
        <f>LOOKUP(H642,{0,13,15,17,19,21,23,25,27,29,31,33,35,37,39,41,43,46,49,51,53},{0,10,20,30,40,50,60,62,64,66,68,70,72,74,76,78,80,85,90,95,100})</f>
        <v>62</v>
      </c>
      <c r="J642" s="45"/>
      <c r="K642" s="45"/>
      <c r="L642" s="7">
        <f>I642+K642</f>
        <v>62</v>
      </c>
      <c r="M642" s="6">
        <v>9</v>
      </c>
      <c r="N642" s="43">
        <f>13-M642</f>
        <v>4</v>
      </c>
      <c r="O642" s="40">
        <f>LOOKUP(N642,{0,1.4,1.6,1.8,2,2.2,2.4,2.6,2.8,3,3.2,3.4,3.6,3.8,4,4.2,4.4,4.7,5,5.1,5.2},{0,10,20,30,40,50,60,62,64,66,68,70,72,74,76,78,80,85,90,95,100})</f>
        <v>76</v>
      </c>
      <c r="P642" s="6">
        <v>4.22</v>
      </c>
      <c r="Q642" s="6">
        <f>10-P642</f>
        <v>5.78</v>
      </c>
      <c r="R642" s="40">
        <f>LOOKUP(Q642,{0,4.7,4.8,4.9,5,5.5,5.6,5.65,5.7,5.75,5.8,5.85,5.9,5.95,6,6.45,6.5,6.57,6.64,6.7,6.76},{0,10,20,30,40,50,60,62,64,66,68,70,72,74,76,78,80,85,90,95,100})</f>
        <v>66</v>
      </c>
      <c r="S642" s="45"/>
      <c r="T642" s="45"/>
      <c r="U642" s="7">
        <f>R642+T642</f>
        <v>66</v>
      </c>
      <c r="W642" s="7">
        <f>E642*0.1+G642*0.1+I642*0.1+O642*0.2+R642*0.2</f>
        <v>49.3</v>
      </c>
      <c r="X642" s="21">
        <f>W642/0.7+K642+T642</f>
        <v>70.4285714285714</v>
      </c>
    </row>
    <row r="643" s="3" customFormat="1" ht="15.6" spans="1:24">
      <c r="A643" s="6">
        <v>107</v>
      </c>
      <c r="B643" s="29" t="s">
        <v>337</v>
      </c>
      <c r="C643" s="29" t="s">
        <v>46</v>
      </c>
      <c r="D643" s="6">
        <v>17.5</v>
      </c>
      <c r="E643" s="40">
        <f>LOOKUP(D643,{0,0.4,1.2,2,2.8,3.6,4.4,5.7,7,8.3,9.6,10.9,12.2,13.5,14.8,16.1,17.4,19.1,20.8,22.5,24.2},{0,10,20,30,40,50,60,62,64,66,68,70,72,74,76,78,80,85,90,95,100})</f>
        <v>80</v>
      </c>
      <c r="F643" s="6">
        <v>1.87</v>
      </c>
      <c r="G643" s="40">
        <f>LOOKUP(F643,{0,123,128,133,138,143,148,151,154,157,160,163,166,169,172,175,178,185,192,198,204},{0,10,20,30,40,50,60,62,64,66,68,70,72,74,76,78,80,85,90,95,100})</f>
        <v>0</v>
      </c>
      <c r="H643" s="6">
        <v>47</v>
      </c>
      <c r="I643" s="40">
        <f>LOOKUP(H643,{0,13,15,17,19,21,23,25,27,29,31,33,35,37,39,41,43,46,49,51,53},{0,10,20,30,40,50,60,62,64,66,68,70,72,74,76,78,80,85,90,95,100})</f>
        <v>85</v>
      </c>
      <c r="J643" s="45"/>
      <c r="K643" s="45"/>
      <c r="L643" s="7">
        <f>I643+K643</f>
        <v>85</v>
      </c>
      <c r="M643" s="6">
        <v>8.8</v>
      </c>
      <c r="N643" s="43">
        <f>13-M643</f>
        <v>4.2</v>
      </c>
      <c r="O643" s="40">
        <f>LOOKUP(N643,{0,1.4,1.6,1.8,2,2.2,2.4,2.6,2.8,3,3.2,3.4,3.6,3.8,4,4.2,4.4,4.7,5,5.1,5.2},{0,10,20,30,40,50,60,62,64,66,68,70,72,74,76,78,80,85,90,95,100})</f>
        <v>78</v>
      </c>
      <c r="P643" s="6">
        <v>3.43</v>
      </c>
      <c r="Q643" s="6">
        <f>10-P643</f>
        <v>6.57</v>
      </c>
      <c r="R643" s="40">
        <f>LOOKUP(Q643,{0,4.7,4.8,4.9,5,5.5,5.6,5.65,5.7,5.75,5.8,5.85,5.9,5.95,6,6.45,6.5,6.57,6.64,6.7,6.76},{0,10,20,30,40,50,60,62,64,66,68,70,72,74,76,78,80,85,90,95,100})</f>
        <v>85</v>
      </c>
      <c r="S643" s="45"/>
      <c r="T643" s="45"/>
      <c r="U643" s="7">
        <f>R643+T643</f>
        <v>85</v>
      </c>
      <c r="V643" s="6"/>
      <c r="W643" s="7">
        <f>E643*0.1+G643*0.1+I643*0.1+O643*0.2+R643*0.2</f>
        <v>49.1</v>
      </c>
      <c r="X643" s="21">
        <f>W643/0.7+K643+T643</f>
        <v>70.1428571428572</v>
      </c>
    </row>
    <row r="644" ht="15.6" spans="1:24">
      <c r="A644" s="6">
        <v>109</v>
      </c>
      <c r="B644" s="29" t="s">
        <v>455</v>
      </c>
      <c r="C644" s="29" t="s">
        <v>46</v>
      </c>
      <c r="D644" s="6">
        <v>12</v>
      </c>
      <c r="E644" s="40">
        <f>LOOKUP(D644,{0,0.4,1.2,2,2.8,3.6,4.4,5.7,7,8.3,9.6,10.9,12.2,13.5,14.8,16.1,17.4,19.1,20.8,22.5,24.2},{0,10,20,30,40,50,60,62,64,66,68,70,72,74,76,78,80,85,90,95,100})</f>
        <v>70</v>
      </c>
      <c r="F644" s="6">
        <v>160</v>
      </c>
      <c r="G644" s="40">
        <f>LOOKUP(F644,{0,123,128,133,138,143,148,151,154,157,160,163,166,169,172,175,178,185,192,198,204},{0,10,20,30,40,50,60,62,64,66,68,70,72,74,76,78,80,85,90,95,100})</f>
        <v>68</v>
      </c>
      <c r="H644" s="6">
        <v>48</v>
      </c>
      <c r="I644" s="40">
        <f>LOOKUP(H644,{0,13,15,17,19,21,23,25,27,29,31,33,35,37,39,41,43,46,49,51,53},{0,10,20,30,40,50,60,62,64,66,68,70,72,74,76,78,80,85,90,95,100})</f>
        <v>85</v>
      </c>
      <c r="J644" s="45"/>
      <c r="K644" s="45"/>
      <c r="L644" s="7">
        <f>I644+K644</f>
        <v>85</v>
      </c>
      <c r="M644" s="6">
        <v>9.6</v>
      </c>
      <c r="N644" s="43">
        <f>13-M644</f>
        <v>3.4</v>
      </c>
      <c r="O644" s="40">
        <f>LOOKUP(N644,{0,1.4,1.6,1.8,2,2.2,2.4,2.6,2.8,3,3.2,3.4,3.6,3.8,4,4.2,4.4,4.7,5,5.1,5.2},{0,10,20,30,40,50,60,62,64,66,68,70,72,74,76,78,80,85,90,95,100})</f>
        <v>70</v>
      </c>
      <c r="P644" s="6">
        <v>4.3</v>
      </c>
      <c r="Q644" s="6">
        <f>10-P644</f>
        <v>5.7</v>
      </c>
      <c r="R644" s="40">
        <f>LOOKUP(Q644,{0,4.7,4.8,4.9,5,5.5,5.6,5.65,5.7,5.75,5.8,5.85,5.9,5.95,6,6.45,6.5,6.57,6.64,6.7,6.76},{0,10,20,30,40,50,60,62,64,66,68,70,72,74,76,78,80,85,90,95,100})</f>
        <v>64</v>
      </c>
      <c r="S644" s="45"/>
      <c r="T644" s="45"/>
      <c r="U644" s="7">
        <f>R644+T644</f>
        <v>64</v>
      </c>
      <c r="W644" s="7">
        <f>E644*0.1+G644*0.1+I644*0.1+O644*0.2+R644*0.2</f>
        <v>49.1</v>
      </c>
      <c r="X644" s="21">
        <f>W644/0.7+K644+T644</f>
        <v>70.1428571428571</v>
      </c>
    </row>
    <row r="645" ht="15.6" spans="1:24">
      <c r="A645" s="6">
        <v>108</v>
      </c>
      <c r="B645" s="29" t="s">
        <v>388</v>
      </c>
      <c r="C645" s="29" t="s">
        <v>46</v>
      </c>
      <c r="D645" s="6">
        <v>2</v>
      </c>
      <c r="E645" s="40">
        <f>LOOKUP(D645,{0,0.4,1.2,2,2.8,3.6,4.4,5.7,7,8.3,9.6,10.9,12.2,13.5,14.8,16.1,17.4,19.1,20.8,22.5,24.2},{0,10,20,30,40,50,60,62,64,66,68,70,72,74,76,78,80,85,90,95,100})</f>
        <v>30</v>
      </c>
      <c r="F645" s="6">
        <v>162</v>
      </c>
      <c r="G645" s="40">
        <f>LOOKUP(F645,{0,123,128,133,138,143,148,151,154,157,160,163,166,169,172,175,178,185,192,198,204},{0,10,20,30,40,50,60,62,64,66,68,70,72,74,76,78,80,85,90,95,100})</f>
        <v>68</v>
      </c>
      <c r="H645" s="6">
        <v>40</v>
      </c>
      <c r="I645" s="40">
        <f>LOOKUP(H645,{0,13,15,17,19,21,23,25,27,29,31,33,35,37,39,41,43,46,49,51,53},{0,10,20,30,40,50,60,62,64,66,68,70,72,74,76,78,80,85,90,95,100})</f>
        <v>76</v>
      </c>
      <c r="J645" s="45"/>
      <c r="K645" s="45"/>
      <c r="L645" s="7">
        <f>I645+K645</f>
        <v>76</v>
      </c>
      <c r="M645" s="6">
        <v>8.8</v>
      </c>
      <c r="N645" s="43">
        <f>13-M645</f>
        <v>4.2</v>
      </c>
      <c r="O645" s="40">
        <f>LOOKUP(N645,{0,1.4,1.6,1.8,2,2.2,2.4,2.6,2.8,3,3.2,3.4,3.6,3.8,4,4.2,4.4,4.7,5,5.1,5.2},{0,10,20,30,40,50,60,62,64,66,68,70,72,74,76,78,80,85,90,95,100})</f>
        <v>78</v>
      </c>
      <c r="P645" s="6">
        <v>3.44</v>
      </c>
      <c r="Q645" s="6">
        <f>10-P645</f>
        <v>6.56</v>
      </c>
      <c r="R645" s="40">
        <f>LOOKUP(Q645,{0,4.7,4.8,4.9,5,5.5,5.6,5.65,5.7,5.75,5.8,5.85,5.9,5.95,6,6.45,6.5,6.57,6.64,6.7,6.76},{0,10,20,30,40,50,60,62,64,66,68,70,72,74,76,78,80,85,90,95,100})</f>
        <v>80</v>
      </c>
      <c r="S645" s="45"/>
      <c r="T645" s="45"/>
      <c r="U645" s="7">
        <f>R645+T645</f>
        <v>80</v>
      </c>
      <c r="W645" s="7">
        <f>E645*0.1+G645*0.1+I645*0.1+O645*0.2+R645*0.2</f>
        <v>49</v>
      </c>
      <c r="X645" s="21">
        <f>W645/0.7+K645+T645</f>
        <v>70</v>
      </c>
    </row>
    <row r="646" ht="15.6" hidden="1" spans="1:24">
      <c r="A646" s="6">
        <v>108</v>
      </c>
      <c r="B646" s="29" t="s">
        <v>377</v>
      </c>
      <c r="C646" s="29" t="s">
        <v>11</v>
      </c>
      <c r="D646" s="6">
        <v>4.5</v>
      </c>
      <c r="E646" s="40">
        <f>LOOKUP(D646,{0,-4,-3,-2,-1,0,1,2.4,3.8,5.2,6.6,8,9.4,10.8,12.2,13.6,15,17.2,19.4,21.5,23.6},{0,10,20,30,40,50,60,62,64,66,68,70,72,74,76,78,80,85,90,95,100})</f>
        <v>64</v>
      </c>
      <c r="F646" s="6">
        <v>216</v>
      </c>
      <c r="G646" s="40">
        <f>LOOKUP(F646,{0,170,175,180,185,190,195,199,203,207,211,215,219,223,227,231,235,243,250,255,260},{0,10,20,30,40,50,60,62,64,66,68,70,72,74,76,78,80,85,90,95,100})</f>
        <v>70</v>
      </c>
      <c r="H646" s="6">
        <v>5</v>
      </c>
      <c r="I646" s="40">
        <f>LOOKUP(H646,{0,2,3,4,5,6,7,8,9,10,11,12,13,14,15,16},{0,10,20,30,40,50,60,64,68,72,76,80,85,90,95,100})</f>
        <v>40</v>
      </c>
      <c r="J646" s="7"/>
      <c r="K646" s="7"/>
      <c r="L646" s="7">
        <f>I646+K646</f>
        <v>40</v>
      </c>
      <c r="M646" s="6">
        <v>8.6</v>
      </c>
      <c r="N646" s="43">
        <f>13-M646</f>
        <v>4.4</v>
      </c>
      <c r="O646" s="40">
        <f>LOOKUP(N646,{0,2.5,2.7,2.9,3.1,3.3,3.5,3.7,3.9,4.1,4.3,4.5,4.7,4.9,5.1,5.3,5.5,5.6,5.7,5.8,5.9},{0,10,20,30,40,50,60,62,64,66,68,70,72,74,76,78,80,85,90,95,100})</f>
        <v>68</v>
      </c>
      <c r="P646" s="6">
        <v>4.08</v>
      </c>
      <c r="Q646" s="6">
        <f>10-P646</f>
        <v>5.92</v>
      </c>
      <c r="R646" s="40">
        <f>LOOKUP(Q646,{0,3.75,3.95,4.55,4.75,4.95,5.55,5.6,5.65,5.7,5.75,5.8,5.85,5.9,5.95,6,6.45,6.53,6.6,6.65,6.7},{0,10,20,30,40,50,60,62,64,66,68,70,72,74,76,78,80,85,90,95,100})</f>
        <v>74</v>
      </c>
      <c r="S646" s="7"/>
      <c r="T646" s="7"/>
      <c r="U646" s="7">
        <f>R646+T646</f>
        <v>74</v>
      </c>
      <c r="W646" s="7">
        <f>E646*0.1+G646*0.1+I646*0.1+O646*0.2+R646*0.2</f>
        <v>45.8</v>
      </c>
      <c r="X646" s="21">
        <f>W646/0.7+K646+T646</f>
        <v>65.4285714285714</v>
      </c>
    </row>
    <row r="647" ht="15.6" hidden="1" spans="1:24">
      <c r="A647" s="6">
        <v>112</v>
      </c>
      <c r="B647" s="29" t="s">
        <v>570</v>
      </c>
      <c r="C647" s="29" t="s">
        <v>11</v>
      </c>
      <c r="D647" s="6">
        <v>12.5</v>
      </c>
      <c r="E647" s="40">
        <f>LOOKUP(D647,{0,-4,-3,-2,-1,0,1,2.4,3.8,5.2,6.6,8,9.4,10.8,12.2,13.6,15,17.2,19.4,21.5,23.6},{0,10,20,30,40,50,60,62,64,66,68,70,72,74,76,78,80,85,90,95,100})</f>
        <v>76</v>
      </c>
      <c r="F647" s="6">
        <v>222</v>
      </c>
      <c r="G647" s="40">
        <f>LOOKUP(F647,{0,170,175,180,185,190,195,199,203,207,211,215,219,223,227,231,235,243,250,255,260},{0,10,20,30,40,50,60,62,64,66,68,70,72,74,76,78,80,85,90,95,100})</f>
        <v>72</v>
      </c>
      <c r="H647" s="6">
        <v>0</v>
      </c>
      <c r="I647" s="40">
        <f>LOOKUP(H647,{0,2,3,4,5,6,7,8,9,10,11,12,13,14,15,16},{0,10,20,30,40,50,60,64,68,72,76,80,85,90,95,100})</f>
        <v>0</v>
      </c>
      <c r="J647" s="7"/>
      <c r="K647" s="7"/>
      <c r="L647" s="7">
        <f>I647+K647</f>
        <v>0</v>
      </c>
      <c r="M647" s="6">
        <v>8.6</v>
      </c>
      <c r="N647" s="43">
        <f>13-M647</f>
        <v>4.4</v>
      </c>
      <c r="O647" s="40">
        <f>LOOKUP(N647,{0,2.5,2.7,2.9,3.1,3.3,3.5,3.7,3.9,4.1,4.3,4.5,4.7,4.9,5.1,5.3,5.5,5.6,5.7,5.8,5.9},{0,10,20,30,40,50,60,62,64,66,68,70,72,74,76,78,80,85,90,95,100})</f>
        <v>68</v>
      </c>
      <c r="P647" s="6">
        <v>4.48</v>
      </c>
      <c r="Q647" s="6">
        <f>10-P647</f>
        <v>5.52</v>
      </c>
      <c r="R647" s="40">
        <f>LOOKUP(Q647,{0,3.75,3.95,4.55,4.75,4.95,5.55,5.6,5.65,5.7,5.75,5.8,5.85,5.9,5.95,6,6.45,6.53,6.6,6.65,6.7},{0,10,20,30,40,50,60,62,64,66,68,70,72,74,76,78,80,85,90,95,100})</f>
        <v>50</v>
      </c>
      <c r="S647" s="7"/>
      <c r="T647" s="7"/>
      <c r="U647" s="7">
        <f>R647+T647</f>
        <v>50</v>
      </c>
      <c r="W647" s="7">
        <f>E647*0.1+G647*0.1+I647*0.1+O647*0.2+R647*0.2</f>
        <v>38.4</v>
      </c>
      <c r="X647" s="21">
        <f>W647/0.7+K647+T647</f>
        <v>54.8571428571429</v>
      </c>
    </row>
    <row r="648" ht="15.6" hidden="1" spans="1:24">
      <c r="A648" s="6">
        <v>109</v>
      </c>
      <c r="B648" s="29" t="s">
        <v>428</v>
      </c>
      <c r="C648" s="29" t="s">
        <v>11</v>
      </c>
      <c r="D648" s="6">
        <v>5.5</v>
      </c>
      <c r="E648" s="40">
        <f>LOOKUP(D648,{0,-4,-3,-2,-1,0,1,2.4,3.8,5.2,6.6,8,9.4,10.8,12.2,13.6,15,17.2,19.4,21.5,23.6},{0,10,20,30,40,50,60,62,64,66,68,70,72,74,76,78,80,85,90,95,100})</f>
        <v>66</v>
      </c>
      <c r="F648" s="6">
        <v>185</v>
      </c>
      <c r="G648" s="40">
        <f>LOOKUP(F648,{0,170,175,180,185,190,195,199,203,207,211,215,219,223,227,231,235,243,250,255,260},{0,10,20,30,40,50,60,62,64,66,68,70,72,74,76,78,80,85,90,95,100})</f>
        <v>40</v>
      </c>
      <c r="H648" s="6">
        <v>0</v>
      </c>
      <c r="I648" s="40">
        <f>LOOKUP(H648,{0,2,3,4,5,6,7,8,9,10,11,12,13,14,15,16},{0,10,20,30,40,50,60,64,68,72,76,80,85,90,95,100})</f>
        <v>0</v>
      </c>
      <c r="J648" s="7"/>
      <c r="K648" s="7"/>
      <c r="L648" s="7">
        <f>I648+K648</f>
        <v>0</v>
      </c>
      <c r="M648" s="6">
        <v>8.6</v>
      </c>
      <c r="N648" s="43">
        <f>13-M648</f>
        <v>4.4</v>
      </c>
      <c r="O648" s="40">
        <f>LOOKUP(N648,{0,2.5,2.7,2.9,3.1,3.3,3.5,3.7,3.9,4.1,4.3,4.5,4.7,4.9,5.1,5.3,5.5,5.6,5.7,5.8,5.9},{0,10,20,30,40,50,60,62,64,66,68,70,72,74,76,78,80,85,90,95,100})</f>
        <v>68</v>
      </c>
      <c r="P648" s="6">
        <v>5.57</v>
      </c>
      <c r="Q648" s="6">
        <f>10-P648</f>
        <v>4.43</v>
      </c>
      <c r="R648" s="40">
        <f>LOOKUP(Q648,{0,3.75,3.95,4.55,4.75,4.95,5.55,5.6,5.65,5.7,5.75,5.8,5.85,5.9,5.95,6,6.45,6.53,6.6,6.65,6.7},{0,10,20,30,40,50,60,62,64,66,68,70,72,74,76,78,80,85,90,95,100})</f>
        <v>20</v>
      </c>
      <c r="S648" s="7"/>
      <c r="T648" s="7"/>
      <c r="U648" s="7">
        <f>R648+T648</f>
        <v>20</v>
      </c>
      <c r="W648" s="7">
        <f>E648*0.1+G648*0.1+I648*0.1+O648*0.2+R648*0.2</f>
        <v>28.2</v>
      </c>
      <c r="X648" s="21">
        <f>W648/0.7+K648+T648</f>
        <v>40.2857142857143</v>
      </c>
    </row>
    <row r="649" ht="15.6" hidden="1" spans="1:24">
      <c r="A649" s="6">
        <v>106</v>
      </c>
      <c r="B649" s="29" t="s">
        <v>275</v>
      </c>
      <c r="C649" s="29" t="s">
        <v>11</v>
      </c>
      <c r="D649" s="6">
        <v>12</v>
      </c>
      <c r="E649" s="40">
        <f>LOOKUP(D649,{0,-4,-3,-2,-1,0,1,2.4,3.8,5.2,6.6,8,9.4,10.8,12.2,13.6,15,17.2,19.4,21.5,23.6},{0,10,20,30,40,50,60,62,64,66,68,70,72,74,76,78,80,85,90,95,100})</f>
        <v>74</v>
      </c>
      <c r="F649" s="6">
        <v>175</v>
      </c>
      <c r="G649" s="40">
        <f>LOOKUP(F649,{0,170,175,180,185,190,195,199,203,207,211,215,219,223,227,231,235,243,250,255,260},{0,10,20,30,40,50,60,62,64,66,68,70,72,74,76,78,80,85,90,95,100})</f>
        <v>20</v>
      </c>
      <c r="H649" s="6">
        <v>0</v>
      </c>
      <c r="I649" s="40">
        <f>LOOKUP(H649,{0,2,3,4,5,6,7,8,9,10,11,12,13,14,15,16},{0,10,20,30,40,50,60,64,68,72,76,80,85,90,95,100})</f>
        <v>0</v>
      </c>
      <c r="J649" s="7"/>
      <c r="K649" s="7"/>
      <c r="L649" s="7">
        <f>I649+K649</f>
        <v>0</v>
      </c>
      <c r="M649" s="6">
        <v>8.7</v>
      </c>
      <c r="N649" s="43">
        <f>13-M649</f>
        <v>4.3</v>
      </c>
      <c r="O649" s="40">
        <f>LOOKUP(N649,{0,2.5,2.7,2.9,3.1,3.3,3.5,3.7,3.9,4.1,4.3,4.5,4.7,4.9,5.1,5.3,5.5,5.6,5.7,5.8,5.9},{0,10,20,30,40,50,60,62,64,66,68,70,72,74,76,78,80,85,90,95,100})</f>
        <v>68</v>
      </c>
      <c r="P649" s="6">
        <v>4.52</v>
      </c>
      <c r="Q649" s="6">
        <f>10-P649</f>
        <v>5.48</v>
      </c>
      <c r="R649" s="40">
        <f>LOOKUP(Q649,{0,3.75,3.95,4.55,4.75,4.95,5.55,5.6,5.65,5.7,5.75,5.8,5.85,5.9,5.95,6,6.45,6.53,6.6,6.65,6.7},{0,10,20,30,40,50,60,62,64,66,68,70,72,74,76,78,80,85,90,95,100})</f>
        <v>50</v>
      </c>
      <c r="S649" s="7"/>
      <c r="T649" s="7"/>
      <c r="U649" s="7">
        <f>R649+T649</f>
        <v>50</v>
      </c>
      <c r="W649" s="7">
        <f>E649*0.1+G649*0.1+I649*0.1+O649*0.2+R649*0.2</f>
        <v>33</v>
      </c>
      <c r="X649" s="21">
        <f>W649/0.7+K649+T649</f>
        <v>47.1428571428571</v>
      </c>
    </row>
    <row r="650" ht="15.6" hidden="1" spans="1:24">
      <c r="A650" s="6">
        <v>101</v>
      </c>
      <c r="B650" s="29" t="s">
        <v>15</v>
      </c>
      <c r="C650" s="29" t="s">
        <v>11</v>
      </c>
      <c r="D650" s="6">
        <v>6.7</v>
      </c>
      <c r="E650" s="40">
        <f>LOOKUP(D650,{0,-4,-3,-2,-1,0,1,2.4,3.8,5.2,6.6,8,9.4,10.8,12.2,13.6,15,17.2,19.4,21.5,23.6},{0,10,20,30,40,50,60,62,64,66,68,70,72,74,76,78,80,85,90,95,100})</f>
        <v>68</v>
      </c>
      <c r="F650" s="6">
        <v>180</v>
      </c>
      <c r="G650" s="40">
        <f>LOOKUP(F650,{0,170,175,180,185,190,195,199,203,207,211,215,219,223,227,231,235,243,250,255,260},{0,10,20,30,40,50,60,62,64,66,68,70,72,74,76,78,80,85,90,95,100})</f>
        <v>30</v>
      </c>
      <c r="H650" s="6">
        <v>0</v>
      </c>
      <c r="I650" s="40">
        <f>LOOKUP(H650,{0,2,3,4,5,6,7,8,9,10,11,12,13,14,15,16},{0,10,20,30,40,50,60,64,68,72,76,80,85,90,95,100})</f>
        <v>0</v>
      </c>
      <c r="J650" s="7"/>
      <c r="K650" s="7"/>
      <c r="L650" s="7">
        <f>I650+K650</f>
        <v>0</v>
      </c>
      <c r="M650" s="6">
        <v>8.8</v>
      </c>
      <c r="N650" s="43">
        <f>13-M650</f>
        <v>4.2</v>
      </c>
      <c r="O650" s="40">
        <f>LOOKUP(N650,{0,2.5,2.7,2.9,3.1,3.3,3.5,3.7,3.9,4.1,4.3,4.5,4.7,4.9,5.1,5.3,5.5,5.6,5.7,5.8,5.9},{0,10,20,30,40,50,60,62,64,66,68,70,72,74,76,78,80,85,90,95,100})</f>
        <v>66</v>
      </c>
      <c r="P650" s="6">
        <v>5.32</v>
      </c>
      <c r="Q650" s="6">
        <f>10-P650</f>
        <v>4.68</v>
      </c>
      <c r="R650" s="40">
        <f>LOOKUP(Q650,{0,3.75,3.95,4.55,4.75,4.95,5.55,5.6,5.65,5.7,5.75,5.8,5.85,5.9,5.95,6,6.45,6.53,6.6,6.65,6.7},{0,10,20,30,40,50,60,62,64,66,68,70,72,74,76,78,80,85,90,95,100})</f>
        <v>30</v>
      </c>
      <c r="S650" s="7"/>
      <c r="T650" s="7"/>
      <c r="U650" s="7">
        <f>R650+T650</f>
        <v>30</v>
      </c>
      <c r="W650" s="7">
        <f>E650*0.1+G650*0.1+I650*0.1+O650*0.2+R650*0.2</f>
        <v>29</v>
      </c>
      <c r="X650" s="21">
        <f>W650/0.7+K650+T650</f>
        <v>41.4285714285714</v>
      </c>
    </row>
    <row r="651" ht="15.6" hidden="1" spans="1:24">
      <c r="A651" s="6">
        <v>105</v>
      </c>
      <c r="B651" s="29" t="s">
        <v>228</v>
      </c>
      <c r="C651" s="29" t="s">
        <v>11</v>
      </c>
      <c r="D651" s="6">
        <v>4.6</v>
      </c>
      <c r="E651" s="40">
        <f>LOOKUP(D651,{0,-4,-3,-2,-1,0,1,2.4,3.8,5.2,6.6,8,9.4,10.8,12.2,13.6,15,17.2,19.4,21.5,23.6},{0,10,20,30,40,50,60,62,64,66,68,70,72,74,76,78,80,85,90,95,100})</f>
        <v>64</v>
      </c>
      <c r="F651" s="6">
        <v>155</v>
      </c>
      <c r="G651" s="40">
        <f>LOOKUP(F651,{0,170,175,180,185,190,195,199,203,207,211,215,219,223,227,231,235,243,250,255,260},{0,10,20,30,40,50,60,62,64,66,68,70,72,74,76,78,80,85,90,95,100})</f>
        <v>0</v>
      </c>
      <c r="H651" s="6">
        <v>0</v>
      </c>
      <c r="I651" s="40">
        <f>LOOKUP(H651,{0,2,3,4,5,6,7,8,9,10,11,12,13,14,15,16},{0,10,20,30,40,50,60,64,68,72,76,80,85,90,95,100})</f>
        <v>0</v>
      </c>
      <c r="J651" s="7"/>
      <c r="K651" s="7"/>
      <c r="L651" s="7">
        <f>I651+K651</f>
        <v>0</v>
      </c>
      <c r="M651" s="6">
        <v>9.4</v>
      </c>
      <c r="N651" s="43">
        <f>13-M651</f>
        <v>3.6</v>
      </c>
      <c r="O651" s="40">
        <f>LOOKUP(N651,{0,2.5,2.7,2.9,3.1,3.3,3.5,3.7,3.9,4.1,4.3,4.5,4.7,4.9,5.1,5.3,5.5,5.6,5.7,5.8,5.9},{0,10,20,30,40,50,60,62,64,66,68,70,72,74,76,78,80,85,90,95,100})</f>
        <v>60</v>
      </c>
      <c r="P651" s="6">
        <v>4.55</v>
      </c>
      <c r="Q651" s="6">
        <f>10-P651</f>
        <v>5.45</v>
      </c>
      <c r="R651" s="40">
        <f>LOOKUP(Q651,{0,3.75,3.95,4.55,4.75,4.95,5.55,5.6,5.65,5.7,5.75,5.8,5.85,5.9,5.95,6,6.45,6.53,6.6,6.65,6.7},{0,10,20,30,40,50,60,62,64,66,68,70,72,74,76,78,80,85,90,95,100})</f>
        <v>50</v>
      </c>
      <c r="S651" s="7"/>
      <c r="T651" s="7"/>
      <c r="U651" s="7">
        <f>R651+T651</f>
        <v>50</v>
      </c>
      <c r="W651" s="7">
        <f>E651*0.1+G651*0.1+I651*0.1+O651*0.2+R651*0.2</f>
        <v>28.4</v>
      </c>
      <c r="X651" s="21">
        <f>W651/0.7+K651+T651</f>
        <v>40.5714285714286</v>
      </c>
    </row>
    <row r="652" ht="15.6" hidden="1" spans="1:24">
      <c r="A652" s="6">
        <v>104</v>
      </c>
      <c r="B652" s="29" t="s">
        <v>185</v>
      </c>
      <c r="C652" s="29" t="s">
        <v>11</v>
      </c>
      <c r="D652" s="6">
        <v>-4.1</v>
      </c>
      <c r="E652" s="40">
        <v>0</v>
      </c>
      <c r="F652" s="6">
        <v>168</v>
      </c>
      <c r="G652" s="40">
        <f>LOOKUP(F652,{0,170,175,180,185,190,195,199,203,207,211,215,219,223,227,231,235,243,250,255,260},{0,10,20,30,40,50,60,62,64,66,68,70,72,74,76,78,80,85,90,95,100})</f>
        <v>0</v>
      </c>
      <c r="H652" s="6">
        <v>0</v>
      </c>
      <c r="I652" s="40">
        <f>LOOKUP(H652,{0,2,3,4,5,6,7,8,9,10,11,12,13,14,15,16},{0,10,20,30,40,50,60,64,68,72,76,80,85,90,95,100})</f>
        <v>0</v>
      </c>
      <c r="J652" s="7"/>
      <c r="K652" s="7"/>
      <c r="L652" s="7">
        <f>I652+K652</f>
        <v>0</v>
      </c>
      <c r="M652" s="6">
        <v>9.6</v>
      </c>
      <c r="N652" s="43">
        <f>13-M652</f>
        <v>3.4</v>
      </c>
      <c r="O652" s="40">
        <f>LOOKUP(N652,{0,2.5,2.7,2.9,3.1,3.3,3.5,3.7,3.9,4.1,4.3,4.5,4.7,4.9,5.1,5.3,5.5,5.6,5.7,5.8,5.9},{0,10,20,30,40,50,60,62,64,66,68,70,72,74,76,78,80,85,90,95,100})</f>
        <v>50</v>
      </c>
      <c r="P652" s="6">
        <v>5.23</v>
      </c>
      <c r="Q652" s="6">
        <f>10-P652</f>
        <v>4.77</v>
      </c>
      <c r="R652" s="40">
        <f>LOOKUP(Q652,{0,3.75,3.95,4.55,4.75,4.95,5.55,5.6,5.65,5.7,5.75,5.8,5.85,5.9,5.95,6,6.45,6.53,6.6,6.65,6.7},{0,10,20,30,40,50,60,62,64,66,68,70,72,74,76,78,80,85,90,95,100})</f>
        <v>40</v>
      </c>
      <c r="S652" s="7"/>
      <c r="T652" s="7"/>
      <c r="U652" s="7">
        <f>R652+T652</f>
        <v>40</v>
      </c>
      <c r="W652" s="7">
        <f>E652*0.1+G652*0.1+I652*0.1+O652*0.2+R652*0.2</f>
        <v>18</v>
      </c>
      <c r="X652" s="21">
        <f>W652/0.7+K652+T652</f>
        <v>25.7142857142857</v>
      </c>
    </row>
    <row r="653" ht="15.6" hidden="1" spans="1:24">
      <c r="A653" s="6">
        <v>107</v>
      </c>
      <c r="B653" s="29" t="s">
        <v>328</v>
      </c>
      <c r="C653" s="29" t="s">
        <v>11</v>
      </c>
      <c r="D653" s="6">
        <v>6.5</v>
      </c>
      <c r="E653" s="40">
        <f>LOOKUP(D653,{0,-4,-3,-2,-1,0,1,2.4,3.8,5.2,6.6,8,9.4,10.8,12.2,13.6,15,17.2,19.4,21.5,23.6},{0,10,20,30,40,50,60,62,64,66,68,70,72,74,76,78,80,85,90,95,100})</f>
        <v>66</v>
      </c>
      <c r="F653" s="6">
        <v>172</v>
      </c>
      <c r="G653" s="40">
        <f>LOOKUP(F653,{0,170,175,180,185,190,195,199,203,207,211,215,219,223,227,231,235,243,250,255,260},{0,10,20,30,40,50,60,62,64,66,68,70,72,74,76,78,80,85,90,95,100})</f>
        <v>10</v>
      </c>
      <c r="H653" s="6">
        <v>1</v>
      </c>
      <c r="I653" s="40">
        <f>LOOKUP(H653,{0,2,3,4,5,6,7,8,9,10,11,12,13,14,15,16},{0,10,20,30,40,50,60,64,68,72,76,80,85,90,95,100})</f>
        <v>0</v>
      </c>
      <c r="J653" s="7"/>
      <c r="K653" s="7"/>
      <c r="L653" s="7">
        <f>I653+K653</f>
        <v>0</v>
      </c>
      <c r="M653" s="6">
        <v>9.9</v>
      </c>
      <c r="N653" s="43">
        <f>13-M653</f>
        <v>3.1</v>
      </c>
      <c r="O653" s="40">
        <f>LOOKUP(N653,{0,2.5,2.7,2.9,3.1,3.3,3.5,3.7,3.9,4.1,4.3,4.5,4.7,4.9,5.1,5.3,5.5,5.6,5.7,5.8,5.9},{0,10,20,30,40,50,60,62,64,66,68,70,72,74,76,78,80,85,90,95,100})</f>
        <v>40</v>
      </c>
      <c r="P653" s="6">
        <v>4.46</v>
      </c>
      <c r="Q653" s="6">
        <f>10-P653</f>
        <v>5.54</v>
      </c>
      <c r="R653" s="40">
        <f>LOOKUP(Q653,{0,3.75,3.95,4.55,4.75,4.95,5.55,5.6,5.65,5.7,5.75,5.8,5.85,5.9,5.95,6,6.45,6.53,6.6,6.65,6.7},{0,10,20,30,40,50,60,62,64,66,68,70,72,74,76,78,80,85,90,95,100})</f>
        <v>50</v>
      </c>
      <c r="S653" s="7"/>
      <c r="T653" s="7"/>
      <c r="U653" s="7">
        <f>R653+T653</f>
        <v>50</v>
      </c>
      <c r="W653" s="7">
        <f>E653*0.1+G653*0.1+I653*0.1+O653*0.2+R653*0.2</f>
        <v>25.6</v>
      </c>
      <c r="X653" s="21">
        <f>W653/0.7+K653+T653</f>
        <v>36.5714285714286</v>
      </c>
    </row>
    <row r="654" ht="15.6" hidden="1" spans="1:24">
      <c r="A654" s="6">
        <v>116</v>
      </c>
      <c r="B654" s="29" t="s">
        <v>785</v>
      </c>
      <c r="C654" s="29" t="s">
        <v>11</v>
      </c>
      <c r="D654" s="6">
        <v>1.5</v>
      </c>
      <c r="E654" s="40">
        <f>LOOKUP(D654,{0,-4,-3,-2,-1,0,1,2.4,3.8,5.2,6.6,8,9.4,10.8,12.2,13.6,15,17.2,19.4,21.5,23.6},{0,10,20,30,40,50,60,62,64,66,68,70,72,74,76,78,80,85,90,95,100})</f>
        <v>60</v>
      </c>
      <c r="F654" s="6">
        <v>155</v>
      </c>
      <c r="G654" s="40">
        <f>LOOKUP(F654,{0,170,175,180,185,190,195,199,203,207,211,215,219,223,227,231,235,243,250,255,260},{0,10,20,30,40,50,60,62,64,66,68,70,72,74,76,78,80,85,90,95,100})</f>
        <v>0</v>
      </c>
      <c r="H654" s="6">
        <v>0</v>
      </c>
      <c r="I654" s="40">
        <f>LOOKUP(H654,{0,2,3,4,5,6,7,8,9,10,11,12,13,14,15,16},{0,10,20,30,40,50,60,64,68,72,76,80,85,90,95,100})</f>
        <v>0</v>
      </c>
      <c r="J654" s="7"/>
      <c r="K654" s="7"/>
      <c r="L654" s="7">
        <f>I654+K654</f>
        <v>0</v>
      </c>
      <c r="M654" s="6">
        <v>10.6</v>
      </c>
      <c r="N654" s="43">
        <f>13-M654</f>
        <v>2.4</v>
      </c>
      <c r="O654" s="40">
        <f>LOOKUP(N654,{0,2.5,2.7,2.9,3.1,3.3,3.5,3.7,3.9,4.1,4.3,4.5,4.7,4.9,5.1,5.3,5.5,5.6,5.7,5.8,5.9},{0,10,20,30,40,50,60,62,64,66,68,70,72,74,76,78,80,85,90,95,100})</f>
        <v>0</v>
      </c>
      <c r="P654" s="6">
        <v>6.09</v>
      </c>
      <c r="Q654" s="6">
        <f>10-P654</f>
        <v>3.91</v>
      </c>
      <c r="R654" s="40">
        <f>LOOKUP(Q654,{0,3.75,3.95,4.55,4.75,4.95,5.55,5.6,5.65,5.7,5.75,5.8,5.85,5.9,5.95,6,6.45,6.53,6.6,6.65,6.7},{0,10,20,30,40,50,60,62,64,66,68,70,72,74,76,78,80,85,90,95,100})</f>
        <v>10</v>
      </c>
      <c r="S654" s="7"/>
      <c r="T654" s="7"/>
      <c r="U654" s="7">
        <f>R654+T654</f>
        <v>10</v>
      </c>
      <c r="W654" s="7">
        <f>E654*0.1+G654*0.1+I654*0.1+O654*0.2+R654*0.2</f>
        <v>8</v>
      </c>
      <c r="X654" s="21">
        <f>W654/0.7+K654+T654</f>
        <v>11.4285714285714</v>
      </c>
    </row>
    <row r="655" ht="15.6" hidden="1" spans="1:24">
      <c r="A655" s="6">
        <v>107</v>
      </c>
      <c r="B655" s="29" t="s">
        <v>302</v>
      </c>
      <c r="C655" s="29" t="s">
        <v>11</v>
      </c>
      <c r="D655" s="6">
        <v>23</v>
      </c>
      <c r="E655" s="40">
        <f>LOOKUP(D655,{0,-4,-3,-2,-1,0,1,2.4,3.8,5.2,6.6,8,9.4,10.8,12.2,13.6,15,17.2,19.4,21.5,23.6},{0,10,20,30,40,50,60,62,64,66,68,70,72,74,76,78,80,85,90,95,100})</f>
        <v>95</v>
      </c>
      <c r="F655" s="6">
        <v>173</v>
      </c>
      <c r="G655" s="40">
        <f>LOOKUP(F655,{0,170,175,180,185,190,195,199,203,207,211,215,219,223,227,231,235,243,250,255,260},{0,10,20,30,40,50,60,62,64,66,68,70,72,74,76,78,80,85,90,95,100})</f>
        <v>10</v>
      </c>
      <c r="H655" s="6">
        <v>1</v>
      </c>
      <c r="I655" s="40">
        <f>LOOKUP(H655,{0,2,3,4,5,6,7,8,9,10,11,12,13,14,15,16},{0,10,20,30,40,50,60,64,68,72,76,80,85,90,95,100})</f>
        <v>0</v>
      </c>
      <c r="J655" s="7"/>
      <c r="K655" s="7"/>
      <c r="L655" s="7">
        <f>I655+K655</f>
        <v>0</v>
      </c>
      <c r="M655" s="6">
        <v>10.8</v>
      </c>
      <c r="N655" s="43">
        <f>13-M655</f>
        <v>2.2</v>
      </c>
      <c r="O655" s="40">
        <f>LOOKUP(N655,{0,2.5,2.7,2.9,3.1,3.3,3.5,3.7,3.9,4.1,4.3,4.5,4.7,4.9,5.1,5.3,5.5,5.6,5.7,5.8,5.9},{0,10,20,30,40,50,60,62,64,66,68,70,72,74,76,78,80,85,90,95,100})</f>
        <v>0</v>
      </c>
      <c r="P655" s="6">
        <v>5.18</v>
      </c>
      <c r="Q655" s="6">
        <f>10-P655</f>
        <v>4.82</v>
      </c>
      <c r="R655" s="40">
        <f>LOOKUP(Q655,{0,3.75,3.95,4.55,4.75,4.95,5.55,5.6,5.65,5.7,5.75,5.8,5.85,5.9,5.95,6,6.45,6.53,6.6,6.65,6.7},{0,10,20,30,40,50,60,62,64,66,68,70,72,74,76,78,80,85,90,95,100})</f>
        <v>40</v>
      </c>
      <c r="S655" s="7"/>
      <c r="T655" s="7"/>
      <c r="U655" s="7">
        <f>R655+T655</f>
        <v>40</v>
      </c>
      <c r="W655" s="7">
        <f>E655*0.1+G655*0.1+I655*0.1+O655*0.2+R655*0.2</f>
        <v>18.5</v>
      </c>
      <c r="X655" s="21">
        <f>W655/0.7+K655+T655</f>
        <v>26.4285714285714</v>
      </c>
    </row>
    <row r="656" s="3" customFormat="1" ht="15.6" hidden="1" spans="1:24">
      <c r="A656" s="6">
        <v>101</v>
      </c>
      <c r="B656" s="29" t="s">
        <v>27</v>
      </c>
      <c r="C656" s="29" t="s">
        <v>11</v>
      </c>
      <c r="D656" s="6">
        <v>12.5</v>
      </c>
      <c r="E656" s="40">
        <f>LOOKUP(D656,{0,-4,-3,-2,-1,0,1,2.4,3.8,5.2,6.6,8,9.4,10.8,12.2,13.6,15,17.2,19.4,21.5,23.6},{0,10,20,30,40,50,60,62,64,66,68,70,72,74,76,78,80,85,90,95,100})</f>
        <v>76</v>
      </c>
      <c r="F656" s="6">
        <v>248</v>
      </c>
      <c r="G656" s="40">
        <f>LOOKUP(F656,{0,170,175,180,185,190,195,199,203,207,211,215,219,223,227,231,235,243,250,255,260},{0,10,20,30,40,50,60,62,64,66,68,70,72,74,76,78,80,85,90,95,100})</f>
        <v>85</v>
      </c>
      <c r="H656" s="6">
        <v>25</v>
      </c>
      <c r="I656" s="40">
        <f>LOOKUP(H656,{0,2,3,4,5,6,7,8,9,10,11,12,13,14,15,16},{0,10,20,30,40,50,60,64,68,72,76,80,85,90,95,100})</f>
        <v>100</v>
      </c>
      <c r="J656" s="7">
        <f>H656-16</f>
        <v>9</v>
      </c>
      <c r="K656" s="40">
        <f>LOOKUP(J656,{0,1,2,3,4,5,6,7,8,9,10},{0,1,2,3,4,5,6,7,8,9,10})</f>
        <v>9</v>
      </c>
      <c r="L656" s="7">
        <f>I656+K656</f>
        <v>109</v>
      </c>
      <c r="M656" s="6"/>
      <c r="N656" s="43"/>
      <c r="O656" s="40"/>
      <c r="P656" s="6">
        <v>3.04</v>
      </c>
      <c r="Q656" s="6">
        <f>10-P656</f>
        <v>6.96</v>
      </c>
      <c r="R656" s="40">
        <f>LOOKUP(Q656,{0,3.75,3.95,4.55,4.75,4.95,5.55,5.6,5.65,5.7,5.75,5.8,5.85,5.9,5.95,6,6.45,6.53,6.6,6.65,6.7},{0,10,20,30,40,50,60,62,64,66,68,70,72,74,76,78,80,85,90,95,100})</f>
        <v>100</v>
      </c>
      <c r="S656" s="7">
        <f>3.3-P656</f>
        <v>0.26</v>
      </c>
      <c r="T656" s="40">
        <f>LOOKUP(S656,{0,0.04,0.08,0.12,0.16,0.2,0.23,0.26,0.29,0.32,0.35},{0,1,2,3,4,5,6,7,8,9,10})</f>
        <v>7</v>
      </c>
      <c r="U656" s="7">
        <f>R656+T656</f>
        <v>107</v>
      </c>
      <c r="V656" s="6"/>
      <c r="W656" s="7">
        <f>E656*0.1+G656*0.1+I656*0.1+O656*0.2+R656*0.2</f>
        <v>46.1</v>
      </c>
      <c r="X656" s="21">
        <f>W656/0.7+K656+T656</f>
        <v>81.8571428571429</v>
      </c>
    </row>
    <row r="657" ht="15.6" hidden="1" spans="1:24">
      <c r="A657" s="6">
        <v>102</v>
      </c>
      <c r="B657" s="29" t="s">
        <v>97</v>
      </c>
      <c r="C657" s="29" t="s">
        <v>11</v>
      </c>
      <c r="D657" s="6">
        <v>15</v>
      </c>
      <c r="E657" s="40">
        <f>LOOKUP(D657,{0,-4,-3,-2,-1,0,1,2.4,3.8,5.2,6.6,8,9.4,10.8,12.2,13.6,15,17.2,19.4,21.5,23.6},{0,10,20,30,40,50,60,62,64,66,68,70,72,74,76,78,80,85,90,95,100})</f>
        <v>80</v>
      </c>
      <c r="F657" s="6">
        <v>233</v>
      </c>
      <c r="G657" s="40">
        <f>LOOKUP(F657,{0,170,175,180,185,190,195,199,203,207,211,215,219,223,227,231,235,243,250,255,260},{0,10,20,30,40,50,60,62,64,66,68,70,72,74,76,78,80,85,90,95,100})</f>
        <v>78</v>
      </c>
      <c r="H657" s="6">
        <v>8</v>
      </c>
      <c r="I657" s="40">
        <f>LOOKUP(H657,{0,2,3,4,5,6,7,8,9,10,11,12,13,14,15,16},{0,10,20,30,40,50,60,64,68,72,76,80,85,90,95,100})</f>
        <v>64</v>
      </c>
      <c r="J657" s="7"/>
      <c r="K657" s="7"/>
      <c r="L657" s="7">
        <f>I657+K657</f>
        <v>64</v>
      </c>
      <c r="N657" s="43"/>
      <c r="O657" s="40"/>
      <c r="P657" s="6">
        <v>3.14</v>
      </c>
      <c r="Q657" s="6">
        <f>10-P657</f>
        <v>6.86</v>
      </c>
      <c r="R657" s="40">
        <f>LOOKUP(Q657,{0,3.75,3.95,4.55,4.75,4.95,5.55,5.6,5.65,5.7,5.75,5.8,5.85,5.9,5.95,6,6.45,6.53,6.6,6.65,6.7},{0,10,20,30,40,50,60,62,64,66,68,70,72,74,76,78,80,85,90,95,100})</f>
        <v>100</v>
      </c>
      <c r="S657" s="7">
        <f>3.3-P657</f>
        <v>0.16</v>
      </c>
      <c r="T657" s="40">
        <f>LOOKUP(S657,{0,0.04,0.08,0.12,0.16,0.2,0.23,0.26,0.29,0.32,0.35},{0,1,2,3,4,5,6,7,8,9,10})</f>
        <v>3</v>
      </c>
      <c r="U657" s="7">
        <f>R657+T657</f>
        <v>103</v>
      </c>
      <c r="W657" s="7">
        <f>E657*0.1+G657*0.1+I657*0.1+O657*0.2+R657*0.2</f>
        <v>42.2</v>
      </c>
      <c r="X657" s="21">
        <f>W657/0.7+K657+T657</f>
        <v>63.2857142857143</v>
      </c>
    </row>
    <row r="658" ht="15.6" hidden="1" spans="1:24">
      <c r="A658" s="6">
        <v>101</v>
      </c>
      <c r="B658" s="29" t="s">
        <v>41</v>
      </c>
      <c r="C658" s="29" t="s">
        <v>11</v>
      </c>
      <c r="D658" s="6">
        <v>5.5</v>
      </c>
      <c r="E658" s="40">
        <f>LOOKUP(D658,{0,-4,-3,-2,-1,0,1,2.4,3.8,5.2,6.6,8,9.4,10.8,12.2,13.6,15,17.2,19.4,21.5,23.6},{0,10,20,30,40,50,60,62,64,66,68,70,72,74,76,78,80,85,90,95,100})</f>
        <v>66</v>
      </c>
      <c r="F658" s="6">
        <v>205</v>
      </c>
      <c r="G658" s="40">
        <f>LOOKUP(F658,{0,170,175,180,185,190,195,199,203,207,211,215,219,223,227,231,235,243,250,255,260},{0,10,20,30,40,50,60,62,64,66,68,70,72,74,76,78,80,85,90,95,100})</f>
        <v>64</v>
      </c>
      <c r="H658" s="6">
        <v>1</v>
      </c>
      <c r="I658" s="40">
        <f>LOOKUP(H658,{0,2,3,4,5,6,7,8,9,10,11,12,13,14,15,16},{0,10,20,30,40,50,60,64,68,72,76,80,85,90,95,100})</f>
        <v>0</v>
      </c>
      <c r="J658" s="7"/>
      <c r="K658" s="7"/>
      <c r="L658" s="7">
        <f>I658+K658</f>
        <v>0</v>
      </c>
      <c r="N658" s="43"/>
      <c r="O658" s="40"/>
      <c r="P658" s="6">
        <v>3.14</v>
      </c>
      <c r="Q658" s="6">
        <f>10-P658</f>
        <v>6.86</v>
      </c>
      <c r="R658" s="40">
        <f>LOOKUP(Q658,{0,3.75,3.95,4.55,4.75,4.95,5.55,5.6,5.65,5.7,5.75,5.8,5.85,5.9,5.95,6,6.45,6.53,6.6,6.65,6.7},{0,10,20,30,40,50,60,62,64,66,68,70,72,74,76,78,80,85,90,95,100})</f>
        <v>100</v>
      </c>
      <c r="S658" s="7">
        <f>3.3-P658</f>
        <v>0.16</v>
      </c>
      <c r="T658" s="40">
        <f>LOOKUP(S658,{0,0.04,0.08,0.12,0.16,0.2,0.23,0.26,0.29,0.32,0.35},{0,1,2,3,4,5,6,7,8,9,10})</f>
        <v>3</v>
      </c>
      <c r="U658" s="7">
        <f>R658+T658</f>
        <v>103</v>
      </c>
      <c r="W658" s="7">
        <f>E658*0.1+G658*0.1+I658*0.1+O658*0.2+R658*0.2</f>
        <v>33</v>
      </c>
      <c r="X658" s="21">
        <f>W658/0.7+K658+T658</f>
        <v>50.1428571428571</v>
      </c>
    </row>
    <row r="659" ht="15.6" hidden="1" spans="1:24">
      <c r="A659" s="6">
        <v>101</v>
      </c>
      <c r="B659" s="29" t="s">
        <v>23</v>
      </c>
      <c r="C659" s="29" t="s">
        <v>11</v>
      </c>
      <c r="D659" s="6">
        <v>3.5</v>
      </c>
      <c r="E659" s="40">
        <f>LOOKUP(D659,{0,-4,-3,-2,-1,0,1,2.4,3.8,5.2,6.6,8,9.4,10.8,12.2,13.6,15,17.2,19.4,21.5,23.6},{0,10,20,30,40,50,60,62,64,66,68,70,72,74,76,78,80,85,90,95,100})</f>
        <v>62</v>
      </c>
      <c r="F659" s="6">
        <v>233</v>
      </c>
      <c r="G659" s="40">
        <f>LOOKUP(F659,{0,170,175,180,185,190,195,199,203,207,211,215,219,223,227,231,235,243,250,255,260},{0,10,20,30,40,50,60,62,64,66,68,70,72,74,76,78,80,85,90,95,100})</f>
        <v>78</v>
      </c>
      <c r="H659" s="6">
        <v>30</v>
      </c>
      <c r="I659" s="40">
        <f>LOOKUP(H659,{0,2,3,4,5,6,7,8,9,10,11,12,13,14,15,16},{0,10,20,30,40,50,60,64,68,72,76,80,85,90,95,100})</f>
        <v>100</v>
      </c>
      <c r="J659" s="7">
        <f>H659-16</f>
        <v>14</v>
      </c>
      <c r="K659" s="40">
        <f>LOOKUP(J659,{0,1,2,3,4,5,6,7,8,9,10},{0,1,2,3,4,5,6,7,8,9,10})</f>
        <v>10</v>
      </c>
      <c r="L659" s="7">
        <f>I659+K659</f>
        <v>110</v>
      </c>
      <c r="N659" s="43"/>
      <c r="O659" s="40"/>
      <c r="P659" s="6">
        <v>3.2</v>
      </c>
      <c r="Q659" s="6">
        <f>10-P659</f>
        <v>6.8</v>
      </c>
      <c r="R659" s="40">
        <f>LOOKUP(Q659,{0,3.75,3.95,4.55,4.75,4.95,5.55,5.6,5.65,5.7,5.75,5.8,5.85,5.9,5.95,6,6.45,6.53,6.6,6.65,6.7},{0,10,20,30,40,50,60,62,64,66,68,70,72,74,76,78,80,85,90,95,100})</f>
        <v>100</v>
      </c>
      <c r="S659" s="7">
        <f>3.3-P659</f>
        <v>0.0999999999999996</v>
      </c>
      <c r="T659" s="40">
        <f>LOOKUP(S659,{0,0.04,0.08,0.12,0.16,0.2,0.23,0.26,0.29,0.32,0.35},{0,1,2,3,4,5,6,7,8,9,10})</f>
        <v>2</v>
      </c>
      <c r="U659" s="7">
        <f>R659+T659</f>
        <v>102</v>
      </c>
      <c r="W659" s="7">
        <f>E659*0.1+G659*0.1+I659*0.1+O659*0.2+R659*0.2</f>
        <v>44</v>
      </c>
      <c r="X659" s="21">
        <f>W659/0.7+K659+T659</f>
        <v>74.8571428571429</v>
      </c>
    </row>
    <row r="660" ht="15.6" hidden="1" spans="1:24">
      <c r="A660" s="6">
        <v>112</v>
      </c>
      <c r="B660" s="29" t="s">
        <v>590</v>
      </c>
      <c r="C660" s="29" t="s">
        <v>11</v>
      </c>
      <c r="D660" s="6">
        <v>17.4</v>
      </c>
      <c r="E660" s="40">
        <f>LOOKUP(D660,{0,-4,-3,-2,-1,0,1,2.4,3.8,5.2,6.6,8,9.4,10.8,12.2,13.6,15,17.2,19.4,21.5,23.6},{0,10,20,30,40,50,60,62,64,66,68,70,72,74,76,78,80,85,90,95,100})</f>
        <v>85</v>
      </c>
      <c r="F660" s="6">
        <v>220</v>
      </c>
      <c r="G660" s="40">
        <f>LOOKUP(F660,{0,170,175,180,185,190,195,199,203,207,211,215,219,223,227,231,235,243,250,255,260},{0,10,20,30,40,50,60,62,64,66,68,70,72,74,76,78,80,85,90,95,100})</f>
        <v>72</v>
      </c>
      <c r="H660" s="6">
        <v>26</v>
      </c>
      <c r="I660" s="40">
        <f>LOOKUP(H660,{0,2,3,4,5,6,7,8,9,10,11,12,13,14,15,16},{0,10,20,30,40,50,60,64,68,72,76,80,85,90,95,100})</f>
        <v>100</v>
      </c>
      <c r="J660" s="7">
        <f>H660-16</f>
        <v>10</v>
      </c>
      <c r="K660" s="40">
        <f>LOOKUP(J660,{0,1,2,3,4,5,6,7,8,9,10},{0,1,2,3,4,5,6,7,8,9,10})</f>
        <v>10</v>
      </c>
      <c r="L660" s="7">
        <f>I660+K660</f>
        <v>110</v>
      </c>
      <c r="N660" s="43"/>
      <c r="O660" s="40"/>
      <c r="P660" s="6">
        <v>3.26</v>
      </c>
      <c r="Q660" s="6">
        <f>10-P660</f>
        <v>6.74</v>
      </c>
      <c r="R660" s="40">
        <f>LOOKUP(Q660,{0,3.75,3.95,4.55,4.75,4.95,5.55,5.6,5.65,5.7,5.75,5.8,5.85,5.9,5.95,6,6.45,6.53,6.6,6.65,6.7},{0,10,20,30,40,50,60,62,64,66,68,70,72,74,76,78,80,85,90,95,100})</f>
        <v>100</v>
      </c>
      <c r="S660" s="7">
        <f>3.3-P660</f>
        <v>0.04</v>
      </c>
      <c r="T660" s="40">
        <f>LOOKUP(S660,{0,0.04,0.08,0.12,0.16,0.2,0.23,0.26,0.29,0.32,0.35},{0,1,2,3,4,5,6,7,8,9,10})</f>
        <v>1</v>
      </c>
      <c r="U660" s="7">
        <f>R660+T660</f>
        <v>101</v>
      </c>
      <c r="W660" s="7">
        <f>E660*0.1+G660*0.1+I660*0.1+O660*0.2+R660*0.2</f>
        <v>45.7</v>
      </c>
      <c r="X660" s="21">
        <f>W660/0.7+K660+T660</f>
        <v>76.2857142857143</v>
      </c>
    </row>
    <row r="661" ht="15.6" hidden="1" spans="1:24">
      <c r="A661" s="6">
        <v>104</v>
      </c>
      <c r="B661" s="29" t="s">
        <v>184</v>
      </c>
      <c r="C661" s="29" t="s">
        <v>11</v>
      </c>
      <c r="D661" s="6">
        <v>9</v>
      </c>
      <c r="E661" s="40">
        <f>LOOKUP(D661,{0,-4,-3,-2,-1,0,1,2.4,3.8,5.2,6.6,8,9.4,10.8,12.2,13.6,15,17.2,19.4,21.5,23.6},{0,10,20,30,40,50,60,62,64,66,68,70,72,74,76,78,80,85,90,95,100})</f>
        <v>70</v>
      </c>
      <c r="F661" s="6">
        <v>240</v>
      </c>
      <c r="G661" s="40">
        <f>LOOKUP(F661,{0,170,175,180,185,190,195,199,203,207,211,215,219,223,227,231,235,243,250,255,260},{0,10,20,30,40,50,60,62,64,66,68,70,72,74,76,78,80,85,90,95,100})</f>
        <v>80</v>
      </c>
      <c r="H661" s="6">
        <v>30</v>
      </c>
      <c r="I661" s="40">
        <f>LOOKUP(H661,{0,2,3,4,5,6,7,8,9,10,11,12,13,14,15,16},{0,10,20,30,40,50,60,64,68,72,76,80,85,90,95,100})</f>
        <v>100</v>
      </c>
      <c r="J661" s="7">
        <f>H661-16</f>
        <v>14</v>
      </c>
      <c r="K661" s="40">
        <f>LOOKUP(J661,{0,1,2,3,4,5,6,7,8,9,10},{0,1,2,3,4,5,6,7,8,9,10})</f>
        <v>10</v>
      </c>
      <c r="L661" s="7">
        <f>I661+K661</f>
        <v>110</v>
      </c>
      <c r="N661" s="43"/>
      <c r="O661" s="40"/>
      <c r="P661" s="6">
        <v>3.28</v>
      </c>
      <c r="Q661" s="6">
        <f>10-P661</f>
        <v>6.72</v>
      </c>
      <c r="R661" s="40">
        <f>LOOKUP(Q661,{0,3.75,3.95,4.55,4.75,4.95,5.55,5.6,5.65,5.7,5.75,5.8,5.85,5.9,5.95,6,6.45,6.53,6.6,6.65,6.7},{0,10,20,30,40,50,60,62,64,66,68,70,72,74,76,78,80,85,90,95,100})</f>
        <v>100</v>
      </c>
      <c r="S661" s="7">
        <f>3.3-P661</f>
        <v>0.02</v>
      </c>
      <c r="T661" s="40">
        <f>LOOKUP(S661,{0,0.04,0.08,0.12,0.16,0.2,0.23,0.26,0.29,0.32,0.35},{0,1,2,3,4,5,6,7,8,9,10})</f>
        <v>0</v>
      </c>
      <c r="U661" s="7">
        <f>R661+T661</f>
        <v>100</v>
      </c>
      <c r="W661" s="7">
        <f>E661*0.1+G661*0.1+I661*0.1+O661*0.2+R661*0.2</f>
        <v>45</v>
      </c>
      <c r="X661" s="21">
        <f>W661/0.7+K661+T661</f>
        <v>74.2857142857143</v>
      </c>
    </row>
    <row r="662" ht="15.6" hidden="1" spans="1:24">
      <c r="A662" s="6">
        <v>102</v>
      </c>
      <c r="B662" s="29" t="s">
        <v>69</v>
      </c>
      <c r="C662" s="29" t="s">
        <v>11</v>
      </c>
      <c r="D662" s="6">
        <v>-4.5</v>
      </c>
      <c r="E662" s="40">
        <v>0</v>
      </c>
      <c r="F662" s="6">
        <v>251</v>
      </c>
      <c r="G662" s="40">
        <f>LOOKUP(F662,{0,170,175,180,185,190,195,199,203,207,211,215,219,223,227,231,235,243,250,255,260},{0,10,20,30,40,50,60,62,64,66,68,70,72,74,76,78,80,85,90,95,100})</f>
        <v>90</v>
      </c>
      <c r="H662" s="6">
        <v>24</v>
      </c>
      <c r="I662" s="40">
        <f>LOOKUP(H662,{0,2,3,4,5,6,7,8,9,10,11,12,13,14,15,16},{0,10,20,30,40,50,60,64,68,72,76,80,85,90,95,100})</f>
        <v>100</v>
      </c>
      <c r="J662" s="7">
        <f>H662-16</f>
        <v>8</v>
      </c>
      <c r="K662" s="40">
        <f>LOOKUP(J662,{0,1,2,3,4,5,6,7,8,9,10},{0,1,2,3,4,5,6,7,8,9,10})</f>
        <v>8</v>
      </c>
      <c r="L662" s="7">
        <f>I662+K662</f>
        <v>108</v>
      </c>
      <c r="N662" s="43"/>
      <c r="O662" s="40"/>
      <c r="P662" s="6">
        <v>3.3</v>
      </c>
      <c r="Q662" s="6">
        <f>10-P662</f>
        <v>6.7</v>
      </c>
      <c r="R662" s="40">
        <f>LOOKUP(Q662,{0,3.75,3.95,4.55,4.75,4.95,5.55,5.6,5.65,5.7,5.75,5.8,5.85,5.9,5.95,6,6.45,6.53,6.6,6.65,6.7},{0,10,20,30,40,50,60,62,64,66,68,70,72,74,76,78,80,85,90,95,100})</f>
        <v>100</v>
      </c>
      <c r="S662" s="7">
        <f>3.3-P662</f>
        <v>0</v>
      </c>
      <c r="T662" s="40">
        <f>LOOKUP(S662,{0,0.04,0.08,0.12,0.16,0.2,0.23,0.26,0.29,0.32,0.35},{0,1,2,3,4,5,6,7,8,9,10})</f>
        <v>0</v>
      </c>
      <c r="U662" s="7">
        <f>R662+T662</f>
        <v>100</v>
      </c>
      <c r="W662" s="7">
        <f>E662*0.1+G662*0.1+I662*0.1+O662*0.2+R662*0.2</f>
        <v>39</v>
      </c>
      <c r="X662" s="21">
        <f>W662/0.7+K662+T662</f>
        <v>63.7142857142857</v>
      </c>
    </row>
    <row r="663" ht="15.6" hidden="1" spans="1:24">
      <c r="A663" s="6">
        <v>116</v>
      </c>
      <c r="B663" s="29" t="s">
        <v>798</v>
      </c>
      <c r="C663" s="29" t="s">
        <v>11</v>
      </c>
      <c r="D663" s="6">
        <v>7.5</v>
      </c>
      <c r="E663" s="40">
        <f>LOOKUP(D663,{0,-4,-3,-2,-1,0,1,2.4,3.8,5.2,6.6,8,9.4,10.8,12.2,13.6,15,17.2,19.4,21.5,23.6},{0,10,20,30,40,50,60,62,64,66,68,70,72,74,76,78,80,85,90,95,100})</f>
        <v>68</v>
      </c>
      <c r="F663" s="6">
        <v>265</v>
      </c>
      <c r="G663" s="40">
        <f>LOOKUP(F663,{0,170,175,180,185,190,195,199,203,207,211,215,219,223,227,231,235,243,250,255,260},{0,10,20,30,40,50,60,62,64,66,68,70,72,74,76,78,80,85,90,95,100})</f>
        <v>100</v>
      </c>
      <c r="H663" s="6">
        <v>12</v>
      </c>
      <c r="I663" s="40">
        <f>LOOKUP(H663,{0,2,3,4,5,6,7,8,9,10,11,12,13,14,15,16},{0,10,20,30,40,50,60,64,68,72,76,80,85,90,95,100})</f>
        <v>80</v>
      </c>
      <c r="J663" s="7"/>
      <c r="K663" s="7"/>
      <c r="L663" s="7">
        <f>I663+K663</f>
        <v>80</v>
      </c>
      <c r="N663" s="43"/>
      <c r="O663" s="40"/>
      <c r="P663" s="6">
        <v>3.3</v>
      </c>
      <c r="Q663" s="6">
        <f>10-P663</f>
        <v>6.7</v>
      </c>
      <c r="R663" s="40">
        <f>LOOKUP(Q663,{0,3.75,3.95,4.55,4.75,4.95,5.55,5.6,5.65,5.7,5.75,5.8,5.85,5.9,5.95,6,6.45,6.53,6.6,6.65,6.7},{0,10,20,30,40,50,60,62,64,66,68,70,72,74,76,78,80,85,90,95,100})</f>
        <v>100</v>
      </c>
      <c r="S663" s="7">
        <f>3.3-P663</f>
        <v>0</v>
      </c>
      <c r="T663" s="40">
        <f>LOOKUP(S663,{0,0.04,0.08,0.12,0.16,0.2,0.23,0.26,0.29,0.32,0.35},{0,1,2,3,4,5,6,7,8,9,10})</f>
        <v>0</v>
      </c>
      <c r="U663" s="7">
        <f>R663+T663</f>
        <v>100</v>
      </c>
      <c r="W663" s="7">
        <f>E663*0.1+G663*0.1+I663*0.1+O663*0.2+R663*0.2</f>
        <v>44.8</v>
      </c>
      <c r="X663" s="21">
        <f>W663/0.7+K663+T663</f>
        <v>64</v>
      </c>
    </row>
    <row r="664" ht="15.6" hidden="1" spans="1:24">
      <c r="A664" s="6">
        <v>102</v>
      </c>
      <c r="B664" s="39" t="s">
        <v>65</v>
      </c>
      <c r="C664" s="29" t="s">
        <v>11</v>
      </c>
      <c r="D664" s="6">
        <v>12.1</v>
      </c>
      <c r="E664" s="40">
        <f>LOOKUP(D664,{0,-4,-3,-2,-1,0,1,2.4,3.8,5.2,6.6,8,9.4,10.8,12.2,13.6,15,17.2,19.4,21.5,23.6},{0,10,20,30,40,50,60,62,64,66,68,70,72,74,76,78,80,85,90,95,100})</f>
        <v>74</v>
      </c>
      <c r="F664" s="6">
        <v>241</v>
      </c>
      <c r="G664" s="40">
        <f>LOOKUP(F664,{0,170,175,180,185,190,195,199,203,207,211,215,219,223,227,231,235,243,250,255,260},{0,10,20,30,40,50,60,62,64,66,68,70,72,74,76,78,80,85,90,95,100})</f>
        <v>80</v>
      </c>
      <c r="H664" s="6">
        <v>3</v>
      </c>
      <c r="I664" s="40">
        <f>LOOKUP(H664,{0,2,3,4,5,6,7,8,9,10,11,12,13,14,15,16},{0,10,20,30,40,50,60,64,68,72,76,80,85,90,95,100})</f>
        <v>20</v>
      </c>
      <c r="J664" s="7"/>
      <c r="K664" s="7"/>
      <c r="L664" s="7">
        <f>I664+K664</f>
        <v>20</v>
      </c>
      <c r="N664" s="43"/>
      <c r="O664" s="40"/>
      <c r="P664" s="6">
        <v>3.31</v>
      </c>
      <c r="Q664" s="6">
        <f>10-P664</f>
        <v>6.69</v>
      </c>
      <c r="R664" s="40">
        <f>LOOKUP(Q664,{0,3.75,3.95,4.55,4.75,4.95,5.55,5.6,5.65,5.7,5.75,5.8,5.85,5.9,5.95,6,6.45,6.53,6.6,6.65,6.7},{0,10,20,30,40,50,60,62,64,66,68,70,72,74,76,78,80,85,90,95,100})</f>
        <v>95</v>
      </c>
      <c r="S664" s="7"/>
      <c r="T664" s="7"/>
      <c r="U664" s="7">
        <f>R664+T664</f>
        <v>95</v>
      </c>
      <c r="W664" s="7">
        <f>E664*0.1+G664*0.1+I664*0.1+O664*0.2+R664*0.2</f>
        <v>36.4</v>
      </c>
      <c r="X664" s="21">
        <f>W664/0.7+K664+T664</f>
        <v>52</v>
      </c>
    </row>
    <row r="665" ht="15.6" hidden="1" spans="1:24">
      <c r="A665" s="6">
        <v>101</v>
      </c>
      <c r="B665" s="29" t="s">
        <v>39</v>
      </c>
      <c r="C665" s="29" t="s">
        <v>11</v>
      </c>
      <c r="D665" s="6">
        <v>7.5</v>
      </c>
      <c r="E665" s="40">
        <f>LOOKUP(D665,{0,-4,-3,-2,-1,0,1,2.4,3.8,5.2,6.6,8,9.4,10.8,12.2,13.6,15,17.2,19.4,21.5,23.6},{0,10,20,30,40,50,60,62,64,66,68,70,72,74,76,78,80,85,90,95,100})</f>
        <v>68</v>
      </c>
      <c r="F665" s="6">
        <v>220</v>
      </c>
      <c r="G665" s="40">
        <f>LOOKUP(F665,{0,170,175,180,185,190,195,199,203,207,211,215,219,223,227,231,235,243,250,255,260},{0,10,20,30,40,50,60,62,64,66,68,70,72,74,76,78,80,85,90,95,100})</f>
        <v>72</v>
      </c>
      <c r="H665" s="6">
        <v>23</v>
      </c>
      <c r="I665" s="40">
        <f>LOOKUP(H665,{0,2,3,4,5,6,7,8,9,10,11,12,13,14,15,16},{0,10,20,30,40,50,60,64,68,72,76,80,85,90,95,100})</f>
        <v>100</v>
      </c>
      <c r="J665" s="7">
        <f>H665-16</f>
        <v>7</v>
      </c>
      <c r="K665" s="40">
        <f>LOOKUP(J665,{0,1,2,3,4,5,6,7,8,9,10},{0,1,2,3,4,5,6,7,8,9,10})</f>
        <v>7</v>
      </c>
      <c r="L665" s="7">
        <f>I665+K665</f>
        <v>107</v>
      </c>
      <c r="N665" s="43"/>
      <c r="O665" s="40"/>
      <c r="P665" s="6">
        <v>3.34</v>
      </c>
      <c r="Q665" s="6">
        <f>10-P665</f>
        <v>6.66</v>
      </c>
      <c r="R665" s="40">
        <f>LOOKUP(Q665,{0,3.75,3.95,4.55,4.75,4.95,5.55,5.6,5.65,5.7,5.75,5.8,5.85,5.9,5.95,6,6.45,6.53,6.6,6.65,6.7},{0,10,20,30,40,50,60,62,64,66,68,70,72,74,76,78,80,85,90,95,100})</f>
        <v>95</v>
      </c>
      <c r="S665" s="7"/>
      <c r="T665" s="7"/>
      <c r="U665" s="7">
        <f>R665+T665</f>
        <v>95</v>
      </c>
      <c r="W665" s="7">
        <f>E665*0.1+G665*0.1+I665*0.1+O665*0.2+R665*0.2</f>
        <v>43</v>
      </c>
      <c r="X665" s="21">
        <f>W665/0.7+K665+T665</f>
        <v>68.4285714285714</v>
      </c>
    </row>
    <row r="666" s="3" customFormat="1" ht="15.6" hidden="1" spans="1:24">
      <c r="A666" s="6">
        <v>116</v>
      </c>
      <c r="B666" s="39" t="s">
        <v>780</v>
      </c>
      <c r="C666" s="29" t="s">
        <v>11</v>
      </c>
      <c r="D666" s="6">
        <v>13.5</v>
      </c>
      <c r="E666" s="40">
        <f>LOOKUP(D666,{0,-4,-3,-2,-1,0,1,2.4,3.8,5.2,6.6,8,9.4,10.8,12.2,13.6,15,17.2,19.4,21.5,23.6},{0,10,20,30,40,50,60,62,64,66,68,70,72,74,76,78,80,85,90,95,100})</f>
        <v>76</v>
      </c>
      <c r="F666" s="6">
        <v>260</v>
      </c>
      <c r="G666" s="40">
        <f>LOOKUP(F666,{0,170,175,180,185,190,195,199,203,207,211,215,219,223,227,231,235,243,250,255,260},{0,10,20,30,40,50,60,62,64,66,68,70,72,74,76,78,80,85,90,95,100})</f>
        <v>100</v>
      </c>
      <c r="H666" s="6">
        <v>22</v>
      </c>
      <c r="I666" s="40">
        <f>LOOKUP(H666,{0,2,3,4,5,6,7,8,9,10,11,12,13,14,15,16},{0,10,20,30,40,50,60,64,68,72,76,80,85,90,95,100})</f>
        <v>100</v>
      </c>
      <c r="J666" s="7">
        <f>H666-16</f>
        <v>6</v>
      </c>
      <c r="K666" s="40">
        <f>LOOKUP(J666,{0,1,2,3,4,5,6,7,8,9,10},{0,1,2,3,4,5,6,7,8,9,10})</f>
        <v>6</v>
      </c>
      <c r="L666" s="7">
        <f>I666+K666</f>
        <v>106</v>
      </c>
      <c r="M666" s="6"/>
      <c r="N666" s="43"/>
      <c r="O666" s="40"/>
      <c r="P666" s="6">
        <v>3.37</v>
      </c>
      <c r="Q666" s="6">
        <f>10-P666</f>
        <v>6.63</v>
      </c>
      <c r="R666" s="40">
        <f>LOOKUP(Q666,{0,3.75,3.95,4.55,4.75,4.95,5.55,5.6,5.65,5.7,5.75,5.8,5.85,5.9,5.95,6,6.45,6.53,6.6,6.65,6.7},{0,10,20,30,40,50,60,62,64,66,68,70,72,74,76,78,80,85,90,95,100})</f>
        <v>90</v>
      </c>
      <c r="S666" s="7"/>
      <c r="T666" s="7"/>
      <c r="U666" s="7">
        <f>R666+T666</f>
        <v>90</v>
      </c>
      <c r="V666" s="6"/>
      <c r="W666" s="7">
        <f>E666*0.1+G666*0.1+I666*0.1+O666*0.2+R666*0.2</f>
        <v>45.6</v>
      </c>
      <c r="X666" s="21">
        <f>W666/0.7+K666+T666</f>
        <v>71.1428571428572</v>
      </c>
    </row>
    <row r="667" ht="15.6" hidden="1" spans="1:24">
      <c r="A667" s="6">
        <v>101</v>
      </c>
      <c r="B667" s="29" t="s">
        <v>30</v>
      </c>
      <c r="C667" s="29" t="s">
        <v>11</v>
      </c>
      <c r="D667" s="6">
        <v>10.5</v>
      </c>
      <c r="E667" s="40">
        <f>LOOKUP(D667,{0,-4,-3,-2,-1,0,1,2.4,3.8,5.2,6.6,8,9.4,10.8,12.2,13.6,15,17.2,19.4,21.5,23.6},{0,10,20,30,40,50,60,62,64,66,68,70,72,74,76,78,80,85,90,95,100})</f>
        <v>72</v>
      </c>
      <c r="F667" s="6">
        <v>232</v>
      </c>
      <c r="G667" s="40">
        <f>LOOKUP(F667,{0,170,175,180,185,190,195,199,203,207,211,215,219,223,227,231,235,243,250,255,260},{0,10,20,30,40,50,60,62,64,66,68,70,72,74,76,78,80,85,90,95,100})</f>
        <v>78</v>
      </c>
      <c r="H667" s="6">
        <v>4</v>
      </c>
      <c r="I667" s="40">
        <f>LOOKUP(H667,{0,2,3,4,5,6,7,8,9,10,11,12,13,14,15,16},{0,10,20,30,40,50,60,64,68,72,76,80,85,90,95,100})</f>
        <v>30</v>
      </c>
      <c r="J667" s="7"/>
      <c r="K667" s="7"/>
      <c r="L667" s="7">
        <f>I667+K667</f>
        <v>30</v>
      </c>
      <c r="N667" s="43"/>
      <c r="O667" s="40"/>
      <c r="P667" s="6">
        <v>3.38</v>
      </c>
      <c r="Q667" s="6">
        <f>10-P667</f>
        <v>6.62</v>
      </c>
      <c r="R667" s="40">
        <f>LOOKUP(Q667,{0,3.75,3.95,4.55,4.75,4.95,5.55,5.6,5.65,5.7,5.75,5.8,5.85,5.9,5.95,6,6.45,6.53,6.6,6.65,6.7},{0,10,20,30,40,50,60,62,64,66,68,70,72,74,76,78,80,85,90,95,100})</f>
        <v>90</v>
      </c>
      <c r="S667" s="7"/>
      <c r="T667" s="7"/>
      <c r="U667" s="7">
        <f>R667+T667</f>
        <v>90</v>
      </c>
      <c r="W667" s="7">
        <f>E667*0.1+G667*0.1+I667*0.1+O667*0.2+R667*0.2</f>
        <v>36</v>
      </c>
      <c r="X667" s="21">
        <f>W667/0.7+K667+T667</f>
        <v>51.4285714285714</v>
      </c>
    </row>
    <row r="668" ht="15.6" hidden="1" spans="1:24">
      <c r="A668" s="6">
        <v>110</v>
      </c>
      <c r="B668" s="29" t="s">
        <v>475</v>
      </c>
      <c r="C668" s="29" t="s">
        <v>11</v>
      </c>
      <c r="D668" s="6">
        <v>12.5</v>
      </c>
      <c r="E668" s="40">
        <f>LOOKUP(D668,{0,-4,-3,-2,-1,0,1,2.4,3.8,5.2,6.6,8,9.4,10.8,12.2,13.6,15,17.2,19.4,21.5,23.6},{0,10,20,30,40,50,60,62,64,66,68,70,72,74,76,78,80,85,90,95,100})</f>
        <v>76</v>
      </c>
      <c r="F668" s="6">
        <v>238</v>
      </c>
      <c r="G668" s="40">
        <f>LOOKUP(F668,{0,170,175,180,185,190,195,199,203,207,211,215,219,223,227,231,235,243,250,255,260},{0,10,20,30,40,50,60,62,64,66,68,70,72,74,76,78,80,85,90,95,100})</f>
        <v>80</v>
      </c>
      <c r="H668" s="6">
        <v>3</v>
      </c>
      <c r="I668" s="40">
        <f>LOOKUP(H668,{0,2,3,4,5,6,7,8,9,10,11,12,13,14,15,16},{0,10,20,30,40,50,60,64,68,72,76,80,85,90,95,100})</f>
        <v>20</v>
      </c>
      <c r="J668" s="7"/>
      <c r="K668" s="7"/>
      <c r="L668" s="7">
        <f>I668+K668</f>
        <v>20</v>
      </c>
      <c r="N668" s="43"/>
      <c r="O668" s="40"/>
      <c r="P668" s="6">
        <v>3.43</v>
      </c>
      <c r="Q668" s="6">
        <f>10-P668</f>
        <v>6.57</v>
      </c>
      <c r="R668" s="40">
        <f>LOOKUP(Q668,{0,3.75,3.95,4.55,4.75,4.95,5.55,5.6,5.65,5.7,5.75,5.8,5.85,5.9,5.95,6,6.45,6.53,6.6,6.65,6.7},{0,10,20,30,40,50,60,62,64,66,68,70,72,74,76,78,80,85,90,95,100})</f>
        <v>85</v>
      </c>
      <c r="S668" s="7"/>
      <c r="T668" s="7"/>
      <c r="U668" s="7">
        <f>R668+T668</f>
        <v>85</v>
      </c>
      <c r="W668" s="7">
        <f>E668*0.1+G668*0.1+I668*0.1+O668*0.2+R668*0.2</f>
        <v>34.6</v>
      </c>
      <c r="X668" s="27">
        <v>50</v>
      </c>
    </row>
    <row r="669" ht="15.6" hidden="1" spans="1:24">
      <c r="A669" s="6">
        <v>101</v>
      </c>
      <c r="B669" s="29" t="s">
        <v>24</v>
      </c>
      <c r="C669" s="29" t="s">
        <v>11</v>
      </c>
      <c r="D669" s="6">
        <v>21.5</v>
      </c>
      <c r="E669" s="40">
        <f>LOOKUP(D669,{0,-4,-3,-2,-1,0,1,2.4,3.8,5.2,6.6,8,9.4,10.8,12.2,13.6,15,17.2,19.4,21.5,23.6},{0,10,20,30,40,50,60,62,64,66,68,70,72,74,76,78,80,85,90,95,100})</f>
        <v>95</v>
      </c>
      <c r="F669" s="6">
        <v>281</v>
      </c>
      <c r="G669" s="40">
        <f>LOOKUP(F669,{0,170,175,180,185,190,195,199,203,207,211,215,219,223,227,231,235,243,250,255,260},{0,10,20,30,40,50,60,62,64,66,68,70,72,74,76,78,80,85,90,95,100})</f>
        <v>100</v>
      </c>
      <c r="H669" s="6">
        <v>22</v>
      </c>
      <c r="I669" s="40">
        <f>LOOKUP(H669,{0,2,3,4,5,6,7,8,9,10,11,12,13,14,15,16},{0,10,20,30,40,50,60,64,68,72,76,80,85,90,95,100})</f>
        <v>100</v>
      </c>
      <c r="J669" s="7">
        <f>H669-16</f>
        <v>6</v>
      </c>
      <c r="K669" s="40">
        <f>LOOKUP(J669,{0,1,2,3,4,5,6,7,8,9,10},{0,1,2,3,4,5,6,7,8,9,10})</f>
        <v>6</v>
      </c>
      <c r="L669" s="7">
        <f>I669+K669</f>
        <v>106</v>
      </c>
      <c r="N669" s="43"/>
      <c r="O669" s="40"/>
      <c r="P669" s="6">
        <v>3.46</v>
      </c>
      <c r="Q669" s="6">
        <f>10-P669</f>
        <v>6.54</v>
      </c>
      <c r="R669" s="40">
        <f>LOOKUP(Q669,{0,3.75,3.95,4.55,4.75,4.95,5.55,5.6,5.65,5.7,5.75,5.8,5.85,5.9,5.95,6,6.45,6.53,6.6,6.65,6.7},{0,10,20,30,40,50,60,62,64,66,68,70,72,74,76,78,80,85,90,95,100})</f>
        <v>85</v>
      </c>
      <c r="S669" s="7"/>
      <c r="T669" s="7"/>
      <c r="U669" s="7">
        <f>R669+T669</f>
        <v>85</v>
      </c>
      <c r="W669" s="7">
        <f>E669*0.1+G669*0.1+I669*0.1+O669*0.2+R669*0.2</f>
        <v>46.5</v>
      </c>
      <c r="X669" s="21">
        <f>W669/0.7+K669+T669</f>
        <v>72.4285714285714</v>
      </c>
    </row>
    <row r="670" ht="15.6" spans="1:24">
      <c r="A670" s="6">
        <v>113</v>
      </c>
      <c r="B670" s="29" t="s">
        <v>670</v>
      </c>
      <c r="C670" s="29" t="s">
        <v>46</v>
      </c>
      <c r="D670" s="6">
        <v>12</v>
      </c>
      <c r="E670" s="40">
        <f>LOOKUP(D670,{0,0.4,1.2,2,2.8,3.6,4.4,5.7,7,8.3,9.6,10.9,12.2,13.5,14.8,16.1,17.4,19.1,20.8,22.5,24.2},{0,10,20,30,40,50,60,62,64,66,68,70,72,74,76,78,80,85,90,95,100})</f>
        <v>70</v>
      </c>
      <c r="F670" s="6">
        <v>170</v>
      </c>
      <c r="G670" s="40">
        <f>LOOKUP(F670,{0,123,128,133,138,143,148,151,154,157,160,163,166,169,172,175,178,185,192,198,204},{0,10,20,30,40,50,60,62,64,66,68,70,72,74,76,78,80,85,90,95,100})</f>
        <v>74</v>
      </c>
      <c r="H670" s="6">
        <v>33</v>
      </c>
      <c r="I670" s="40">
        <f>LOOKUP(H670,{0,13,15,17,19,21,23,25,27,29,31,33,35,37,39,41,43,46,49,51,53},{0,10,20,30,40,50,60,62,64,66,68,70,72,74,76,78,80,85,90,95,100})</f>
        <v>70</v>
      </c>
      <c r="J670" s="45"/>
      <c r="K670" s="45"/>
      <c r="L670" s="7">
        <f>I670+K670</f>
        <v>70</v>
      </c>
      <c r="M670" s="6">
        <v>9.8</v>
      </c>
      <c r="N670" s="43">
        <f>13-M670</f>
        <v>3.2</v>
      </c>
      <c r="O670" s="40">
        <f>LOOKUP(N670,{0,1.4,1.6,1.8,2,2.2,2.4,2.6,2.8,3,3.2,3.4,3.6,3.8,4,4.2,4.4,4.7,5,5.1,5.2},{0,10,20,30,40,50,60,62,64,66,68,70,72,74,76,78,80,85,90,95,100})</f>
        <v>68</v>
      </c>
      <c r="P670" s="6">
        <v>4.2</v>
      </c>
      <c r="Q670" s="6">
        <f>10-P670</f>
        <v>5.8</v>
      </c>
      <c r="R670" s="40">
        <f>LOOKUP(Q670,{0,4.7,4.8,4.9,5,5.5,5.6,5.65,5.7,5.75,5.8,5.85,5.9,5.95,6,6.45,6.5,6.57,6.64,6.7,6.76},{0,10,20,30,40,50,60,62,64,66,68,70,72,74,76,78,80,85,90,95,100})</f>
        <v>68</v>
      </c>
      <c r="S670" s="45"/>
      <c r="T670" s="45"/>
      <c r="U670" s="7">
        <f>R670+T670</f>
        <v>68</v>
      </c>
      <c r="W670" s="7">
        <f>E670*0.1+G670*0.1+I670*0.1+O670*0.2+R670*0.2</f>
        <v>48.6</v>
      </c>
      <c r="X670" s="21">
        <f>W670/0.7+K670+T670</f>
        <v>69.4285714285714</v>
      </c>
    </row>
    <row r="671" ht="15.6" spans="1:24">
      <c r="A671" s="6">
        <v>102</v>
      </c>
      <c r="B671" s="29" t="s">
        <v>104</v>
      </c>
      <c r="C671" s="29" t="s">
        <v>46</v>
      </c>
      <c r="D671" s="6">
        <v>17.5</v>
      </c>
      <c r="E671" s="40">
        <f>LOOKUP(D671,{0,0.4,1.2,2,2.8,3.6,4.4,5.7,7,8.3,9.6,10.9,12.2,13.5,14.8,16.1,17.4,19.1,20.8,22.5,24.2},{0,10,20,30,40,50,60,62,64,66,68,70,72,74,76,78,80,85,90,95,100})</f>
        <v>80</v>
      </c>
      <c r="F671" s="6">
        <v>210</v>
      </c>
      <c r="G671" s="40">
        <f>LOOKUP(F671,{0,123,128,133,138,143,148,151,154,157,160,163,166,169,172,175,178,185,192,198,204},{0,10,20,30,40,50,60,62,64,66,68,70,72,74,76,78,80,85,90,95,100})</f>
        <v>100</v>
      </c>
      <c r="H671" s="6">
        <v>50</v>
      </c>
      <c r="I671" s="40">
        <f>LOOKUP(H671,{0,13,15,17,19,21,23,25,27,29,31,33,35,37,39,41,43,46,49,51,53},{0,10,20,30,40,50,60,62,64,66,68,70,72,74,76,78,80,85,90,95,100})</f>
        <v>90</v>
      </c>
      <c r="J671" s="45"/>
      <c r="K671" s="45"/>
      <c r="L671" s="7">
        <f>I671+K671</f>
        <v>90</v>
      </c>
      <c r="N671" s="43"/>
      <c r="O671" s="40"/>
      <c r="P671" s="6">
        <v>3.1</v>
      </c>
      <c r="Q671" s="6">
        <f>10-P671</f>
        <v>6.9</v>
      </c>
      <c r="R671" s="40">
        <f>LOOKUP(Q671,{0,4.7,4.8,4.9,5,5.5,5.6,5.65,5.7,5.75,5.8,5.85,5.9,5.95,6,6.45,6.5,6.57,6.64,6.7,6.76},{0,10,20,30,40,50,60,62,64,66,68,70,72,74,76,78,80,85,90,95,100})</f>
        <v>100</v>
      </c>
      <c r="S671" s="48">
        <f>3.24-P671</f>
        <v>0.14</v>
      </c>
      <c r="T671" s="40">
        <f>LOOKUP(S671,{0,0.05,0.1,0.15,0.2,0.25,0.3,0.35,0.4,0.45,0.5},{0,1,2,3,4,5,6,7,8,9,10})</f>
        <v>2</v>
      </c>
      <c r="U671" s="7">
        <f>R671+T671</f>
        <v>102</v>
      </c>
      <c r="W671" s="7">
        <f>E671*0.1+G671*0.1+I671*0.1+O671*0.2+R671*0.2</f>
        <v>47</v>
      </c>
      <c r="X671" s="21">
        <f>W671/0.7+K671+T671</f>
        <v>69.1428571428572</v>
      </c>
    </row>
    <row r="672" ht="15.6" spans="1:24">
      <c r="A672" s="6">
        <v>113</v>
      </c>
      <c r="B672" s="29" t="s">
        <v>651</v>
      </c>
      <c r="C672" s="29" t="s">
        <v>46</v>
      </c>
      <c r="D672" s="6">
        <v>11.5</v>
      </c>
      <c r="E672" s="40">
        <f>LOOKUP(D672,{0,0.4,1.2,2,2.8,3.6,4.4,5.7,7,8.3,9.6,10.9,12.2,13.5,14.8,16.1,17.4,19.1,20.8,22.5,24.2},{0,10,20,30,40,50,60,62,64,66,68,70,72,74,76,78,80,85,90,95,100})</f>
        <v>70</v>
      </c>
      <c r="F672" s="6">
        <v>152</v>
      </c>
      <c r="G672" s="40">
        <f>LOOKUP(F672,{0,123,128,133,138,143,148,151,154,157,160,163,166,169,172,175,178,185,192,198,204},{0,10,20,30,40,50,60,62,64,66,68,70,72,74,76,78,80,85,90,95,100})</f>
        <v>62</v>
      </c>
      <c r="H672" s="6">
        <v>34</v>
      </c>
      <c r="I672" s="40">
        <f>LOOKUP(H672,{0,13,15,17,19,21,23,25,27,29,31,33,35,37,39,41,43,46,49,51,53},{0,10,20,30,40,50,60,62,64,66,68,70,72,74,76,78,80,85,90,95,100})</f>
        <v>70</v>
      </c>
      <c r="J672" s="45"/>
      <c r="K672" s="45"/>
      <c r="L672" s="7">
        <f>I672+K672</f>
        <v>70</v>
      </c>
      <c r="M672" s="6">
        <v>9.3</v>
      </c>
      <c r="N672" s="43">
        <f>13-M672</f>
        <v>3.7</v>
      </c>
      <c r="O672" s="40">
        <f>LOOKUP(N672,{0,1.4,1.6,1.8,2,2.2,2.4,2.6,2.8,3,3.2,3.4,3.6,3.8,4,4.2,4.4,4.7,5,5.1,5.2},{0,10,20,30,40,50,60,62,64,66,68,70,72,74,76,78,80,85,90,95,100})</f>
        <v>72</v>
      </c>
      <c r="P672" s="6">
        <v>4.2</v>
      </c>
      <c r="Q672" s="6">
        <f>10-P672</f>
        <v>5.8</v>
      </c>
      <c r="R672" s="40">
        <f>LOOKUP(Q672,{0,4.7,4.8,4.9,5,5.5,5.6,5.65,5.7,5.75,5.8,5.85,5.9,5.95,6,6.45,6.5,6.57,6.64,6.7,6.76},{0,10,20,30,40,50,60,62,64,66,68,70,72,74,76,78,80,85,90,95,100})</f>
        <v>68</v>
      </c>
      <c r="S672" s="45"/>
      <c r="T672" s="45"/>
      <c r="U672" s="7">
        <f>R672+T672</f>
        <v>68</v>
      </c>
      <c r="W672" s="7">
        <f>E672*0.1+G672*0.1+I672*0.1+O672*0.2+R672*0.2</f>
        <v>48.2</v>
      </c>
      <c r="X672" s="21">
        <f>W672/0.7+K672+T672</f>
        <v>68.8571428571429</v>
      </c>
    </row>
    <row r="673" ht="15.6" spans="1:24">
      <c r="A673" s="6">
        <v>107</v>
      </c>
      <c r="B673" s="29" t="s">
        <v>336</v>
      </c>
      <c r="C673" s="29" t="s">
        <v>46</v>
      </c>
      <c r="D673" s="6">
        <v>23.5</v>
      </c>
      <c r="E673" s="40">
        <f>LOOKUP(D673,{0,0.4,1.2,2,2.8,3.6,4.4,5.7,7,8.3,9.6,10.9,12.2,13.5,14.8,16.1,17.4,19.1,20.8,22.5,24.2},{0,10,20,30,40,50,60,62,64,66,68,70,72,74,76,78,80,85,90,95,100})</f>
        <v>95</v>
      </c>
      <c r="F673" s="6">
        <v>1.92</v>
      </c>
      <c r="G673" s="40">
        <f>LOOKUP(F673,{0,123,128,133,138,143,148,151,154,157,160,163,166,169,172,175,178,185,192,198,204},{0,10,20,30,40,50,60,62,64,66,68,70,72,74,76,78,80,85,90,95,100})</f>
        <v>0</v>
      </c>
      <c r="H673" s="6">
        <v>34</v>
      </c>
      <c r="I673" s="40">
        <f>LOOKUP(H673,{0,13,15,17,19,21,23,25,27,29,31,33,35,37,39,41,43,46,49,51,53},{0,10,20,30,40,50,60,62,64,66,68,70,72,74,76,78,80,85,90,95,100})</f>
        <v>70</v>
      </c>
      <c r="J673" s="45"/>
      <c r="K673" s="45"/>
      <c r="L673" s="7">
        <f>I673+K673</f>
        <v>70</v>
      </c>
      <c r="M673" s="6">
        <v>8.8</v>
      </c>
      <c r="N673" s="43">
        <f>13-M673</f>
        <v>4.2</v>
      </c>
      <c r="O673" s="40">
        <f>LOOKUP(N673,{0,1.4,1.6,1.8,2,2.2,2.4,2.6,2.8,3,3.2,3.4,3.6,3.8,4,4.2,4.4,4.7,5,5.1,5.2},{0,10,20,30,40,50,60,62,64,66,68,70,72,74,76,78,80,85,90,95,100})</f>
        <v>78</v>
      </c>
      <c r="P673" s="6">
        <v>3.48</v>
      </c>
      <c r="Q673" s="6">
        <f>10-P673</f>
        <v>6.52</v>
      </c>
      <c r="R673" s="40">
        <f>LOOKUP(Q673,{0,4.7,4.8,4.9,5,5.5,5.6,5.65,5.7,5.75,5.8,5.85,5.9,5.95,6,6.45,6.5,6.57,6.64,6.7,6.76},{0,10,20,30,40,50,60,62,64,66,68,70,72,74,76,78,80,85,90,95,100})</f>
        <v>80</v>
      </c>
      <c r="S673" s="45"/>
      <c r="T673" s="45"/>
      <c r="U673" s="7">
        <f>R673+T673</f>
        <v>80</v>
      </c>
      <c r="W673" s="7">
        <f>E673*0.1+G673*0.1+I673*0.1+O673*0.2+R673*0.2</f>
        <v>48.1</v>
      </c>
      <c r="X673" s="21">
        <f>W673/0.7+K673+T673</f>
        <v>68.7142857142857</v>
      </c>
    </row>
    <row r="674" ht="15.6" spans="1:24">
      <c r="A674" s="6">
        <v>110</v>
      </c>
      <c r="B674" s="29" t="s">
        <v>502</v>
      </c>
      <c r="C674" s="29" t="s">
        <v>46</v>
      </c>
      <c r="D674" s="6">
        <v>11</v>
      </c>
      <c r="E674" s="40">
        <f>LOOKUP(D674,{0,0.4,1.2,2,2.8,3.6,4.4,5.7,7,8.3,9.6,10.9,12.2,13.5,14.8,16.1,17.4,19.1,20.8,22.5,24.2},{0,10,20,30,40,50,60,62,64,66,68,70,72,74,76,78,80,85,90,95,100})</f>
        <v>70</v>
      </c>
      <c r="F674" s="6">
        <v>145</v>
      </c>
      <c r="G674" s="40">
        <f>LOOKUP(F674,{0,123,128,133,138,143,148,151,154,157,160,163,166,169,172,175,178,185,192,198,204},{0,10,20,30,40,50,60,62,64,66,68,70,72,74,76,78,80,85,90,95,100})</f>
        <v>50</v>
      </c>
      <c r="H674" s="6">
        <v>47</v>
      </c>
      <c r="I674" s="40">
        <f>LOOKUP(H674,{0,13,15,17,19,21,23,25,27,29,31,33,35,37,39,41,43,46,49,51,53},{0,10,20,30,40,50,60,62,64,66,68,70,72,74,76,78,80,85,90,95,100})</f>
        <v>85</v>
      </c>
      <c r="J674" s="45"/>
      <c r="K674" s="45"/>
      <c r="L674" s="7">
        <f>I674+K674</f>
        <v>85</v>
      </c>
      <c r="M674" s="6">
        <v>9.7</v>
      </c>
      <c r="N674" s="43">
        <f>13-M674</f>
        <v>3.3</v>
      </c>
      <c r="O674" s="40">
        <f>LOOKUP(N674,{0,1.4,1.6,1.8,2,2.2,2.4,2.6,2.8,3,3.2,3.4,3.6,3.8,4,4.2,4.4,4.7,5,5.1,5.2},{0,10,20,30,40,50,60,62,64,66,68,70,72,74,76,78,80,85,90,95,100})</f>
        <v>68</v>
      </c>
      <c r="P674" s="6">
        <v>4.19</v>
      </c>
      <c r="Q674" s="6">
        <f>10-P674</f>
        <v>5.81</v>
      </c>
      <c r="R674" s="40">
        <f>LOOKUP(Q674,{0,4.7,4.8,4.9,5,5.5,5.6,5.65,5.7,5.75,5.8,5.85,5.9,5.95,6,6.45,6.5,6.57,6.64,6.7,6.76},{0,10,20,30,40,50,60,62,64,66,68,70,72,74,76,78,80,85,90,95,100})</f>
        <v>68</v>
      </c>
      <c r="S674" s="45"/>
      <c r="T674" s="45"/>
      <c r="U674" s="7">
        <f>R674+T674</f>
        <v>68</v>
      </c>
      <c r="W674" s="7">
        <f>E674*0.1+G674*0.1+I674*0.1+O674*0.2+R674*0.2</f>
        <v>47.7</v>
      </c>
      <c r="X674" s="21">
        <f>W674/0.7+K674+T674</f>
        <v>68.1428571428572</v>
      </c>
    </row>
    <row r="675" ht="15.6" spans="1:24">
      <c r="A675" s="6">
        <v>101</v>
      </c>
      <c r="B675" s="29" t="s">
        <v>57</v>
      </c>
      <c r="C675" s="29" t="s">
        <v>46</v>
      </c>
      <c r="D675" s="6">
        <v>15.2</v>
      </c>
      <c r="E675" s="40">
        <f>LOOKUP(D675,{0,0.4,1.2,2,2.8,3.6,4.4,5.7,7,8.3,9.6,10.9,12.2,13.5,14.8,16.1,17.4,19.1,20.8,22.5,24.2},{0,10,20,30,40,50,60,62,64,66,68,70,72,74,76,78,80,85,90,95,100})</f>
        <v>76</v>
      </c>
      <c r="F675" s="6">
        <v>165</v>
      </c>
      <c r="G675" s="40">
        <f>LOOKUP(F675,{0,123,128,133,138,143,148,151,154,157,160,163,166,169,172,175,178,185,192,198,204},{0,10,20,30,40,50,60,62,64,66,68,70,72,74,76,78,80,85,90,95,100})</f>
        <v>70</v>
      </c>
      <c r="H675" s="6">
        <v>41</v>
      </c>
      <c r="I675" s="40">
        <f>LOOKUP(H675,{0,13,15,17,19,21,23,25,27,29,31,33,35,37,39,41,43,46,49,51,53},{0,10,20,30,40,50,60,62,64,66,68,70,72,74,76,78,80,85,90,95,100})</f>
        <v>78</v>
      </c>
      <c r="J675" s="45"/>
      <c r="K675" s="45"/>
      <c r="L675" s="7">
        <f>I675+K675</f>
        <v>78</v>
      </c>
      <c r="M675" s="6">
        <v>10.1</v>
      </c>
      <c r="N675" s="43">
        <f>13-M675</f>
        <v>2.9</v>
      </c>
      <c r="O675" s="40">
        <f>LOOKUP(N675,{0,1.4,1.6,1.8,2,2.2,2.4,2.6,2.8,3,3.2,3.4,3.6,3.8,4,4.2,4.4,4.7,5,5.1,5.2},{0,10,20,30,40,50,60,62,64,66,68,70,72,74,76,78,80,85,90,95,100})</f>
        <v>64</v>
      </c>
      <c r="P675" s="6">
        <v>4.32</v>
      </c>
      <c r="Q675" s="6">
        <f>10-P675</f>
        <v>5.68</v>
      </c>
      <c r="R675" s="40">
        <f>LOOKUP(Q675,{0,4.7,4.8,4.9,5,5.5,5.6,5.65,5.7,5.75,5.8,5.85,5.9,5.95,6,6.45,6.5,6.57,6.64,6.7,6.76},{0,10,20,30,40,50,60,62,64,66,68,70,72,74,76,78,80,85,90,95,100})</f>
        <v>62</v>
      </c>
      <c r="S675" s="45"/>
      <c r="T675" s="45"/>
      <c r="U675" s="7">
        <f>R675+T675</f>
        <v>62</v>
      </c>
      <c r="W675" s="7">
        <f>E675*0.1+G675*0.1+I675*0.1+O675*0.2+R675*0.2</f>
        <v>47.6</v>
      </c>
      <c r="X675" s="21">
        <f>W675/0.7+K675+T675</f>
        <v>68</v>
      </c>
    </row>
    <row r="676" ht="15.6" spans="1:24">
      <c r="A676" s="6">
        <v>102</v>
      </c>
      <c r="B676" s="29" t="s">
        <v>110</v>
      </c>
      <c r="C676" s="29" t="s">
        <v>46</v>
      </c>
      <c r="D676" s="6">
        <v>4</v>
      </c>
      <c r="E676" s="40">
        <f>LOOKUP(D676,{0,0.4,1.2,2,2.8,3.6,4.4,5.7,7,8.3,9.6,10.9,12.2,13.5,14.8,16.1,17.4,19.1,20.8,22.5,24.2},{0,10,20,30,40,50,60,62,64,66,68,70,72,74,76,78,80,85,90,95,100})</f>
        <v>50</v>
      </c>
      <c r="F676" s="6">
        <v>165</v>
      </c>
      <c r="G676" s="40">
        <f>LOOKUP(F676,{0,123,128,133,138,143,148,151,154,157,160,163,166,169,172,175,178,185,192,198,204},{0,10,20,30,40,50,60,62,64,66,68,70,72,74,76,78,80,85,90,95,100})</f>
        <v>70</v>
      </c>
      <c r="H676" s="6">
        <v>49</v>
      </c>
      <c r="I676" s="40">
        <f>LOOKUP(H676,{0,13,15,17,19,21,23,25,27,29,31,33,35,37,39,41,43,46,49,51,53},{0,10,20,30,40,50,60,62,64,66,68,70,72,74,76,78,80,85,90,95,100})</f>
        <v>90</v>
      </c>
      <c r="J676" s="45"/>
      <c r="K676" s="45"/>
      <c r="L676" s="7">
        <f>I676+K676</f>
        <v>90</v>
      </c>
      <c r="M676" s="6">
        <v>10.5</v>
      </c>
      <c r="N676" s="43">
        <f>13-M676</f>
        <v>2.5</v>
      </c>
      <c r="O676" s="40">
        <f>LOOKUP(N676,{0,1.4,1.6,1.8,2,2.2,2.4,2.6,2.8,3,3.2,3.4,3.6,3.8,4,4.2,4.4,4.7,5,5.1,5.2},{0,10,20,30,40,50,60,62,64,66,68,70,72,74,76,78,80,85,90,95,100})</f>
        <v>60</v>
      </c>
      <c r="P676" s="6">
        <v>4.07</v>
      </c>
      <c r="Q676" s="6">
        <f>10-P676</f>
        <v>5.93</v>
      </c>
      <c r="R676" s="40">
        <f>LOOKUP(Q676,{0,4.7,4.8,4.9,5,5.5,5.6,5.65,5.7,5.75,5.8,5.85,5.9,5.95,6,6.45,6.5,6.57,6.64,6.7,6.76},{0,10,20,30,40,50,60,62,64,66,68,70,72,74,76,78,80,85,90,95,100})</f>
        <v>72</v>
      </c>
      <c r="S676" s="45"/>
      <c r="T676" s="45"/>
      <c r="U676" s="7">
        <f>R676+T676</f>
        <v>72</v>
      </c>
      <c r="W676" s="7">
        <f>E676*0.1+G676*0.1+I676*0.1+O676*0.2+R676*0.2</f>
        <v>47.4</v>
      </c>
      <c r="X676" s="21">
        <f>W676/0.7+K676+T676</f>
        <v>67.7142857142857</v>
      </c>
    </row>
    <row r="677" ht="15.6" spans="1:24">
      <c r="A677" s="6">
        <v>110</v>
      </c>
      <c r="B677" s="29" t="s">
        <v>493</v>
      </c>
      <c r="C677" s="29" t="s">
        <v>46</v>
      </c>
      <c r="D677" s="6">
        <v>15</v>
      </c>
      <c r="E677" s="40">
        <f>LOOKUP(D677,{0,0.4,1.2,2,2.8,3.6,4.4,5.7,7,8.3,9.6,10.9,12.2,13.5,14.8,16.1,17.4,19.1,20.8,22.5,24.2},{0,10,20,30,40,50,60,62,64,66,68,70,72,74,76,78,80,85,90,95,100})</f>
        <v>76</v>
      </c>
      <c r="F677" s="6">
        <v>160</v>
      </c>
      <c r="G677" s="40">
        <f>LOOKUP(F677,{0,123,128,133,138,143,148,151,154,157,160,163,166,169,172,175,178,185,192,198,204},{0,10,20,30,40,50,60,62,64,66,68,70,72,74,76,78,80,85,90,95,100})</f>
        <v>68</v>
      </c>
      <c r="H677" s="6">
        <v>44</v>
      </c>
      <c r="I677" s="40">
        <f>LOOKUP(H677,{0,13,15,17,19,21,23,25,27,29,31,33,35,37,39,41,43,46,49,51,53},{0,10,20,30,40,50,60,62,64,66,68,70,72,74,76,78,80,85,90,95,100})</f>
        <v>80</v>
      </c>
      <c r="J677" s="45"/>
      <c r="K677" s="45"/>
      <c r="L677" s="7">
        <f>I677+K677</f>
        <v>80</v>
      </c>
      <c r="M677" s="6">
        <v>10.4</v>
      </c>
      <c r="N677" s="43">
        <f>13-M677</f>
        <v>2.6</v>
      </c>
      <c r="O677" s="40">
        <f>LOOKUP(N677,{0,1.4,1.6,1.8,2,2.2,2.4,2.6,2.8,3,3.2,3.4,3.6,3.8,4,4.2,4.4,4.7,5,5.1,5.2},{0,10,20,30,40,50,60,62,64,66,68,70,72,74,76,78,80,85,90,95,100})</f>
        <v>62</v>
      </c>
      <c r="P677" s="6">
        <v>4.32</v>
      </c>
      <c r="Q677" s="6">
        <f>10-P677</f>
        <v>5.68</v>
      </c>
      <c r="R677" s="40">
        <f>LOOKUP(Q677,{0,4.7,4.8,4.9,5,5.5,5.6,5.65,5.7,5.75,5.8,5.85,5.9,5.95,6,6.45,6.5,6.57,6.64,6.7,6.76},{0,10,20,30,40,50,60,62,64,66,68,70,72,74,76,78,80,85,90,95,100})</f>
        <v>62</v>
      </c>
      <c r="S677" s="45"/>
      <c r="T677" s="45"/>
      <c r="U677" s="7">
        <f>R677+T677</f>
        <v>62</v>
      </c>
      <c r="W677" s="7">
        <f>E677*0.1+G677*0.1+I677*0.1+O677*0.2+R677*0.2</f>
        <v>47.2</v>
      </c>
      <c r="X677" s="21">
        <f>W677/0.7+K677+T677</f>
        <v>67.4285714285714</v>
      </c>
    </row>
    <row r="678" ht="15.6" spans="1:24">
      <c r="A678" s="6">
        <v>113</v>
      </c>
      <c r="B678" s="29" t="s">
        <v>660</v>
      </c>
      <c r="C678" s="29" t="s">
        <v>46</v>
      </c>
      <c r="D678" s="6">
        <v>12.5</v>
      </c>
      <c r="E678" s="40">
        <f>LOOKUP(D678,{0,0.4,1.2,2,2.8,3.6,4.4,5.7,7,8.3,9.6,10.9,12.2,13.5,14.8,16.1,17.4,19.1,20.8,22.5,24.2},{0,10,20,30,40,50,60,62,64,66,68,70,72,74,76,78,80,85,90,95,100})</f>
        <v>72</v>
      </c>
      <c r="F678" s="6">
        <v>130</v>
      </c>
      <c r="G678" s="40">
        <f>LOOKUP(F678,{0,123,128,133,138,143,148,151,154,157,160,163,166,169,172,175,178,185,192,198,204},{0,10,20,30,40,50,60,62,64,66,68,70,72,74,76,78,80,85,90,95,100})</f>
        <v>20</v>
      </c>
      <c r="H678" s="6">
        <v>51</v>
      </c>
      <c r="I678" s="40">
        <f>LOOKUP(H678,{0,13,15,17,19,21,23,25,27,29,31,33,35,37,39,41,43,46,49,51,53},{0,10,20,30,40,50,60,62,64,66,68,70,72,74,76,78,80,85,90,95,100})</f>
        <v>95</v>
      </c>
      <c r="J678" s="45"/>
      <c r="K678" s="45"/>
      <c r="L678" s="7">
        <f>I678+K678</f>
        <v>95</v>
      </c>
      <c r="M678" s="6">
        <v>10.4</v>
      </c>
      <c r="N678" s="43">
        <f>13-M678</f>
        <v>2.6</v>
      </c>
      <c r="O678" s="40">
        <f>LOOKUP(N678,{0,1.4,1.6,1.8,2,2.2,2.4,2.6,2.8,3,3.2,3.4,3.6,3.8,4,4.2,4.4,4.7,5,5.1,5.2},{0,10,20,30,40,50,60,62,64,66,68,70,72,74,76,78,80,85,90,95,100})</f>
        <v>62</v>
      </c>
      <c r="P678" s="6">
        <v>3.5</v>
      </c>
      <c r="Q678" s="6">
        <f>10-P678</f>
        <v>6.5</v>
      </c>
      <c r="R678" s="40">
        <f>LOOKUP(Q678,{0,4.7,4.8,4.9,5,5.5,5.6,5.65,5.7,5.75,5.8,5.85,5.9,5.95,6,6.45,6.5,6.57,6.64,6.7,6.76},{0,10,20,30,40,50,60,62,64,66,68,70,72,74,76,78,80,85,90,95,100})</f>
        <v>80</v>
      </c>
      <c r="S678" s="45"/>
      <c r="T678" s="45"/>
      <c r="U678" s="7">
        <f>R678+T678</f>
        <v>80</v>
      </c>
      <c r="W678" s="7">
        <f>E678*0.1+G678*0.1+I678*0.1+O678*0.2+R678*0.2</f>
        <v>47.1</v>
      </c>
      <c r="X678" s="21">
        <f>W678/0.7+K678+T678</f>
        <v>67.2857142857143</v>
      </c>
    </row>
    <row r="679" ht="15.6" spans="1:24">
      <c r="A679" s="6">
        <v>112</v>
      </c>
      <c r="B679" s="29" t="s">
        <v>618</v>
      </c>
      <c r="C679" s="29" t="s">
        <v>46</v>
      </c>
      <c r="D679" s="6">
        <v>17</v>
      </c>
      <c r="E679" s="40">
        <f>LOOKUP(D679,{0,0.4,1.2,2,2.8,3.6,4.4,5.7,7,8.3,9.6,10.9,12.2,13.5,14.8,16.1,17.4,19.1,20.8,22.5,24.2},{0,10,20,30,40,50,60,62,64,66,68,70,72,74,76,78,80,85,90,95,100})</f>
        <v>78</v>
      </c>
      <c r="F679" s="6">
        <v>155</v>
      </c>
      <c r="G679" s="40">
        <f>LOOKUP(F679,{0,123,128,133,138,143,148,151,154,157,160,163,166,169,172,175,178,185,192,198,204},{0,10,20,30,40,50,60,62,64,66,68,70,72,74,76,78,80,85,90,95,100})</f>
        <v>64</v>
      </c>
      <c r="H679" s="6">
        <v>50</v>
      </c>
      <c r="I679" s="40">
        <f>LOOKUP(H679,{0,13,15,17,19,21,23,25,27,29,31,33,35,37,39,41,43,46,49,51,53},{0,10,20,30,40,50,60,62,64,66,68,70,72,74,76,78,80,85,90,95,100})</f>
        <v>90</v>
      </c>
      <c r="J679" s="45"/>
      <c r="K679" s="45"/>
      <c r="L679" s="7">
        <f>I679+K679</f>
        <v>90</v>
      </c>
      <c r="M679" s="6">
        <v>10</v>
      </c>
      <c r="N679" s="43">
        <f>13-M679</f>
        <v>3</v>
      </c>
      <c r="O679" s="40">
        <f>LOOKUP(N679,{0,1.4,1.6,1.8,2,2.2,2.4,2.6,2.8,3,3.2,3.4,3.6,3.8,4,4.2,4.4,4.7,5,5.1,5.2},{0,10,20,30,40,50,60,62,64,66,68,70,72,74,76,78,80,85,90,95,100})</f>
        <v>66</v>
      </c>
      <c r="P679" s="6">
        <v>4.5</v>
      </c>
      <c r="Q679" s="6">
        <f>10-P679</f>
        <v>5.5</v>
      </c>
      <c r="R679" s="40">
        <f>LOOKUP(Q679,{0,4.7,4.8,4.9,5,5.5,5.6,5.65,5.7,5.75,5.8,5.85,5.9,5.95,6,6.45,6.5,6.57,6.64,6.7,6.76},{0,10,20,30,40,50,60,62,64,66,68,70,72,74,76,78,80,85,90,95,100})</f>
        <v>50</v>
      </c>
      <c r="S679" s="45"/>
      <c r="T679" s="45"/>
      <c r="U679" s="7">
        <f>R679+T679</f>
        <v>50</v>
      </c>
      <c r="W679" s="7">
        <f>E679*0.1+G679*0.1+I679*0.1+O679*0.2+R679*0.2</f>
        <v>46.4</v>
      </c>
      <c r="X679" s="21">
        <f>W679/0.7+K679+T679</f>
        <v>66.2857142857143</v>
      </c>
    </row>
    <row r="680" ht="15.6" spans="1:24">
      <c r="A680" s="6">
        <v>113</v>
      </c>
      <c r="B680" s="29" t="s">
        <v>652</v>
      </c>
      <c r="C680" s="29" t="s">
        <v>46</v>
      </c>
      <c r="D680" s="6">
        <v>8</v>
      </c>
      <c r="E680" s="40">
        <f>LOOKUP(D680,{0,0.4,1.2,2,2.8,3.6,4.4,5.7,7,8.3,9.6,10.9,12.2,13.5,14.8,16.1,17.4,19.1,20.8,22.5,24.2},{0,10,20,30,40,50,60,62,64,66,68,70,72,74,76,78,80,85,90,95,100})</f>
        <v>64</v>
      </c>
      <c r="F680" s="6">
        <v>135</v>
      </c>
      <c r="G680" s="40">
        <f>LOOKUP(F680,{0,123,128,133,138,143,148,151,154,157,160,163,166,169,172,175,178,185,192,198,204},{0,10,20,30,40,50,60,62,64,66,68,70,72,74,76,78,80,85,90,95,100})</f>
        <v>30</v>
      </c>
      <c r="H680" s="6">
        <v>38</v>
      </c>
      <c r="I680" s="40">
        <f>LOOKUP(H680,{0,13,15,17,19,21,23,25,27,29,31,33,35,37,39,41,43,46,49,51,53},{0,10,20,30,40,50,60,62,64,66,68,70,72,74,76,78,80,85,90,95,100})</f>
        <v>74</v>
      </c>
      <c r="J680" s="45"/>
      <c r="K680" s="45"/>
      <c r="L680" s="7">
        <f>I680+K680</f>
        <v>74</v>
      </c>
      <c r="M680" s="6">
        <v>9.3</v>
      </c>
      <c r="N680" s="43">
        <f>13-M680</f>
        <v>3.7</v>
      </c>
      <c r="O680" s="40">
        <f>LOOKUP(N680,{0,1.4,1.6,1.8,2,2.2,2.4,2.6,2.8,3,3.2,3.4,3.6,3.8,4,4.2,4.4,4.7,5,5.1,5.2},{0,10,20,30,40,50,60,62,64,66,68,70,72,74,76,78,80,85,90,95,100})</f>
        <v>72</v>
      </c>
      <c r="P680" s="6">
        <v>4.05</v>
      </c>
      <c r="Q680" s="6">
        <f>10-P680</f>
        <v>5.95</v>
      </c>
      <c r="R680" s="40">
        <f>LOOKUP(Q680,{0,4.7,4.8,4.9,5,5.5,5.6,5.65,5.7,5.75,5.8,5.85,5.9,5.95,6,6.45,6.5,6.57,6.64,6.7,6.76},{0,10,20,30,40,50,60,62,64,66,68,70,72,74,76,78,80,85,90,95,100})</f>
        <v>74</v>
      </c>
      <c r="S680" s="45"/>
      <c r="T680" s="45"/>
      <c r="U680" s="7">
        <f>R680+T680</f>
        <v>74</v>
      </c>
      <c r="W680" s="7">
        <f>E680*0.1+G680*0.1+I680*0.1+O680*0.2+R680*0.2</f>
        <v>46</v>
      </c>
      <c r="X680" s="21">
        <f>W680/0.7+K680+T680</f>
        <v>65.7142857142857</v>
      </c>
    </row>
    <row r="681" ht="15.6" spans="1:24">
      <c r="A681" s="6">
        <v>111</v>
      </c>
      <c r="B681" s="29" t="s">
        <v>551</v>
      </c>
      <c r="C681" s="29" t="s">
        <v>46</v>
      </c>
      <c r="D681" s="6">
        <v>14</v>
      </c>
      <c r="E681" s="40">
        <f>LOOKUP(D681,{0,0.4,1.2,2,2.8,3.6,4.4,5.7,7,8.3,9.6,10.9,12.2,13.5,14.8,16.1,17.4,19.1,20.8,22.5,24.2},{0,10,20,30,40,50,60,62,64,66,68,70,72,74,76,78,80,85,90,95,100})</f>
        <v>74</v>
      </c>
      <c r="F681" s="6">
        <v>155</v>
      </c>
      <c r="G681" s="40">
        <f>LOOKUP(F681,{0,123,128,133,138,143,148,151,154,157,160,163,166,169,172,175,178,185,192,198,204},{0,10,20,30,40,50,60,62,64,66,68,70,72,74,76,78,80,85,90,95,100})</f>
        <v>64</v>
      </c>
      <c r="H681" s="6">
        <v>30</v>
      </c>
      <c r="I681" s="40">
        <f>LOOKUP(H681,{0,13,15,17,19,21,23,25,27,29,31,33,35,37,39,41,43,46,49,51,53},{0,10,20,30,40,50,60,62,64,66,68,70,72,74,76,78,80,85,90,95,100})</f>
        <v>66</v>
      </c>
      <c r="J681" s="45"/>
      <c r="K681" s="45"/>
      <c r="L681" s="7">
        <f>I681+K681</f>
        <v>66</v>
      </c>
      <c r="M681" s="6">
        <v>10.2</v>
      </c>
      <c r="N681" s="43">
        <f>13-M681</f>
        <v>2.8</v>
      </c>
      <c r="O681" s="40">
        <f>LOOKUP(N681,{0,1.4,1.6,1.8,2,2.2,2.4,2.6,2.8,3,3.2,3.4,3.6,3.8,4,4.2,4.4,4.7,5,5.1,5.2},{0,10,20,30,40,50,60,62,64,66,68,70,72,74,76,78,80,85,90,95,100})</f>
        <v>64</v>
      </c>
      <c r="P681" s="6">
        <v>4.35</v>
      </c>
      <c r="Q681" s="6">
        <f>10-P681</f>
        <v>5.65</v>
      </c>
      <c r="R681" s="40">
        <f>LOOKUP(Q681,{0,4.7,4.8,4.9,5,5.5,5.6,5.65,5.7,5.75,5.8,5.85,5.9,5.95,6,6.45,6.5,6.57,6.64,6.7,6.76},{0,10,20,30,40,50,60,62,64,66,68,70,72,74,76,78,80,85,90,95,100})</f>
        <v>62</v>
      </c>
      <c r="S681" s="45"/>
      <c r="T681" s="45"/>
      <c r="U681" s="7">
        <f>R681+T681</f>
        <v>62</v>
      </c>
      <c r="W681" s="7">
        <f>E681*0.1+G681*0.1+I681*0.1+O681*0.2+R681*0.2</f>
        <v>45.6</v>
      </c>
      <c r="X681" s="21">
        <f>W681/0.7+K681+T681</f>
        <v>65.1428571428572</v>
      </c>
    </row>
    <row r="682" ht="15.6" spans="1:24">
      <c r="A682" s="6">
        <v>107</v>
      </c>
      <c r="B682" s="29" t="s">
        <v>333</v>
      </c>
      <c r="C682" s="29" t="s">
        <v>46</v>
      </c>
      <c r="D682" s="6">
        <v>24</v>
      </c>
      <c r="E682" s="40">
        <f>LOOKUP(D682,{0,0.4,1.2,2,2.8,3.6,4.4,5.7,7,8.3,9.6,10.9,12.2,13.5,14.8,16.1,17.4,19.1,20.8,22.5,24.2},{0,10,20,30,40,50,60,62,64,66,68,70,72,74,76,78,80,85,90,95,100})</f>
        <v>95</v>
      </c>
      <c r="F682" s="6">
        <v>1.69</v>
      </c>
      <c r="G682" s="40">
        <f>LOOKUP(F682,{0,123,128,133,138,143,148,151,154,157,160,163,166,169,172,175,178,185,192,198,204},{0,10,20,30,40,50,60,62,64,66,68,70,72,74,76,78,80,85,90,95,100})</f>
        <v>0</v>
      </c>
      <c r="H682" s="6">
        <v>43</v>
      </c>
      <c r="I682" s="40">
        <f>LOOKUP(H682,{0,13,15,17,19,21,23,25,27,29,31,33,35,37,39,41,43,46,49,51,53},{0,10,20,30,40,50,60,62,64,66,68,70,72,74,76,78,80,85,90,95,100})</f>
        <v>80</v>
      </c>
      <c r="J682" s="45"/>
      <c r="K682" s="45"/>
      <c r="L682" s="7">
        <f>I682+K682</f>
        <v>80</v>
      </c>
      <c r="M682" s="6">
        <v>9.4</v>
      </c>
      <c r="N682" s="43">
        <f>13-M682</f>
        <v>3.6</v>
      </c>
      <c r="O682" s="40">
        <f>LOOKUP(N682,{0,1.4,1.6,1.8,2,2.2,2.4,2.6,2.8,3,3.2,3.4,3.6,3.8,4,4.2,4.4,4.7,5,5.1,5.2},{0,10,20,30,40,50,60,62,64,66,68,70,72,74,76,78,80,85,90,95,100})</f>
        <v>72</v>
      </c>
      <c r="P682" s="6">
        <v>4.21</v>
      </c>
      <c r="Q682" s="6">
        <f>10-P682</f>
        <v>5.79</v>
      </c>
      <c r="R682" s="40">
        <f>LOOKUP(Q682,{0,4.7,4.8,4.9,5,5.5,5.6,5.65,5.7,5.75,5.8,5.85,5.9,5.95,6,6.45,6.5,6.57,6.64,6.7,6.76},{0,10,20,30,40,50,60,62,64,66,68,70,72,74,76,78,80,85,90,95,100})</f>
        <v>66</v>
      </c>
      <c r="S682" s="45"/>
      <c r="T682" s="45"/>
      <c r="U682" s="7">
        <f>R682+T682</f>
        <v>66</v>
      </c>
      <c r="W682" s="7">
        <f>E682*0.1+G682*0.1+I682*0.1+O682*0.2+R682*0.2</f>
        <v>45.1</v>
      </c>
      <c r="X682" s="21">
        <f>W682/0.7+K682+T682</f>
        <v>64.4285714285714</v>
      </c>
    </row>
    <row r="683" ht="15.6" spans="1:24">
      <c r="A683" s="6">
        <v>108</v>
      </c>
      <c r="B683" s="29" t="s">
        <v>400</v>
      </c>
      <c r="C683" s="29" t="s">
        <v>46</v>
      </c>
      <c r="D683" s="6">
        <v>18</v>
      </c>
      <c r="E683" s="40">
        <f>LOOKUP(D683,{0,0.4,1.2,2,2.8,3.6,4.4,5.7,7,8.3,9.6,10.9,12.2,13.5,14.8,16.1,17.4,19.1,20.8,22.5,24.2},{0,10,20,30,40,50,60,62,64,66,68,70,72,74,76,78,80,85,90,95,100})</f>
        <v>80</v>
      </c>
      <c r="F683" s="6">
        <v>200</v>
      </c>
      <c r="G683" s="40">
        <f>LOOKUP(F683,{0,123,128,133,138,143,148,151,154,157,160,163,166,169,172,175,178,185,192,198,204},{0,10,20,30,40,50,60,62,64,66,68,70,72,74,76,78,80,85,90,95,100})</f>
        <v>95</v>
      </c>
      <c r="H683" s="6">
        <v>43</v>
      </c>
      <c r="I683" s="40">
        <f>LOOKUP(H683,{0,13,15,17,19,21,23,25,27,29,31,33,35,37,39,41,43,46,49,51,53},{0,10,20,30,40,50,60,62,64,66,68,70,72,74,76,78,80,85,90,95,100})</f>
        <v>80</v>
      </c>
      <c r="J683" s="45"/>
      <c r="K683" s="45"/>
      <c r="L683" s="7">
        <f>I683+K683</f>
        <v>80</v>
      </c>
      <c r="M683" s="6">
        <v>9</v>
      </c>
      <c r="N683" s="43">
        <f>13-M683</f>
        <v>4</v>
      </c>
      <c r="O683" s="40">
        <f>LOOKUP(N683,{0,1.4,1.6,1.8,2,2.2,2.4,2.6,2.8,3,3.2,3.4,3.6,3.8,4,4.2,4.4,4.7,5,5.1,5.2},{0,10,20,30,40,50,60,62,64,66,68,70,72,74,76,78,80,85,90,95,100})</f>
        <v>76</v>
      </c>
      <c r="P683" s="6">
        <v>5.17</v>
      </c>
      <c r="Q683" s="6">
        <f>10-P683</f>
        <v>4.83</v>
      </c>
      <c r="R683" s="40">
        <f>LOOKUP(Q683,{0,4.7,4.8,4.9,5,5.5,5.6,5.65,5.7,5.75,5.8,5.85,5.9,5.95,6,6.45,6.5,6.57,6.64,6.7,6.76},{0,10,20,30,40,50,60,62,64,66,68,70,72,74,76,78,80,85,90,95,100})</f>
        <v>20</v>
      </c>
      <c r="S683" s="45"/>
      <c r="T683" s="45"/>
      <c r="U683" s="7">
        <f>R683+T683</f>
        <v>20</v>
      </c>
      <c r="W683" s="7">
        <f>E683*0.1+G683*0.1+I683*0.1+O683*0.2+R683*0.2</f>
        <v>44.7</v>
      </c>
      <c r="X683" s="21">
        <f>W683/0.7+K683+T683</f>
        <v>63.8571428571429</v>
      </c>
    </row>
    <row r="684" ht="15.6" spans="1:24">
      <c r="A684" s="6">
        <v>112</v>
      </c>
      <c r="B684" s="39" t="s">
        <v>599</v>
      </c>
      <c r="C684" s="29" t="s">
        <v>46</v>
      </c>
      <c r="D684" s="6">
        <v>17</v>
      </c>
      <c r="E684" s="40">
        <f>LOOKUP(D684,{0,0.4,1.2,2,2.8,3.6,4.4,5.7,7,8.3,9.6,10.9,12.2,13.5,14.8,16.1,17.4,19.1,20.8,22.5,24.2},{0,10,20,30,40,50,60,62,64,66,68,70,72,74,76,78,80,85,90,95,100})</f>
        <v>78</v>
      </c>
      <c r="F684" s="6">
        <v>203</v>
      </c>
      <c r="G684" s="40">
        <f>LOOKUP(F684,{0,123,128,133,138,143,148,151,154,157,160,163,166,169,172,175,178,185,192,198,204},{0,10,20,30,40,50,60,62,64,66,68,70,72,74,76,78,80,85,90,95,100})</f>
        <v>95</v>
      </c>
      <c r="H684" s="6">
        <v>53</v>
      </c>
      <c r="I684" s="40">
        <f>LOOKUP(H684,{0,13,15,17,19,21,23,25,27,29,31,33,35,37,39,41,43,46,49,51,53},{0,10,20,30,40,50,60,62,64,66,68,70,72,74,76,78,80,85,90,95,100})</f>
        <v>100</v>
      </c>
      <c r="J684" s="45">
        <f>H684-53</f>
        <v>0</v>
      </c>
      <c r="K684" s="40">
        <f>LOOKUP(J684,{0,2,4,6,7,8,9,10,11,12,13},{0,1,2,3,4,5,6,7,8,9,10})</f>
        <v>0</v>
      </c>
      <c r="L684" s="7">
        <f>I684+K684</f>
        <v>100</v>
      </c>
      <c r="N684" s="43"/>
      <c r="O684" s="40"/>
      <c r="P684" s="6">
        <v>3.38</v>
      </c>
      <c r="Q684" s="6">
        <f>10-P684</f>
        <v>6.62</v>
      </c>
      <c r="R684" s="40">
        <f>LOOKUP(Q684,{0,4.7,4.8,4.9,5,5.5,5.6,5.65,5.7,5.75,5.8,5.85,5.9,5.95,6,6.45,6.5,6.57,6.64,6.7,6.76},{0,10,20,30,40,50,60,62,64,66,68,70,72,74,76,78,80,85,90,95,100})</f>
        <v>85</v>
      </c>
      <c r="S684" s="45"/>
      <c r="T684" s="45"/>
      <c r="U684" s="7">
        <f>R684+T684</f>
        <v>85</v>
      </c>
      <c r="W684" s="7">
        <f>E684*0.1+G684*0.1+I684*0.1+O684*0.2+R684*0.2</f>
        <v>44.3</v>
      </c>
      <c r="X684" s="21">
        <f>W684/0.7+K684+T684</f>
        <v>63.2857142857143</v>
      </c>
    </row>
    <row r="685" ht="15.6" spans="1:24">
      <c r="A685" s="6">
        <v>107</v>
      </c>
      <c r="B685" s="29" t="s">
        <v>339</v>
      </c>
      <c r="C685" s="29" t="s">
        <v>46</v>
      </c>
      <c r="D685" s="6">
        <v>15</v>
      </c>
      <c r="E685" s="40">
        <f>LOOKUP(D685,{0,0.4,1.2,2,2.8,3.6,4.4,5.7,7,8.3,9.6,10.9,12.2,13.5,14.8,16.1,17.4,19.1,20.8,22.5,24.2},{0,10,20,30,40,50,60,62,64,66,68,70,72,74,76,78,80,85,90,95,100})</f>
        <v>76</v>
      </c>
      <c r="F685" s="6">
        <v>1.54</v>
      </c>
      <c r="G685" s="40">
        <f>LOOKUP(F685,{0,123,128,133,138,143,148,151,154,157,160,163,166,169,172,175,178,185,192,198,204},{0,10,20,30,40,50,60,62,64,66,68,70,72,74,76,78,80,85,90,95,100})</f>
        <v>0</v>
      </c>
      <c r="H685" s="6">
        <v>44</v>
      </c>
      <c r="I685" s="40">
        <f>LOOKUP(H685,{0,13,15,17,19,21,23,25,27,29,31,33,35,37,39,41,43,46,49,51,53},{0,10,20,30,40,50,60,62,64,66,68,70,72,74,76,78,80,85,90,95,100})</f>
        <v>80</v>
      </c>
      <c r="J685" s="45"/>
      <c r="K685" s="45"/>
      <c r="L685" s="7">
        <f>I685+K685</f>
        <v>80</v>
      </c>
      <c r="M685" s="6">
        <v>9.4</v>
      </c>
      <c r="N685" s="43">
        <f>13-M685</f>
        <v>3.6</v>
      </c>
      <c r="O685" s="40">
        <f>LOOKUP(N685,{0,1.4,1.6,1.8,2,2.2,2.4,2.6,2.8,3,3.2,3.4,3.6,3.8,4,4.2,4.4,4.7,5,5.1,5.2},{0,10,20,30,40,50,60,62,64,66,68,70,72,74,76,78,80,85,90,95,100})</f>
        <v>72</v>
      </c>
      <c r="P685" s="6">
        <v>4.14</v>
      </c>
      <c r="Q685" s="6">
        <f>10-P685</f>
        <v>5.86</v>
      </c>
      <c r="R685" s="40">
        <f>LOOKUP(Q685,{0,4.7,4.8,4.9,5,5.5,5.6,5.65,5.7,5.75,5.8,5.85,5.9,5.95,6,6.45,6.5,6.57,6.64,6.7,6.76},{0,10,20,30,40,50,60,62,64,66,68,70,72,74,76,78,80,85,90,95,100})</f>
        <v>70</v>
      </c>
      <c r="S685" s="45"/>
      <c r="T685" s="45"/>
      <c r="U685" s="7">
        <f>R685+T685</f>
        <v>70</v>
      </c>
      <c r="W685" s="7">
        <f>E685*0.1+G685*0.1+I685*0.1+O685*0.2+R685*0.2</f>
        <v>44</v>
      </c>
      <c r="X685" s="21">
        <f>W685/0.7+K685+T685</f>
        <v>62.8571428571429</v>
      </c>
    </row>
    <row r="686" ht="15.6" spans="1:24">
      <c r="A686" s="6">
        <v>110</v>
      </c>
      <c r="B686" s="29" t="s">
        <v>496</v>
      </c>
      <c r="C686" s="29" t="s">
        <v>46</v>
      </c>
      <c r="D686" s="6">
        <v>21</v>
      </c>
      <c r="E686" s="40">
        <f>LOOKUP(D686,{0,0.4,1.2,2,2.8,3.6,4.4,5.7,7,8.3,9.6,10.9,12.2,13.5,14.8,16.1,17.4,19.1,20.8,22.5,24.2},{0,10,20,30,40,50,60,62,64,66,68,70,72,74,76,78,80,85,90,95,100})</f>
        <v>90</v>
      </c>
      <c r="F686" s="6">
        <v>196</v>
      </c>
      <c r="G686" s="40">
        <f>LOOKUP(F686,{0,123,128,133,138,143,148,151,154,157,160,163,166,169,172,175,178,185,192,198,204},{0,10,20,30,40,50,60,62,64,66,68,70,72,74,76,78,80,85,90,95,100})</f>
        <v>90</v>
      </c>
      <c r="H686" s="6">
        <v>50</v>
      </c>
      <c r="I686" s="40">
        <f>LOOKUP(H686,{0,13,15,17,19,21,23,25,27,29,31,33,35,37,39,41,43,46,49,51,53},{0,10,20,30,40,50,60,62,64,66,68,70,72,74,76,78,80,85,90,95,100})</f>
        <v>90</v>
      </c>
      <c r="J686" s="45"/>
      <c r="K686" s="45"/>
      <c r="L686" s="7">
        <f>I686+K686</f>
        <v>90</v>
      </c>
      <c r="M686" s="6">
        <v>8.5</v>
      </c>
      <c r="N686" s="43">
        <f>13-M686</f>
        <v>4.5</v>
      </c>
      <c r="O686" s="40">
        <f>LOOKUP(N686,{0,1.4,1.6,1.8,2,2.2,2.4,2.6,2.8,3,3.2,3.4,3.6,3.8,4,4.2,4.4,4.7,5,5.1,5.2},{0,10,20,30,40,50,60,62,64,66,68,70,72,74,76,78,80,85,90,95,100})</f>
        <v>80</v>
      </c>
      <c r="R686" s="40"/>
      <c r="S686" s="48"/>
      <c r="T686" s="40"/>
      <c r="U686" s="7"/>
      <c r="V686" s="6" t="s">
        <v>497</v>
      </c>
      <c r="W686" s="7">
        <f>E686*0.1+G686*0.1+I686*0.1+O686*0.2+R686*0.2</f>
        <v>43</v>
      </c>
      <c r="X686" s="21">
        <f>W686/0.7+K686+T686</f>
        <v>61.4285714285714</v>
      </c>
    </row>
    <row r="687" ht="15.6" spans="1:24">
      <c r="A687" s="6">
        <v>107</v>
      </c>
      <c r="B687" s="39" t="s">
        <v>330</v>
      </c>
      <c r="C687" s="29" t="s">
        <v>46</v>
      </c>
      <c r="D687" s="6">
        <v>14</v>
      </c>
      <c r="E687" s="40">
        <f>LOOKUP(D687,{0,0.4,1.2,2,2.8,3.6,4.4,5.7,7,8.3,9.6,10.9,12.2,13.5,14.8,16.1,17.4,19.1,20.8,22.5,24.2},{0,10,20,30,40,50,60,62,64,66,68,70,72,74,76,78,80,85,90,95,100})</f>
        <v>74</v>
      </c>
      <c r="F687" s="6">
        <v>1.67</v>
      </c>
      <c r="G687" s="40">
        <f>LOOKUP(F687,{0,123,128,133,138,143,148,151,154,157,160,163,166,169,172,175,178,185,192,198,204},{0,10,20,30,40,50,60,62,64,66,68,70,72,74,76,78,80,85,90,95,100})</f>
        <v>0</v>
      </c>
      <c r="H687" s="6">
        <v>53</v>
      </c>
      <c r="I687" s="40">
        <f>LOOKUP(H687,{0,13,15,17,19,21,23,25,27,29,31,33,35,37,39,41,43,46,49,51,53},{0,10,20,30,40,50,60,62,64,66,68,70,72,74,76,78,80,85,90,95,100})</f>
        <v>100</v>
      </c>
      <c r="J687" s="45">
        <f>H687-53</f>
        <v>0</v>
      </c>
      <c r="K687" s="40">
        <f>LOOKUP(J687,{0,2,4,6,7,8,9,10,11,12,13},{0,1,2,3,4,5,6,7,8,9,10})</f>
        <v>0</v>
      </c>
      <c r="L687" s="7">
        <f>I687+K687</f>
        <v>100</v>
      </c>
      <c r="M687" s="6">
        <v>9.1</v>
      </c>
      <c r="N687" s="43">
        <f>13-M687</f>
        <v>3.9</v>
      </c>
      <c r="O687" s="40">
        <f>LOOKUP(N687,{0,1.4,1.6,1.8,2,2.2,2.4,2.6,2.8,3,3.2,3.4,3.6,3.8,4,4.2,4.4,4.7,5,5.1,5.2},{0,10,20,30,40,50,60,62,64,66,68,70,72,74,76,78,80,85,90,95,100})</f>
        <v>74</v>
      </c>
      <c r="P687" s="6">
        <v>4.47</v>
      </c>
      <c r="Q687" s="6">
        <f>10-P687</f>
        <v>5.53</v>
      </c>
      <c r="R687" s="40">
        <f>LOOKUP(Q687,{0,4.7,4.8,4.9,5,5.5,5.6,5.65,5.7,5.75,5.8,5.85,5.9,5.95,6,6.45,6.5,6.57,6.64,6.7,6.76},{0,10,20,30,40,50,60,62,64,66,68,70,72,74,76,78,80,85,90,95,100})</f>
        <v>50</v>
      </c>
      <c r="S687" s="45"/>
      <c r="T687" s="45"/>
      <c r="U687" s="7">
        <f>R687+T687</f>
        <v>50</v>
      </c>
      <c r="W687" s="7">
        <f>E687*0.1+G687*0.1+I687*0.1+O687*0.2+R687*0.2</f>
        <v>42.2</v>
      </c>
      <c r="X687" s="21">
        <f>W687/0.7+K687+T687</f>
        <v>60.2857142857143</v>
      </c>
    </row>
    <row r="688" s="3" customFormat="1" ht="15.6" spans="1:24">
      <c r="A688" s="6">
        <v>108</v>
      </c>
      <c r="B688" s="29" t="s">
        <v>393</v>
      </c>
      <c r="C688" s="29" t="s">
        <v>46</v>
      </c>
      <c r="D688" s="6">
        <v>14</v>
      </c>
      <c r="E688" s="40">
        <f>LOOKUP(D688,{0,0.4,1.2,2,2.8,3.6,4.4,5.7,7,8.3,9.6,10.9,12.2,13.5,14.8,16.1,17.4,19.1,20.8,22.5,24.2},{0,10,20,30,40,50,60,62,64,66,68,70,72,74,76,78,80,85,90,95,100})</f>
        <v>74</v>
      </c>
      <c r="F688" s="6">
        <v>130</v>
      </c>
      <c r="G688" s="40">
        <f>LOOKUP(F688,{0,123,128,133,138,143,148,151,154,157,160,163,166,169,172,175,178,185,192,198,204},{0,10,20,30,40,50,60,62,64,66,68,70,72,74,76,78,80,85,90,95,100})</f>
        <v>20</v>
      </c>
      <c r="H688" s="6">
        <v>38</v>
      </c>
      <c r="I688" s="40">
        <f>LOOKUP(H688,{0,13,15,17,19,21,23,25,27,29,31,33,35,37,39,41,43,46,49,51,53},{0,10,20,30,40,50,60,62,64,66,68,70,72,74,76,78,80,85,90,95,100})</f>
        <v>74</v>
      </c>
      <c r="J688" s="45"/>
      <c r="K688" s="45"/>
      <c r="L688" s="7">
        <f>I688+K688</f>
        <v>74</v>
      </c>
      <c r="M688" s="6">
        <v>10.3</v>
      </c>
      <c r="N688" s="43">
        <f>13-M688</f>
        <v>2.7</v>
      </c>
      <c r="O688" s="40">
        <f>LOOKUP(N688,{0,1.4,1.6,1.8,2,2.2,2.4,2.6,2.8,3,3.2,3.4,3.6,3.8,4,4.2,4.4,4.7,5,5.1,5.2},{0,10,20,30,40,50,60,62,64,66,68,70,72,74,76,78,80,85,90,95,100})</f>
        <v>62</v>
      </c>
      <c r="P688" s="6">
        <v>4.35</v>
      </c>
      <c r="Q688" s="6">
        <f>10-P688</f>
        <v>5.65</v>
      </c>
      <c r="R688" s="40">
        <f>LOOKUP(Q688,{0,4.7,4.8,4.9,5,5.5,5.6,5.65,5.7,5.75,5.8,5.85,5.9,5.95,6,6.45,6.5,6.57,6.64,6.7,6.76},{0,10,20,30,40,50,60,62,64,66,68,70,72,74,76,78,80,85,90,95,100})</f>
        <v>62</v>
      </c>
      <c r="S688" s="45"/>
      <c r="T688" s="45"/>
      <c r="U688" s="7">
        <f>R688+T688</f>
        <v>62</v>
      </c>
      <c r="V688" s="6"/>
      <c r="W688" s="7">
        <f>E688*0.1+G688*0.1+I688*0.1+O688*0.2+R688*0.2</f>
        <v>41.6</v>
      </c>
      <c r="X688" s="21">
        <f>W688/0.7+K688+T688</f>
        <v>59.4285714285714</v>
      </c>
    </row>
    <row r="689" ht="15.6" spans="1:24">
      <c r="A689" s="6">
        <v>106</v>
      </c>
      <c r="B689" s="39" t="s">
        <v>288</v>
      </c>
      <c r="C689" s="29" t="s">
        <v>46</v>
      </c>
      <c r="D689" s="6">
        <v>6</v>
      </c>
      <c r="E689" s="40">
        <f>LOOKUP(D689,{0,0.4,1.2,2,2.8,3.6,4.4,5.7,7,8.3,9.6,10.9,12.2,13.5,14.8,16.1,17.4,19.1,20.8,22.5,24.2},{0,10,20,30,40,50,60,62,64,66,68,70,72,74,76,78,80,85,90,95,100})</f>
        <v>62</v>
      </c>
      <c r="F689" s="6">
        <v>159</v>
      </c>
      <c r="G689" s="40">
        <f>LOOKUP(F689,{0,123,128,133,138,143,148,151,154,157,160,163,166,169,172,175,178,185,192,198,204},{0,10,20,30,40,50,60,62,64,66,68,70,72,74,76,78,80,85,90,95,100})</f>
        <v>66</v>
      </c>
      <c r="H689" s="6">
        <v>35</v>
      </c>
      <c r="I689" s="40">
        <f>LOOKUP(H689,{0,13,15,17,19,21,23,25,27,29,31,33,35,37,39,41,43,46,49,51,53},{0,10,20,30,40,50,60,62,64,66,68,70,72,74,76,78,80,85,90,95,100})</f>
        <v>72</v>
      </c>
      <c r="J689" s="45"/>
      <c r="K689" s="45"/>
      <c r="L689" s="7">
        <f>I689+K689</f>
        <v>72</v>
      </c>
      <c r="M689" s="6">
        <v>9.9</v>
      </c>
      <c r="N689" s="43">
        <f>13-M689</f>
        <v>3.1</v>
      </c>
      <c r="O689" s="40">
        <f>LOOKUP(N689,{0,1.4,1.6,1.8,2,2.2,2.4,2.6,2.8,3,3.2,3.4,3.6,3.8,4,4.2,4.4,4.7,5,5.1,5.2},{0,10,20,30,40,50,60,62,64,66,68,70,72,74,76,78,80,85,90,95,100})</f>
        <v>66</v>
      </c>
      <c r="P689" s="6">
        <v>4.51</v>
      </c>
      <c r="Q689" s="6">
        <f>10-P689</f>
        <v>5.49</v>
      </c>
      <c r="R689" s="40">
        <f>LOOKUP(Q689,{0,4.7,4.8,4.9,5,5.5,5.6,5.65,5.7,5.75,5.8,5.85,5.9,5.95,6,6.45,6.5,6.57,6.64,6.7,6.76},{0,10,20,30,40,50,60,62,64,66,68,70,72,74,76,78,80,85,90,95,100})</f>
        <v>40</v>
      </c>
      <c r="S689" s="45"/>
      <c r="T689" s="45"/>
      <c r="U689" s="7">
        <f>R689+T689</f>
        <v>40</v>
      </c>
      <c r="W689" s="7">
        <f>E689*0.1+G689*0.1+I689*0.1+O689*0.2+R689*0.2</f>
        <v>41.2</v>
      </c>
      <c r="X689" s="21">
        <f>W689/0.7+K689+T689</f>
        <v>58.8571428571429</v>
      </c>
    </row>
    <row r="690" ht="15.6" spans="1:24">
      <c r="A690" s="6">
        <v>111</v>
      </c>
      <c r="B690" s="29" t="s">
        <v>567</v>
      </c>
      <c r="C690" s="29" t="s">
        <v>46</v>
      </c>
      <c r="D690" s="6">
        <v>17.5</v>
      </c>
      <c r="E690" s="40">
        <f>LOOKUP(D690,{0,0.4,1.2,2,2.8,3.6,4.4,5.7,7,8.3,9.6,10.9,12.2,13.5,14.8,16.1,17.4,19.1,20.8,22.5,24.2},{0,10,20,30,40,50,60,62,64,66,68,70,72,74,76,78,80,85,90,95,100})</f>
        <v>80</v>
      </c>
      <c r="F690" s="6">
        <v>181</v>
      </c>
      <c r="G690" s="40">
        <f>LOOKUP(F690,{0,123,128,133,138,143,148,151,154,157,160,163,166,169,172,175,178,185,192,198,204},{0,10,20,30,40,50,60,62,64,66,68,70,72,74,76,78,80,85,90,95,100})</f>
        <v>80</v>
      </c>
      <c r="H690" s="6">
        <v>52</v>
      </c>
      <c r="I690" s="40">
        <f>LOOKUP(H690,{0,13,15,17,19,21,23,25,27,29,31,33,35,37,39,41,43,46,49,51,53},{0,10,20,30,40,50,60,62,64,66,68,70,72,74,76,78,80,85,90,95,100})</f>
        <v>95</v>
      </c>
      <c r="J690" s="45"/>
      <c r="K690" s="45"/>
      <c r="L690" s="7">
        <f>I690+K690</f>
        <v>95</v>
      </c>
      <c r="M690" s="6">
        <v>8.7</v>
      </c>
      <c r="N690" s="43">
        <f>13-M690</f>
        <v>4.3</v>
      </c>
      <c r="O690" s="40">
        <f>LOOKUP(N690,{0,1.4,1.6,1.8,2,2.2,2.4,2.6,2.8,3,3.2,3.4,3.6,3.8,4,4.2,4.4,4.7,5,5.1,5.2},{0,10,20,30,40,50,60,62,64,66,68,70,72,74,76,78,80,85,90,95,100})</f>
        <v>78</v>
      </c>
      <c r="R690" s="40"/>
      <c r="S690" s="48"/>
      <c r="T690" s="40"/>
      <c r="U690" s="7"/>
      <c r="V690" s="6" t="s">
        <v>513</v>
      </c>
      <c r="W690" s="7">
        <f>E690*0.1+G690*0.1+I690*0.1+O690*0.2+R690*0.2</f>
        <v>41.1</v>
      </c>
      <c r="X690" s="21">
        <f>W690/0.7+K690+T690</f>
        <v>58.7142857142857</v>
      </c>
    </row>
    <row r="691" ht="15.6" spans="1:24">
      <c r="A691" s="6">
        <v>107</v>
      </c>
      <c r="B691" s="29" t="s">
        <v>346</v>
      </c>
      <c r="C691" s="29" t="s">
        <v>46</v>
      </c>
      <c r="D691" s="6">
        <v>0.8</v>
      </c>
      <c r="E691" s="40">
        <f>LOOKUP(D691,{0,0.4,1.2,2,2.8,3.6,4.4,5.7,7,8.3,9.6,10.9,12.2,13.5,14.8,16.1,17.4,19.1,20.8,22.5,24.2},{0,10,20,30,40,50,60,62,64,66,68,70,72,74,76,78,80,85,90,95,100})</f>
        <v>10</v>
      </c>
      <c r="F691" s="6">
        <v>162</v>
      </c>
      <c r="G691" s="40">
        <f>LOOKUP(F691,{0,123,128,133,138,143,148,151,154,157,160,163,166,169,172,175,178,185,192,198,204},{0,10,20,30,40,50,60,62,64,66,68,70,72,74,76,78,80,85,90,95,100})</f>
        <v>68</v>
      </c>
      <c r="H691" s="6">
        <v>46</v>
      </c>
      <c r="I691" s="40">
        <f>LOOKUP(H691,{0,13,15,17,19,21,23,25,27,29,31,33,35,37,39,41,43,46,49,51,53},{0,10,20,30,40,50,60,62,64,66,68,70,72,74,76,78,80,85,90,95,100})</f>
        <v>85</v>
      </c>
      <c r="J691" s="45"/>
      <c r="K691" s="45"/>
      <c r="L691" s="7">
        <f>I691+K691</f>
        <v>85</v>
      </c>
      <c r="M691" s="6">
        <v>9.4</v>
      </c>
      <c r="N691" s="43">
        <f>13-M691</f>
        <v>3.6</v>
      </c>
      <c r="O691" s="40">
        <f>LOOKUP(N691,{0,1.4,1.6,1.8,2,2.2,2.4,2.6,2.8,3,3.2,3.4,3.6,3.8,4,4.2,4.4,4.7,5,5.1,5.2},{0,10,20,30,40,50,60,62,64,66,68,70,72,74,76,78,80,85,90,95,100})</f>
        <v>72</v>
      </c>
      <c r="P691" s="6">
        <v>4.46</v>
      </c>
      <c r="Q691" s="6">
        <f>10-P691</f>
        <v>5.54</v>
      </c>
      <c r="R691" s="40">
        <f>LOOKUP(Q691,{0,4.7,4.8,4.9,5,5.5,5.6,5.65,5.7,5.75,5.8,5.85,5.9,5.95,6,6.45,6.5,6.57,6.64,6.7,6.76},{0,10,20,30,40,50,60,62,64,66,68,70,72,74,76,78,80,85,90,95,100})</f>
        <v>50</v>
      </c>
      <c r="S691" s="45"/>
      <c r="T691" s="45"/>
      <c r="U691" s="7">
        <f>R691+T691</f>
        <v>50</v>
      </c>
      <c r="W691" s="7">
        <f>E691*0.1+G691*0.1+I691*0.1+O691*0.2+R691*0.2</f>
        <v>40.7</v>
      </c>
      <c r="X691" s="21">
        <f>W691/0.7+K691+T691</f>
        <v>58.1428571428572</v>
      </c>
    </row>
    <row r="692" ht="15.6" spans="1:24">
      <c r="A692" s="6">
        <v>103</v>
      </c>
      <c r="B692" s="29" t="s">
        <v>151</v>
      </c>
      <c r="C692" s="29" t="s">
        <v>46</v>
      </c>
      <c r="D692" s="6">
        <v>19.4</v>
      </c>
      <c r="E692" s="40">
        <f>LOOKUP(D692,{0,0.4,1.2,2,2.8,3.6,4.4,5.7,7,8.3,9.6,10.9,12.2,13.5,14.8,16.1,17.4,19.1,20.8,22.5,24.2},{0,10,20,30,40,50,60,62,64,66,68,70,72,74,76,78,80,85,90,95,100})</f>
        <v>85</v>
      </c>
      <c r="F692" s="6">
        <v>185</v>
      </c>
      <c r="G692" s="40">
        <f>LOOKUP(F692,{0,123,128,133,138,143,148,151,154,157,160,163,166,169,172,175,178,185,192,198,204},{0,10,20,30,40,50,60,62,64,66,68,70,72,74,76,78,80,85,90,95,100})</f>
        <v>85</v>
      </c>
      <c r="H692" s="6">
        <v>40</v>
      </c>
      <c r="I692" s="40">
        <f>LOOKUP(H692,{0,13,15,17,19,21,23,25,27,29,31,33,35,37,39,41,43,46,49,51,53},{0,10,20,30,40,50,60,62,64,66,68,70,72,74,76,78,80,85,90,95,100})</f>
        <v>76</v>
      </c>
      <c r="J692" s="45"/>
      <c r="K692" s="45"/>
      <c r="L692" s="7">
        <f>I692+K692</f>
        <v>76</v>
      </c>
      <c r="N692" s="43"/>
      <c r="O692" s="40"/>
      <c r="P692" s="6">
        <v>3.56</v>
      </c>
      <c r="Q692" s="6">
        <f>10-P692</f>
        <v>6.44</v>
      </c>
      <c r="R692" s="40">
        <f>LOOKUP(Q692,{0,4.7,4.8,4.9,5,5.5,5.6,5.65,5.7,5.75,5.8,5.85,5.9,5.95,6,6.45,6.5,6.57,6.64,6.7,6.76},{0,10,20,30,40,50,60,62,64,66,68,70,72,74,76,78,80,85,90,95,100})</f>
        <v>76</v>
      </c>
      <c r="S692" s="45"/>
      <c r="T692" s="45"/>
      <c r="U692" s="7">
        <f>R692+T692</f>
        <v>76</v>
      </c>
      <c r="W692" s="7">
        <f>E692*0.1+G692*0.1+I692*0.1+O692*0.2+R692*0.2</f>
        <v>39.8</v>
      </c>
      <c r="X692" s="21">
        <f>W692/0.7+K692+T692</f>
        <v>56.8571428571429</v>
      </c>
    </row>
    <row r="693" ht="15.6" spans="1:24">
      <c r="A693" s="6">
        <v>110</v>
      </c>
      <c r="B693" s="29" t="s">
        <v>495</v>
      </c>
      <c r="C693" s="29" t="s">
        <v>46</v>
      </c>
      <c r="D693" s="6">
        <v>14</v>
      </c>
      <c r="E693" s="40">
        <f>LOOKUP(D693,{0,0.4,1.2,2,2.8,3.6,4.4,5.7,7,8.3,9.6,10.9,12.2,13.5,14.8,16.1,17.4,19.1,20.8,22.5,24.2},{0,10,20,30,40,50,60,62,64,66,68,70,72,74,76,78,80,85,90,95,100})</f>
        <v>74</v>
      </c>
      <c r="F693" s="6">
        <v>150</v>
      </c>
      <c r="G693" s="40">
        <f>LOOKUP(F693,{0,123,128,133,138,143,148,151,154,157,160,163,166,169,172,175,178,185,192,198,204},{0,10,20,30,40,50,60,62,64,66,68,70,72,74,76,78,80,85,90,95,100})</f>
        <v>60</v>
      </c>
      <c r="H693" s="6">
        <v>32</v>
      </c>
      <c r="I693" s="40">
        <f>LOOKUP(H693,{0,13,15,17,19,21,23,25,27,29,31,33,35,37,39,41,43,46,49,51,53},{0,10,20,30,40,50,60,62,64,66,68,70,72,74,76,78,80,85,90,95,100})</f>
        <v>68</v>
      </c>
      <c r="J693" s="45"/>
      <c r="K693" s="45"/>
      <c r="L693" s="7">
        <f>I693+K693</f>
        <v>68</v>
      </c>
      <c r="M693" s="6">
        <v>9.7</v>
      </c>
      <c r="N693" s="43">
        <f>13-M693</f>
        <v>3.3</v>
      </c>
      <c r="O693" s="40">
        <f>LOOKUP(N693,{0,1.4,1.6,1.8,2,2.2,2.4,2.6,2.8,3,3.2,3.4,3.6,3.8,4,4.2,4.4,4.7,5,5.1,5.2},{0,10,20,30,40,50,60,62,64,66,68,70,72,74,76,78,80,85,90,95,100})</f>
        <v>68</v>
      </c>
      <c r="P693" s="6">
        <v>5.09</v>
      </c>
      <c r="Q693" s="6">
        <f>10-P693</f>
        <v>4.91</v>
      </c>
      <c r="R693" s="40">
        <f>LOOKUP(Q693,{0,4.7,4.8,4.9,5,5.5,5.6,5.65,5.7,5.75,5.8,5.85,5.9,5.95,6,6.45,6.5,6.57,6.64,6.7,6.76},{0,10,20,30,40,50,60,62,64,66,68,70,72,74,76,78,80,85,90,95,100})</f>
        <v>30</v>
      </c>
      <c r="S693" s="45"/>
      <c r="T693" s="45"/>
      <c r="U693" s="7">
        <f>R693+T693</f>
        <v>30</v>
      </c>
      <c r="W693" s="7">
        <f>E693*0.1+G693*0.1+I693*0.1+O693*0.2+R693*0.2</f>
        <v>39.8</v>
      </c>
      <c r="X693" s="21">
        <f>W693/0.7+K693+T693</f>
        <v>56.8571428571429</v>
      </c>
    </row>
    <row r="694" ht="15.6" spans="1:24">
      <c r="A694" s="6">
        <v>106</v>
      </c>
      <c r="B694" s="29" t="s">
        <v>293</v>
      </c>
      <c r="C694" s="29" t="s">
        <v>46</v>
      </c>
      <c r="D694" s="6">
        <v>18</v>
      </c>
      <c r="E694" s="40">
        <f>LOOKUP(D694,{0,0.4,1.2,2,2.8,3.6,4.4,5.7,7,8.3,9.6,10.9,12.2,13.5,14.8,16.1,17.4,19.1,20.8,22.5,24.2},{0,10,20,30,40,50,60,62,64,66,68,70,72,74,76,78,80,85,90,95,100})</f>
        <v>80</v>
      </c>
      <c r="F694" s="6">
        <v>155</v>
      </c>
      <c r="G694" s="40">
        <f>LOOKUP(F694,{0,123,128,133,138,143,148,151,154,157,160,163,166,169,172,175,178,185,192,198,204},{0,10,20,30,40,50,60,62,64,66,68,70,72,74,76,78,80,85,90,95,100})</f>
        <v>64</v>
      </c>
      <c r="H694" s="6">
        <v>46</v>
      </c>
      <c r="I694" s="40">
        <f>LOOKUP(H694,{0,13,15,17,19,21,23,25,27,29,31,33,35,37,39,41,43,46,49,51,53},{0,10,20,30,40,50,60,62,64,66,68,70,72,74,76,78,80,85,90,95,100})</f>
        <v>85</v>
      </c>
      <c r="J694" s="45"/>
      <c r="K694" s="45"/>
      <c r="L694" s="7">
        <f>I694+K694</f>
        <v>85</v>
      </c>
      <c r="M694" s="6">
        <v>8.7</v>
      </c>
      <c r="N694" s="43">
        <f>13-M694</f>
        <v>4.3</v>
      </c>
      <c r="O694" s="40">
        <f>LOOKUP(N694,{0,1.4,1.6,1.8,2,2.2,2.4,2.6,2.8,3,3.2,3.4,3.6,3.8,4,4.2,4.4,4.7,5,5.1,5.2},{0,10,20,30,40,50,60,62,64,66,68,70,72,74,76,78,80,85,90,95,100})</f>
        <v>78</v>
      </c>
      <c r="R694" s="40"/>
      <c r="S694" s="48"/>
      <c r="T694" s="40"/>
      <c r="U694" s="7"/>
      <c r="V694" s="6"/>
      <c r="W694" s="7">
        <f>E694*0.1+G694*0.1+I694*0.1+O694*0.2+R694*0.2</f>
        <v>38.5</v>
      </c>
      <c r="X694" s="21">
        <f>W694/0.7+K694+T694</f>
        <v>55</v>
      </c>
    </row>
    <row r="695" ht="15.6" hidden="1" spans="1:24">
      <c r="A695" s="6">
        <v>103</v>
      </c>
      <c r="B695" s="29" t="s">
        <v>141</v>
      </c>
      <c r="C695" s="29" t="s">
        <v>11</v>
      </c>
      <c r="D695" s="6">
        <v>19</v>
      </c>
      <c r="E695" s="40">
        <f>LOOKUP(D695,{0,-4,-3,-2,-1,0,1,2.4,3.8,5.2,6.6,8,9.4,10.8,12.2,13.6,15,17.2,19.4,21.5,23.6},{0,10,20,30,40,50,60,62,64,66,68,70,72,74,76,78,80,85,90,95,100})</f>
        <v>85</v>
      </c>
      <c r="F695" s="6">
        <v>227</v>
      </c>
      <c r="G695" s="40">
        <f>LOOKUP(F695,{0,170,175,180,185,190,195,199,203,207,211,215,219,223,227,231,235,243,250,255,260},{0,10,20,30,40,50,60,62,64,66,68,70,72,74,76,78,80,85,90,95,100})</f>
        <v>76</v>
      </c>
      <c r="H695" s="6">
        <v>13</v>
      </c>
      <c r="I695" s="40">
        <f>LOOKUP(H695,{0,2,3,4,5,6,7,8,9,10,11,12,13,14,15,16},{0,10,20,30,40,50,60,64,68,72,76,80,85,90,95,100})</f>
        <v>85</v>
      </c>
      <c r="J695" s="7"/>
      <c r="K695" s="7"/>
      <c r="L695" s="7">
        <f>I695+K695</f>
        <v>85</v>
      </c>
      <c r="N695" s="43"/>
      <c r="O695" s="40"/>
      <c r="P695" s="6">
        <v>3.58</v>
      </c>
      <c r="Q695" s="6">
        <f>10-P695</f>
        <v>6.42</v>
      </c>
      <c r="R695" s="40">
        <f>LOOKUP(Q695,{0,3.75,3.95,4.55,4.75,4.95,5.55,5.6,5.65,5.7,5.75,5.8,5.85,5.9,5.95,6,6.45,6.53,6.6,6.65,6.7},{0,10,20,30,40,50,60,62,64,66,68,70,72,74,76,78,80,85,90,95,100})</f>
        <v>78</v>
      </c>
      <c r="S695" s="7"/>
      <c r="T695" s="7"/>
      <c r="U695" s="7">
        <f>R695+T695</f>
        <v>78</v>
      </c>
      <c r="W695" s="7">
        <f>E695*0.1+G695*0.1+I695*0.1+O695*0.2+R695*0.2</f>
        <v>40.2</v>
      </c>
      <c r="X695" s="21">
        <f>W695/0.7+K695+T695</f>
        <v>57.4285714285714</v>
      </c>
    </row>
    <row r="696" ht="15.6" hidden="1" spans="1:24">
      <c r="A696" s="6">
        <v>103</v>
      </c>
      <c r="B696" s="29" t="s">
        <v>119</v>
      </c>
      <c r="C696" s="29" t="s">
        <v>11</v>
      </c>
      <c r="D696" s="6">
        <v>9</v>
      </c>
      <c r="E696" s="40">
        <f>LOOKUP(D696,{0,-4,-3,-2,-1,0,1,2.4,3.8,5.2,6.6,8,9.4,10.8,12.2,13.6,15,17.2,19.4,21.5,23.6},{0,10,20,30,40,50,60,62,64,66,68,70,72,74,76,78,80,85,90,95,100})</f>
        <v>70</v>
      </c>
      <c r="F696" s="6">
        <v>213</v>
      </c>
      <c r="G696" s="40">
        <f>LOOKUP(F696,{0,170,175,180,185,190,195,199,203,207,211,215,219,223,227,231,235,243,250,255,260},{0,10,20,30,40,50,60,62,64,66,68,70,72,74,76,78,80,85,90,95,100})</f>
        <v>68</v>
      </c>
      <c r="H696" s="6">
        <v>4</v>
      </c>
      <c r="I696" s="40">
        <f>LOOKUP(H696,{0,2,3,4,5,6,7,8,9,10,11,12,13,14,15,16},{0,10,20,30,40,50,60,64,68,72,76,80,85,90,95,100})</f>
        <v>30</v>
      </c>
      <c r="J696" s="7"/>
      <c r="K696" s="7"/>
      <c r="L696" s="7">
        <f>I696+K696</f>
        <v>30</v>
      </c>
      <c r="N696" s="43"/>
      <c r="O696" s="40"/>
      <c r="P696" s="6">
        <v>4.27</v>
      </c>
      <c r="Q696" s="6">
        <f>10-P696</f>
        <v>5.73</v>
      </c>
      <c r="R696" s="40">
        <f>LOOKUP(Q696,{0,3.75,3.95,4.55,4.75,4.95,5.55,5.6,5.65,5.7,5.75,5.8,5.85,5.9,5.95,6,6.45,6.53,6.6,6.65,6.7},{0,10,20,30,40,50,60,62,64,66,68,70,72,74,76,78,80,85,90,95,100})</f>
        <v>66</v>
      </c>
      <c r="S696" s="7"/>
      <c r="T696" s="7"/>
      <c r="U696" s="7">
        <f>R696+T696</f>
        <v>66</v>
      </c>
      <c r="W696" s="7">
        <f>E696*0.1+G696*0.1+I696*0.1+O696*0.2+R696*0.2</f>
        <v>30</v>
      </c>
      <c r="X696" s="27">
        <v>50</v>
      </c>
    </row>
    <row r="697" ht="15.6" hidden="1" spans="1:24">
      <c r="A697" s="6">
        <v>108</v>
      </c>
      <c r="B697" s="29" t="s">
        <v>375</v>
      </c>
      <c r="C697" s="29" t="s">
        <v>11</v>
      </c>
      <c r="D697" s="6">
        <v>16</v>
      </c>
      <c r="E697" s="40">
        <f>LOOKUP(D697,{0,-4,-3,-2,-1,0,1,2.4,3.8,5.2,6.6,8,9.4,10.8,12.2,13.6,15,17.2,19.4,21.5,23.6},{0,10,20,30,40,50,60,62,64,66,68,70,72,74,76,78,80,85,90,95,100})</f>
        <v>80</v>
      </c>
      <c r="F697" s="6">
        <v>188</v>
      </c>
      <c r="G697" s="40">
        <f>LOOKUP(F697,{0,170,175,180,185,190,195,199,203,207,211,215,219,223,227,231,235,243,250,255,260},{0,10,20,30,40,50,60,62,64,66,68,70,72,74,76,78,80,85,90,95,100})</f>
        <v>40</v>
      </c>
      <c r="H697" s="6">
        <v>1</v>
      </c>
      <c r="I697" s="40">
        <f>LOOKUP(H697,{0,2,3,4,5,6,7,8,9,10,11,12,13,14,15,16},{0,10,20,30,40,50,60,64,68,72,76,80,85,90,95,100})</f>
        <v>0</v>
      </c>
      <c r="J697" s="7"/>
      <c r="K697" s="7"/>
      <c r="L697" s="7">
        <f>I697+K697</f>
        <v>0</v>
      </c>
      <c r="N697" s="43"/>
      <c r="O697" s="40"/>
      <c r="P697" s="6">
        <v>5.07</v>
      </c>
      <c r="Q697" s="6">
        <f>10-P697</f>
        <v>4.93</v>
      </c>
      <c r="R697" s="40">
        <f>LOOKUP(Q697,{0,3.75,3.95,4.55,4.75,4.95,5.55,5.6,5.65,5.7,5.75,5.8,5.85,5.9,5.95,6,6.45,6.53,6.6,6.65,6.7},{0,10,20,30,40,50,60,62,64,66,68,70,72,74,76,78,80,85,90,95,100})</f>
        <v>40</v>
      </c>
      <c r="S697" s="7"/>
      <c r="T697" s="7"/>
      <c r="U697" s="7">
        <f>R697+T697</f>
        <v>40</v>
      </c>
      <c r="W697" s="7">
        <f>E697*0.1+G697*0.1+I697*0.1+O697*0.2+R697*0.2</f>
        <v>20</v>
      </c>
      <c r="X697" s="27">
        <v>50</v>
      </c>
    </row>
    <row r="698" ht="15.6" hidden="1" spans="1:24">
      <c r="A698" s="6">
        <v>111</v>
      </c>
      <c r="B698" s="29" t="s">
        <v>522</v>
      </c>
      <c r="C698" s="29" t="s">
        <v>11</v>
      </c>
      <c r="D698" s="6">
        <v>16.5</v>
      </c>
      <c r="E698" s="40">
        <f>LOOKUP(D698,{0,-4,-3,-2,-1,0,1,2.4,3.8,5.2,6.6,8,9.4,10.8,12.2,13.6,15,17.2,19.4,21.5,23.6},{0,10,20,30,40,50,60,62,64,66,68,70,72,74,76,78,80,85,90,95,100})</f>
        <v>80</v>
      </c>
      <c r="G698" s="40"/>
      <c r="H698" s="6">
        <v>20</v>
      </c>
      <c r="I698" s="40">
        <f>LOOKUP(H698,{0,2,3,4,5,6,7,8,9,10,11,12,13,14,15,16},{0,10,20,30,40,50,60,64,68,72,76,80,85,90,95,100})</f>
        <v>100</v>
      </c>
      <c r="J698" s="7">
        <f>H698-16</f>
        <v>4</v>
      </c>
      <c r="K698" s="40">
        <f>LOOKUP(J698,{0,1,2,3,4,5,6,7,8,9,10},{0,1,2,3,4,5,6,7,8,9,10})</f>
        <v>4</v>
      </c>
      <c r="L698" s="7">
        <f>I698+K698</f>
        <v>104</v>
      </c>
      <c r="N698" s="43"/>
      <c r="O698" s="40"/>
      <c r="P698" s="6"/>
      <c r="Q698" s="6"/>
      <c r="R698" s="40"/>
      <c r="S698" s="7"/>
      <c r="T698" s="40"/>
      <c r="U698" s="7"/>
      <c r="V698" s="6" t="s">
        <v>84</v>
      </c>
      <c r="W698" s="7">
        <f>E698*0.1+G698*0.1+I698*0.1+O698*0.2+R698*0.2</f>
        <v>18</v>
      </c>
      <c r="X698" s="21">
        <v>50</v>
      </c>
    </row>
    <row r="699" ht="15.6" hidden="1" spans="1:24">
      <c r="A699" s="6">
        <v>102</v>
      </c>
      <c r="B699" s="29" t="s">
        <v>83</v>
      </c>
      <c r="C699" s="29" t="s">
        <v>11</v>
      </c>
      <c r="D699" s="6"/>
      <c r="E699" s="40"/>
      <c r="F699" s="6"/>
      <c r="G699" s="40"/>
      <c r="H699" s="6"/>
      <c r="I699" s="40"/>
      <c r="J699" s="7"/>
      <c r="K699" s="7"/>
      <c r="L699" s="7"/>
      <c r="M699" s="6"/>
      <c r="N699" s="43"/>
      <c r="O699" s="40"/>
      <c r="P699" s="6"/>
      <c r="Q699" s="6"/>
      <c r="R699" s="40"/>
      <c r="S699" s="7"/>
      <c r="T699" s="40"/>
      <c r="U699" s="7"/>
      <c r="V699" s="6" t="s">
        <v>84</v>
      </c>
      <c r="W699" s="7">
        <f>E699*0.1+G699*0.1+I699*0.1+O699*0.2+R699*0.2</f>
        <v>0</v>
      </c>
      <c r="X699" s="21">
        <v>50</v>
      </c>
    </row>
    <row r="700" ht="15.6" hidden="1" spans="1:24">
      <c r="A700" s="6">
        <v>103</v>
      </c>
      <c r="B700" s="29" t="s">
        <v>120</v>
      </c>
      <c r="C700" s="29" t="s">
        <v>11</v>
      </c>
      <c r="D700" s="6"/>
      <c r="E700" s="40"/>
      <c r="F700" s="6"/>
      <c r="G700" s="40"/>
      <c r="H700" s="6"/>
      <c r="I700" s="40"/>
      <c r="J700" s="7"/>
      <c r="K700" s="7"/>
      <c r="L700" s="7"/>
      <c r="M700" s="6"/>
      <c r="N700" s="43"/>
      <c r="O700" s="40"/>
      <c r="P700" s="6"/>
      <c r="Q700" s="6"/>
      <c r="R700" s="40"/>
      <c r="S700" s="7"/>
      <c r="T700" s="40"/>
      <c r="U700" s="7"/>
      <c r="V700" s="6" t="s">
        <v>84</v>
      </c>
      <c r="W700" s="7">
        <f>E700*0.1+G700*0.1+I700*0.1+O700*0.2+R700*0.2</f>
        <v>0</v>
      </c>
      <c r="X700" s="21">
        <v>50</v>
      </c>
    </row>
    <row r="701" s="3" customFormat="1" ht="15.6" hidden="1" spans="1:24">
      <c r="A701" s="6">
        <v>103</v>
      </c>
      <c r="B701" s="29" t="s">
        <v>126</v>
      </c>
      <c r="C701" s="29" t="s">
        <v>11</v>
      </c>
      <c r="D701" s="6"/>
      <c r="E701" s="40"/>
      <c r="F701" s="6"/>
      <c r="G701" s="40"/>
      <c r="H701" s="6"/>
      <c r="I701" s="40"/>
      <c r="J701" s="7"/>
      <c r="K701" s="7"/>
      <c r="L701" s="7"/>
      <c r="M701" s="6"/>
      <c r="N701" s="43"/>
      <c r="O701" s="40"/>
      <c r="P701" s="6"/>
      <c r="Q701" s="6"/>
      <c r="R701" s="40"/>
      <c r="S701" s="7"/>
      <c r="T701" s="40"/>
      <c r="U701" s="7"/>
      <c r="V701" s="6" t="s">
        <v>84</v>
      </c>
      <c r="W701" s="7">
        <f>E701*0.1+G701*0.1+I701*0.1+O701*0.2+R701*0.2</f>
        <v>0</v>
      </c>
      <c r="X701" s="21">
        <v>50</v>
      </c>
    </row>
    <row r="702" ht="15.6" hidden="1" spans="1:24">
      <c r="A702" s="6">
        <v>103</v>
      </c>
      <c r="B702" s="29" t="s">
        <v>142</v>
      </c>
      <c r="C702" s="29" t="s">
        <v>11</v>
      </c>
      <c r="D702" s="6"/>
      <c r="E702" s="40"/>
      <c r="F702" s="6"/>
      <c r="G702" s="40"/>
      <c r="H702" s="6"/>
      <c r="I702" s="40"/>
      <c r="J702" s="7"/>
      <c r="K702" s="7"/>
      <c r="L702" s="7"/>
      <c r="M702" s="6"/>
      <c r="N702" s="43"/>
      <c r="O702" s="40"/>
      <c r="P702" s="6"/>
      <c r="Q702" s="6"/>
      <c r="R702" s="40"/>
      <c r="S702" s="7"/>
      <c r="T702" s="40"/>
      <c r="U702" s="7"/>
      <c r="V702" s="6" t="s">
        <v>84</v>
      </c>
      <c r="W702" s="7">
        <f>E702*0.1+G702*0.1+I702*0.1+O702*0.2+R702*0.2</f>
        <v>0</v>
      </c>
      <c r="X702" s="21">
        <v>50</v>
      </c>
    </row>
    <row r="703" ht="15.6" hidden="1" spans="1:24">
      <c r="A703" s="6">
        <v>104</v>
      </c>
      <c r="B703" s="29" t="s">
        <v>176</v>
      </c>
      <c r="C703" s="29" t="s">
        <v>11</v>
      </c>
      <c r="D703" s="6"/>
      <c r="E703" s="40"/>
      <c r="F703" s="6"/>
      <c r="G703" s="40"/>
      <c r="H703" s="6"/>
      <c r="I703" s="40"/>
      <c r="J703" s="7"/>
      <c r="K703" s="7"/>
      <c r="L703" s="7"/>
      <c r="M703" s="6"/>
      <c r="N703" s="43"/>
      <c r="O703" s="40"/>
      <c r="P703" s="6"/>
      <c r="Q703" s="6"/>
      <c r="R703" s="40"/>
      <c r="S703" s="7"/>
      <c r="T703" s="40"/>
      <c r="U703" s="7"/>
      <c r="V703" s="6" t="s">
        <v>84</v>
      </c>
      <c r="W703" s="7">
        <f>E703*0.1+G703*0.1+I703*0.1+O703*0.2+R703*0.2</f>
        <v>0</v>
      </c>
      <c r="X703" s="21">
        <v>50</v>
      </c>
    </row>
    <row r="704" ht="15.6" hidden="1" spans="1:24">
      <c r="A704" s="6">
        <v>104</v>
      </c>
      <c r="B704" s="29" t="s">
        <v>181</v>
      </c>
      <c r="C704" s="29" t="s">
        <v>11</v>
      </c>
      <c r="D704" s="6"/>
      <c r="E704" s="40"/>
      <c r="F704" s="6"/>
      <c r="G704" s="40"/>
      <c r="H704" s="6"/>
      <c r="I704" s="40"/>
      <c r="J704" s="7"/>
      <c r="K704" s="7"/>
      <c r="L704" s="7"/>
      <c r="M704" s="6"/>
      <c r="N704" s="43"/>
      <c r="O704" s="40"/>
      <c r="P704" s="6"/>
      <c r="Q704" s="6"/>
      <c r="R704" s="40"/>
      <c r="S704" s="7"/>
      <c r="T704" s="40"/>
      <c r="U704" s="7"/>
      <c r="V704" s="6"/>
      <c r="W704" s="7">
        <f>E704*0.1+G704*0.1+I704*0.1+O704*0.2+R704*0.2</f>
        <v>0</v>
      </c>
      <c r="X704" s="27">
        <v>50</v>
      </c>
    </row>
    <row r="705" ht="15.6" hidden="1" spans="1:24">
      <c r="A705" s="6">
        <v>104</v>
      </c>
      <c r="B705" s="29" t="s">
        <v>190</v>
      </c>
      <c r="C705" s="29" t="s">
        <v>11</v>
      </c>
      <c r="D705" s="6"/>
      <c r="E705" s="40"/>
      <c r="F705" s="6"/>
      <c r="G705" s="40"/>
      <c r="H705" s="6"/>
      <c r="I705" s="40"/>
      <c r="J705" s="7"/>
      <c r="K705" s="7"/>
      <c r="L705" s="7"/>
      <c r="M705" s="6"/>
      <c r="N705" s="43"/>
      <c r="O705" s="40"/>
      <c r="P705" s="6"/>
      <c r="Q705" s="6"/>
      <c r="R705" s="40"/>
      <c r="S705" s="7"/>
      <c r="T705" s="40"/>
      <c r="U705" s="7"/>
      <c r="V705" s="6" t="s">
        <v>84</v>
      </c>
      <c r="W705" s="7">
        <f>E705*0.1+G705*0.1+I705*0.1+O705*0.2+R705*0.2</f>
        <v>0</v>
      </c>
      <c r="X705" s="21">
        <v>50</v>
      </c>
    </row>
    <row r="706" ht="15.6" hidden="1" spans="1:24">
      <c r="A706" s="6">
        <v>104</v>
      </c>
      <c r="B706" s="29" t="s">
        <v>194</v>
      </c>
      <c r="C706" s="29" t="s">
        <v>11</v>
      </c>
      <c r="D706" s="6"/>
      <c r="E706" s="40"/>
      <c r="F706" s="6"/>
      <c r="G706" s="40"/>
      <c r="H706" s="6"/>
      <c r="I706" s="40"/>
      <c r="J706" s="7"/>
      <c r="K706" s="7"/>
      <c r="L706" s="7"/>
      <c r="M706" s="6"/>
      <c r="N706" s="43"/>
      <c r="O706" s="40"/>
      <c r="P706" s="6"/>
      <c r="Q706" s="6"/>
      <c r="R706" s="40"/>
      <c r="S706" s="7"/>
      <c r="T706" s="40"/>
      <c r="U706" s="7"/>
      <c r="V706" s="6" t="s">
        <v>84</v>
      </c>
      <c r="W706" s="7">
        <f>E706*0.1+G706*0.1+I706*0.1+O706*0.2+R706*0.2</f>
        <v>0</v>
      </c>
      <c r="X706" s="21">
        <v>50</v>
      </c>
    </row>
    <row r="707" s="34" customFormat="1" ht="15.6" hidden="1" spans="1:24">
      <c r="A707" s="6">
        <v>105</v>
      </c>
      <c r="B707" s="6" t="s">
        <v>235</v>
      </c>
      <c r="C707" s="52" t="s">
        <v>11</v>
      </c>
      <c r="D707" s="6"/>
      <c r="E707" s="40"/>
      <c r="F707" s="6"/>
      <c r="G707" s="40"/>
      <c r="H707" s="6"/>
      <c r="I707" s="40"/>
      <c r="J707" s="7"/>
      <c r="K707" s="7"/>
      <c r="L707" s="7"/>
      <c r="M707" s="6"/>
      <c r="N707" s="43"/>
      <c r="O707" s="40"/>
      <c r="P707" s="6"/>
      <c r="Q707" s="6"/>
      <c r="R707" s="40"/>
      <c r="S707" s="7"/>
      <c r="T707" s="40"/>
      <c r="U707" s="7"/>
      <c r="V707" s="6" t="s">
        <v>222</v>
      </c>
      <c r="W707" s="7">
        <f>E707*0.1+G707*0.1+I707*0.1+O707*0.2+R707*0.2</f>
        <v>0</v>
      </c>
      <c r="X707" s="21">
        <v>50</v>
      </c>
    </row>
    <row r="708" ht="15.6" hidden="1" spans="1:24">
      <c r="A708" s="6">
        <v>106</v>
      </c>
      <c r="B708" s="29" t="s">
        <v>250</v>
      </c>
      <c r="C708" s="29" t="s">
        <v>11</v>
      </c>
      <c r="D708" s="6"/>
      <c r="E708" s="40"/>
      <c r="F708" s="6"/>
      <c r="G708" s="40"/>
      <c r="H708" s="6"/>
      <c r="I708" s="40"/>
      <c r="J708" s="7"/>
      <c r="K708" s="7"/>
      <c r="L708" s="7"/>
      <c r="M708" s="6"/>
      <c r="N708" s="43"/>
      <c r="O708" s="40"/>
      <c r="P708" s="6"/>
      <c r="Q708" s="6"/>
      <c r="R708" s="40"/>
      <c r="S708" s="7"/>
      <c r="T708" s="40"/>
      <c r="U708" s="7"/>
      <c r="V708" s="6" t="s">
        <v>251</v>
      </c>
      <c r="W708" s="7">
        <f>E708*0.1+G708*0.1+I708*0.1+O708*0.2+R708*0.2</f>
        <v>0</v>
      </c>
      <c r="X708" s="21">
        <v>50</v>
      </c>
    </row>
    <row r="709" ht="15.6" hidden="1" spans="1:24">
      <c r="A709" s="6">
        <v>106</v>
      </c>
      <c r="B709" s="29" t="s">
        <v>269</v>
      </c>
      <c r="C709" s="29" t="s">
        <v>11</v>
      </c>
      <c r="D709" s="6"/>
      <c r="E709" s="40"/>
      <c r="F709" s="6"/>
      <c r="G709" s="40"/>
      <c r="H709" s="6"/>
      <c r="I709" s="40"/>
      <c r="J709" s="7"/>
      <c r="K709" s="7"/>
      <c r="L709" s="7"/>
      <c r="M709" s="6"/>
      <c r="N709" s="43"/>
      <c r="O709" s="40"/>
      <c r="P709" s="6"/>
      <c r="Q709" s="6"/>
      <c r="R709" s="40"/>
      <c r="S709" s="7"/>
      <c r="T709" s="40"/>
      <c r="U709" s="7"/>
      <c r="V709" s="6" t="s">
        <v>84</v>
      </c>
      <c r="W709" s="7">
        <f>E709*0.1+G709*0.1+I709*0.1+O709*0.2+R709*0.2</f>
        <v>0</v>
      </c>
      <c r="X709" s="21">
        <v>50</v>
      </c>
    </row>
    <row r="710" ht="15.6" hidden="1" spans="1:24">
      <c r="A710" s="6">
        <v>108</v>
      </c>
      <c r="B710" s="29" t="s">
        <v>352</v>
      </c>
      <c r="C710" s="29" t="s">
        <v>11</v>
      </c>
      <c r="D710" s="6"/>
      <c r="E710" s="40"/>
      <c r="F710" s="6"/>
      <c r="G710" s="40"/>
      <c r="H710" s="6"/>
      <c r="I710" s="40"/>
      <c r="J710" s="7"/>
      <c r="K710" s="7"/>
      <c r="L710" s="7"/>
      <c r="M710" s="6"/>
      <c r="N710" s="43"/>
      <c r="O710" s="40"/>
      <c r="P710" s="6"/>
      <c r="Q710" s="6"/>
      <c r="R710" s="40"/>
      <c r="S710" s="7"/>
      <c r="T710" s="40"/>
      <c r="U710" s="7"/>
      <c r="V710" s="6" t="s">
        <v>84</v>
      </c>
      <c r="W710" s="7">
        <f>E710*0.1+G710*0.1+I710*0.1+O710*0.2+R710*0.2</f>
        <v>0</v>
      </c>
      <c r="X710" s="21">
        <v>50</v>
      </c>
    </row>
    <row r="711" ht="15.6" hidden="1" spans="1:24">
      <c r="A711" s="6">
        <v>109</v>
      </c>
      <c r="B711" s="29" t="s">
        <v>408</v>
      </c>
      <c r="C711" s="29" t="s">
        <v>11</v>
      </c>
      <c r="D711" s="6"/>
      <c r="E711" s="40"/>
      <c r="F711" s="6"/>
      <c r="G711" s="40"/>
      <c r="H711" s="6"/>
      <c r="I711" s="40"/>
      <c r="J711" s="7"/>
      <c r="K711" s="7"/>
      <c r="L711" s="7"/>
      <c r="M711" s="6"/>
      <c r="N711" s="43"/>
      <c r="O711" s="40"/>
      <c r="P711" s="6"/>
      <c r="Q711" s="6"/>
      <c r="R711" s="40"/>
      <c r="S711" s="7"/>
      <c r="T711" s="40"/>
      <c r="U711" s="7"/>
      <c r="V711" s="6" t="s">
        <v>84</v>
      </c>
      <c r="W711" s="7">
        <f>E711*0.1+G711*0.1+I711*0.1+O711*0.2+R711*0.2</f>
        <v>0</v>
      </c>
      <c r="X711" s="21">
        <v>50</v>
      </c>
    </row>
    <row r="712" ht="15.6" hidden="1" spans="1:24">
      <c r="A712" s="6">
        <v>109</v>
      </c>
      <c r="B712" s="29" t="s">
        <v>417</v>
      </c>
      <c r="C712" s="29" t="s">
        <v>11</v>
      </c>
      <c r="D712" s="6"/>
      <c r="E712" s="40"/>
      <c r="F712" s="6"/>
      <c r="G712" s="40"/>
      <c r="H712" s="6"/>
      <c r="I712" s="40"/>
      <c r="J712" s="7"/>
      <c r="K712" s="7"/>
      <c r="L712" s="7"/>
      <c r="M712" s="6"/>
      <c r="N712" s="43"/>
      <c r="O712" s="40"/>
      <c r="P712" s="6"/>
      <c r="Q712" s="6"/>
      <c r="R712" s="40"/>
      <c r="S712" s="7"/>
      <c r="T712" s="40"/>
      <c r="U712" s="7"/>
      <c r="V712" s="6" t="s">
        <v>84</v>
      </c>
      <c r="W712" s="7">
        <f>E712*0.1+G712*0.1+I712*0.1+O712*0.2+R712*0.2</f>
        <v>0</v>
      </c>
      <c r="X712" s="21">
        <v>50</v>
      </c>
    </row>
    <row r="713" ht="15.6" hidden="1" spans="1:24">
      <c r="A713" s="6">
        <v>109</v>
      </c>
      <c r="B713" s="29" t="s">
        <v>427</v>
      </c>
      <c r="C713" s="29" t="s">
        <v>11</v>
      </c>
      <c r="D713" s="6"/>
      <c r="E713" s="40"/>
      <c r="F713" s="6"/>
      <c r="G713" s="40"/>
      <c r="H713" s="6"/>
      <c r="I713" s="40"/>
      <c r="J713" s="7"/>
      <c r="K713" s="7"/>
      <c r="L713" s="7"/>
      <c r="M713" s="6"/>
      <c r="N713" s="43"/>
      <c r="O713" s="40"/>
      <c r="P713" s="6"/>
      <c r="Q713" s="6"/>
      <c r="R713" s="40"/>
      <c r="S713" s="7"/>
      <c r="T713" s="40"/>
      <c r="U713" s="7"/>
      <c r="V713" s="6"/>
      <c r="W713" s="7">
        <f>E713*0.1+G713*0.1+I713*0.1+O713*0.2+R713*0.2</f>
        <v>0</v>
      </c>
      <c r="X713" s="27">
        <v>50</v>
      </c>
    </row>
    <row r="714" ht="15.6" hidden="1" spans="1:24">
      <c r="A714" s="6">
        <v>110</v>
      </c>
      <c r="B714" s="29" t="s">
        <v>481</v>
      </c>
      <c r="C714" s="29" t="s">
        <v>11</v>
      </c>
      <c r="D714" s="6"/>
      <c r="E714" s="40"/>
      <c r="F714" s="6"/>
      <c r="G714" s="40"/>
      <c r="H714" s="6"/>
      <c r="I714" s="40"/>
      <c r="J714" s="7"/>
      <c r="K714" s="7"/>
      <c r="L714" s="7"/>
      <c r="M714" s="6"/>
      <c r="N714" s="43"/>
      <c r="O714" s="40"/>
      <c r="P714" s="6"/>
      <c r="Q714" s="6"/>
      <c r="R714" s="40"/>
      <c r="S714" s="7"/>
      <c r="T714" s="40"/>
      <c r="U714" s="7"/>
      <c r="V714" s="6" t="s">
        <v>482</v>
      </c>
      <c r="W714" s="7">
        <f>E714*0.1+G714*0.1+I714*0.1+O714*0.2+R714*0.2</f>
        <v>0</v>
      </c>
      <c r="X714" s="21">
        <v>50</v>
      </c>
    </row>
    <row r="715" ht="15.6" hidden="1" spans="1:24">
      <c r="A715" s="6">
        <v>111</v>
      </c>
      <c r="B715" s="39" t="s">
        <v>515</v>
      </c>
      <c r="C715" s="29" t="s">
        <v>11</v>
      </c>
      <c r="D715" s="6"/>
      <c r="E715" s="40"/>
      <c r="F715" s="6"/>
      <c r="G715" s="40"/>
      <c r="H715" s="6"/>
      <c r="I715" s="40"/>
      <c r="J715" s="7"/>
      <c r="K715" s="7"/>
      <c r="L715" s="7"/>
      <c r="M715" s="6"/>
      <c r="N715" s="43"/>
      <c r="O715" s="40"/>
      <c r="P715" s="6"/>
      <c r="Q715" s="6"/>
      <c r="R715" s="40"/>
      <c r="S715" s="7"/>
      <c r="T715" s="40"/>
      <c r="U715" s="7"/>
      <c r="V715" s="6" t="s">
        <v>84</v>
      </c>
      <c r="W715" s="7">
        <f>E715*0.1+G715*0.1+I715*0.1+O715*0.2+R715*0.2</f>
        <v>0</v>
      </c>
      <c r="X715" s="21">
        <v>50</v>
      </c>
    </row>
    <row r="716" ht="15.6" hidden="1" spans="1:24">
      <c r="A716" s="6">
        <v>111</v>
      </c>
      <c r="B716" s="29" t="s">
        <v>521</v>
      </c>
      <c r="C716" s="29" t="s">
        <v>11</v>
      </c>
      <c r="D716" s="6"/>
      <c r="E716" s="40"/>
      <c r="F716" s="6"/>
      <c r="G716" s="40"/>
      <c r="H716" s="6"/>
      <c r="I716" s="40"/>
      <c r="J716" s="7"/>
      <c r="K716" s="7"/>
      <c r="L716" s="7"/>
      <c r="M716" s="6"/>
      <c r="N716" s="43"/>
      <c r="O716" s="40"/>
      <c r="P716" s="6"/>
      <c r="Q716" s="6"/>
      <c r="R716" s="40"/>
      <c r="S716" s="7"/>
      <c r="T716" s="40"/>
      <c r="U716" s="7"/>
      <c r="V716" s="6" t="s">
        <v>84</v>
      </c>
      <c r="W716" s="7">
        <f>E716*0.1+G716*0.1+I716*0.1+O716*0.2+R716*0.2</f>
        <v>0</v>
      </c>
      <c r="X716" s="21">
        <v>50</v>
      </c>
    </row>
    <row r="717" ht="15.6" hidden="1" spans="1:24">
      <c r="A717" s="6">
        <v>111</v>
      </c>
      <c r="B717" s="30" t="s">
        <v>541</v>
      </c>
      <c r="C717" s="30" t="s">
        <v>11</v>
      </c>
      <c r="D717" s="6"/>
      <c r="E717" s="40"/>
      <c r="F717" s="6"/>
      <c r="G717" s="40"/>
      <c r="H717" s="6"/>
      <c r="I717" s="40"/>
      <c r="J717" s="7"/>
      <c r="K717" s="7"/>
      <c r="L717" s="7"/>
      <c r="M717" s="6"/>
      <c r="N717" s="43"/>
      <c r="O717" s="40"/>
      <c r="P717" s="6"/>
      <c r="Q717" s="6"/>
      <c r="R717" s="40"/>
      <c r="S717" s="7"/>
      <c r="T717" s="40"/>
      <c r="U717" s="7"/>
      <c r="V717" s="6" t="s">
        <v>542</v>
      </c>
      <c r="W717" s="7">
        <f>E717*0.1+G717*0.1+I717*0.1+O717*0.2+R717*0.2</f>
        <v>0</v>
      </c>
      <c r="X717" s="21">
        <v>50</v>
      </c>
    </row>
    <row r="718" ht="15.6" hidden="1" spans="1:24">
      <c r="A718" s="6">
        <v>112</v>
      </c>
      <c r="B718" s="29" t="s">
        <v>572</v>
      </c>
      <c r="C718" s="29" t="s">
        <v>11</v>
      </c>
      <c r="D718" s="6"/>
      <c r="E718" s="40"/>
      <c r="F718" s="6"/>
      <c r="G718" s="40"/>
      <c r="H718" s="6"/>
      <c r="I718" s="40"/>
      <c r="J718" s="7"/>
      <c r="K718" s="7"/>
      <c r="L718" s="7"/>
      <c r="M718" s="6"/>
      <c r="N718" s="43"/>
      <c r="O718" s="40"/>
      <c r="P718" s="6"/>
      <c r="Q718" s="6"/>
      <c r="R718" s="40"/>
      <c r="S718" s="7"/>
      <c r="T718" s="40"/>
      <c r="U718" s="7"/>
      <c r="V718" s="6" t="s">
        <v>513</v>
      </c>
      <c r="W718" s="7">
        <f>E718*0.1+G718*0.1+I718*0.1+O718*0.2+R718*0.2</f>
        <v>0</v>
      </c>
      <c r="X718" s="21">
        <v>50</v>
      </c>
    </row>
    <row r="719" ht="15.6" hidden="1" spans="1:24">
      <c r="A719" s="6">
        <v>112</v>
      </c>
      <c r="B719" s="29" t="s">
        <v>581</v>
      </c>
      <c r="C719" s="29" t="s">
        <v>11</v>
      </c>
      <c r="D719" s="6"/>
      <c r="E719" s="40"/>
      <c r="F719" s="6"/>
      <c r="G719" s="40"/>
      <c r="H719" s="6"/>
      <c r="I719" s="40"/>
      <c r="J719" s="7"/>
      <c r="K719" s="7"/>
      <c r="L719" s="7"/>
      <c r="M719" s="6"/>
      <c r="N719" s="43"/>
      <c r="O719" s="40"/>
      <c r="P719" s="6"/>
      <c r="Q719" s="6"/>
      <c r="R719" s="40"/>
      <c r="S719" s="7"/>
      <c r="T719" s="40"/>
      <c r="U719" s="7"/>
      <c r="V719" s="6" t="s">
        <v>513</v>
      </c>
      <c r="W719" s="7">
        <f>E719*0.1+G719*0.1+I719*0.1+O719*0.2+R719*0.2</f>
        <v>0</v>
      </c>
      <c r="X719" s="21">
        <v>50</v>
      </c>
    </row>
    <row r="720" ht="15.6" hidden="1" spans="1:24">
      <c r="A720" s="6">
        <v>116</v>
      </c>
      <c r="B720" s="29" t="s">
        <v>786</v>
      </c>
      <c r="C720" s="29" t="s">
        <v>11</v>
      </c>
      <c r="D720" s="6"/>
      <c r="E720" s="40"/>
      <c r="F720" s="6"/>
      <c r="G720" s="40"/>
      <c r="H720" s="6"/>
      <c r="I720" s="40"/>
      <c r="J720" s="7"/>
      <c r="K720" s="7"/>
      <c r="L720" s="7"/>
      <c r="M720" s="6"/>
      <c r="N720" s="43"/>
      <c r="O720" s="40"/>
      <c r="P720" s="6"/>
      <c r="Q720" s="6"/>
      <c r="R720" s="40"/>
      <c r="S720" s="7"/>
      <c r="T720" s="40"/>
      <c r="U720" s="7"/>
      <c r="V720" s="6" t="s">
        <v>513</v>
      </c>
      <c r="W720" s="7">
        <f>E720*0.1+G720*0.1+I720*0.1+O720*0.2+R720*0.2</f>
        <v>0</v>
      </c>
      <c r="X720" s="21">
        <v>50</v>
      </c>
    </row>
    <row r="721" ht="15.6" spans="1:24">
      <c r="A721" s="6">
        <v>110</v>
      </c>
      <c r="B721" s="29" t="s">
        <v>511</v>
      </c>
      <c r="C721" s="29" t="s">
        <v>46</v>
      </c>
      <c r="D721" s="6">
        <v>-4</v>
      </c>
      <c r="E721" s="40">
        <v>0</v>
      </c>
      <c r="F721" s="6">
        <v>145</v>
      </c>
      <c r="G721" s="40">
        <f>LOOKUP(F721,{0,123,128,133,138,143,148,151,154,157,160,163,166,169,172,175,178,185,192,198,204},{0,10,20,30,40,50,60,62,64,66,68,70,72,74,76,78,80,85,90,95,100})</f>
        <v>50</v>
      </c>
      <c r="H721" s="6">
        <v>31</v>
      </c>
      <c r="I721" s="40">
        <f>LOOKUP(H721,{0,13,15,17,19,21,23,25,27,29,31,33,35,37,39,41,43,46,49,51,53},{0,10,20,30,40,50,60,62,64,66,68,70,72,74,76,78,80,85,90,95,100})</f>
        <v>68</v>
      </c>
      <c r="J721" s="45"/>
      <c r="K721" s="45"/>
      <c r="L721" s="7">
        <f>I721+K721</f>
        <v>68</v>
      </c>
      <c r="M721" s="6">
        <v>9.5</v>
      </c>
      <c r="N721" s="43">
        <f>13-M721</f>
        <v>3.5</v>
      </c>
      <c r="O721" s="40">
        <f>LOOKUP(N721,{0,1.4,1.6,1.8,2,2.2,2.4,2.6,2.8,3,3.2,3.4,3.6,3.8,4,4.2,4.4,4.7,5,5.1,5.2},{0,10,20,30,40,50,60,62,64,66,68,70,72,74,76,78,80,85,90,95,100})</f>
        <v>70</v>
      </c>
      <c r="P721" s="6">
        <v>4.38</v>
      </c>
      <c r="Q721" s="6">
        <f>10-P721</f>
        <v>5.62</v>
      </c>
      <c r="R721" s="40">
        <f>LOOKUP(Q721,{0,4.7,4.8,4.9,5,5.5,5.6,5.65,5.7,5.75,5.8,5.85,5.9,5.95,6,6.45,6.5,6.57,6.64,6.7,6.76},{0,10,20,30,40,50,60,62,64,66,68,70,72,74,76,78,80,85,90,95,100})</f>
        <v>60</v>
      </c>
      <c r="S721" s="45"/>
      <c r="T721" s="45"/>
      <c r="U721" s="7">
        <f>R721+T721</f>
        <v>60</v>
      </c>
      <c r="W721" s="7">
        <f>E721*0.1+G721*0.1+I721*0.1+O721*0.2+R721*0.2</f>
        <v>37.8</v>
      </c>
      <c r="X721" s="21">
        <f>W721/0.7+K721+T721</f>
        <v>54</v>
      </c>
    </row>
    <row r="722" s="3" customFormat="1" ht="15.6" spans="1:24">
      <c r="A722" s="6">
        <v>103</v>
      </c>
      <c r="B722" s="29" t="s">
        <v>159</v>
      </c>
      <c r="C722" s="29" t="s">
        <v>46</v>
      </c>
      <c r="D722" s="6">
        <v>19.5</v>
      </c>
      <c r="E722" s="40">
        <f>LOOKUP(D722,{0,0.4,1.2,2,2.8,3.6,4.4,5.7,7,8.3,9.6,10.9,12.2,13.5,14.8,16.1,17.4,19.1,20.8,22.5,24.2},{0,10,20,30,40,50,60,62,64,66,68,70,72,74,76,78,80,85,90,95,100})</f>
        <v>85</v>
      </c>
      <c r="F722" s="6">
        <v>165</v>
      </c>
      <c r="G722" s="40">
        <f>LOOKUP(F722,{0,123,128,133,138,143,148,151,154,157,160,163,166,169,172,175,178,185,192,198,204},{0,10,20,30,40,50,60,62,64,66,68,70,72,74,76,78,80,85,90,95,100})</f>
        <v>70</v>
      </c>
      <c r="H722" s="6">
        <v>41</v>
      </c>
      <c r="I722" s="40">
        <f>LOOKUP(H722,{0,13,15,17,19,21,23,25,27,29,31,33,35,37,39,41,43,46,49,51,53},{0,10,20,30,40,50,60,62,64,66,68,70,72,74,76,78,80,85,90,95,100})</f>
        <v>78</v>
      </c>
      <c r="J722" s="45"/>
      <c r="K722" s="45"/>
      <c r="L722" s="7">
        <f>I722+K722</f>
        <v>78</v>
      </c>
      <c r="M722" s="6">
        <v>9.6</v>
      </c>
      <c r="N722" s="43">
        <f>13-M722</f>
        <v>3.4</v>
      </c>
      <c r="O722" s="40">
        <f>LOOKUP(N722,{0,1.4,1.6,1.8,2,2.2,2.4,2.6,2.8,3,3.2,3.4,3.6,3.8,4,4.2,4.4,4.7,5,5.1,5.2},{0,10,20,30,40,50,60,62,64,66,68,70,72,74,76,78,80,85,90,95,100})</f>
        <v>70</v>
      </c>
      <c r="P722" s="6"/>
      <c r="Q722" s="6"/>
      <c r="R722" s="40"/>
      <c r="S722" s="48"/>
      <c r="T722" s="40"/>
      <c r="U722" s="7"/>
      <c r="V722" s="6" t="s">
        <v>84</v>
      </c>
      <c r="W722" s="7">
        <f>E722*0.1+G722*0.1+I722*0.1+O722*0.2+R722*0.2</f>
        <v>37.3</v>
      </c>
      <c r="X722" s="21">
        <f>W722/0.7+K722+T722</f>
        <v>53.2857142857143</v>
      </c>
    </row>
    <row r="723" ht="15.6" spans="1:24">
      <c r="A723" s="6">
        <v>107</v>
      </c>
      <c r="B723" s="29" t="s">
        <v>338</v>
      </c>
      <c r="C723" s="29" t="s">
        <v>46</v>
      </c>
      <c r="D723" s="6">
        <v>14</v>
      </c>
      <c r="E723" s="40">
        <f>LOOKUP(D723,{0,0.4,1.2,2,2.8,3.6,4.4,5.7,7,8.3,9.6,10.9,12.2,13.5,14.8,16.1,17.4,19.1,20.8,22.5,24.2},{0,10,20,30,40,50,60,62,64,66,68,70,72,74,76,78,80,85,90,95,100})</f>
        <v>74</v>
      </c>
      <c r="F723" s="6">
        <v>1.8</v>
      </c>
      <c r="G723" s="40">
        <f>LOOKUP(F723,{0,123,128,133,138,143,148,151,154,157,160,163,166,169,172,175,178,185,192,198,204},{0,10,20,30,40,50,60,62,64,66,68,70,72,74,76,78,80,85,90,95,100})</f>
        <v>0</v>
      </c>
      <c r="H723" s="6">
        <v>48</v>
      </c>
      <c r="I723" s="40">
        <f>LOOKUP(H723,{0,13,15,17,19,21,23,25,27,29,31,33,35,37,39,41,43,46,49,51,53},{0,10,20,30,40,50,60,62,64,66,68,70,72,74,76,78,80,85,90,95,100})</f>
        <v>85</v>
      </c>
      <c r="J723" s="45"/>
      <c r="K723" s="45"/>
      <c r="L723" s="7">
        <f>I723+K723</f>
        <v>85</v>
      </c>
      <c r="N723" s="43"/>
      <c r="O723" s="40"/>
      <c r="P723" s="6">
        <v>3.51</v>
      </c>
      <c r="Q723" s="6">
        <f>10-P723</f>
        <v>6.49</v>
      </c>
      <c r="R723" s="40">
        <f>LOOKUP(Q723,{0,4.7,4.8,4.9,5,5.5,5.6,5.65,5.7,5.75,5.8,5.85,5.9,5.95,6,6.45,6.5,6.57,6.64,6.7,6.76},{0,10,20,30,40,50,60,62,64,66,68,70,72,74,76,78,80,85,90,95,100})</f>
        <v>78</v>
      </c>
      <c r="S723" s="45"/>
      <c r="T723" s="45"/>
      <c r="U723" s="7">
        <f>R723+T723</f>
        <v>78</v>
      </c>
      <c r="W723" s="7">
        <f>E723*0.1+G723*0.1+I723*0.1+O723*0.2+R723*0.2</f>
        <v>31.5</v>
      </c>
      <c r="X723" s="27">
        <v>50</v>
      </c>
    </row>
    <row r="724" ht="15.6" spans="1:24">
      <c r="A724" s="6">
        <v>104</v>
      </c>
      <c r="B724" s="29" t="s">
        <v>211</v>
      </c>
      <c r="C724" s="29" t="s">
        <v>46</v>
      </c>
      <c r="D724" s="6"/>
      <c r="E724" s="40"/>
      <c r="F724" s="6"/>
      <c r="G724" s="40"/>
      <c r="H724" s="6"/>
      <c r="I724" s="40"/>
      <c r="J724" s="45"/>
      <c r="K724" s="45"/>
      <c r="L724" s="7"/>
      <c r="M724" s="6">
        <v>8</v>
      </c>
      <c r="N724" s="43">
        <f>13-M724</f>
        <v>5</v>
      </c>
      <c r="O724" s="40">
        <f>LOOKUP(N724,{0,1.4,1.6,1.8,2,2.2,2.4,2.6,2.8,3,3.2,3.4,3.6,3.8,4,4.2,4.4,4.7,5,5.1,5.2},{0,10,20,30,40,50,60,62,64,66,68,70,72,74,76,78,80,85,90,95,100})</f>
        <v>90</v>
      </c>
      <c r="R724" s="40"/>
      <c r="S724" s="48"/>
      <c r="T724" s="40"/>
      <c r="U724" s="7"/>
      <c r="V724" s="6" t="s">
        <v>84</v>
      </c>
      <c r="W724" s="7">
        <f>E724*0.1+G724*0.1+I724*0.1+O724*0.2+R724*0.2</f>
        <v>18</v>
      </c>
      <c r="X724" s="21">
        <v>50</v>
      </c>
    </row>
    <row r="725" ht="15.6" spans="1:24">
      <c r="A725" s="6">
        <v>107</v>
      </c>
      <c r="B725" s="29" t="s">
        <v>332</v>
      </c>
      <c r="C725" s="29" t="s">
        <v>46</v>
      </c>
      <c r="D725" s="6"/>
      <c r="E725" s="40"/>
      <c r="F725" s="6"/>
      <c r="G725" s="40"/>
      <c r="H725" s="6"/>
      <c r="I725" s="40"/>
      <c r="J725" s="45"/>
      <c r="K725" s="45"/>
      <c r="L725" s="7"/>
      <c r="M725" s="6">
        <v>8.4</v>
      </c>
      <c r="N725" s="43">
        <f>13-M725</f>
        <v>4.6</v>
      </c>
      <c r="O725" s="40">
        <f>LOOKUP(N725,{0,1.4,1.6,1.8,2,2.2,2.4,2.6,2.8,3,3.2,3.4,3.6,3.8,4,4.2,4.4,4.7,5,5.1,5.2},{0,10,20,30,40,50,60,62,64,66,68,70,72,74,76,78,80,85,90,95,100})</f>
        <v>80</v>
      </c>
      <c r="R725" s="40"/>
      <c r="S725" s="48"/>
      <c r="T725" s="40"/>
      <c r="U725" s="7"/>
      <c r="V725" s="6" t="s">
        <v>84</v>
      </c>
      <c r="W725" s="7">
        <f>E725*0.1+G725*0.1+I725*0.1+O725*0.2+R725*0.2</f>
        <v>16</v>
      </c>
      <c r="X725" s="21">
        <v>50</v>
      </c>
    </row>
    <row r="726" ht="15.6" spans="1:24">
      <c r="A726" s="6">
        <v>106</v>
      </c>
      <c r="B726" s="29" t="s">
        <v>286</v>
      </c>
      <c r="C726" s="29" t="s">
        <v>46</v>
      </c>
      <c r="D726" s="6"/>
      <c r="E726" s="40"/>
      <c r="F726" s="6"/>
      <c r="G726" s="40"/>
      <c r="H726" s="6"/>
      <c r="I726" s="40"/>
      <c r="J726" s="45"/>
      <c r="K726" s="45"/>
      <c r="L726" s="7"/>
      <c r="M726" s="6">
        <v>8.5</v>
      </c>
      <c r="N726" s="43">
        <f>13-M726</f>
        <v>4.5</v>
      </c>
      <c r="O726" s="40">
        <f>LOOKUP(N726,{0,1.4,1.6,1.8,2,2.2,2.4,2.6,2.8,3,3.2,3.4,3.6,3.8,4,4.2,4.4,4.7,5,5.1,5.2},{0,10,20,30,40,50,60,62,64,66,68,70,72,74,76,78,80,85,90,95,100})</f>
        <v>80</v>
      </c>
      <c r="R726" s="40"/>
      <c r="S726" s="48"/>
      <c r="T726" s="40"/>
      <c r="U726" s="7"/>
      <c r="V726" s="6" t="s">
        <v>84</v>
      </c>
      <c r="W726" s="7">
        <f>E726*0.1+G726*0.1+I726*0.1+O726*0.2+R726*0.2</f>
        <v>16</v>
      </c>
      <c r="X726" s="21">
        <v>50</v>
      </c>
    </row>
    <row r="727" ht="15.6" spans="1:24">
      <c r="A727" s="6">
        <v>116</v>
      </c>
      <c r="B727" s="6" t="s">
        <v>832</v>
      </c>
      <c r="C727" s="6" t="s">
        <v>46</v>
      </c>
      <c r="D727" s="6">
        <v>15.5</v>
      </c>
      <c r="E727" s="40">
        <f>LOOKUP(D727,{0,0.4,1.2,2,2.8,3.6,4.4,5.7,7,8.3,9.6,10.9,12.2,13.5,14.8,16.1,17.4,19.1,20.8,22.5,24.2},{0,10,20,30,40,50,60,62,64,66,68,70,72,74,76,78,80,85,90,95,100})</f>
        <v>76</v>
      </c>
      <c r="F727" s="6">
        <v>193</v>
      </c>
      <c r="G727" s="40">
        <f>LOOKUP(F727,{0,123,128,133,138,143,148,151,154,157,160,163,166,169,172,175,178,185,192,198,204},{0,10,20,30,40,50,60,62,64,66,68,70,72,74,76,78,80,85,90,95,100})</f>
        <v>90</v>
      </c>
      <c r="I727" s="40"/>
      <c r="J727" s="45"/>
      <c r="K727" s="45"/>
      <c r="L727" s="7"/>
      <c r="M727" s="6">
        <v>9</v>
      </c>
      <c r="N727" s="43">
        <f>13-M727</f>
        <v>4</v>
      </c>
      <c r="O727" s="40">
        <f>LOOKUP(N727,{0,1.4,1.6,1.8,2,2.2,2.4,2.6,2.8,3,3.2,3.4,3.6,3.8,4,4.2,4.4,4.7,5,5.1,5.2},{0,10,20,30,40,50,60,62,64,66,68,70,72,74,76,78,80,85,90,95,100})</f>
        <v>76</v>
      </c>
      <c r="R727" s="45"/>
      <c r="S727" s="45"/>
      <c r="T727" s="45"/>
      <c r="U727" s="45"/>
      <c r="V727" s="6" t="s">
        <v>513</v>
      </c>
      <c r="W727" s="7">
        <f>E727*0.1+G727*0.1+I727*0.1+O727*0.2+R727*0.2</f>
        <v>31.8</v>
      </c>
      <c r="X727" s="21">
        <v>50</v>
      </c>
    </row>
    <row r="728" ht="15.6" spans="1:24">
      <c r="A728" s="6">
        <v>107</v>
      </c>
      <c r="B728" s="29" t="s">
        <v>345</v>
      </c>
      <c r="C728" s="29" t="s">
        <v>46</v>
      </c>
      <c r="D728" s="6"/>
      <c r="E728" s="40"/>
      <c r="F728" s="6"/>
      <c r="G728" s="40"/>
      <c r="H728" s="6"/>
      <c r="I728" s="40"/>
      <c r="J728" s="45"/>
      <c r="K728" s="45"/>
      <c r="L728" s="7"/>
      <c r="M728" s="6">
        <v>9.5</v>
      </c>
      <c r="N728" s="43">
        <f>13-M728</f>
        <v>3.5</v>
      </c>
      <c r="O728" s="40">
        <f>LOOKUP(N728,{0,1.4,1.6,1.8,2,2.2,2.4,2.6,2.8,3,3.2,3.4,3.6,3.8,4,4.2,4.4,4.7,5,5.1,5.2},{0,10,20,30,40,50,60,62,64,66,68,70,72,74,76,78,80,85,90,95,100})</f>
        <v>70</v>
      </c>
      <c r="R728" s="40"/>
      <c r="S728" s="48"/>
      <c r="T728" s="40"/>
      <c r="U728" s="7"/>
      <c r="V728" s="6" t="s">
        <v>84</v>
      </c>
      <c r="W728" s="7">
        <f>E728*0.1+G728*0.1+I728*0.1+O728*0.2+R728*0.2</f>
        <v>14</v>
      </c>
      <c r="X728" s="21">
        <v>50</v>
      </c>
    </row>
    <row r="729" ht="15.6" spans="1:24">
      <c r="A729" s="6">
        <v>110</v>
      </c>
      <c r="B729" s="30" t="s">
        <v>512</v>
      </c>
      <c r="C729" s="30" t="s">
        <v>46</v>
      </c>
      <c r="D729" s="6"/>
      <c r="E729" s="40"/>
      <c r="F729" s="6"/>
      <c r="G729" s="40"/>
      <c r="H729" s="6"/>
      <c r="I729" s="40"/>
      <c r="J729" s="45"/>
      <c r="K729" s="45"/>
      <c r="L729" s="7"/>
      <c r="M729" s="6">
        <v>10.1</v>
      </c>
      <c r="N729" s="43">
        <f>13-M729</f>
        <v>2.9</v>
      </c>
      <c r="O729" s="40">
        <f>LOOKUP(N729,{0,1.4,1.6,1.8,2,2.2,2.4,2.6,2.8,3,3.2,3.4,3.6,3.8,4,4.2,4.4,4.7,5,5.1,5.2},{0,10,20,30,40,50,60,62,64,66,68,70,72,74,76,78,80,85,90,95,100})</f>
        <v>64</v>
      </c>
      <c r="R729" s="40"/>
      <c r="S729" s="48"/>
      <c r="T729" s="40"/>
      <c r="U729" s="7"/>
      <c r="V729" s="6" t="s">
        <v>513</v>
      </c>
      <c r="W729" s="7">
        <f>E729*0.1+G729*0.1+I729*0.1+O729*0.2+R729*0.2</f>
        <v>12.8</v>
      </c>
      <c r="X729" s="21">
        <v>50</v>
      </c>
    </row>
    <row r="730" ht="15.6" spans="1:24">
      <c r="A730" s="6">
        <v>114</v>
      </c>
      <c r="B730" s="29" t="s">
        <v>722</v>
      </c>
      <c r="C730" s="29" t="s">
        <v>46</v>
      </c>
      <c r="D730" s="6">
        <v>16.3</v>
      </c>
      <c r="E730" s="40">
        <f>LOOKUP(D730,{0,0.4,1.2,2,2.8,3.6,4.4,5.7,7,8.3,9.6,10.9,12.2,13.5,14.8,16.1,17.4,19.1,20.8,22.5,24.2},{0,10,20,30,40,50,60,62,64,66,68,70,72,74,76,78,80,85,90,95,100})</f>
        <v>78</v>
      </c>
      <c r="F730" s="6">
        <v>183</v>
      </c>
      <c r="G730" s="40">
        <f>LOOKUP(F730,{0,123,128,133,138,143,148,151,154,157,160,163,166,169,172,175,178,185,192,198,204},{0,10,20,30,40,50,60,62,64,66,68,70,72,74,76,78,80,85,90,95,100})</f>
        <v>80</v>
      </c>
      <c r="H730" s="6">
        <v>53</v>
      </c>
      <c r="I730" s="40">
        <f>LOOKUP(H730,{0,13,15,17,19,21,23,25,27,29,31,33,35,37,39,41,43,46,49,51,53},{0,10,20,30,40,50,60,62,64,66,68,70,72,74,76,78,80,85,90,95,100})</f>
        <v>100</v>
      </c>
      <c r="J730" s="45">
        <f>H730-53</f>
        <v>0</v>
      </c>
      <c r="K730" s="40">
        <f>LOOKUP(J730,{0,2,4,6,7,8,9,10,11,12,13},{0,1,2,3,4,5,6,7,8,9,10})</f>
        <v>0</v>
      </c>
      <c r="L730" s="7">
        <f>I730+K730</f>
        <v>100</v>
      </c>
      <c r="N730" s="43"/>
      <c r="O730" s="40"/>
      <c r="P730" s="6"/>
      <c r="Q730" s="6"/>
      <c r="R730" s="40"/>
      <c r="S730" s="48"/>
      <c r="T730" s="40"/>
      <c r="U730" s="7"/>
      <c r="V730" s="6"/>
      <c r="W730" s="7">
        <f>E730*0.1+G730*0.1+I730*0.1+O730*0.2+R730*0.2</f>
        <v>25.8</v>
      </c>
      <c r="X730" s="27">
        <v>50</v>
      </c>
    </row>
    <row r="731" ht="15.6" spans="1:24">
      <c r="A731" s="41">
        <v>101</v>
      </c>
      <c r="B731" s="29" t="s">
        <v>47</v>
      </c>
      <c r="C731" s="29" t="s">
        <v>46</v>
      </c>
      <c r="D731" s="41"/>
      <c r="E731" s="40"/>
      <c r="F731" s="41"/>
      <c r="G731" s="40"/>
      <c r="H731" s="41"/>
      <c r="I731" s="40"/>
      <c r="J731" s="44"/>
      <c r="K731" s="44"/>
      <c r="L731" s="4"/>
      <c r="M731" s="41"/>
      <c r="N731" s="43"/>
      <c r="O731" s="40"/>
      <c r="P731" s="41"/>
      <c r="Q731" s="41"/>
      <c r="R731" s="40"/>
      <c r="S731" s="44"/>
      <c r="T731" s="40"/>
      <c r="U731" s="4"/>
      <c r="V731" s="41" t="s">
        <v>48</v>
      </c>
      <c r="W731" s="4">
        <f>E731*0.1+G731*0.1+I731*0.1+O731*0.2+R731*0.2</f>
        <v>0</v>
      </c>
      <c r="X731" s="18">
        <v>50</v>
      </c>
    </row>
    <row r="732" ht="15.6" spans="1:24">
      <c r="A732" s="6">
        <v>102</v>
      </c>
      <c r="B732" s="39" t="s">
        <v>100</v>
      </c>
      <c r="C732" s="29" t="s">
        <v>46</v>
      </c>
      <c r="D732" s="6"/>
      <c r="E732" s="40"/>
      <c r="F732" s="6"/>
      <c r="G732" s="40"/>
      <c r="H732" s="6"/>
      <c r="I732" s="40"/>
      <c r="J732" s="45"/>
      <c r="K732" s="45"/>
      <c r="L732" s="7"/>
      <c r="M732" s="6"/>
      <c r="N732" s="43"/>
      <c r="O732" s="40"/>
      <c r="P732" s="6"/>
      <c r="Q732" s="6"/>
      <c r="R732" s="40"/>
      <c r="S732" s="48"/>
      <c r="T732" s="40"/>
      <c r="U732" s="7"/>
      <c r="V732" s="6" t="s">
        <v>84</v>
      </c>
      <c r="W732" s="7">
        <f>E732*0.1+G732*0.1+I732*0.1+O732*0.2+R732*0.2</f>
        <v>0</v>
      </c>
      <c r="X732" s="21">
        <v>50</v>
      </c>
    </row>
    <row r="733" ht="15.6" spans="1:24">
      <c r="A733" s="6">
        <v>103</v>
      </c>
      <c r="B733" s="39" t="s">
        <v>148</v>
      </c>
      <c r="C733" s="29" t="s">
        <v>46</v>
      </c>
      <c r="D733" s="6"/>
      <c r="E733" s="40"/>
      <c r="F733" s="6"/>
      <c r="G733" s="40"/>
      <c r="I733" s="40"/>
      <c r="J733" s="45"/>
      <c r="K733" s="45"/>
      <c r="L733" s="7"/>
      <c r="M733" s="6"/>
      <c r="N733" s="43"/>
      <c r="O733" s="40"/>
      <c r="P733" s="6"/>
      <c r="Q733" s="6"/>
      <c r="R733" s="40"/>
      <c r="S733" s="48"/>
      <c r="T733" s="40"/>
      <c r="U733" s="7"/>
      <c r="V733" s="6" t="s">
        <v>84</v>
      </c>
      <c r="W733" s="7">
        <f>E733*0.1+G733*0.1+I733*0.1+O733*0.2+R733*0.2</f>
        <v>0</v>
      </c>
      <c r="X733" s="21">
        <v>50</v>
      </c>
    </row>
    <row r="734" ht="15.6" spans="1:24">
      <c r="A734" s="6">
        <v>103</v>
      </c>
      <c r="B734" s="29" t="s">
        <v>154</v>
      </c>
      <c r="C734" s="29" t="s">
        <v>46</v>
      </c>
      <c r="D734" s="6"/>
      <c r="E734" s="40"/>
      <c r="F734" s="6"/>
      <c r="G734" s="40"/>
      <c r="H734" s="6"/>
      <c r="I734" s="40"/>
      <c r="J734" s="45"/>
      <c r="K734" s="45"/>
      <c r="L734" s="7"/>
      <c r="M734" s="6"/>
      <c r="N734" s="43"/>
      <c r="O734" s="40"/>
      <c r="P734" s="6"/>
      <c r="Q734" s="6"/>
      <c r="R734" s="40"/>
      <c r="S734" s="48"/>
      <c r="T734" s="40"/>
      <c r="U734" s="7"/>
      <c r="V734" s="6" t="s">
        <v>84</v>
      </c>
      <c r="W734" s="7">
        <f>E734*0.1+G734*0.1+I734*0.1+O734*0.2+R734*0.2</f>
        <v>0</v>
      </c>
      <c r="X734" s="21">
        <v>50</v>
      </c>
    </row>
    <row r="735" ht="15.6" spans="1:24">
      <c r="A735" s="6">
        <v>107</v>
      </c>
      <c r="B735" s="29" t="s">
        <v>331</v>
      </c>
      <c r="C735" s="29" t="s">
        <v>46</v>
      </c>
      <c r="D735" s="6"/>
      <c r="E735" s="40"/>
      <c r="F735" s="6"/>
      <c r="G735" s="40"/>
      <c r="H735" s="6"/>
      <c r="I735" s="40"/>
      <c r="J735" s="45"/>
      <c r="K735" s="45"/>
      <c r="L735" s="7"/>
      <c r="M735" s="6"/>
      <c r="N735" s="43"/>
      <c r="O735" s="40"/>
      <c r="P735" s="6"/>
      <c r="Q735" s="6"/>
      <c r="R735" s="40"/>
      <c r="S735" s="48"/>
      <c r="T735" s="40"/>
      <c r="U735" s="7"/>
      <c r="V735" s="6" t="s">
        <v>84</v>
      </c>
      <c r="W735" s="7">
        <f>E735*0.1+G735*0.1+I735*0.1+O735*0.2+R735*0.2</f>
        <v>0</v>
      </c>
      <c r="X735" s="21">
        <v>50</v>
      </c>
    </row>
    <row r="736" s="3" customFormat="1" ht="15.6" spans="1:24">
      <c r="A736" s="6">
        <v>107</v>
      </c>
      <c r="B736" s="29" t="s">
        <v>334</v>
      </c>
      <c r="C736" s="29" t="s">
        <v>46</v>
      </c>
      <c r="D736" s="6"/>
      <c r="E736" s="40"/>
      <c r="F736" s="6"/>
      <c r="G736" s="40"/>
      <c r="H736" s="6"/>
      <c r="I736" s="40"/>
      <c r="J736" s="45"/>
      <c r="K736" s="45"/>
      <c r="L736" s="7"/>
      <c r="M736" s="6"/>
      <c r="N736" s="43"/>
      <c r="O736" s="40"/>
      <c r="P736" s="6"/>
      <c r="Q736" s="6"/>
      <c r="R736" s="40"/>
      <c r="S736" s="48"/>
      <c r="T736" s="40"/>
      <c r="U736" s="7"/>
      <c r="V736" s="6" t="s">
        <v>84</v>
      </c>
      <c r="W736" s="7">
        <f>E736*0.1+G736*0.1+I736*0.1+O736*0.2+R736*0.2</f>
        <v>0</v>
      </c>
      <c r="X736" s="21">
        <v>50</v>
      </c>
    </row>
    <row r="737" ht="15.6" spans="1:24">
      <c r="A737" s="6">
        <v>107</v>
      </c>
      <c r="B737" s="29" t="s">
        <v>348</v>
      </c>
      <c r="C737" s="29" t="s">
        <v>46</v>
      </c>
      <c r="D737" s="6"/>
      <c r="E737" s="40"/>
      <c r="F737" s="6"/>
      <c r="G737" s="40"/>
      <c r="H737" s="6"/>
      <c r="I737" s="40"/>
      <c r="J737" s="45"/>
      <c r="K737" s="45"/>
      <c r="L737" s="7"/>
      <c r="M737" s="6"/>
      <c r="N737" s="43"/>
      <c r="O737" s="40"/>
      <c r="P737" s="6"/>
      <c r="Q737" s="6"/>
      <c r="R737" s="40"/>
      <c r="S737" s="48"/>
      <c r="T737" s="40"/>
      <c r="U737" s="7"/>
      <c r="V737" s="6" t="s">
        <v>84</v>
      </c>
      <c r="W737" s="7">
        <f>E737*0.1+G737*0.1+I737*0.1+O737*0.2+R737*0.2</f>
        <v>0</v>
      </c>
      <c r="X737" s="21">
        <v>50</v>
      </c>
    </row>
    <row r="738" ht="15.6" spans="1:24">
      <c r="A738" s="6">
        <v>109</v>
      </c>
      <c r="B738" s="29" t="s">
        <v>439</v>
      </c>
      <c r="C738" s="29" t="s">
        <v>46</v>
      </c>
      <c r="D738" s="6"/>
      <c r="E738" s="40"/>
      <c r="F738" s="6"/>
      <c r="G738" s="40"/>
      <c r="H738" s="6"/>
      <c r="I738" s="40"/>
      <c r="J738" s="45"/>
      <c r="K738" s="45"/>
      <c r="L738" s="7"/>
      <c r="M738" s="6"/>
      <c r="N738" s="43"/>
      <c r="O738" s="40"/>
      <c r="P738" s="6"/>
      <c r="Q738" s="6"/>
      <c r="R738" s="40"/>
      <c r="S738" s="48"/>
      <c r="T738" s="40"/>
      <c r="U738" s="7"/>
      <c r="V738" s="6" t="s">
        <v>440</v>
      </c>
      <c r="W738" s="7">
        <f>E738*0.1+G738*0.1+I738*0.1+O738*0.2+R738*0.2</f>
        <v>0</v>
      </c>
      <c r="X738" s="21">
        <v>50</v>
      </c>
    </row>
    <row r="739" ht="15.6" spans="1:24">
      <c r="A739" s="6">
        <v>113</v>
      </c>
      <c r="B739" s="39" t="s">
        <v>650</v>
      </c>
      <c r="C739" s="29" t="s">
        <v>46</v>
      </c>
      <c r="D739" s="6"/>
      <c r="E739" s="40"/>
      <c r="F739" s="6"/>
      <c r="G739" s="40"/>
      <c r="H739" s="6"/>
      <c r="I739" s="40"/>
      <c r="J739" s="45"/>
      <c r="K739" s="45"/>
      <c r="L739" s="7"/>
      <c r="M739" s="6"/>
      <c r="N739" s="43"/>
      <c r="O739" s="40"/>
      <c r="P739" s="6"/>
      <c r="Q739" s="6"/>
      <c r="R739" s="40"/>
      <c r="S739" s="48"/>
      <c r="T739" s="40"/>
      <c r="U739" s="7"/>
      <c r="V739" s="6" t="s">
        <v>513</v>
      </c>
      <c r="W739" s="7">
        <f>E739*0.1+G739*0.1+I739*0.1+O739*0.2+R739*0.2</f>
        <v>0</v>
      </c>
      <c r="X739" s="21">
        <v>50</v>
      </c>
    </row>
    <row r="740" ht="15.6" spans="1:24">
      <c r="A740" s="6">
        <v>113</v>
      </c>
      <c r="B740" s="54" t="s">
        <v>675</v>
      </c>
      <c r="C740" s="6" t="s">
        <v>46</v>
      </c>
      <c r="E740" s="40"/>
      <c r="G740" s="40"/>
      <c r="I740" s="40"/>
      <c r="J740" s="45"/>
      <c r="K740" s="45"/>
      <c r="L740" s="7"/>
      <c r="N740" s="43"/>
      <c r="O740" s="40"/>
      <c r="R740" s="40"/>
      <c r="S740" s="48"/>
      <c r="T740" s="40"/>
      <c r="U740" s="7"/>
      <c r="V740" s="6"/>
      <c r="W740" s="7">
        <f>E740*0.1+G740*0.1+I740*0.1+O740*0.2+R740*0.2</f>
        <v>0</v>
      </c>
      <c r="X740" s="27">
        <v>50</v>
      </c>
    </row>
    <row r="741" ht="15.6" spans="1:24">
      <c r="A741" s="6">
        <v>115</v>
      </c>
      <c r="B741" s="29" t="s">
        <v>335</v>
      </c>
      <c r="C741" s="29" t="s">
        <v>46</v>
      </c>
      <c r="D741" s="6"/>
      <c r="E741" s="40"/>
      <c r="F741" s="6"/>
      <c r="G741" s="40"/>
      <c r="H741" s="6"/>
      <c r="I741" s="40"/>
      <c r="J741" s="45"/>
      <c r="K741" s="45"/>
      <c r="L741" s="7"/>
      <c r="M741" s="6"/>
      <c r="N741" s="43"/>
      <c r="O741" s="40"/>
      <c r="P741" s="6"/>
      <c r="Q741" s="6"/>
      <c r="R741" s="40"/>
      <c r="S741" s="48"/>
      <c r="T741" s="40"/>
      <c r="U741" s="7"/>
      <c r="V741" s="6" t="s">
        <v>440</v>
      </c>
      <c r="W741" s="7">
        <f>E741*0.1+G741*0.1+I741*0.1+O741*0.2+R741*0.2</f>
        <v>0</v>
      </c>
      <c r="X741" s="21">
        <v>50</v>
      </c>
    </row>
    <row r="742" ht="15.6" spans="1:24">
      <c r="A742" s="6">
        <v>115</v>
      </c>
      <c r="B742" s="29" t="s">
        <v>763</v>
      </c>
      <c r="C742" s="29" t="s">
        <v>46</v>
      </c>
      <c r="D742" s="6"/>
      <c r="E742" s="40"/>
      <c r="F742" s="6"/>
      <c r="G742" s="40"/>
      <c r="H742" s="6"/>
      <c r="I742" s="40"/>
      <c r="J742" s="45"/>
      <c r="K742" s="45"/>
      <c r="L742" s="7"/>
      <c r="M742" s="6"/>
      <c r="N742" s="43"/>
      <c r="O742" s="40"/>
      <c r="P742" s="6"/>
      <c r="Q742" s="6"/>
      <c r="R742" s="40"/>
      <c r="S742" s="48"/>
      <c r="T742" s="40"/>
      <c r="U742" s="7"/>
      <c r="V742" s="6" t="s">
        <v>440</v>
      </c>
      <c r="W742" s="7">
        <f>E742*0.1+G742*0.1+I742*0.1+O742*0.2+R742*0.2</f>
        <v>0</v>
      </c>
      <c r="X742" s="21">
        <v>50</v>
      </c>
    </row>
    <row r="743" ht="15.6" spans="1:24">
      <c r="A743" s="6">
        <v>116</v>
      </c>
      <c r="B743" s="29" t="s">
        <v>823</v>
      </c>
      <c r="C743" s="29" t="s">
        <v>46</v>
      </c>
      <c r="D743" s="6"/>
      <c r="E743" s="40"/>
      <c r="F743" s="6"/>
      <c r="G743" s="40"/>
      <c r="H743" s="6"/>
      <c r="I743" s="40"/>
      <c r="J743" s="45"/>
      <c r="K743" s="45"/>
      <c r="L743" s="7"/>
      <c r="M743" s="6"/>
      <c r="N743" s="43"/>
      <c r="O743" s="40"/>
      <c r="P743" s="6"/>
      <c r="Q743" s="6"/>
      <c r="R743" s="40"/>
      <c r="S743" s="48"/>
      <c r="T743" s="40"/>
      <c r="U743" s="7"/>
      <c r="V743" s="6" t="s">
        <v>513</v>
      </c>
      <c r="W743" s="7">
        <f>E743*0.1+G743*0.1+I743*0.1+O743*0.2+R743*0.2</f>
        <v>0</v>
      </c>
      <c r="X743" s="21">
        <v>50</v>
      </c>
    </row>
    <row r="744" ht="15.6" spans="1:24">
      <c r="A744" s="6">
        <v>116</v>
      </c>
      <c r="B744" s="29" t="s">
        <v>827</v>
      </c>
      <c r="C744" s="29" t="s">
        <v>46</v>
      </c>
      <c r="D744" s="6"/>
      <c r="E744" s="40"/>
      <c r="F744" s="6"/>
      <c r="G744" s="40"/>
      <c r="H744" s="6"/>
      <c r="I744" s="40"/>
      <c r="J744" s="45"/>
      <c r="K744" s="45"/>
      <c r="L744" s="7"/>
      <c r="M744" s="6"/>
      <c r="N744" s="43"/>
      <c r="O744" s="40"/>
      <c r="P744" s="6"/>
      <c r="Q744" s="6"/>
      <c r="R744" s="40"/>
      <c r="S744" s="48"/>
      <c r="T744" s="40"/>
      <c r="U744" s="45"/>
      <c r="V744" s="6" t="s">
        <v>482</v>
      </c>
      <c r="W744" s="7">
        <f>E744*0.1+G744*0.1+I744*0.1+O744*0.2+R744*0.2</f>
        <v>0</v>
      </c>
      <c r="X744" s="21">
        <v>50</v>
      </c>
    </row>
    <row r="745" ht="15.6" spans="1:24">
      <c r="A745" s="6">
        <v>116</v>
      </c>
      <c r="B745" s="30" t="s">
        <v>833</v>
      </c>
      <c r="C745" s="6" t="s">
        <v>46</v>
      </c>
      <c r="D745" s="6"/>
      <c r="E745" s="40"/>
      <c r="F745" s="6"/>
      <c r="G745" s="40"/>
      <c r="I745" s="45"/>
      <c r="J745" s="45"/>
      <c r="K745" s="45"/>
      <c r="L745" s="45"/>
      <c r="M745" s="6"/>
      <c r="N745" s="6"/>
      <c r="O745" s="45"/>
      <c r="V745" s="6" t="s">
        <v>482</v>
      </c>
      <c r="W745" s="7">
        <f>E745*0.1+G745*0.1+I745*0.1+O745*0.2+R745*0.2</f>
        <v>0</v>
      </c>
      <c r="X745" s="21">
        <v>50</v>
      </c>
    </row>
    <row r="746" ht="15.6" spans="1:24">
      <c r="A746" s="6">
        <v>114</v>
      </c>
      <c r="B746" s="29" t="s">
        <v>724</v>
      </c>
      <c r="C746" s="29" t="s">
        <v>46</v>
      </c>
      <c r="D746" s="6">
        <v>18.5</v>
      </c>
      <c r="E746" s="40">
        <f>LOOKUP(D746,{0,0.4,1.2,2,2.8,3.6,4.4,5.7,7,8.3,9.6,10.9,12.2,13.5,14.8,16.1,17.4,19.1,20.8,22.5,24.2},{0,10,20,30,40,50,60,62,64,66,68,70,72,74,76,78,80,85,90,95,100})</f>
        <v>80</v>
      </c>
      <c r="F746" s="6">
        <v>142</v>
      </c>
      <c r="G746" s="40">
        <f>LOOKUP(F746,{0,123,128,133,138,143,148,151,154,157,160,163,166,169,172,175,178,185,192,198,204},{0,10,20,30,40,50,60,62,64,66,68,70,72,74,76,78,80,85,90,95,100})</f>
        <v>40</v>
      </c>
      <c r="H746" s="6">
        <v>46</v>
      </c>
      <c r="I746" s="57">
        <f>LOOKUP(H746,{0,13,15,17,19,21,23,25,27,29,31,33,35,37,39,41,43,46,49,51,53},{0,10,20,30,40,50,60,62,64,66,68,70,72,74,76,78,80,85,90,95,100})</f>
        <v>85</v>
      </c>
      <c r="L746" s="6">
        <f>I746+K746</f>
        <v>85</v>
      </c>
      <c r="M746" s="6">
        <v>10.7</v>
      </c>
      <c r="N746" s="43">
        <f>13-M746</f>
        <v>2.3</v>
      </c>
      <c r="O746" s="57">
        <f>LOOKUP(N746,{0,1.4,1.6,1.8,2,2.2,2.4,2.6,2.8,3,3.2,3.4,3.6,3.8,4,4.2,4.4,4.7,5,5.1,5.2},{0,10,20,30,40,50,60,62,64,66,68,70,72,74,76,78,80,85,90,95,100})</f>
        <v>50</v>
      </c>
      <c r="P746" s="6">
        <v>5.25</v>
      </c>
      <c r="Q746" s="6">
        <f>10-P746</f>
        <v>4.75</v>
      </c>
      <c r="R746" s="57">
        <f>LOOKUP(Q746,{0,4.7,4.8,4.9,5,5.5,5.6,5.65,5.7,5.75,5.8,5.85,5.9,5.95,6,6.45,6.5,6.57,6.64,6.7,6.76},{0,10,20,30,40,50,60,62,64,66,68,70,72,74,76,78,80,85,90,95,100})</f>
        <v>10</v>
      </c>
      <c r="U746" s="6">
        <f>R746+T746</f>
        <v>10</v>
      </c>
      <c r="W746" s="7">
        <f>E746*0.1+G746*0.1+I746*0.1+O746*0.2+R746*0.2</f>
        <v>32.5</v>
      </c>
      <c r="X746" s="21">
        <f>W746/0.7+K746+T746</f>
        <v>46.4285714285714</v>
      </c>
    </row>
    <row r="747" spans="2:3">
      <c r="B747" s="29"/>
      <c r="C747" s="29"/>
    </row>
    <row r="748" spans="2:3">
      <c r="B748" s="29"/>
      <c r="C748" s="29"/>
    </row>
    <row r="749" spans="2:3">
      <c r="B749" s="29"/>
      <c r="C749" s="29"/>
    </row>
    <row r="750" spans="2:3">
      <c r="B750" s="29"/>
      <c r="C750" s="29"/>
    </row>
    <row r="753" spans="2:3">
      <c r="B753" s="29"/>
      <c r="C753" s="29"/>
    </row>
    <row r="756" s="3" customFormat="1" spans="1:2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64" spans="2:3">
      <c r="B764" s="29"/>
      <c r="C764" s="29"/>
    </row>
    <row r="766" spans="2:3">
      <c r="B766" s="29"/>
      <c r="C766" s="29"/>
    </row>
    <row r="770" s="3" customFormat="1" spans="1:2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2:3">
      <c r="B771" s="29"/>
      <c r="C771" s="29"/>
    </row>
    <row r="774" spans="2:3">
      <c r="B774" s="29"/>
      <c r="C774" s="29"/>
    </row>
    <row r="777" spans="2:3">
      <c r="B777" s="29"/>
      <c r="C777" s="29"/>
    </row>
    <row r="779" spans="2:3">
      <c r="B779" s="29"/>
      <c r="C779" s="29"/>
    </row>
    <row r="782" spans="2:3">
      <c r="B782" s="29"/>
      <c r="C782" s="29"/>
    </row>
    <row r="787" spans="2:3">
      <c r="B787" s="29"/>
      <c r="C787" s="29"/>
    </row>
    <row r="791" s="3" customFormat="1" spans="1:2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2:3">
      <c r="B792" s="29"/>
      <c r="C792" s="29"/>
    </row>
    <row r="795" spans="1:22">
      <c r="A795" s="30"/>
      <c r="B795" s="32"/>
      <c r="C795" s="32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1"/>
      <c r="R795" s="31"/>
      <c r="S795" s="31"/>
      <c r="T795" s="31"/>
      <c r="U795" s="31"/>
      <c r="V795" s="31"/>
    </row>
    <row r="797" spans="2:3">
      <c r="B797" s="29"/>
      <c r="C797" s="29"/>
    </row>
    <row r="799" spans="2:3">
      <c r="B799" s="29"/>
      <c r="C799" s="29"/>
    </row>
    <row r="801" spans="2:3">
      <c r="B801" s="29"/>
      <c r="C801" s="29"/>
    </row>
    <row r="802" spans="2:3">
      <c r="B802" s="29"/>
      <c r="C802" s="29"/>
    </row>
    <row r="803" spans="2:3">
      <c r="B803" s="29"/>
      <c r="C803" s="29"/>
    </row>
    <row r="804" spans="2:3">
      <c r="B804" s="29"/>
      <c r="C804" s="29"/>
    </row>
    <row r="805" s="3" customFormat="1" spans="1:22">
      <c r="A805" s="6"/>
      <c r="B805" s="29"/>
      <c r="C805" s="29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2:3">
      <c r="B806" s="29"/>
      <c r="C806" s="29"/>
    </row>
    <row r="807" spans="2:3">
      <c r="B807" s="29"/>
      <c r="C807" s="29"/>
    </row>
    <row r="808" spans="2:3">
      <c r="B808" s="29"/>
      <c r="C808" s="29"/>
    </row>
    <row r="809" spans="2:3">
      <c r="B809" s="29"/>
      <c r="C809" s="29"/>
    </row>
    <row r="810" spans="2:3">
      <c r="B810" s="29"/>
      <c r="C810" s="29"/>
    </row>
    <row r="814" spans="2:3">
      <c r="B814" s="29"/>
      <c r="C814" s="29"/>
    </row>
    <row r="815" spans="2:3">
      <c r="B815" s="29"/>
      <c r="C815" s="29"/>
    </row>
    <row r="816" spans="2:3">
      <c r="B816" s="29"/>
      <c r="C816" s="29"/>
    </row>
    <row r="817" spans="2:3">
      <c r="B817" s="29"/>
      <c r="C817" s="29"/>
    </row>
    <row r="818" spans="2:3">
      <c r="B818" s="29"/>
      <c r="C818" s="29"/>
    </row>
    <row r="821" spans="2:3">
      <c r="B821" s="29"/>
      <c r="C821" s="29"/>
    </row>
    <row r="822" spans="2:3">
      <c r="B822" s="29"/>
      <c r="C822" s="29"/>
    </row>
    <row r="823" spans="2:3">
      <c r="B823" s="29"/>
      <c r="C823" s="29"/>
    </row>
    <row r="824" spans="2:3">
      <c r="B824" s="29"/>
      <c r="C824" s="29"/>
    </row>
    <row r="825" spans="2:3">
      <c r="B825" s="29"/>
      <c r="C825" s="29"/>
    </row>
    <row r="826" s="3" customFormat="1" spans="1:22">
      <c r="A826" s="6"/>
      <c r="B826" s="29"/>
      <c r="C826" s="29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2:3">
      <c r="B827" s="29"/>
      <c r="C827" s="29"/>
    </row>
    <row r="828" spans="2:3">
      <c r="B828" s="29"/>
      <c r="C828" s="29"/>
    </row>
    <row r="831" spans="2:3">
      <c r="B831" s="29"/>
      <c r="C831" s="29"/>
    </row>
    <row r="833" spans="2:3">
      <c r="B833" s="29"/>
      <c r="C833" s="29"/>
    </row>
    <row r="834" spans="2:3">
      <c r="B834" s="29"/>
      <c r="C834" s="29"/>
    </row>
    <row r="836" spans="2:3">
      <c r="B836" s="29"/>
      <c r="C836" s="29"/>
    </row>
    <row r="837" spans="2:3">
      <c r="B837" s="29"/>
      <c r="C837" s="29"/>
    </row>
    <row r="838" spans="2:3">
      <c r="B838" s="29"/>
      <c r="C838" s="29"/>
    </row>
    <row r="839" spans="2:3">
      <c r="B839" s="29"/>
      <c r="C839" s="29"/>
    </row>
    <row r="840" s="3" customFormat="1" spans="1:22">
      <c r="A840" s="6"/>
      <c r="B840" s="29"/>
      <c r="C840" s="29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2:3">
      <c r="B841" s="29"/>
      <c r="C841" s="29"/>
    </row>
    <row r="842" spans="2:3">
      <c r="B842" s="29"/>
      <c r="C842" s="29"/>
    </row>
    <row r="843" spans="2:3">
      <c r="B843" s="29"/>
      <c r="C843" s="29"/>
    </row>
    <row r="844" spans="2:3">
      <c r="B844" s="29"/>
      <c r="C844" s="29"/>
    </row>
    <row r="846" spans="2:3">
      <c r="B846" s="29"/>
      <c r="C846" s="29"/>
    </row>
    <row r="847" spans="2:3">
      <c r="B847" s="29"/>
      <c r="C847" s="29"/>
    </row>
    <row r="848" spans="2:3">
      <c r="B848" s="29"/>
      <c r="C848" s="29"/>
    </row>
    <row r="849" spans="2:3">
      <c r="B849" s="29"/>
      <c r="C849" s="29"/>
    </row>
    <row r="850" spans="2:3">
      <c r="B850" s="29"/>
      <c r="C850" s="29"/>
    </row>
    <row r="851" spans="2:3">
      <c r="B851" s="29"/>
      <c r="C851" s="29"/>
    </row>
    <row r="852" spans="2:3">
      <c r="B852" s="29"/>
      <c r="C852" s="29"/>
    </row>
    <row r="854" spans="2:3">
      <c r="B854" s="29"/>
      <c r="C854" s="29"/>
    </row>
    <row r="855" spans="2:3">
      <c r="B855" s="29"/>
      <c r="C855" s="29"/>
    </row>
    <row r="856" spans="2:3">
      <c r="B856" s="29"/>
      <c r="C856" s="29"/>
    </row>
    <row r="857" spans="2:3">
      <c r="B857" s="29"/>
      <c r="C857" s="29"/>
    </row>
    <row r="858" spans="2:3">
      <c r="B858" s="29"/>
      <c r="C858" s="29"/>
    </row>
    <row r="859" spans="2:3">
      <c r="B859" s="29"/>
      <c r="C859" s="29"/>
    </row>
    <row r="860" s="3" customFormat="1" spans="1:2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2" spans="2:3">
      <c r="B862" s="29"/>
      <c r="C862" s="29"/>
    </row>
    <row r="863" spans="2:3">
      <c r="B863" s="29"/>
      <c r="C863" s="29"/>
    </row>
    <row r="864" spans="2:3">
      <c r="B864" s="29"/>
      <c r="C864" s="29"/>
    </row>
    <row r="865" spans="2:3">
      <c r="B865" s="29"/>
      <c r="C865" s="29"/>
    </row>
    <row r="866" spans="2:3">
      <c r="B866" s="29"/>
      <c r="C866" s="29"/>
    </row>
    <row r="867" spans="2:3">
      <c r="B867" s="29"/>
      <c r="C867" s="29"/>
    </row>
    <row r="870" spans="2:3">
      <c r="B870" s="29"/>
      <c r="C870" s="29"/>
    </row>
    <row r="871" spans="2:3">
      <c r="B871" s="29"/>
      <c r="C871" s="29"/>
    </row>
    <row r="872" spans="2:3">
      <c r="B872" s="29"/>
      <c r="C872" s="29"/>
    </row>
    <row r="873" spans="2:3">
      <c r="B873" s="29"/>
      <c r="C873" s="29"/>
    </row>
    <row r="874" spans="2:3">
      <c r="B874" s="29"/>
      <c r="C874" s="29"/>
    </row>
    <row r="875" s="3" customFormat="1" spans="1:22">
      <c r="A875" s="6"/>
      <c r="B875" s="29"/>
      <c r="C875" s="29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2:3">
      <c r="B876" s="29"/>
      <c r="C876" s="29"/>
    </row>
    <row r="879" spans="2:3">
      <c r="B879" s="29"/>
      <c r="C879" s="29"/>
    </row>
    <row r="880" spans="2:3">
      <c r="B880" s="29"/>
      <c r="C880" s="29"/>
    </row>
    <row r="881" spans="2:3">
      <c r="B881" s="29"/>
      <c r="C881" s="29"/>
    </row>
    <row r="882" spans="2:3">
      <c r="B882" s="29"/>
      <c r="C882" s="29"/>
    </row>
    <row r="883" spans="2:3">
      <c r="B883" s="29"/>
      <c r="C883" s="29"/>
    </row>
    <row r="884" spans="2:3">
      <c r="B884" s="29"/>
      <c r="C884" s="29"/>
    </row>
    <row r="885" spans="2:3">
      <c r="B885" s="29"/>
      <c r="C885" s="29"/>
    </row>
    <row r="888" spans="2:3">
      <c r="B888" s="29"/>
      <c r="C888" s="29"/>
    </row>
    <row r="889" spans="2:3">
      <c r="B889" s="29"/>
      <c r="C889" s="29"/>
    </row>
    <row r="890" s="3" customFormat="1" spans="1:22">
      <c r="A890" s="6"/>
      <c r="B890" s="29"/>
      <c r="C890" s="29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2:3">
      <c r="B891" s="29"/>
      <c r="C891" s="29"/>
    </row>
    <row r="892" spans="2:3">
      <c r="B892" s="29"/>
      <c r="C892" s="29"/>
    </row>
    <row r="893" spans="2:3">
      <c r="B893" s="29"/>
      <c r="C893" s="29"/>
    </row>
    <row r="896" spans="2:3">
      <c r="B896" s="29"/>
      <c r="C896" s="29"/>
    </row>
    <row r="897" spans="2:3">
      <c r="B897" s="29"/>
      <c r="C897" s="29"/>
    </row>
    <row r="898" spans="2:3">
      <c r="B898" s="29"/>
      <c r="C898" s="29"/>
    </row>
    <row r="899" spans="2:3">
      <c r="B899" s="29"/>
      <c r="C899" s="29"/>
    </row>
    <row r="900" spans="2:3">
      <c r="B900" s="29"/>
      <c r="C900" s="29"/>
    </row>
  </sheetData>
  <autoFilter ref="A1:X746">
    <filterColumn colId="2">
      <filters>
        <filter val="女"/>
      </filters>
    </filterColumn>
    <extLst/>
  </autoFilter>
  <sortState ref="A2:X900">
    <sortCondition ref="X2" descending="1"/>
  </sortState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09"/>
  <sheetViews>
    <sheetView topLeftCell="O1" workbookViewId="0">
      <selection activeCell="AB754" sqref="AB754"/>
    </sheetView>
  </sheetViews>
  <sheetFormatPr defaultColWidth="9" defaultRowHeight="14.4"/>
  <cols>
    <col min="1" max="2" width="9" style="6"/>
    <col min="3" max="3" width="9.87962962962963" style="6" customWidth="1"/>
    <col min="4" max="4" width="9" style="6"/>
    <col min="5" max="23" width="12.3796296296296" style="6" customWidth="1"/>
    <col min="24" max="24" width="12.6296296296296" style="7"/>
    <col min="25" max="25" width="12.8888888888889" style="37"/>
    <col min="26" max="16384" width="9" style="7"/>
  </cols>
  <sheetData>
    <row r="1" s="3" customFormat="1" spans="1:25">
      <c r="A1" s="30" t="s">
        <v>1</v>
      </c>
      <c r="B1" s="31" t="s">
        <v>2</v>
      </c>
      <c r="C1" s="32" t="s">
        <v>3</v>
      </c>
      <c r="D1" s="32" t="s">
        <v>4</v>
      </c>
      <c r="E1" s="33" t="s">
        <v>5</v>
      </c>
      <c r="F1" s="38" t="s">
        <v>834</v>
      </c>
      <c r="G1" s="33" t="s">
        <v>6</v>
      </c>
      <c r="H1" s="38" t="s">
        <v>834</v>
      </c>
      <c r="I1" s="33" t="s">
        <v>7</v>
      </c>
      <c r="J1" s="38" t="s">
        <v>834</v>
      </c>
      <c r="K1" s="33" t="s">
        <v>835</v>
      </c>
      <c r="L1" s="38" t="s">
        <v>836</v>
      </c>
      <c r="M1" s="38" t="s">
        <v>837</v>
      </c>
      <c r="N1" s="33">
        <v>50</v>
      </c>
      <c r="O1" s="33" t="s">
        <v>838</v>
      </c>
      <c r="P1" s="38" t="s">
        <v>834</v>
      </c>
      <c r="Q1" s="33" t="s">
        <v>8</v>
      </c>
      <c r="R1" s="31" t="s">
        <v>838</v>
      </c>
      <c r="S1" s="46" t="s">
        <v>834</v>
      </c>
      <c r="T1" s="31" t="s">
        <v>839</v>
      </c>
      <c r="U1" s="46" t="s">
        <v>836</v>
      </c>
      <c r="V1" s="46" t="s">
        <v>837</v>
      </c>
      <c r="W1" s="31" t="s">
        <v>9</v>
      </c>
      <c r="X1" s="47" t="s">
        <v>840</v>
      </c>
      <c r="Y1" s="49" t="s">
        <v>841</v>
      </c>
    </row>
    <row r="2" ht="15.6" hidden="1" outlineLevel="2" spans="1:25">
      <c r="A2" s="6">
        <v>101</v>
      </c>
      <c r="B2" s="6">
        <v>1</v>
      </c>
      <c r="C2" s="39" t="s">
        <v>10</v>
      </c>
      <c r="D2" s="29" t="s">
        <v>11</v>
      </c>
      <c r="E2" s="6">
        <v>5</v>
      </c>
      <c r="F2" s="40">
        <f>LOOKUP(E2,{0,-4,-3,-2,-1,0,1,2.4,3.8,5.2,6.6,8,9.4,10.8,12.2,13.6,15,17.2,19.4,21.5,23.6},{0,10,20,30,40,50,60,62,64,66,68,70,72,74,76,78,80,85,90,95,100})</f>
        <v>64</v>
      </c>
      <c r="G2" s="6">
        <v>260</v>
      </c>
      <c r="H2" s="40">
        <f>LOOKUP(G2,{0,170,175,180,185,190,195,199,203,207,211,215,219,223,227,231,235,243,250,255,260},{0,10,20,30,40,50,60,62,64,66,68,70,72,74,76,78,80,85,90,95,100})</f>
        <v>100</v>
      </c>
      <c r="I2" s="6">
        <v>15</v>
      </c>
      <c r="J2" s="40">
        <f>LOOKUP(I2,{0,2,3,4,5,6,7,8,9,10,11,12,13,14,15,16},{0,10,20,30,40,50,60,64,68,72,76,80,85,90,95,100})</f>
        <v>95</v>
      </c>
      <c r="K2" s="7"/>
      <c r="L2" s="7"/>
      <c r="M2" s="7">
        <f t="shared" ref="M2:M32" si="0">J2+L2</f>
        <v>95</v>
      </c>
      <c r="N2" s="6">
        <v>7.3</v>
      </c>
      <c r="O2" s="43">
        <f t="shared" ref="O2:O12" si="1">13-N2</f>
        <v>5.7</v>
      </c>
      <c r="P2" s="40">
        <f>LOOKUP(O2,{0,2.5,2.7,2.9,3.1,3.3,3.5,3.7,3.9,4.1,4.3,4.5,4.7,4.9,5.1,5.3,5.5,5.6,5.7,5.8,5.9},{0,10,20,30,40,50,60,62,64,66,68,70,72,74,76,78,80,85,90,95,100})</f>
        <v>90</v>
      </c>
      <c r="Q2" s="6">
        <v>3.41</v>
      </c>
      <c r="R2" s="6">
        <f t="shared" ref="R2:R14" si="2">10-Q2</f>
        <v>6.59</v>
      </c>
      <c r="S2" s="40">
        <f>LOOKUP(R2,{0,3.75,3.95,4.55,4.75,4.95,5.55,5.6,5.65,5.7,5.75,5.8,5.85,5.9,5.95,6,6.45,6.53,6.6,6.65,6.7},{0,10,20,30,40,50,60,62,64,66,68,70,72,74,76,78,80,85,90,95,100})</f>
        <v>85</v>
      </c>
      <c r="T2" s="7"/>
      <c r="U2" s="7"/>
      <c r="V2" s="7">
        <f t="shared" ref="V2:V14" si="3">S2+U2</f>
        <v>85</v>
      </c>
      <c r="X2" s="7">
        <f t="shared" ref="X2:X65" si="4">F2*0.1+H2*0.1+J2*0.1+P2*0.2+S2*0.2</f>
        <v>60.9</v>
      </c>
      <c r="Y2" s="37">
        <f t="shared" ref="Y2:Y32" si="5">X2/0.7+L2+U2</f>
        <v>87</v>
      </c>
    </row>
    <row r="3" ht="15.6" hidden="1" outlineLevel="2" spans="1:25">
      <c r="A3" s="6">
        <v>101</v>
      </c>
      <c r="B3" s="6">
        <v>2</v>
      </c>
      <c r="C3" s="29" t="s">
        <v>12</v>
      </c>
      <c r="D3" s="29" t="s">
        <v>11</v>
      </c>
      <c r="E3" s="6">
        <v>5.3</v>
      </c>
      <c r="F3" s="40">
        <f>LOOKUP(E3,{0,-4,-3,-2,-1,0,1,2.4,3.8,5.2,6.6,8,9.4,10.8,12.2,13.6,15,17.2,19.4,21.5,23.6},{0,10,20,30,40,50,60,62,64,66,68,70,72,74,76,78,80,85,90,95,100})</f>
        <v>66</v>
      </c>
      <c r="G3" s="6">
        <v>283</v>
      </c>
      <c r="H3" s="40">
        <f>LOOKUP(G3,{0,170,175,180,185,190,195,199,203,207,211,215,219,223,227,231,235,243,250,255,260},{0,10,20,30,40,50,60,62,64,66,68,70,72,74,76,78,80,85,90,95,100})</f>
        <v>100</v>
      </c>
      <c r="I3" s="6">
        <v>20</v>
      </c>
      <c r="J3" s="40">
        <f>LOOKUP(I3,{0,2,3,4,5,6,7,8,9,10,11,12,13,14,15,16},{0,10,20,30,40,50,60,64,68,72,76,80,85,90,95,100})</f>
        <v>100</v>
      </c>
      <c r="K3" s="7">
        <f>I3-16</f>
        <v>4</v>
      </c>
      <c r="L3" s="40">
        <f>LOOKUP(K3,{0,1,2,3,4,5,6,7,8,9,10},{0,1,2,3,4,5,6,7,8,9,10})</f>
        <v>4</v>
      </c>
      <c r="M3" s="7">
        <f t="shared" si="0"/>
        <v>104</v>
      </c>
      <c r="N3" s="6">
        <v>6.7</v>
      </c>
      <c r="O3" s="43">
        <f t="shared" si="1"/>
        <v>6.3</v>
      </c>
      <c r="P3" s="40">
        <f>LOOKUP(O3,{0,2.5,2.7,2.9,3.1,3.3,3.5,3.7,3.9,4.1,4.3,4.5,4.7,4.9,5.1,5.3,5.5,5.6,5.7,5.8,5.9},{0,10,20,30,40,50,60,62,64,66,68,70,72,74,76,78,80,85,90,95,100})</f>
        <v>100</v>
      </c>
      <c r="Q3" s="6">
        <v>3.25</v>
      </c>
      <c r="R3" s="6">
        <f t="shared" si="2"/>
        <v>6.75</v>
      </c>
      <c r="S3" s="40">
        <f>LOOKUP(R3,{0,3.75,3.95,4.55,4.75,4.95,5.55,5.6,5.65,5.7,5.75,5.8,5.85,5.9,5.95,6,6.45,6.53,6.6,6.65,6.7},{0,10,20,30,40,50,60,62,64,66,68,70,72,74,76,78,80,85,90,95,100})</f>
        <v>100</v>
      </c>
      <c r="T3" s="7">
        <f>3.3-Q3</f>
        <v>0.0499999999999998</v>
      </c>
      <c r="U3" s="40">
        <f>LOOKUP(T3,{0,0.04,0.08,0.12,0.16,0.2,0.23,0.26,0.29,0.32,0.35},{0,1,2,3,4,5,6,7,8,9,10})</f>
        <v>1</v>
      </c>
      <c r="V3" s="7">
        <f t="shared" si="3"/>
        <v>101</v>
      </c>
      <c r="X3" s="7">
        <f t="shared" si="4"/>
        <v>66.6</v>
      </c>
      <c r="Y3" s="37">
        <f t="shared" si="5"/>
        <v>100.142857142857</v>
      </c>
    </row>
    <row r="4" ht="15.6" hidden="1" outlineLevel="2" spans="1:25">
      <c r="A4" s="6">
        <v>101</v>
      </c>
      <c r="B4" s="6">
        <v>3</v>
      </c>
      <c r="C4" s="29" t="s">
        <v>13</v>
      </c>
      <c r="D4" s="29" t="s">
        <v>11</v>
      </c>
      <c r="E4" s="6">
        <v>5.5</v>
      </c>
      <c r="F4" s="40">
        <f>LOOKUP(E4,{0,-4,-3,-2,-1,0,1,2.4,3.8,5.2,6.6,8,9.4,10.8,12.2,13.6,15,17.2,19.4,21.5,23.6},{0,10,20,30,40,50,60,62,64,66,68,70,72,74,76,78,80,85,90,95,100})</f>
        <v>66</v>
      </c>
      <c r="G4" s="6">
        <v>223</v>
      </c>
      <c r="H4" s="40">
        <f>LOOKUP(G4,{0,170,175,180,185,190,195,199,203,207,211,215,219,223,227,231,235,243,250,255,260},{0,10,20,30,40,50,60,62,64,66,68,70,72,74,76,78,80,85,90,95,100})</f>
        <v>74</v>
      </c>
      <c r="I4" s="6">
        <v>13</v>
      </c>
      <c r="J4" s="40">
        <f>LOOKUP(I4,{0,2,3,4,5,6,7,8,9,10,11,12,13,14,15,16},{0,10,20,30,40,50,60,64,68,72,76,80,85,90,95,100})</f>
        <v>85</v>
      </c>
      <c r="K4" s="7"/>
      <c r="L4" s="7"/>
      <c r="M4" s="7">
        <f t="shared" si="0"/>
        <v>85</v>
      </c>
      <c r="N4" s="6">
        <v>7.4</v>
      </c>
      <c r="O4" s="43">
        <f t="shared" si="1"/>
        <v>5.6</v>
      </c>
      <c r="P4" s="40">
        <f>LOOKUP(O4,{0,2.5,2.7,2.9,3.1,3.3,3.5,3.7,3.9,4.1,4.3,4.5,4.7,4.9,5.1,5.3,5.5,5.6,5.7,5.8,5.9},{0,10,20,30,40,50,60,62,64,66,68,70,72,74,76,78,80,85,90,95,100})</f>
        <v>85</v>
      </c>
      <c r="Q4" s="6">
        <v>3.33</v>
      </c>
      <c r="R4" s="6">
        <f t="shared" si="2"/>
        <v>6.67</v>
      </c>
      <c r="S4" s="40">
        <f>LOOKUP(R4,{0,3.75,3.95,4.55,4.75,4.95,5.55,5.6,5.65,5.7,5.75,5.8,5.85,5.9,5.95,6,6.45,6.53,6.6,6.65,6.7},{0,10,20,30,40,50,60,62,64,66,68,70,72,74,76,78,80,85,90,95,100})</f>
        <v>95</v>
      </c>
      <c r="T4" s="7"/>
      <c r="U4" s="7"/>
      <c r="V4" s="7">
        <f t="shared" si="3"/>
        <v>95</v>
      </c>
      <c r="X4" s="7">
        <f t="shared" si="4"/>
        <v>58.5</v>
      </c>
      <c r="Y4" s="37">
        <f t="shared" si="5"/>
        <v>83.5714285714286</v>
      </c>
    </row>
    <row r="5" ht="15.6" hidden="1" outlineLevel="2" spans="1:25">
      <c r="A5" s="6">
        <v>101</v>
      </c>
      <c r="B5" s="6">
        <v>4</v>
      </c>
      <c r="C5" s="29" t="s">
        <v>14</v>
      </c>
      <c r="D5" s="29" t="s">
        <v>11</v>
      </c>
      <c r="E5" s="6">
        <v>11.2</v>
      </c>
      <c r="F5" s="40">
        <f>LOOKUP(E5,{0,-4,-3,-2,-1,0,1,2.4,3.8,5.2,6.6,8,9.4,10.8,12.2,13.6,15,17.2,19.4,21.5,23.6},{0,10,20,30,40,50,60,62,64,66,68,70,72,74,76,78,80,85,90,95,100})</f>
        <v>74</v>
      </c>
      <c r="G5" s="6">
        <v>250</v>
      </c>
      <c r="H5" s="40">
        <f>LOOKUP(G5,{0,170,175,180,185,190,195,199,203,207,211,215,219,223,227,231,235,243,250,255,260},{0,10,20,30,40,50,60,62,64,66,68,70,72,74,76,78,80,85,90,95,100})</f>
        <v>90</v>
      </c>
      <c r="I5" s="6">
        <v>2</v>
      </c>
      <c r="J5" s="40">
        <f>LOOKUP(I5,{0,2,3,4,5,6,7,8,9,10,11,12,13,14,15,16},{0,10,20,30,40,50,60,64,68,72,76,80,85,90,95,100})</f>
        <v>10</v>
      </c>
      <c r="K5" s="7"/>
      <c r="L5" s="7"/>
      <c r="M5" s="7">
        <f t="shared" si="0"/>
        <v>10</v>
      </c>
      <c r="N5" s="6">
        <v>6.7</v>
      </c>
      <c r="O5" s="43">
        <f t="shared" si="1"/>
        <v>6.3</v>
      </c>
      <c r="P5" s="40">
        <f>LOOKUP(O5,{0,2.5,2.7,2.9,3.1,3.3,3.5,3.7,3.9,4.1,4.3,4.5,4.7,4.9,5.1,5.3,5.5,5.6,5.7,5.8,5.9},{0,10,20,30,40,50,60,62,64,66,68,70,72,74,76,78,80,85,90,95,100})</f>
        <v>100</v>
      </c>
      <c r="Q5" s="6">
        <v>4.07</v>
      </c>
      <c r="R5" s="6">
        <f t="shared" si="2"/>
        <v>5.93</v>
      </c>
      <c r="S5" s="40">
        <f>LOOKUP(R5,{0,3.75,3.95,4.55,4.75,4.95,5.55,5.6,5.65,5.7,5.75,5.8,5.85,5.9,5.95,6,6.45,6.53,6.6,6.65,6.7},{0,10,20,30,40,50,60,62,64,66,68,70,72,74,76,78,80,85,90,95,100})</f>
        <v>74</v>
      </c>
      <c r="T5" s="7"/>
      <c r="U5" s="7"/>
      <c r="V5" s="7">
        <f t="shared" si="3"/>
        <v>74</v>
      </c>
      <c r="X5" s="7">
        <f t="shared" si="4"/>
        <v>52.2</v>
      </c>
      <c r="Y5" s="37">
        <f t="shared" si="5"/>
        <v>74.5714285714286</v>
      </c>
    </row>
    <row r="6" ht="15.6" hidden="1" outlineLevel="2" spans="1:25">
      <c r="A6" s="6">
        <v>101</v>
      </c>
      <c r="B6" s="6">
        <v>5</v>
      </c>
      <c r="C6" s="29" t="s">
        <v>15</v>
      </c>
      <c r="D6" s="29" t="s">
        <v>11</v>
      </c>
      <c r="E6" s="6">
        <v>6.7</v>
      </c>
      <c r="F6" s="40">
        <f>LOOKUP(E6,{0,-4,-3,-2,-1,0,1,2.4,3.8,5.2,6.6,8,9.4,10.8,12.2,13.6,15,17.2,19.4,21.5,23.6},{0,10,20,30,40,50,60,62,64,66,68,70,72,74,76,78,80,85,90,95,100})</f>
        <v>68</v>
      </c>
      <c r="G6" s="6">
        <v>180</v>
      </c>
      <c r="H6" s="40">
        <f>LOOKUP(G6,{0,170,175,180,185,190,195,199,203,207,211,215,219,223,227,231,235,243,250,255,260},{0,10,20,30,40,50,60,62,64,66,68,70,72,74,76,78,80,85,90,95,100})</f>
        <v>30</v>
      </c>
      <c r="I6" s="6">
        <v>0</v>
      </c>
      <c r="J6" s="40">
        <f>LOOKUP(I6,{0,2,3,4,5,6,7,8,9,10,11,12,13,14,15,16},{0,10,20,30,40,50,60,64,68,72,76,80,85,90,95,100})</f>
        <v>0</v>
      </c>
      <c r="K6" s="7"/>
      <c r="L6" s="7"/>
      <c r="M6" s="7">
        <f t="shared" si="0"/>
        <v>0</v>
      </c>
      <c r="N6" s="6">
        <v>8.8</v>
      </c>
      <c r="O6" s="43">
        <f t="shared" si="1"/>
        <v>4.2</v>
      </c>
      <c r="P6" s="40">
        <f>LOOKUP(O6,{0,2.5,2.7,2.9,3.1,3.3,3.5,3.7,3.9,4.1,4.3,4.5,4.7,4.9,5.1,5.3,5.5,5.6,5.7,5.8,5.9},{0,10,20,30,40,50,60,62,64,66,68,70,72,74,76,78,80,85,90,95,100})</f>
        <v>66</v>
      </c>
      <c r="Q6" s="6">
        <v>5.32</v>
      </c>
      <c r="R6" s="6">
        <f t="shared" si="2"/>
        <v>4.68</v>
      </c>
      <c r="S6" s="40">
        <f>LOOKUP(R6,{0,3.75,3.95,4.55,4.75,4.95,5.55,5.6,5.65,5.7,5.75,5.8,5.85,5.9,5.95,6,6.45,6.53,6.6,6.65,6.7},{0,10,20,30,40,50,60,62,64,66,68,70,72,74,76,78,80,85,90,95,100})</f>
        <v>30</v>
      </c>
      <c r="T6" s="7"/>
      <c r="U6" s="7"/>
      <c r="V6" s="7">
        <f t="shared" si="3"/>
        <v>30</v>
      </c>
      <c r="X6" s="7">
        <f t="shared" si="4"/>
        <v>29</v>
      </c>
      <c r="Y6" s="37">
        <f t="shared" si="5"/>
        <v>41.4285714285714</v>
      </c>
    </row>
    <row r="7" ht="15.6" hidden="1" outlineLevel="2" spans="1:25">
      <c r="A7" s="6">
        <v>101</v>
      </c>
      <c r="B7" s="6">
        <v>6</v>
      </c>
      <c r="C7" s="29" t="s">
        <v>16</v>
      </c>
      <c r="D7" s="29" t="s">
        <v>11</v>
      </c>
      <c r="E7" s="6">
        <v>10.6</v>
      </c>
      <c r="F7" s="40">
        <f>LOOKUP(E7,{0,-4,-3,-2,-1,0,1,2.4,3.8,5.2,6.6,8,9.4,10.8,12.2,13.6,15,17.2,19.4,21.5,23.6},{0,10,20,30,40,50,60,62,64,66,68,70,72,74,76,78,80,85,90,95,100})</f>
        <v>72</v>
      </c>
      <c r="G7" s="6">
        <v>238</v>
      </c>
      <c r="H7" s="40">
        <f>LOOKUP(G7,{0,170,175,180,185,190,195,199,203,207,211,215,219,223,227,231,235,243,250,255,260},{0,10,20,30,40,50,60,62,64,66,68,70,72,74,76,78,80,85,90,95,100})</f>
        <v>80</v>
      </c>
      <c r="I7" s="6">
        <v>1</v>
      </c>
      <c r="J7" s="40">
        <f>LOOKUP(I7,{0,2,3,4,5,6,7,8,9,10,11,12,13,14,15,16},{0,10,20,30,40,50,60,64,68,72,76,80,85,90,95,100})</f>
        <v>0</v>
      </c>
      <c r="K7" s="7"/>
      <c r="L7" s="7"/>
      <c r="M7" s="7">
        <f t="shared" si="0"/>
        <v>0</v>
      </c>
      <c r="N7" s="6">
        <v>7.6</v>
      </c>
      <c r="O7" s="43">
        <f t="shared" si="1"/>
        <v>5.4</v>
      </c>
      <c r="P7" s="40">
        <f>LOOKUP(O7,{0,2.5,2.7,2.9,3.1,3.3,3.5,3.7,3.9,4.1,4.3,4.5,4.7,4.9,5.1,5.3,5.5,5.6,5.7,5.8,5.9},{0,10,20,30,40,50,60,62,64,66,68,70,72,74,76,78,80,85,90,95,100})</f>
        <v>78</v>
      </c>
      <c r="Q7" s="6">
        <v>3.57</v>
      </c>
      <c r="R7" s="6">
        <f t="shared" si="2"/>
        <v>6.43</v>
      </c>
      <c r="S7" s="40">
        <f>LOOKUP(R7,{0,3.75,3.95,4.55,4.75,4.95,5.55,5.6,5.65,5.7,5.75,5.8,5.85,5.9,5.95,6,6.45,6.53,6.6,6.65,6.7},{0,10,20,30,40,50,60,62,64,66,68,70,72,74,76,78,80,85,90,95,100})</f>
        <v>78</v>
      </c>
      <c r="T7" s="7"/>
      <c r="U7" s="7"/>
      <c r="V7" s="7">
        <f t="shared" si="3"/>
        <v>78</v>
      </c>
      <c r="X7" s="7">
        <f t="shared" si="4"/>
        <v>46.4</v>
      </c>
      <c r="Y7" s="37">
        <f t="shared" si="5"/>
        <v>66.2857142857143</v>
      </c>
    </row>
    <row r="8" ht="15.6" hidden="1" outlineLevel="2" spans="1:25">
      <c r="A8" s="6">
        <v>101</v>
      </c>
      <c r="B8" s="6">
        <v>7</v>
      </c>
      <c r="C8" s="29" t="s">
        <v>17</v>
      </c>
      <c r="D8" s="29" t="s">
        <v>11</v>
      </c>
      <c r="E8" s="6">
        <v>9.8</v>
      </c>
      <c r="F8" s="40">
        <f>LOOKUP(E8,{0,-4,-3,-2,-1,0,1,2.4,3.8,5.2,6.6,8,9.4,10.8,12.2,13.6,15,17.2,19.4,21.5,23.6},{0,10,20,30,40,50,60,62,64,66,68,70,72,74,76,78,80,85,90,95,100})</f>
        <v>72</v>
      </c>
      <c r="G8" s="6">
        <v>205</v>
      </c>
      <c r="H8" s="40">
        <f>LOOKUP(G8,{0,170,175,180,185,190,195,199,203,207,211,215,219,223,227,231,235,243,250,255,260},{0,10,20,30,40,50,60,62,64,66,68,70,72,74,76,78,80,85,90,95,100})</f>
        <v>64</v>
      </c>
      <c r="I8" s="6">
        <v>1</v>
      </c>
      <c r="J8" s="40">
        <f>LOOKUP(I8,{0,2,3,4,5,6,7,8,9,10,11,12,13,14,15,16},{0,10,20,30,40,50,60,64,68,72,76,80,85,90,95,100})</f>
        <v>0</v>
      </c>
      <c r="K8" s="7"/>
      <c r="L8" s="7"/>
      <c r="M8" s="7">
        <f t="shared" si="0"/>
        <v>0</v>
      </c>
      <c r="N8" s="6">
        <v>7.6</v>
      </c>
      <c r="O8" s="43">
        <f t="shared" si="1"/>
        <v>5.4</v>
      </c>
      <c r="P8" s="40">
        <f>LOOKUP(O8,{0,2.5,2.7,2.9,3.1,3.3,3.5,3.7,3.9,4.1,4.3,4.5,4.7,4.9,5.1,5.3,5.5,5.6,5.7,5.8,5.9},{0,10,20,30,40,50,60,62,64,66,68,70,72,74,76,78,80,85,90,95,100})</f>
        <v>78</v>
      </c>
      <c r="Q8" s="6">
        <v>4.02</v>
      </c>
      <c r="R8" s="6">
        <f t="shared" si="2"/>
        <v>5.98</v>
      </c>
      <c r="S8" s="40">
        <f>LOOKUP(R8,{0,3.75,3.95,4.55,4.75,4.95,5.55,5.6,5.65,5.7,5.75,5.8,5.85,5.9,5.95,6,6.45,6.53,6.6,6.65,6.7},{0,10,20,30,40,50,60,62,64,66,68,70,72,74,76,78,80,85,90,95,100})</f>
        <v>76</v>
      </c>
      <c r="T8" s="7"/>
      <c r="U8" s="7"/>
      <c r="V8" s="7">
        <f t="shared" si="3"/>
        <v>76</v>
      </c>
      <c r="X8" s="7">
        <f t="shared" si="4"/>
        <v>44.4</v>
      </c>
      <c r="Y8" s="37">
        <f t="shared" si="5"/>
        <v>63.4285714285714</v>
      </c>
    </row>
    <row r="9" ht="15.6" hidden="1" outlineLevel="2" spans="1:25">
      <c r="A9" s="6">
        <v>101</v>
      </c>
      <c r="B9" s="6">
        <v>8</v>
      </c>
      <c r="C9" s="29" t="s">
        <v>18</v>
      </c>
      <c r="D9" s="29" t="s">
        <v>11</v>
      </c>
      <c r="E9" s="6">
        <v>22.2</v>
      </c>
      <c r="F9" s="40">
        <f>LOOKUP(E9,{0,-4,-3,-2,-1,0,1,2.4,3.8,5.2,6.6,8,9.4,10.8,12.2,13.6,15,17.2,19.4,21.5,23.6},{0,10,20,30,40,50,60,62,64,66,68,70,72,74,76,78,80,85,90,95,100})</f>
        <v>95</v>
      </c>
      <c r="G9" s="6">
        <v>230</v>
      </c>
      <c r="H9" s="40">
        <f>LOOKUP(G9,{0,170,175,180,185,190,195,199,203,207,211,215,219,223,227,231,235,243,250,255,260},{0,10,20,30,40,50,60,62,64,66,68,70,72,74,76,78,80,85,90,95,100})</f>
        <v>76</v>
      </c>
      <c r="I9" s="6">
        <v>3</v>
      </c>
      <c r="J9" s="40">
        <f>LOOKUP(I9,{0,2,3,4,5,6,7,8,9,10,11,12,13,14,15,16},{0,10,20,30,40,50,60,64,68,72,76,80,85,90,95,100})</f>
        <v>20</v>
      </c>
      <c r="K9" s="7"/>
      <c r="L9" s="7"/>
      <c r="M9" s="7">
        <f t="shared" si="0"/>
        <v>20</v>
      </c>
      <c r="N9" s="6">
        <v>7.4</v>
      </c>
      <c r="O9" s="43">
        <f t="shared" si="1"/>
        <v>5.6</v>
      </c>
      <c r="P9" s="40">
        <f>LOOKUP(O9,{0,2.5,2.7,2.9,3.1,3.3,3.5,3.7,3.9,4.1,4.3,4.5,4.7,4.9,5.1,5.3,5.5,5.6,5.7,5.8,5.9},{0,10,20,30,40,50,60,62,64,66,68,70,72,74,76,78,80,85,90,95,100})</f>
        <v>85</v>
      </c>
      <c r="Q9" s="6">
        <v>4</v>
      </c>
      <c r="R9" s="6">
        <f t="shared" si="2"/>
        <v>6</v>
      </c>
      <c r="S9" s="40">
        <f>LOOKUP(R9,{0,3.75,3.95,4.55,4.75,4.95,5.55,5.6,5.65,5.7,5.75,5.8,5.85,5.9,5.95,6,6.45,6.53,6.6,6.65,6.7},{0,10,20,30,40,50,60,62,64,66,68,70,72,74,76,78,80,85,90,95,100})</f>
        <v>78</v>
      </c>
      <c r="T9" s="7"/>
      <c r="U9" s="7"/>
      <c r="V9" s="7">
        <f t="shared" si="3"/>
        <v>78</v>
      </c>
      <c r="X9" s="7">
        <f t="shared" si="4"/>
        <v>51.7</v>
      </c>
      <c r="Y9" s="37">
        <f t="shared" si="5"/>
        <v>73.8571428571429</v>
      </c>
    </row>
    <row r="10" ht="15.6" hidden="1" outlineLevel="2" spans="1:25">
      <c r="A10" s="6">
        <v>101</v>
      </c>
      <c r="B10" s="6">
        <v>9</v>
      </c>
      <c r="C10" s="29" t="s">
        <v>19</v>
      </c>
      <c r="D10" s="29" t="s">
        <v>11</v>
      </c>
      <c r="E10" s="6">
        <v>10</v>
      </c>
      <c r="F10" s="40">
        <f>LOOKUP(E10,{0,-4,-3,-2,-1,0,1,2.4,3.8,5.2,6.6,8,9.4,10.8,12.2,13.6,15,17.2,19.4,21.5,23.6},{0,10,20,30,40,50,60,62,64,66,68,70,72,74,76,78,80,85,90,95,100})</f>
        <v>72</v>
      </c>
      <c r="G10" s="6">
        <v>238</v>
      </c>
      <c r="H10" s="40">
        <f>LOOKUP(G10,{0,170,175,180,185,190,195,199,203,207,211,215,219,223,227,231,235,243,250,255,260},{0,10,20,30,40,50,60,62,64,66,68,70,72,74,76,78,80,85,90,95,100})</f>
        <v>80</v>
      </c>
      <c r="I10" s="6">
        <v>10</v>
      </c>
      <c r="J10" s="40">
        <f>LOOKUP(I10,{0,2,3,4,5,6,7,8,9,10,11,12,13,14,15,16},{0,10,20,30,40,50,60,64,68,72,76,80,85,90,95,100})</f>
        <v>72</v>
      </c>
      <c r="K10" s="7"/>
      <c r="L10" s="7"/>
      <c r="M10" s="7">
        <f t="shared" si="0"/>
        <v>72</v>
      </c>
      <c r="N10" s="6">
        <v>7.9</v>
      </c>
      <c r="O10" s="43">
        <f t="shared" si="1"/>
        <v>5.1</v>
      </c>
      <c r="P10" s="40">
        <f>LOOKUP(O10,{0,2.5,2.7,2.9,3.1,3.3,3.5,3.7,3.9,4.1,4.3,4.5,4.7,4.9,5.1,5.3,5.5,5.6,5.7,5.8,5.9},{0,10,20,30,40,50,60,62,64,66,68,70,72,74,76,78,80,85,90,95,100})</f>
        <v>76</v>
      </c>
      <c r="Q10" s="6">
        <v>3.58</v>
      </c>
      <c r="R10" s="6">
        <f t="shared" si="2"/>
        <v>6.42</v>
      </c>
      <c r="S10" s="40">
        <f>LOOKUP(R10,{0,3.75,3.95,4.55,4.75,4.95,5.55,5.6,5.65,5.7,5.75,5.8,5.85,5.9,5.95,6,6.45,6.53,6.6,6.65,6.7},{0,10,20,30,40,50,60,62,64,66,68,70,72,74,76,78,80,85,90,95,100})</f>
        <v>78</v>
      </c>
      <c r="T10" s="7"/>
      <c r="U10" s="7"/>
      <c r="V10" s="7">
        <f t="shared" si="3"/>
        <v>78</v>
      </c>
      <c r="X10" s="7">
        <f t="shared" si="4"/>
        <v>53.2</v>
      </c>
      <c r="Y10" s="37">
        <f t="shared" si="5"/>
        <v>76</v>
      </c>
    </row>
    <row r="11" ht="15.6" hidden="1" outlineLevel="2" spans="1:25">
      <c r="A11" s="6">
        <v>101</v>
      </c>
      <c r="B11" s="6">
        <v>10</v>
      </c>
      <c r="C11" s="29" t="s">
        <v>20</v>
      </c>
      <c r="D11" s="29" t="s">
        <v>11</v>
      </c>
      <c r="E11" s="6">
        <v>15</v>
      </c>
      <c r="F11" s="40">
        <f>LOOKUP(E11,{0,-4,-3,-2,-1,0,1,2.4,3.8,5.2,6.6,8,9.4,10.8,12.2,13.6,15,17.2,19.4,21.5,23.6},{0,10,20,30,40,50,60,62,64,66,68,70,72,74,76,78,80,85,90,95,100})</f>
        <v>80</v>
      </c>
      <c r="G11" s="6">
        <v>265</v>
      </c>
      <c r="H11" s="40">
        <f>LOOKUP(G11,{0,170,175,180,185,190,195,199,203,207,211,215,219,223,227,231,235,243,250,255,260},{0,10,20,30,40,50,60,62,64,66,68,70,72,74,76,78,80,85,90,95,100})</f>
        <v>100</v>
      </c>
      <c r="I11" s="6">
        <v>8</v>
      </c>
      <c r="J11" s="40">
        <f>LOOKUP(I11,{0,2,3,4,5,6,7,8,9,10,11,12,13,14,15,16},{0,10,20,30,40,50,60,64,68,72,76,80,85,90,95,100})</f>
        <v>64</v>
      </c>
      <c r="K11" s="7"/>
      <c r="L11" s="7"/>
      <c r="M11" s="7">
        <f t="shared" si="0"/>
        <v>64</v>
      </c>
      <c r="N11" s="6">
        <v>6.8</v>
      </c>
      <c r="O11" s="43">
        <f t="shared" si="1"/>
        <v>6.2</v>
      </c>
      <c r="P11" s="40">
        <f>LOOKUP(O11,{0,2.5,2.7,2.9,3.1,3.3,3.5,3.7,3.9,4.1,4.3,4.5,4.7,4.9,5.1,5.3,5.5,5.6,5.7,5.8,5.9},{0,10,20,30,40,50,60,62,64,66,68,70,72,74,76,78,80,85,90,95,100})</f>
        <v>100</v>
      </c>
      <c r="Q11" s="6">
        <v>3.49</v>
      </c>
      <c r="R11" s="6">
        <f t="shared" si="2"/>
        <v>6.51</v>
      </c>
      <c r="S11" s="40">
        <f>LOOKUP(R11,{0,3.75,3.95,4.55,4.75,4.95,5.55,5.6,5.65,5.7,5.75,5.8,5.85,5.9,5.95,6,6.45,6.53,6.6,6.65,6.7},{0,10,20,30,40,50,60,62,64,66,68,70,72,74,76,78,80,85,90,95,100})</f>
        <v>80</v>
      </c>
      <c r="T11" s="7"/>
      <c r="U11" s="7"/>
      <c r="V11" s="7">
        <f t="shared" si="3"/>
        <v>80</v>
      </c>
      <c r="X11" s="7">
        <f t="shared" si="4"/>
        <v>60.4</v>
      </c>
      <c r="Y11" s="37">
        <f t="shared" si="5"/>
        <v>86.2857142857143</v>
      </c>
    </row>
    <row r="12" ht="15.6" hidden="1" outlineLevel="2" spans="1:25">
      <c r="A12" s="6">
        <v>101</v>
      </c>
      <c r="B12" s="6">
        <v>11</v>
      </c>
      <c r="C12" s="39" t="s">
        <v>22</v>
      </c>
      <c r="D12" s="29" t="s">
        <v>11</v>
      </c>
      <c r="E12" s="6">
        <v>23.5</v>
      </c>
      <c r="F12" s="40">
        <f>LOOKUP(E12,{0,-4,-3,-2,-1,0,1,2.4,3.8,5.2,6.6,8,9.4,10.8,12.2,13.6,15,17.2,19.4,21.5,23.6},{0,10,20,30,40,50,60,62,64,66,68,70,72,74,76,78,80,85,90,95,100})</f>
        <v>95</v>
      </c>
      <c r="G12" s="6">
        <v>272</v>
      </c>
      <c r="H12" s="40">
        <f>LOOKUP(G12,{0,170,175,180,185,190,195,199,203,207,211,215,219,223,227,231,235,243,250,255,260},{0,10,20,30,40,50,60,62,64,66,68,70,72,74,76,78,80,85,90,95,100})</f>
        <v>100</v>
      </c>
      <c r="I12" s="6">
        <v>16</v>
      </c>
      <c r="J12" s="40">
        <f>LOOKUP(I12,{0,2,3,4,5,6,7,8,9,10,11,12,13,14,15,16},{0,10,20,30,40,50,60,64,68,72,76,80,85,90,95,100})</f>
        <v>100</v>
      </c>
      <c r="K12" s="7">
        <f t="shared" ref="K12:K14" si="6">I12-16</f>
        <v>0</v>
      </c>
      <c r="L12" s="40">
        <f>LOOKUP(K12,{0,1,2,3,4,5,6,7,8,9,10},{0,1,2,3,4,5,6,7,8,9,10})</f>
        <v>0</v>
      </c>
      <c r="M12" s="7">
        <f t="shared" si="0"/>
        <v>100</v>
      </c>
      <c r="N12" s="6">
        <v>6.8</v>
      </c>
      <c r="O12" s="43">
        <f t="shared" si="1"/>
        <v>6.2</v>
      </c>
      <c r="P12" s="40">
        <f>LOOKUP(O12,{0,2.5,2.7,2.9,3.1,3.3,3.5,3.7,3.9,4.1,4.3,4.5,4.7,4.9,5.1,5.3,5.5,5.6,5.7,5.8,5.9},{0,10,20,30,40,50,60,62,64,66,68,70,72,74,76,78,80,85,90,95,100})</f>
        <v>100</v>
      </c>
      <c r="Q12" s="6">
        <v>3.28</v>
      </c>
      <c r="R12" s="6">
        <f t="shared" si="2"/>
        <v>6.72</v>
      </c>
      <c r="S12" s="40">
        <f>LOOKUP(R12,{0,3.75,3.95,4.55,4.75,4.95,5.55,5.6,5.65,5.7,5.75,5.8,5.85,5.9,5.95,6,6.45,6.53,6.6,6.65,6.7},{0,10,20,30,40,50,60,62,64,66,68,70,72,74,76,78,80,85,90,95,100})</f>
        <v>100</v>
      </c>
      <c r="T12" s="7">
        <f t="shared" ref="T12:T16" si="7">3.3-Q12</f>
        <v>0.02</v>
      </c>
      <c r="U12" s="40">
        <f>LOOKUP(T12,{0,0.04,0.08,0.12,0.16,0.2,0.23,0.26,0.29,0.32,0.35},{0,1,2,3,4,5,6,7,8,9,10})</f>
        <v>0</v>
      </c>
      <c r="V12" s="7">
        <f t="shared" si="3"/>
        <v>100</v>
      </c>
      <c r="X12" s="7">
        <f t="shared" si="4"/>
        <v>69.5</v>
      </c>
      <c r="Y12" s="37">
        <f t="shared" si="5"/>
        <v>99.2857142857143</v>
      </c>
    </row>
    <row r="13" s="3" customFormat="1" ht="15.6" hidden="1" outlineLevel="2" spans="1:25">
      <c r="A13" s="6">
        <v>101</v>
      </c>
      <c r="B13" s="6">
        <v>12</v>
      </c>
      <c r="C13" s="29" t="s">
        <v>23</v>
      </c>
      <c r="D13" s="29" t="s">
        <v>11</v>
      </c>
      <c r="E13" s="6">
        <v>3.5</v>
      </c>
      <c r="F13" s="40">
        <f>LOOKUP(E13,{0,-4,-3,-2,-1,0,1,2.4,3.8,5.2,6.6,8,9.4,10.8,12.2,13.6,15,17.2,19.4,21.5,23.6},{0,10,20,30,40,50,60,62,64,66,68,70,72,74,76,78,80,85,90,95,100})</f>
        <v>62</v>
      </c>
      <c r="G13" s="6">
        <v>233</v>
      </c>
      <c r="H13" s="40">
        <f>LOOKUP(G13,{0,170,175,180,185,190,195,199,203,207,211,215,219,223,227,231,235,243,250,255,260},{0,10,20,30,40,50,60,62,64,66,68,70,72,74,76,78,80,85,90,95,100})</f>
        <v>78</v>
      </c>
      <c r="I13" s="6">
        <v>30</v>
      </c>
      <c r="J13" s="40">
        <f>LOOKUP(I13,{0,2,3,4,5,6,7,8,9,10,11,12,13,14,15,16},{0,10,20,30,40,50,60,64,68,72,76,80,85,90,95,100})</f>
        <v>100</v>
      </c>
      <c r="K13" s="7">
        <f t="shared" si="6"/>
        <v>14</v>
      </c>
      <c r="L13" s="40">
        <f>LOOKUP(K13,{0,1,2,3,4,5,6,7,8,9,10},{0,1,2,3,4,5,6,7,8,9,10})</f>
        <v>10</v>
      </c>
      <c r="M13" s="7">
        <f t="shared" si="0"/>
        <v>110</v>
      </c>
      <c r="N13" s="6"/>
      <c r="O13" s="43"/>
      <c r="P13" s="40"/>
      <c r="Q13" s="6">
        <v>3.2</v>
      </c>
      <c r="R13" s="6">
        <f t="shared" si="2"/>
        <v>6.8</v>
      </c>
      <c r="S13" s="40">
        <f>LOOKUP(R13,{0,3.75,3.95,4.55,4.75,4.95,5.55,5.6,5.65,5.7,5.75,5.8,5.85,5.9,5.95,6,6.45,6.53,6.6,6.65,6.7},{0,10,20,30,40,50,60,62,64,66,68,70,72,74,76,78,80,85,90,95,100})</f>
        <v>100</v>
      </c>
      <c r="T13" s="7">
        <f t="shared" si="7"/>
        <v>0.0999999999999996</v>
      </c>
      <c r="U13" s="40">
        <f>LOOKUP(T13,{0,0.04,0.08,0.12,0.16,0.2,0.23,0.26,0.29,0.32,0.35},{0,1,2,3,4,5,6,7,8,9,10})</f>
        <v>2</v>
      </c>
      <c r="V13" s="7">
        <f t="shared" si="3"/>
        <v>102</v>
      </c>
      <c r="W13" s="6"/>
      <c r="X13" s="7">
        <f t="shared" si="4"/>
        <v>44</v>
      </c>
      <c r="Y13" s="37">
        <f t="shared" si="5"/>
        <v>74.8571428571429</v>
      </c>
    </row>
    <row r="14" ht="15.6" hidden="1" outlineLevel="2" spans="1:25">
      <c r="A14" s="6">
        <v>101</v>
      </c>
      <c r="B14" s="6">
        <v>13</v>
      </c>
      <c r="C14" s="29" t="s">
        <v>24</v>
      </c>
      <c r="D14" s="29" t="s">
        <v>11</v>
      </c>
      <c r="E14" s="6">
        <v>21.5</v>
      </c>
      <c r="F14" s="40">
        <f>LOOKUP(E14,{0,-4,-3,-2,-1,0,1,2.4,3.8,5.2,6.6,8,9.4,10.8,12.2,13.6,15,17.2,19.4,21.5,23.6},{0,10,20,30,40,50,60,62,64,66,68,70,72,74,76,78,80,85,90,95,100})</f>
        <v>95</v>
      </c>
      <c r="G14" s="6">
        <v>281</v>
      </c>
      <c r="H14" s="40">
        <f>LOOKUP(G14,{0,170,175,180,185,190,195,199,203,207,211,215,219,223,227,231,235,243,250,255,260},{0,10,20,30,40,50,60,62,64,66,68,70,72,74,76,78,80,85,90,95,100})</f>
        <v>100</v>
      </c>
      <c r="I14" s="6">
        <v>22</v>
      </c>
      <c r="J14" s="40">
        <f>LOOKUP(I14,{0,2,3,4,5,6,7,8,9,10,11,12,13,14,15,16},{0,10,20,30,40,50,60,64,68,72,76,80,85,90,95,100})</f>
        <v>100</v>
      </c>
      <c r="K14" s="7">
        <f t="shared" si="6"/>
        <v>6</v>
      </c>
      <c r="L14" s="40">
        <f>LOOKUP(K14,{0,1,2,3,4,5,6,7,8,9,10},{0,1,2,3,4,5,6,7,8,9,10})</f>
        <v>6</v>
      </c>
      <c r="M14" s="7">
        <f t="shared" si="0"/>
        <v>106</v>
      </c>
      <c r="O14" s="43"/>
      <c r="P14" s="40"/>
      <c r="Q14" s="6">
        <v>3.46</v>
      </c>
      <c r="R14" s="6">
        <f t="shared" si="2"/>
        <v>6.54</v>
      </c>
      <c r="S14" s="40">
        <f>LOOKUP(R14,{0,3.75,3.95,4.55,4.75,4.95,5.55,5.6,5.65,5.7,5.75,5.8,5.85,5.9,5.95,6,6.45,6.53,6.6,6.65,6.7},{0,10,20,30,40,50,60,62,64,66,68,70,72,74,76,78,80,85,90,95,100})</f>
        <v>85</v>
      </c>
      <c r="T14" s="7"/>
      <c r="U14" s="7"/>
      <c r="V14" s="7">
        <f t="shared" si="3"/>
        <v>85</v>
      </c>
      <c r="X14" s="7">
        <f t="shared" si="4"/>
        <v>46.5</v>
      </c>
      <c r="Y14" s="37">
        <f t="shared" si="5"/>
        <v>72.4285714285714</v>
      </c>
    </row>
    <row r="15" ht="15.6" hidden="1" outlineLevel="2" spans="1:25">
      <c r="A15" s="6">
        <v>101</v>
      </c>
      <c r="B15" s="6">
        <v>14</v>
      </c>
      <c r="C15" s="29" t="s">
        <v>25</v>
      </c>
      <c r="D15" s="29" t="s">
        <v>11</v>
      </c>
      <c r="E15" s="6">
        <v>13</v>
      </c>
      <c r="F15" s="40">
        <f>LOOKUP(E15,{0,-4,-3,-2,-1,0,1,2.4,3.8,5.2,6.6,8,9.4,10.8,12.2,13.6,15,17.2,19.4,21.5,23.6},{0,10,20,30,40,50,60,62,64,66,68,70,72,74,76,78,80,85,90,95,100})</f>
        <v>76</v>
      </c>
      <c r="G15" s="6">
        <v>257</v>
      </c>
      <c r="H15" s="40">
        <f>LOOKUP(G15,{0,170,175,180,185,190,195,199,203,207,211,215,219,223,227,231,235,243,250,255,260},{0,10,20,30,40,50,60,62,64,66,68,70,72,74,76,78,80,85,90,95,100})</f>
        <v>95</v>
      </c>
      <c r="I15" s="6">
        <v>11</v>
      </c>
      <c r="J15" s="40">
        <f>LOOKUP(I15,{0,2,3,4,5,6,7,8,9,10,11,12,13,14,15,16},{0,10,20,30,40,50,60,64,68,72,76,80,85,90,95,100})</f>
        <v>76</v>
      </c>
      <c r="K15" s="7"/>
      <c r="L15" s="7"/>
      <c r="M15" s="7">
        <f t="shared" si="0"/>
        <v>76</v>
      </c>
      <c r="N15" s="6">
        <v>7</v>
      </c>
      <c r="O15" s="43">
        <f t="shared" ref="O15:O18" si="8">13-N15</f>
        <v>6</v>
      </c>
      <c r="P15" s="40">
        <f>LOOKUP(O15,{0,2.5,2.7,2.9,3.1,3.3,3.5,3.7,3.9,4.1,4.3,4.5,4.7,4.9,5.1,5.3,5.5,5.6,5.7,5.8,5.9},{0,10,20,30,40,50,60,62,64,66,68,70,72,74,76,78,80,85,90,95,100})</f>
        <v>100</v>
      </c>
      <c r="S15" s="40"/>
      <c r="T15" s="7"/>
      <c r="U15" s="40"/>
      <c r="V15" s="7"/>
      <c r="W15" s="6" t="s">
        <v>26</v>
      </c>
      <c r="X15" s="7">
        <f t="shared" si="4"/>
        <v>44.7</v>
      </c>
      <c r="Y15" s="37">
        <f t="shared" si="5"/>
        <v>63.8571428571429</v>
      </c>
    </row>
    <row r="16" ht="15.6" hidden="1" outlineLevel="2" spans="1:25">
      <c r="A16" s="6">
        <v>101</v>
      </c>
      <c r="B16" s="6">
        <v>15</v>
      </c>
      <c r="C16" s="29" t="s">
        <v>27</v>
      </c>
      <c r="D16" s="29" t="s">
        <v>11</v>
      </c>
      <c r="E16" s="6">
        <v>12.5</v>
      </c>
      <c r="F16" s="40">
        <f>LOOKUP(E16,{0,-4,-3,-2,-1,0,1,2.4,3.8,5.2,6.6,8,9.4,10.8,12.2,13.6,15,17.2,19.4,21.5,23.6},{0,10,20,30,40,50,60,62,64,66,68,70,72,74,76,78,80,85,90,95,100})</f>
        <v>76</v>
      </c>
      <c r="G16" s="6">
        <v>248</v>
      </c>
      <c r="H16" s="40">
        <f>LOOKUP(G16,{0,170,175,180,185,190,195,199,203,207,211,215,219,223,227,231,235,243,250,255,260},{0,10,20,30,40,50,60,62,64,66,68,70,72,74,76,78,80,85,90,95,100})</f>
        <v>85</v>
      </c>
      <c r="I16" s="6">
        <v>25</v>
      </c>
      <c r="J16" s="40">
        <f>LOOKUP(I16,{0,2,3,4,5,6,7,8,9,10,11,12,13,14,15,16},{0,10,20,30,40,50,60,64,68,72,76,80,85,90,95,100})</f>
        <v>100</v>
      </c>
      <c r="K16" s="7">
        <f t="shared" ref="K16:K23" si="9">I16-16</f>
        <v>9</v>
      </c>
      <c r="L16" s="40">
        <f>LOOKUP(K16,{0,1,2,3,4,5,6,7,8,9,10},{0,1,2,3,4,5,6,7,8,9,10})</f>
        <v>9</v>
      </c>
      <c r="M16" s="7">
        <f t="shared" si="0"/>
        <v>109</v>
      </c>
      <c r="O16" s="43"/>
      <c r="P16" s="40"/>
      <c r="Q16" s="6">
        <v>3.04</v>
      </c>
      <c r="R16" s="6">
        <f t="shared" ref="R16:R32" si="10">10-Q16</f>
        <v>6.96</v>
      </c>
      <c r="S16" s="40">
        <f>LOOKUP(R16,{0,3.75,3.95,4.55,4.75,4.95,5.55,5.6,5.65,5.7,5.75,5.8,5.85,5.9,5.95,6,6.45,6.53,6.6,6.65,6.7},{0,10,20,30,40,50,60,62,64,66,68,70,72,74,76,78,80,85,90,95,100})</f>
        <v>100</v>
      </c>
      <c r="T16" s="7">
        <f t="shared" si="7"/>
        <v>0.26</v>
      </c>
      <c r="U16" s="40">
        <f>LOOKUP(T16,{0,0.04,0.08,0.12,0.16,0.2,0.23,0.26,0.29,0.32,0.35},{0,1,2,3,4,5,6,7,8,9,10})</f>
        <v>7</v>
      </c>
      <c r="V16" s="7">
        <f t="shared" ref="V16:V32" si="11">S16+U16</f>
        <v>107</v>
      </c>
      <c r="X16" s="7">
        <f t="shared" si="4"/>
        <v>46.1</v>
      </c>
      <c r="Y16" s="37">
        <f t="shared" si="5"/>
        <v>81.8571428571429</v>
      </c>
    </row>
    <row r="17" ht="15.6" hidden="1" outlineLevel="2" spans="1:25">
      <c r="A17" s="6">
        <v>101</v>
      </c>
      <c r="B17" s="6">
        <v>16</v>
      </c>
      <c r="C17" s="29" t="s">
        <v>28</v>
      </c>
      <c r="D17" s="29" t="s">
        <v>11</v>
      </c>
      <c r="E17" s="6">
        <v>17.5</v>
      </c>
      <c r="F17" s="40">
        <f>LOOKUP(E17,{0,-4,-3,-2,-1,0,1,2.4,3.8,5.2,6.6,8,9.4,10.8,12.2,13.6,15,17.2,19.4,21.5,23.6},{0,10,20,30,40,50,60,62,64,66,68,70,72,74,76,78,80,85,90,95,100})</f>
        <v>85</v>
      </c>
      <c r="G17" s="6">
        <v>269</v>
      </c>
      <c r="H17" s="40">
        <f>LOOKUP(G17,{0,170,175,180,185,190,195,199,203,207,211,215,219,223,227,231,235,243,250,255,260},{0,10,20,30,40,50,60,62,64,66,68,70,72,74,76,78,80,85,90,95,100})</f>
        <v>100</v>
      </c>
      <c r="I17" s="6">
        <v>9</v>
      </c>
      <c r="J17" s="40">
        <f>LOOKUP(I17,{0,2,3,4,5,6,7,8,9,10,11,12,13,14,15,16},{0,10,20,30,40,50,60,64,68,72,76,80,85,90,95,100})</f>
        <v>68</v>
      </c>
      <c r="K17" s="7"/>
      <c r="L17" s="7"/>
      <c r="M17" s="7">
        <f t="shared" si="0"/>
        <v>68</v>
      </c>
      <c r="N17" s="6">
        <v>7</v>
      </c>
      <c r="O17" s="43">
        <f t="shared" si="8"/>
        <v>6</v>
      </c>
      <c r="P17" s="40">
        <f>LOOKUP(O17,{0,2.5,2.7,2.9,3.1,3.3,3.5,3.7,3.9,4.1,4.3,4.5,4.7,4.9,5.1,5.3,5.5,5.6,5.7,5.8,5.9},{0,10,20,30,40,50,60,62,64,66,68,70,72,74,76,78,80,85,90,95,100})</f>
        <v>100</v>
      </c>
      <c r="Q17" s="6">
        <v>3.36</v>
      </c>
      <c r="R17" s="6">
        <f t="shared" si="10"/>
        <v>6.64</v>
      </c>
      <c r="S17" s="40">
        <f>LOOKUP(R17,{0,3.75,3.95,4.55,4.75,4.95,5.55,5.6,5.65,5.7,5.75,5.8,5.85,5.9,5.95,6,6.45,6.53,6.6,6.65,6.7},{0,10,20,30,40,50,60,62,64,66,68,70,72,74,76,78,80,85,90,95,100})</f>
        <v>90</v>
      </c>
      <c r="T17" s="7"/>
      <c r="U17" s="7"/>
      <c r="V17" s="7">
        <f t="shared" si="11"/>
        <v>90</v>
      </c>
      <c r="X17" s="7">
        <f t="shared" si="4"/>
        <v>63.3</v>
      </c>
      <c r="Y17" s="37">
        <f t="shared" si="5"/>
        <v>90.4285714285714</v>
      </c>
    </row>
    <row r="18" ht="15.6" hidden="1" outlineLevel="2" spans="1:25">
      <c r="A18" s="6">
        <v>101</v>
      </c>
      <c r="B18" s="6">
        <v>17</v>
      </c>
      <c r="C18" s="29" t="s">
        <v>29</v>
      </c>
      <c r="D18" s="29" t="s">
        <v>11</v>
      </c>
      <c r="E18" s="6">
        <v>-2</v>
      </c>
      <c r="F18" s="40">
        <f>LOOKUP(E18,{0,-4,-3,-2,-1,0,1,2.4,3.8,5.2,6.6,8,9.4,10.8,12.2,13.6,15,17.2,19.4,21.5,23.6},{0,10,20,30,40,50,60,62,64,66,68,70,72,74,76,78,80,85,90,95,100})</f>
        <v>30</v>
      </c>
      <c r="G18" s="6">
        <v>217</v>
      </c>
      <c r="H18" s="40">
        <f>LOOKUP(G18,{0,170,175,180,185,190,195,199,203,207,211,215,219,223,227,231,235,243,250,255,260},{0,10,20,30,40,50,60,62,64,66,68,70,72,74,76,78,80,85,90,95,100})</f>
        <v>70</v>
      </c>
      <c r="I18" s="6">
        <v>23</v>
      </c>
      <c r="J18" s="40">
        <f>LOOKUP(I18,{0,2,3,4,5,6,7,8,9,10,11,12,13,14,15,16},{0,10,20,30,40,50,60,64,68,72,76,80,85,90,95,100})</f>
        <v>100</v>
      </c>
      <c r="K18" s="7">
        <f t="shared" si="9"/>
        <v>7</v>
      </c>
      <c r="L18" s="40">
        <f>LOOKUP(K18,{0,1,2,3,4,5,6,7,8,9,10},{0,1,2,3,4,5,6,7,8,9,10})</f>
        <v>7</v>
      </c>
      <c r="M18" s="7">
        <f t="shared" si="0"/>
        <v>107</v>
      </c>
      <c r="N18" s="6">
        <v>7.2</v>
      </c>
      <c r="O18" s="43">
        <f t="shared" si="8"/>
        <v>5.8</v>
      </c>
      <c r="P18" s="40">
        <f>LOOKUP(O18,{0,2.5,2.7,2.9,3.1,3.3,3.5,3.7,3.9,4.1,4.3,4.5,4.7,4.9,5.1,5.3,5.5,5.6,5.7,5.8,5.9},{0,10,20,30,40,50,60,62,64,66,68,70,72,74,76,78,80,85,90,95,100})</f>
        <v>95</v>
      </c>
      <c r="Q18" s="6">
        <v>4.09</v>
      </c>
      <c r="R18" s="6">
        <f t="shared" si="10"/>
        <v>5.91</v>
      </c>
      <c r="S18" s="40">
        <f>LOOKUP(R18,{0,3.75,3.95,4.55,4.75,4.95,5.55,5.6,5.65,5.7,5.75,5.8,5.85,5.9,5.95,6,6.45,6.53,6.6,6.65,6.7},{0,10,20,30,40,50,60,62,64,66,68,70,72,74,76,78,80,85,90,95,100})</f>
        <v>74</v>
      </c>
      <c r="T18" s="7"/>
      <c r="U18" s="7"/>
      <c r="V18" s="7">
        <f t="shared" si="11"/>
        <v>74</v>
      </c>
      <c r="X18" s="7">
        <f t="shared" si="4"/>
        <v>53.8</v>
      </c>
      <c r="Y18" s="37">
        <f t="shared" si="5"/>
        <v>83.8571428571429</v>
      </c>
    </row>
    <row r="19" ht="15.6" hidden="1" outlineLevel="2" spans="1:25">
      <c r="A19" s="6">
        <v>101</v>
      </c>
      <c r="B19" s="6">
        <v>18</v>
      </c>
      <c r="C19" s="29" t="s">
        <v>30</v>
      </c>
      <c r="D19" s="29" t="s">
        <v>11</v>
      </c>
      <c r="E19" s="6">
        <v>10.5</v>
      </c>
      <c r="F19" s="40">
        <f>LOOKUP(E19,{0,-4,-3,-2,-1,0,1,2.4,3.8,5.2,6.6,8,9.4,10.8,12.2,13.6,15,17.2,19.4,21.5,23.6},{0,10,20,30,40,50,60,62,64,66,68,70,72,74,76,78,80,85,90,95,100})</f>
        <v>72</v>
      </c>
      <c r="G19" s="6">
        <v>232</v>
      </c>
      <c r="H19" s="40">
        <f>LOOKUP(G19,{0,170,175,180,185,190,195,199,203,207,211,215,219,223,227,231,235,243,250,255,260},{0,10,20,30,40,50,60,62,64,66,68,70,72,74,76,78,80,85,90,95,100})</f>
        <v>78</v>
      </c>
      <c r="I19" s="6">
        <v>4</v>
      </c>
      <c r="J19" s="40">
        <f>LOOKUP(I19,{0,2,3,4,5,6,7,8,9,10,11,12,13,14,15,16},{0,10,20,30,40,50,60,64,68,72,76,80,85,90,95,100})</f>
        <v>30</v>
      </c>
      <c r="K19" s="7"/>
      <c r="L19" s="7"/>
      <c r="M19" s="7">
        <f t="shared" si="0"/>
        <v>30</v>
      </c>
      <c r="O19" s="43"/>
      <c r="P19" s="40"/>
      <c r="Q19" s="6">
        <v>3.38</v>
      </c>
      <c r="R19" s="6">
        <f t="shared" si="10"/>
        <v>6.62</v>
      </c>
      <c r="S19" s="40">
        <f>LOOKUP(R19,{0,3.75,3.95,4.55,4.75,4.95,5.55,5.6,5.65,5.7,5.75,5.8,5.85,5.9,5.95,6,6.45,6.53,6.6,6.65,6.7},{0,10,20,30,40,50,60,62,64,66,68,70,72,74,76,78,80,85,90,95,100})</f>
        <v>90</v>
      </c>
      <c r="T19" s="7"/>
      <c r="U19" s="7"/>
      <c r="V19" s="7">
        <f t="shared" si="11"/>
        <v>90</v>
      </c>
      <c r="X19" s="7">
        <f t="shared" si="4"/>
        <v>36</v>
      </c>
      <c r="Y19" s="37">
        <f t="shared" si="5"/>
        <v>51.4285714285714</v>
      </c>
    </row>
    <row r="20" ht="15.6" hidden="1" outlineLevel="2" spans="1:25">
      <c r="A20" s="6">
        <v>101</v>
      </c>
      <c r="B20" s="6">
        <v>19</v>
      </c>
      <c r="C20" s="29" t="s">
        <v>31</v>
      </c>
      <c r="D20" s="29" t="s">
        <v>11</v>
      </c>
      <c r="E20" s="6">
        <v>15</v>
      </c>
      <c r="F20" s="40">
        <f>LOOKUP(E20,{0,-4,-3,-2,-1,0,1,2.4,3.8,5.2,6.6,8,9.4,10.8,12.2,13.6,15,17.2,19.4,21.5,23.6},{0,10,20,30,40,50,60,62,64,66,68,70,72,74,76,78,80,85,90,95,100})</f>
        <v>80</v>
      </c>
      <c r="G20" s="6">
        <v>227</v>
      </c>
      <c r="H20" s="40">
        <f>LOOKUP(G20,{0,170,175,180,185,190,195,199,203,207,211,215,219,223,227,231,235,243,250,255,260},{0,10,20,30,40,50,60,62,64,66,68,70,72,74,76,78,80,85,90,95,100})</f>
        <v>76</v>
      </c>
      <c r="I20" s="6">
        <v>2</v>
      </c>
      <c r="J20" s="40">
        <f>LOOKUP(I20,{0,2,3,4,5,6,7,8,9,10,11,12,13,14,15,16},{0,10,20,30,40,50,60,64,68,72,76,80,85,90,95,100})</f>
        <v>10</v>
      </c>
      <c r="K20" s="7"/>
      <c r="L20" s="7"/>
      <c r="M20" s="7">
        <f t="shared" si="0"/>
        <v>10</v>
      </c>
      <c r="N20" s="6">
        <v>8.2</v>
      </c>
      <c r="O20" s="43">
        <f t="shared" ref="O20:O26" si="12">13-N20</f>
        <v>4.8</v>
      </c>
      <c r="P20" s="40">
        <f>LOOKUP(O20,{0,2.5,2.7,2.9,3.1,3.3,3.5,3.7,3.9,4.1,4.3,4.5,4.7,4.9,5.1,5.3,5.5,5.6,5.7,5.8,5.9},{0,10,20,30,40,50,60,62,64,66,68,70,72,74,76,78,80,85,90,95,100})</f>
        <v>72</v>
      </c>
      <c r="Q20" s="6">
        <v>4.42</v>
      </c>
      <c r="R20" s="6">
        <f t="shared" si="10"/>
        <v>5.58</v>
      </c>
      <c r="S20" s="40">
        <f>LOOKUP(R20,{0,3.75,3.95,4.55,4.75,4.95,5.55,5.6,5.65,5.7,5.75,5.8,5.85,5.9,5.95,6,6.45,6.53,6.6,6.65,6.7},{0,10,20,30,40,50,60,62,64,66,68,70,72,74,76,78,80,85,90,95,100})</f>
        <v>60</v>
      </c>
      <c r="T20" s="7"/>
      <c r="U20" s="7"/>
      <c r="V20" s="7">
        <f t="shared" si="11"/>
        <v>60</v>
      </c>
      <c r="X20" s="7">
        <f t="shared" si="4"/>
        <v>43</v>
      </c>
      <c r="Y20" s="37">
        <f t="shared" si="5"/>
        <v>61.4285714285714</v>
      </c>
    </row>
    <row r="21" ht="15.6" hidden="1" outlineLevel="2" spans="1:25">
      <c r="A21" s="6">
        <v>101</v>
      </c>
      <c r="B21" s="6">
        <v>20</v>
      </c>
      <c r="C21" s="29" t="s">
        <v>32</v>
      </c>
      <c r="D21" s="29" t="s">
        <v>11</v>
      </c>
      <c r="E21" s="6">
        <v>22</v>
      </c>
      <c r="F21" s="40">
        <f>LOOKUP(E21,{0,-4,-3,-2,-1,0,1,2.4,3.8,5.2,6.6,8,9.4,10.8,12.2,13.6,15,17.2,19.4,21.5,23.6},{0,10,20,30,40,50,60,62,64,66,68,70,72,74,76,78,80,85,90,95,100})</f>
        <v>95</v>
      </c>
      <c r="G21" s="6">
        <v>237</v>
      </c>
      <c r="H21" s="40">
        <f>LOOKUP(G21,{0,170,175,180,185,190,195,199,203,207,211,215,219,223,227,231,235,243,250,255,260},{0,10,20,30,40,50,60,62,64,66,68,70,72,74,76,78,80,85,90,95,100})</f>
        <v>80</v>
      </c>
      <c r="I21" s="6">
        <v>23</v>
      </c>
      <c r="J21" s="40">
        <f>LOOKUP(I21,{0,2,3,4,5,6,7,8,9,10,11,12,13,14,15,16},{0,10,20,30,40,50,60,64,68,72,76,80,85,90,95,100})</f>
        <v>100</v>
      </c>
      <c r="K21" s="7">
        <f t="shared" si="9"/>
        <v>7</v>
      </c>
      <c r="L21" s="40">
        <f>LOOKUP(K21,{0,1,2,3,4,5,6,7,8,9,10},{0,1,2,3,4,5,6,7,8,9,10})</f>
        <v>7</v>
      </c>
      <c r="M21" s="7">
        <f t="shared" si="0"/>
        <v>107</v>
      </c>
      <c r="N21" s="6">
        <v>6.7</v>
      </c>
      <c r="O21" s="43">
        <f t="shared" si="12"/>
        <v>6.3</v>
      </c>
      <c r="P21" s="40">
        <f>LOOKUP(O21,{0,2.5,2.7,2.9,3.1,3.3,3.5,3.7,3.9,4.1,4.3,4.5,4.7,4.9,5.1,5.3,5.5,5.6,5.7,5.8,5.9},{0,10,20,30,40,50,60,62,64,66,68,70,72,74,76,78,80,85,90,95,100})</f>
        <v>100</v>
      </c>
      <c r="Q21" s="6">
        <v>3.24</v>
      </c>
      <c r="R21" s="6">
        <f t="shared" si="10"/>
        <v>6.76</v>
      </c>
      <c r="S21" s="40">
        <f>LOOKUP(R21,{0,3.75,3.95,4.55,4.75,4.95,5.55,5.6,5.65,5.7,5.75,5.8,5.85,5.9,5.95,6,6.45,6.53,6.6,6.65,6.7},{0,10,20,30,40,50,60,62,64,66,68,70,72,74,76,78,80,85,90,95,100})</f>
        <v>100</v>
      </c>
      <c r="T21" s="7">
        <f>3.3-Q21</f>
        <v>0.0599999999999996</v>
      </c>
      <c r="U21" s="40">
        <f>LOOKUP(T21,{0,0.04,0.08,0.12,0.16,0.2,0.23,0.26,0.29,0.32,0.35},{0,1,2,3,4,5,6,7,8,9,10})</f>
        <v>1</v>
      </c>
      <c r="V21" s="7">
        <f t="shared" si="11"/>
        <v>101</v>
      </c>
      <c r="X21" s="7">
        <f t="shared" si="4"/>
        <v>67.5</v>
      </c>
      <c r="Y21" s="37">
        <f t="shared" si="5"/>
        <v>104.428571428571</v>
      </c>
    </row>
    <row r="22" ht="15.6" hidden="1" outlineLevel="2" spans="1:25">
      <c r="A22" s="6">
        <v>101</v>
      </c>
      <c r="B22" s="6">
        <v>21</v>
      </c>
      <c r="C22" s="39" t="s">
        <v>34</v>
      </c>
      <c r="D22" s="29" t="s">
        <v>11</v>
      </c>
      <c r="E22" s="6">
        <v>-1</v>
      </c>
      <c r="F22" s="40">
        <f>LOOKUP(E22,{0,-4,-3,-2,-1,0,1,2.4,3.8,5.2,6.6,8,9.4,10.8,12.2,13.6,15,17.2,19.4,21.5,23.6},{0,10,20,30,40,50,60,62,64,66,68,70,72,74,76,78,80,85,90,95,100})</f>
        <v>40</v>
      </c>
      <c r="G22" s="6">
        <v>215</v>
      </c>
      <c r="H22" s="40">
        <f>LOOKUP(G22,{0,170,175,180,185,190,195,199,203,207,211,215,219,223,227,231,235,243,250,255,260},{0,10,20,30,40,50,60,62,64,66,68,70,72,74,76,78,80,85,90,95,100})</f>
        <v>70</v>
      </c>
      <c r="I22" s="6">
        <v>19</v>
      </c>
      <c r="J22" s="40">
        <f>LOOKUP(I22,{0,2,3,4,5,6,7,8,9,10,11,12,13,14,15,16},{0,10,20,30,40,50,60,64,68,72,76,80,85,90,95,100})</f>
        <v>100</v>
      </c>
      <c r="K22" s="7">
        <f t="shared" si="9"/>
        <v>3</v>
      </c>
      <c r="L22" s="40">
        <f>LOOKUP(K22,{0,1,2,3,4,5,6,7,8,9,10},{0,1,2,3,4,5,6,7,8,9,10})</f>
        <v>3</v>
      </c>
      <c r="M22" s="7">
        <f t="shared" si="0"/>
        <v>103</v>
      </c>
      <c r="N22" s="6">
        <v>6.9</v>
      </c>
      <c r="O22" s="43">
        <f t="shared" si="12"/>
        <v>6.1</v>
      </c>
      <c r="P22" s="40">
        <f>LOOKUP(O22,{0,2.5,2.7,2.9,3.1,3.3,3.5,3.7,3.9,4.1,4.3,4.5,4.7,4.9,5.1,5.3,5.5,5.6,5.7,5.8,5.9},{0,10,20,30,40,50,60,62,64,66,68,70,72,74,76,78,80,85,90,95,100})</f>
        <v>100</v>
      </c>
      <c r="Q22" s="6">
        <v>4.03</v>
      </c>
      <c r="R22" s="6">
        <f t="shared" si="10"/>
        <v>5.97</v>
      </c>
      <c r="S22" s="40">
        <f>LOOKUP(R22,{0,3.75,3.95,4.55,4.75,4.95,5.55,5.6,5.65,5.7,5.75,5.8,5.85,5.9,5.95,6,6.45,6.53,6.6,6.65,6.7},{0,10,20,30,40,50,60,62,64,66,68,70,72,74,76,78,80,85,90,95,100})</f>
        <v>76</v>
      </c>
      <c r="T22" s="7"/>
      <c r="U22" s="7"/>
      <c r="V22" s="7">
        <f t="shared" si="11"/>
        <v>76</v>
      </c>
      <c r="X22" s="7">
        <f t="shared" si="4"/>
        <v>56.2</v>
      </c>
      <c r="Y22" s="37">
        <f t="shared" si="5"/>
        <v>83.2857142857143</v>
      </c>
    </row>
    <row r="23" ht="15.6" hidden="1" outlineLevel="2" spans="1:25">
      <c r="A23" s="6">
        <v>101</v>
      </c>
      <c r="B23" s="6">
        <v>22</v>
      </c>
      <c r="C23" s="29" t="s">
        <v>35</v>
      </c>
      <c r="D23" s="29" t="s">
        <v>11</v>
      </c>
      <c r="E23" s="6">
        <v>9.5</v>
      </c>
      <c r="F23" s="40">
        <f>LOOKUP(E23,{0,-4,-3,-2,-1,0,1,2.4,3.8,5.2,6.6,8,9.4,10.8,12.2,13.6,15,17.2,19.4,21.5,23.6},{0,10,20,30,40,50,60,62,64,66,68,70,72,74,76,78,80,85,90,95,100})</f>
        <v>72</v>
      </c>
      <c r="G23" s="6">
        <v>270</v>
      </c>
      <c r="H23" s="40">
        <f>LOOKUP(G23,{0,170,175,180,185,190,195,199,203,207,211,215,219,223,227,231,235,243,250,255,260},{0,10,20,30,40,50,60,62,64,66,68,70,72,74,76,78,80,85,90,95,100})</f>
        <v>100</v>
      </c>
      <c r="I23" s="6">
        <v>23</v>
      </c>
      <c r="J23" s="40">
        <f>LOOKUP(I23,{0,2,3,4,5,6,7,8,9,10,11,12,13,14,15,16},{0,10,20,30,40,50,60,64,68,72,76,80,85,90,95,100})</f>
        <v>100</v>
      </c>
      <c r="K23" s="7">
        <f t="shared" si="9"/>
        <v>7</v>
      </c>
      <c r="L23" s="40">
        <f>LOOKUP(K23,{0,1,2,3,4,5,6,7,8,9,10},{0,1,2,3,4,5,6,7,8,9,10})</f>
        <v>7</v>
      </c>
      <c r="M23" s="7">
        <f t="shared" si="0"/>
        <v>107</v>
      </c>
      <c r="N23" s="6">
        <v>6.8</v>
      </c>
      <c r="O23" s="43">
        <f t="shared" si="12"/>
        <v>6.2</v>
      </c>
      <c r="P23" s="40">
        <f>LOOKUP(O23,{0,2.5,2.7,2.9,3.1,3.3,3.5,3.7,3.9,4.1,4.3,4.5,4.7,4.9,5.1,5.3,5.5,5.6,5.7,5.8,5.9},{0,10,20,30,40,50,60,62,64,66,68,70,72,74,76,78,80,85,90,95,100})</f>
        <v>100</v>
      </c>
      <c r="Q23" s="6">
        <v>3.37</v>
      </c>
      <c r="R23" s="6">
        <f t="shared" si="10"/>
        <v>6.63</v>
      </c>
      <c r="S23" s="40">
        <f>LOOKUP(R23,{0,3.75,3.95,4.55,4.75,4.95,5.55,5.6,5.65,5.7,5.75,5.8,5.85,5.9,5.95,6,6.45,6.53,6.6,6.65,6.7},{0,10,20,30,40,50,60,62,64,66,68,70,72,74,76,78,80,85,90,95,100})</f>
        <v>90</v>
      </c>
      <c r="T23" s="7"/>
      <c r="U23" s="7"/>
      <c r="V23" s="7">
        <f t="shared" si="11"/>
        <v>90</v>
      </c>
      <c r="X23" s="7">
        <f t="shared" si="4"/>
        <v>65.2</v>
      </c>
      <c r="Y23" s="37">
        <f t="shared" si="5"/>
        <v>100.142857142857</v>
      </c>
    </row>
    <row r="24" ht="15.6" hidden="1" outlineLevel="2" spans="1:25">
      <c r="A24" s="6">
        <v>101</v>
      </c>
      <c r="B24" s="6">
        <v>23</v>
      </c>
      <c r="C24" s="29" t="s">
        <v>36</v>
      </c>
      <c r="D24" s="29" t="s">
        <v>11</v>
      </c>
      <c r="E24" s="6">
        <v>14.5</v>
      </c>
      <c r="F24" s="40">
        <f>LOOKUP(E24,{0,-4,-3,-2,-1,0,1,2.4,3.8,5.2,6.6,8,9.4,10.8,12.2,13.6,15,17.2,19.4,21.5,23.6},{0,10,20,30,40,50,60,62,64,66,68,70,72,74,76,78,80,85,90,95,100})</f>
        <v>78</v>
      </c>
      <c r="G24" s="6">
        <v>230</v>
      </c>
      <c r="H24" s="40">
        <f>LOOKUP(G24,{0,170,175,180,185,190,195,199,203,207,211,215,219,223,227,231,235,243,250,255,260},{0,10,20,30,40,50,60,62,64,66,68,70,72,74,76,78,80,85,90,95,100})</f>
        <v>76</v>
      </c>
      <c r="I24" s="6">
        <v>15</v>
      </c>
      <c r="J24" s="40">
        <f>LOOKUP(I24,{0,2,3,4,5,6,7,8,9,10,11,12,13,14,15,16},{0,10,20,30,40,50,60,64,68,72,76,80,85,90,95,100})</f>
        <v>95</v>
      </c>
      <c r="K24" s="7"/>
      <c r="L24" s="7"/>
      <c r="M24" s="7">
        <f t="shared" si="0"/>
        <v>95</v>
      </c>
      <c r="N24" s="6">
        <v>7.2</v>
      </c>
      <c r="O24" s="43">
        <f t="shared" si="12"/>
        <v>5.8</v>
      </c>
      <c r="P24" s="40">
        <f>LOOKUP(O24,{0,2.5,2.7,2.9,3.1,3.3,3.5,3.7,3.9,4.1,4.3,4.5,4.7,4.9,5.1,5.3,5.5,5.6,5.7,5.8,5.9},{0,10,20,30,40,50,60,62,64,66,68,70,72,74,76,78,80,85,90,95,100})</f>
        <v>95</v>
      </c>
      <c r="Q24" s="6">
        <v>4.08</v>
      </c>
      <c r="R24" s="6">
        <f t="shared" si="10"/>
        <v>5.92</v>
      </c>
      <c r="S24" s="40">
        <f>LOOKUP(R24,{0,3.75,3.95,4.55,4.75,4.95,5.55,5.6,5.65,5.7,5.75,5.8,5.85,5.9,5.95,6,6.45,6.53,6.6,6.65,6.7},{0,10,20,30,40,50,60,62,64,66,68,70,72,74,76,78,80,85,90,95,100})</f>
        <v>74</v>
      </c>
      <c r="T24" s="7"/>
      <c r="U24" s="7"/>
      <c r="V24" s="7">
        <f t="shared" si="11"/>
        <v>74</v>
      </c>
      <c r="X24" s="7">
        <f t="shared" si="4"/>
        <v>58.7</v>
      </c>
      <c r="Y24" s="37">
        <f t="shared" si="5"/>
        <v>83.8571428571429</v>
      </c>
    </row>
    <row r="25" s="3" customFormat="1" ht="15.6" hidden="1" outlineLevel="2" spans="1:25">
      <c r="A25" s="6">
        <v>101</v>
      </c>
      <c r="B25" s="6">
        <v>24</v>
      </c>
      <c r="C25" s="29" t="s">
        <v>37</v>
      </c>
      <c r="D25" s="29" t="s">
        <v>11</v>
      </c>
      <c r="E25" s="6">
        <v>6</v>
      </c>
      <c r="F25" s="40">
        <f>LOOKUP(E25,{0,-4,-3,-2,-1,0,1,2.4,3.8,5.2,6.6,8,9.4,10.8,12.2,13.6,15,17.2,19.4,21.5,23.6},{0,10,20,30,40,50,60,62,64,66,68,70,72,74,76,78,80,85,90,95,100})</f>
        <v>66</v>
      </c>
      <c r="G25" s="6">
        <v>230</v>
      </c>
      <c r="H25" s="40">
        <f>LOOKUP(G25,{0,170,175,180,185,190,195,199,203,207,211,215,219,223,227,231,235,243,250,255,260},{0,10,20,30,40,50,60,62,64,66,68,70,72,74,76,78,80,85,90,95,100})</f>
        <v>76</v>
      </c>
      <c r="I25" s="6">
        <v>11</v>
      </c>
      <c r="J25" s="40">
        <f>LOOKUP(I25,{0,2,3,4,5,6,7,8,9,10,11,12,13,14,15,16},{0,10,20,30,40,50,60,64,68,72,76,80,85,90,95,100})</f>
        <v>76</v>
      </c>
      <c r="K25" s="7"/>
      <c r="L25" s="7"/>
      <c r="M25" s="7">
        <f t="shared" si="0"/>
        <v>76</v>
      </c>
      <c r="N25" s="6">
        <v>7.4</v>
      </c>
      <c r="O25" s="43">
        <f t="shared" si="12"/>
        <v>5.6</v>
      </c>
      <c r="P25" s="40">
        <f>LOOKUP(O25,{0,2.5,2.7,2.9,3.1,3.3,3.5,3.7,3.9,4.1,4.3,4.5,4.7,4.9,5.1,5.3,5.5,5.6,5.7,5.8,5.9},{0,10,20,30,40,50,60,62,64,66,68,70,72,74,76,78,80,85,90,95,100})</f>
        <v>85</v>
      </c>
      <c r="Q25" s="6">
        <v>3.57</v>
      </c>
      <c r="R25" s="6">
        <f t="shared" si="10"/>
        <v>6.43</v>
      </c>
      <c r="S25" s="40">
        <f>LOOKUP(R25,{0,3.75,3.95,4.55,4.75,4.95,5.55,5.6,5.65,5.7,5.75,5.8,5.85,5.9,5.95,6,6.45,6.53,6.6,6.65,6.7},{0,10,20,30,40,50,60,62,64,66,68,70,72,74,76,78,80,85,90,95,100})</f>
        <v>78</v>
      </c>
      <c r="T25" s="7"/>
      <c r="U25" s="7"/>
      <c r="V25" s="7">
        <f t="shared" si="11"/>
        <v>78</v>
      </c>
      <c r="W25" s="6"/>
      <c r="X25" s="7">
        <f t="shared" si="4"/>
        <v>54.4</v>
      </c>
      <c r="Y25" s="37">
        <f t="shared" si="5"/>
        <v>77.7142857142857</v>
      </c>
    </row>
    <row r="26" ht="15.6" hidden="1" outlineLevel="2" spans="1:25">
      <c r="A26" s="6">
        <v>101</v>
      </c>
      <c r="B26" s="6">
        <v>25</v>
      </c>
      <c r="C26" s="29" t="s">
        <v>38</v>
      </c>
      <c r="D26" s="29" t="s">
        <v>11</v>
      </c>
      <c r="E26" s="6">
        <v>3.5</v>
      </c>
      <c r="F26" s="40">
        <f>LOOKUP(E26,{0,-4,-3,-2,-1,0,1,2.4,3.8,5.2,6.6,8,9.4,10.8,12.2,13.6,15,17.2,19.4,21.5,23.6},{0,10,20,30,40,50,60,62,64,66,68,70,72,74,76,78,80,85,90,95,100})</f>
        <v>62</v>
      </c>
      <c r="G26" s="6">
        <v>240</v>
      </c>
      <c r="H26" s="40">
        <f>LOOKUP(G26,{0,170,175,180,185,190,195,199,203,207,211,215,219,223,227,231,235,243,250,255,260},{0,10,20,30,40,50,60,62,64,66,68,70,72,74,76,78,80,85,90,95,100})</f>
        <v>80</v>
      </c>
      <c r="I26" s="6">
        <v>9</v>
      </c>
      <c r="J26" s="40">
        <f>LOOKUP(I26,{0,2,3,4,5,6,7,8,9,10,11,12,13,14,15,16},{0,10,20,30,40,50,60,64,68,72,76,80,85,90,95,100})</f>
        <v>68</v>
      </c>
      <c r="K26" s="7"/>
      <c r="L26" s="7"/>
      <c r="M26" s="7">
        <f t="shared" si="0"/>
        <v>68</v>
      </c>
      <c r="N26" s="6">
        <v>7</v>
      </c>
      <c r="O26" s="43">
        <f t="shared" si="12"/>
        <v>6</v>
      </c>
      <c r="P26" s="40">
        <f>LOOKUP(O26,{0,2.5,2.7,2.9,3.1,3.3,3.5,3.7,3.9,4.1,4.3,4.5,4.7,4.9,5.1,5.3,5.5,5.6,5.7,5.8,5.9},{0,10,20,30,40,50,60,62,64,66,68,70,72,74,76,78,80,85,90,95,100})</f>
        <v>100</v>
      </c>
      <c r="Q26" s="6">
        <v>3.38</v>
      </c>
      <c r="R26" s="6">
        <f t="shared" si="10"/>
        <v>6.62</v>
      </c>
      <c r="S26" s="40">
        <f>LOOKUP(R26,{0,3.75,3.95,4.55,4.75,4.95,5.55,5.6,5.65,5.7,5.75,5.8,5.85,5.9,5.95,6,6.45,6.53,6.6,6.65,6.7},{0,10,20,30,40,50,60,62,64,66,68,70,72,74,76,78,80,85,90,95,100})</f>
        <v>90</v>
      </c>
      <c r="T26" s="7"/>
      <c r="U26" s="7"/>
      <c r="V26" s="7">
        <f t="shared" si="11"/>
        <v>90</v>
      </c>
      <c r="X26" s="7">
        <f t="shared" si="4"/>
        <v>59</v>
      </c>
      <c r="Y26" s="37">
        <f t="shared" si="5"/>
        <v>84.2857142857143</v>
      </c>
    </row>
    <row r="27" ht="15.6" hidden="1" outlineLevel="2" spans="1:25">
      <c r="A27" s="6">
        <v>101</v>
      </c>
      <c r="B27" s="6">
        <v>26</v>
      </c>
      <c r="C27" s="29" t="s">
        <v>39</v>
      </c>
      <c r="D27" s="29" t="s">
        <v>11</v>
      </c>
      <c r="E27" s="6">
        <v>7.5</v>
      </c>
      <c r="F27" s="40">
        <f>LOOKUP(E27,{0,-4,-3,-2,-1,0,1,2.4,3.8,5.2,6.6,8,9.4,10.8,12.2,13.6,15,17.2,19.4,21.5,23.6},{0,10,20,30,40,50,60,62,64,66,68,70,72,74,76,78,80,85,90,95,100})</f>
        <v>68</v>
      </c>
      <c r="G27" s="6">
        <v>220</v>
      </c>
      <c r="H27" s="40">
        <f>LOOKUP(G27,{0,170,175,180,185,190,195,199,203,207,211,215,219,223,227,231,235,243,250,255,260},{0,10,20,30,40,50,60,62,64,66,68,70,72,74,76,78,80,85,90,95,100})</f>
        <v>72</v>
      </c>
      <c r="I27" s="6">
        <v>23</v>
      </c>
      <c r="J27" s="40">
        <f>LOOKUP(I27,{0,2,3,4,5,6,7,8,9,10,11,12,13,14,15,16},{0,10,20,30,40,50,60,64,68,72,76,80,85,90,95,100})</f>
        <v>100</v>
      </c>
      <c r="K27" s="7">
        <f>I27-16</f>
        <v>7</v>
      </c>
      <c r="L27" s="40">
        <f>LOOKUP(K27,{0,1,2,3,4,5,6,7,8,9,10},{0,1,2,3,4,5,6,7,8,9,10})</f>
        <v>7</v>
      </c>
      <c r="M27" s="7">
        <f t="shared" si="0"/>
        <v>107</v>
      </c>
      <c r="O27" s="43"/>
      <c r="P27" s="40"/>
      <c r="Q27" s="6">
        <v>3.34</v>
      </c>
      <c r="R27" s="6">
        <f t="shared" si="10"/>
        <v>6.66</v>
      </c>
      <c r="S27" s="40">
        <f>LOOKUP(R27,{0,3.75,3.95,4.55,4.75,4.95,5.55,5.6,5.65,5.7,5.75,5.8,5.85,5.9,5.95,6,6.45,6.53,6.6,6.65,6.7},{0,10,20,30,40,50,60,62,64,66,68,70,72,74,76,78,80,85,90,95,100})</f>
        <v>95</v>
      </c>
      <c r="T27" s="7"/>
      <c r="U27" s="7"/>
      <c r="V27" s="7">
        <f t="shared" si="11"/>
        <v>95</v>
      </c>
      <c r="X27" s="7">
        <f t="shared" si="4"/>
        <v>43</v>
      </c>
      <c r="Y27" s="37">
        <f t="shared" si="5"/>
        <v>68.4285714285714</v>
      </c>
    </row>
    <row r="28" ht="15.6" hidden="1" outlineLevel="2" spans="1:25">
      <c r="A28" s="6">
        <v>101</v>
      </c>
      <c r="B28" s="6">
        <v>27</v>
      </c>
      <c r="C28" s="29" t="s">
        <v>40</v>
      </c>
      <c r="D28" s="29" t="s">
        <v>11</v>
      </c>
      <c r="E28" s="6">
        <v>9.5</v>
      </c>
      <c r="F28" s="40">
        <f>LOOKUP(E28,{0,-4,-3,-2,-1,0,1,2.4,3.8,5.2,6.6,8,9.4,10.8,12.2,13.6,15,17.2,19.4,21.5,23.6},{0,10,20,30,40,50,60,62,64,66,68,70,72,74,76,78,80,85,90,95,100})</f>
        <v>72</v>
      </c>
      <c r="G28" s="6">
        <v>255</v>
      </c>
      <c r="H28" s="40">
        <f>LOOKUP(G28,{0,170,175,180,185,190,195,199,203,207,211,215,219,223,227,231,235,243,250,255,260},{0,10,20,30,40,50,60,62,64,66,68,70,72,74,76,78,80,85,90,95,100})</f>
        <v>95</v>
      </c>
      <c r="I28" s="6">
        <v>13</v>
      </c>
      <c r="J28" s="40">
        <f>LOOKUP(I28,{0,2,3,4,5,6,7,8,9,10,11,12,13,14,15,16},{0,10,20,30,40,50,60,64,68,72,76,80,85,90,95,100})</f>
        <v>85</v>
      </c>
      <c r="K28" s="7"/>
      <c r="L28" s="7"/>
      <c r="M28" s="7">
        <f t="shared" si="0"/>
        <v>85</v>
      </c>
      <c r="N28" s="6">
        <v>6.7</v>
      </c>
      <c r="O28" s="43">
        <f t="shared" ref="O28:O32" si="13">13-N28</f>
        <v>6.3</v>
      </c>
      <c r="P28" s="40">
        <f>LOOKUP(O28,{0,2.5,2.7,2.9,3.1,3.3,3.5,3.7,3.9,4.1,4.3,4.5,4.7,4.9,5.1,5.3,5.5,5.6,5.7,5.8,5.9},{0,10,20,30,40,50,60,62,64,66,68,70,72,74,76,78,80,85,90,95,100})</f>
        <v>100</v>
      </c>
      <c r="Q28" s="6">
        <v>3.25</v>
      </c>
      <c r="R28" s="6">
        <f t="shared" si="10"/>
        <v>6.75</v>
      </c>
      <c r="S28" s="40">
        <f>LOOKUP(R28,{0,3.75,3.95,4.55,4.75,4.95,5.55,5.6,5.65,5.7,5.75,5.8,5.85,5.9,5.95,6,6.45,6.53,6.6,6.65,6.7},{0,10,20,30,40,50,60,62,64,66,68,70,72,74,76,78,80,85,90,95,100})</f>
        <v>100</v>
      </c>
      <c r="T28" s="7">
        <f t="shared" ref="T28:T31" si="14">3.3-Q28</f>
        <v>0.0499999999999998</v>
      </c>
      <c r="U28" s="40">
        <f>LOOKUP(T28,{0,0.04,0.08,0.12,0.16,0.2,0.23,0.26,0.29,0.32,0.35},{0,1,2,3,4,5,6,7,8,9,10})</f>
        <v>1</v>
      </c>
      <c r="V28" s="7">
        <f t="shared" si="11"/>
        <v>101</v>
      </c>
      <c r="X28" s="7">
        <f t="shared" si="4"/>
        <v>65.2</v>
      </c>
      <c r="Y28" s="37">
        <f t="shared" si="5"/>
        <v>94.1428571428572</v>
      </c>
    </row>
    <row r="29" ht="15.6" hidden="1" outlineLevel="2" spans="1:25">
      <c r="A29" s="6">
        <v>101</v>
      </c>
      <c r="B29" s="6">
        <v>28</v>
      </c>
      <c r="C29" s="29" t="s">
        <v>41</v>
      </c>
      <c r="D29" s="29" t="s">
        <v>11</v>
      </c>
      <c r="E29" s="6">
        <v>5.5</v>
      </c>
      <c r="F29" s="40">
        <f>LOOKUP(E29,{0,-4,-3,-2,-1,0,1,2.4,3.8,5.2,6.6,8,9.4,10.8,12.2,13.6,15,17.2,19.4,21.5,23.6},{0,10,20,30,40,50,60,62,64,66,68,70,72,74,76,78,80,85,90,95,100})</f>
        <v>66</v>
      </c>
      <c r="G29" s="6">
        <v>205</v>
      </c>
      <c r="H29" s="40">
        <f>LOOKUP(G29,{0,170,175,180,185,190,195,199,203,207,211,215,219,223,227,231,235,243,250,255,260},{0,10,20,30,40,50,60,62,64,66,68,70,72,74,76,78,80,85,90,95,100})</f>
        <v>64</v>
      </c>
      <c r="I29" s="6">
        <v>1</v>
      </c>
      <c r="J29" s="40">
        <f>LOOKUP(I29,{0,2,3,4,5,6,7,8,9,10,11,12,13,14,15,16},{0,10,20,30,40,50,60,64,68,72,76,80,85,90,95,100})</f>
        <v>0</v>
      </c>
      <c r="K29" s="7"/>
      <c r="L29" s="7"/>
      <c r="M29" s="7">
        <f t="shared" si="0"/>
        <v>0</v>
      </c>
      <c r="O29" s="43"/>
      <c r="P29" s="40"/>
      <c r="Q29" s="6">
        <v>3.14</v>
      </c>
      <c r="R29" s="6">
        <f t="shared" si="10"/>
        <v>6.86</v>
      </c>
      <c r="S29" s="40">
        <f>LOOKUP(R29,{0,3.75,3.95,4.55,4.75,4.95,5.55,5.6,5.65,5.7,5.75,5.8,5.85,5.9,5.95,6,6.45,6.53,6.6,6.65,6.7},{0,10,20,30,40,50,60,62,64,66,68,70,72,74,76,78,80,85,90,95,100})</f>
        <v>100</v>
      </c>
      <c r="T29" s="7">
        <f t="shared" si="14"/>
        <v>0.16</v>
      </c>
      <c r="U29" s="40">
        <f>LOOKUP(T29,{0,0.04,0.08,0.12,0.16,0.2,0.23,0.26,0.29,0.32,0.35},{0,1,2,3,4,5,6,7,8,9,10})</f>
        <v>3</v>
      </c>
      <c r="V29" s="7">
        <f t="shared" si="11"/>
        <v>103</v>
      </c>
      <c r="X29" s="7">
        <f t="shared" si="4"/>
        <v>33</v>
      </c>
      <c r="Y29" s="37">
        <f t="shared" si="5"/>
        <v>50.1428571428571</v>
      </c>
    </row>
    <row r="30" ht="15.6" hidden="1" outlineLevel="2" spans="1:25">
      <c r="A30" s="6">
        <v>101</v>
      </c>
      <c r="B30" s="6">
        <v>29</v>
      </c>
      <c r="C30" s="29" t="s">
        <v>42</v>
      </c>
      <c r="D30" s="29" t="s">
        <v>11</v>
      </c>
      <c r="E30" s="6">
        <v>11</v>
      </c>
      <c r="F30" s="40">
        <f>LOOKUP(E30,{0,-4,-3,-2,-1,0,1,2.4,3.8,5.2,6.6,8,9.4,10.8,12.2,13.6,15,17.2,19.4,21.5,23.6},{0,10,20,30,40,50,60,62,64,66,68,70,72,74,76,78,80,85,90,95,100})</f>
        <v>74</v>
      </c>
      <c r="G30" s="6">
        <v>255</v>
      </c>
      <c r="H30" s="40">
        <f>LOOKUP(G30,{0,170,175,180,185,190,195,199,203,207,211,215,219,223,227,231,235,243,250,255,260},{0,10,20,30,40,50,60,62,64,66,68,70,72,74,76,78,80,85,90,95,100})</f>
        <v>95</v>
      </c>
      <c r="I30" s="6">
        <v>14</v>
      </c>
      <c r="J30" s="40">
        <f>LOOKUP(I30,{0,2,3,4,5,6,7,8,9,10,11,12,13,14,15,16},{0,10,20,30,40,50,60,64,68,72,76,80,85,90,95,100})</f>
        <v>90</v>
      </c>
      <c r="K30" s="7"/>
      <c r="L30" s="7"/>
      <c r="M30" s="7">
        <f t="shared" si="0"/>
        <v>90</v>
      </c>
      <c r="N30" s="6">
        <v>7</v>
      </c>
      <c r="O30" s="43">
        <f t="shared" si="13"/>
        <v>6</v>
      </c>
      <c r="P30" s="40">
        <f>LOOKUP(O30,{0,2.5,2.7,2.9,3.1,3.3,3.5,3.7,3.9,4.1,4.3,4.5,4.7,4.9,5.1,5.3,5.5,5.6,5.7,5.8,5.9},{0,10,20,30,40,50,60,62,64,66,68,70,72,74,76,78,80,85,90,95,100})</f>
        <v>100</v>
      </c>
      <c r="Q30" s="6">
        <v>3.31</v>
      </c>
      <c r="R30" s="6">
        <f t="shared" si="10"/>
        <v>6.69</v>
      </c>
      <c r="S30" s="40">
        <f>LOOKUP(R30,{0,3.75,3.95,4.55,4.75,4.95,5.55,5.6,5.65,5.7,5.75,5.8,5.85,5.9,5.95,6,6.45,6.53,6.6,6.65,6.7},{0,10,20,30,40,50,60,62,64,66,68,70,72,74,76,78,80,85,90,95,100})</f>
        <v>95</v>
      </c>
      <c r="T30" s="7"/>
      <c r="U30" s="7"/>
      <c r="V30" s="7">
        <f t="shared" si="11"/>
        <v>95</v>
      </c>
      <c r="X30" s="7">
        <f t="shared" si="4"/>
        <v>64.9</v>
      </c>
      <c r="Y30" s="37">
        <f t="shared" si="5"/>
        <v>92.7142857142857</v>
      </c>
    </row>
    <row r="31" ht="15.6" hidden="1" outlineLevel="2" spans="1:25">
      <c r="A31" s="6">
        <v>101</v>
      </c>
      <c r="B31" s="6">
        <v>30</v>
      </c>
      <c r="C31" s="29" t="s">
        <v>43</v>
      </c>
      <c r="D31" s="29" t="s">
        <v>11</v>
      </c>
      <c r="E31" s="6">
        <v>12</v>
      </c>
      <c r="F31" s="40">
        <f>LOOKUP(E31,{0,-4,-3,-2,-1,0,1,2.4,3.8,5.2,6.6,8,9.4,10.8,12.2,13.6,15,17.2,19.4,21.5,23.6},{0,10,20,30,40,50,60,62,64,66,68,70,72,74,76,78,80,85,90,95,100})</f>
        <v>74</v>
      </c>
      <c r="G31" s="6">
        <v>230</v>
      </c>
      <c r="H31" s="40">
        <f>LOOKUP(G31,{0,170,175,180,185,190,195,199,203,207,211,215,219,223,227,231,235,243,250,255,260},{0,10,20,30,40,50,60,62,64,66,68,70,72,74,76,78,80,85,90,95,100})</f>
        <v>76</v>
      </c>
      <c r="I31" s="6">
        <v>17</v>
      </c>
      <c r="J31" s="40">
        <f>LOOKUP(I31,{0,2,3,4,5,6,7,8,9,10,11,12,13,14,15,16},{0,10,20,30,40,50,60,64,68,72,76,80,85,90,95,100})</f>
        <v>100</v>
      </c>
      <c r="K31" s="7">
        <f>I31-16</f>
        <v>1</v>
      </c>
      <c r="L31" s="40">
        <f>LOOKUP(K31,{0,1,2,3,4,5,6,7,8,9,10},{0,1,2,3,4,5,6,7,8,9,10})</f>
        <v>1</v>
      </c>
      <c r="M31" s="7">
        <f t="shared" si="0"/>
        <v>101</v>
      </c>
      <c r="N31" s="6">
        <v>7.1</v>
      </c>
      <c r="O31" s="43">
        <f t="shared" si="13"/>
        <v>5.9</v>
      </c>
      <c r="P31" s="40">
        <f>LOOKUP(O31,{0,2.5,2.7,2.9,3.1,3.3,3.5,3.7,3.9,4.1,4.3,4.5,4.7,4.9,5.1,5.3,5.5,5.6,5.7,5.8,5.9},{0,10,20,30,40,50,60,62,64,66,68,70,72,74,76,78,80,85,90,95,100})</f>
        <v>100</v>
      </c>
      <c r="Q31" s="6">
        <v>3.21</v>
      </c>
      <c r="R31" s="6">
        <f t="shared" si="10"/>
        <v>6.79</v>
      </c>
      <c r="S31" s="40">
        <f>LOOKUP(R31,{0,3.75,3.95,4.55,4.75,4.95,5.55,5.6,5.65,5.7,5.75,5.8,5.85,5.9,5.95,6,6.45,6.53,6.6,6.65,6.7},{0,10,20,30,40,50,60,62,64,66,68,70,72,74,76,78,80,85,90,95,100})</f>
        <v>100</v>
      </c>
      <c r="T31" s="7">
        <f t="shared" si="14"/>
        <v>0.0899999999999999</v>
      </c>
      <c r="U31" s="40">
        <f>LOOKUP(T31,{0,0.04,0.08,0.12,0.16,0.2,0.23,0.26,0.29,0.32,0.35},{0,1,2,3,4,5,6,7,8,9,10})</f>
        <v>2</v>
      </c>
      <c r="V31" s="7">
        <f t="shared" si="11"/>
        <v>102</v>
      </c>
      <c r="X31" s="7">
        <f t="shared" si="4"/>
        <v>65</v>
      </c>
      <c r="Y31" s="37">
        <f t="shared" si="5"/>
        <v>95.8571428571429</v>
      </c>
    </row>
    <row r="32" s="4" customFormat="1" ht="15.6" hidden="1" outlineLevel="2" spans="1:25">
      <c r="A32" s="41">
        <v>101</v>
      </c>
      <c r="B32" s="41">
        <v>31</v>
      </c>
      <c r="C32" s="39" t="s">
        <v>45</v>
      </c>
      <c r="D32" s="29" t="s">
        <v>46</v>
      </c>
      <c r="E32" s="41">
        <v>21</v>
      </c>
      <c r="F32" s="40">
        <f>LOOKUP(E32,{0,0.4,1.2,2,2.8,3.6,4.4,5.7,7,8.3,9.6,10.9,12.2,13.5,14.8,16.1,17.4,19.1,20.8,22.5,24.2},{0,10,20,30,40,50,60,62,64,66,68,70,72,74,76,78,80,85,90,95,100})</f>
        <v>90</v>
      </c>
      <c r="G32" s="41">
        <v>168</v>
      </c>
      <c r="H32" s="40">
        <f>LOOKUP(G32,{0,123,128,133,138,143,148,151,154,157,160,163,166,169,172,175,178,185,192,198,204},{0,10,20,30,40,50,60,62,64,66,68,70,72,74,76,78,80,85,90,95,100})</f>
        <v>72</v>
      </c>
      <c r="I32" s="41">
        <v>49</v>
      </c>
      <c r="J32" s="40">
        <f>LOOKUP(I32,{0,13,15,17,19,21,23,25,27,29,31,33,35,37,39,41,43,46,49,51,53},{0,10,20,30,40,50,60,62,64,66,68,70,72,74,76,78,80,85,90,95,100})</f>
        <v>90</v>
      </c>
      <c r="K32" s="44"/>
      <c r="L32" s="44"/>
      <c r="M32" s="4">
        <f t="shared" si="0"/>
        <v>90</v>
      </c>
      <c r="N32" s="41">
        <v>9.3</v>
      </c>
      <c r="O32" s="43">
        <f t="shared" si="13"/>
        <v>3.7</v>
      </c>
      <c r="P32" s="40">
        <f>LOOKUP(O32,{0,1.4,1.6,1.8,2,2.2,2.4,2.6,2.8,3,3.2,3.4,3.6,3.8,4,4.2,4.4,4.7,5,5.1,5.2},{0,10,20,30,40,50,60,62,64,66,68,70,72,74,76,78,80,85,90,95,100})</f>
        <v>72</v>
      </c>
      <c r="Q32" s="41">
        <v>3.58</v>
      </c>
      <c r="R32" s="41">
        <f t="shared" si="10"/>
        <v>6.42</v>
      </c>
      <c r="S32" s="40">
        <f>LOOKUP(R32,{0,4.7,4.8,4.9,5,5.5,5.6,5.65,5.7,5.75,5.8,5.85,5.9,5.95,6,6.45,6.5,6.57,6.64,6.7,6.76},{0,10,20,30,40,50,60,62,64,66,68,70,72,74,76,78,80,85,90,95,100})</f>
        <v>76</v>
      </c>
      <c r="T32" s="44"/>
      <c r="U32" s="44"/>
      <c r="V32" s="4">
        <f t="shared" si="11"/>
        <v>76</v>
      </c>
      <c r="W32" s="41"/>
      <c r="X32" s="4">
        <f t="shared" si="4"/>
        <v>54.8</v>
      </c>
      <c r="Y32" s="50">
        <f t="shared" si="5"/>
        <v>78.2857142857143</v>
      </c>
    </row>
    <row r="33" s="4" customFormat="1" ht="15.6" hidden="1" outlineLevel="2" spans="1:25">
      <c r="A33" s="41">
        <v>101</v>
      </c>
      <c r="B33" s="41">
        <v>32</v>
      </c>
      <c r="C33" s="29" t="s">
        <v>47</v>
      </c>
      <c r="D33" s="29" t="s">
        <v>46</v>
      </c>
      <c r="E33" s="41"/>
      <c r="F33" s="40"/>
      <c r="G33" s="41"/>
      <c r="H33" s="40"/>
      <c r="I33" s="41"/>
      <c r="J33" s="40"/>
      <c r="K33" s="44"/>
      <c r="L33" s="44"/>
      <c r="N33" s="41"/>
      <c r="O33" s="43"/>
      <c r="P33" s="40"/>
      <c r="Q33" s="41"/>
      <c r="R33" s="41"/>
      <c r="S33" s="40"/>
      <c r="T33" s="44"/>
      <c r="U33" s="40"/>
      <c r="W33" s="41" t="s">
        <v>48</v>
      </c>
      <c r="X33" s="4">
        <f t="shared" si="4"/>
        <v>0</v>
      </c>
      <c r="Y33" s="50">
        <v>50</v>
      </c>
    </row>
    <row r="34" ht="15.6" hidden="1" outlineLevel="2" spans="1:25">
      <c r="A34" s="6">
        <v>101</v>
      </c>
      <c r="B34" s="6">
        <v>33</v>
      </c>
      <c r="C34" s="29" t="s">
        <v>49</v>
      </c>
      <c r="D34" s="29" t="s">
        <v>46</v>
      </c>
      <c r="E34" s="6">
        <v>18.17</v>
      </c>
      <c r="F34" s="40">
        <f>LOOKUP(E34,{0,0.4,1.2,2,2.8,3.6,4.4,5.7,7,8.3,9.6,10.9,12.2,13.5,14.8,16.1,17.4,19.1,20.8,22.5,24.2},{0,10,20,30,40,50,60,62,64,66,68,70,72,74,76,78,80,85,90,95,100})</f>
        <v>80</v>
      </c>
      <c r="G34" s="6">
        <v>170</v>
      </c>
      <c r="H34" s="40">
        <f>LOOKUP(G34,{0,123,128,133,138,143,148,151,154,157,160,163,166,169,172,175,178,185,192,198,204},{0,10,20,30,40,50,60,62,64,66,68,70,72,74,76,78,80,85,90,95,100})</f>
        <v>74</v>
      </c>
      <c r="I34" s="6">
        <v>46</v>
      </c>
      <c r="J34" s="40">
        <f>LOOKUP(I34,{0,13,15,17,19,21,23,25,27,29,31,33,35,37,39,41,43,46,49,51,53},{0,10,20,30,40,50,60,62,64,66,68,70,72,74,76,78,80,85,90,95,100})</f>
        <v>85</v>
      </c>
      <c r="K34" s="45"/>
      <c r="L34" s="45"/>
      <c r="M34" s="7">
        <f t="shared" ref="M34:M47" si="15">J34+L34</f>
        <v>85</v>
      </c>
      <c r="N34" s="6">
        <v>8.4</v>
      </c>
      <c r="O34" s="43">
        <f t="shared" ref="O34:O47" si="16">13-N34</f>
        <v>4.6</v>
      </c>
      <c r="P34" s="40">
        <f>LOOKUP(O34,{0,1.4,1.6,1.8,2,2.2,2.4,2.6,2.8,3,3.2,3.4,3.6,3.8,4,4.2,4.4,4.7,5,5.1,5.2},{0,10,20,30,40,50,60,62,64,66,68,70,72,74,76,78,80,85,90,95,100})</f>
        <v>80</v>
      </c>
      <c r="Q34" s="6">
        <v>3.24</v>
      </c>
      <c r="R34" s="6">
        <f t="shared" ref="R34:R47" si="17">10-Q34</f>
        <v>6.76</v>
      </c>
      <c r="S34" s="40">
        <f>LOOKUP(R34,{0,4.7,4.8,4.9,5,5.5,5.6,5.65,5.7,5.75,5.8,5.85,5.9,5.95,6,6.45,6.5,6.57,6.64,6.7,6.76},{0,10,20,30,40,50,60,62,64,66,68,70,72,74,76,78,80,85,90,95,100})</f>
        <v>100</v>
      </c>
      <c r="T34" s="48">
        <f t="shared" ref="T34:T40" si="18">3.24-Q34</f>
        <v>0</v>
      </c>
      <c r="U34" s="40">
        <f>LOOKUP(T34,{0,0.05,0.1,0.15,0.2,0.25,0.3,0.35,0.4,0.45,0.5},{0,1,2,3,4,5,6,7,8,9,10})</f>
        <v>0</v>
      </c>
      <c r="V34" s="7">
        <f t="shared" ref="V34:V47" si="19">S34+U34</f>
        <v>100</v>
      </c>
      <c r="X34" s="7">
        <f t="shared" si="4"/>
        <v>59.9</v>
      </c>
      <c r="Y34" s="37">
        <f t="shared" ref="Y34:Y47" si="20">X34/0.7+L34+U34</f>
        <v>85.5714285714286</v>
      </c>
    </row>
    <row r="35" ht="15.6" hidden="1" outlineLevel="2" spans="1:25">
      <c r="A35" s="6">
        <v>101</v>
      </c>
      <c r="B35" s="6">
        <v>34</v>
      </c>
      <c r="C35" s="29" t="s">
        <v>50</v>
      </c>
      <c r="D35" s="29" t="s">
        <v>46</v>
      </c>
      <c r="E35" s="6">
        <v>25.5</v>
      </c>
      <c r="F35" s="40">
        <f>LOOKUP(E35,{0,0.4,1.2,2,2.8,3.6,4.4,5.7,7,8.3,9.6,10.9,12.2,13.5,14.8,16.1,17.4,19.1,20.8,22.5,24.2},{0,10,20,30,40,50,60,62,64,66,68,70,72,74,76,78,80,85,90,95,100})</f>
        <v>100</v>
      </c>
      <c r="G35" s="6">
        <v>173</v>
      </c>
      <c r="H35" s="40">
        <f>LOOKUP(G35,{0,123,128,133,138,143,148,151,154,157,160,163,166,169,172,175,178,185,192,198,204},{0,10,20,30,40,50,60,62,64,66,68,70,72,74,76,78,80,85,90,95,100})</f>
        <v>76</v>
      </c>
      <c r="I35" s="6">
        <v>46</v>
      </c>
      <c r="J35" s="40">
        <f>LOOKUP(I35,{0,13,15,17,19,21,23,25,27,29,31,33,35,37,39,41,43,46,49,51,53},{0,10,20,30,40,50,60,62,64,66,68,70,72,74,76,78,80,85,90,95,100})</f>
        <v>85</v>
      </c>
      <c r="K35" s="45"/>
      <c r="L35" s="45"/>
      <c r="M35" s="7">
        <f t="shared" si="15"/>
        <v>85</v>
      </c>
      <c r="N35" s="6">
        <v>8.87</v>
      </c>
      <c r="O35" s="43">
        <f t="shared" si="16"/>
        <v>4.13</v>
      </c>
      <c r="P35" s="40">
        <f>LOOKUP(O35,{0,1.4,1.6,1.8,2,2.2,2.4,2.6,2.8,3,3.2,3.4,3.6,3.8,4,4.2,4.4,4.7,5,5.1,5.2},{0,10,20,30,40,50,60,62,64,66,68,70,72,74,76,78,80,85,90,95,100})</f>
        <v>76</v>
      </c>
      <c r="Q35" s="6">
        <v>3.31</v>
      </c>
      <c r="R35" s="6">
        <f t="shared" si="17"/>
        <v>6.69</v>
      </c>
      <c r="S35" s="40">
        <f>LOOKUP(R35,{0,4.7,4.8,4.9,5,5.5,5.6,5.65,5.7,5.75,5.8,5.85,5.9,5.95,6,6.45,6.5,6.57,6.64,6.7,6.76},{0,10,20,30,40,50,60,62,64,66,68,70,72,74,76,78,80,85,90,95,100})</f>
        <v>90</v>
      </c>
      <c r="T35" s="45"/>
      <c r="U35" s="45"/>
      <c r="V35" s="7">
        <f t="shared" si="19"/>
        <v>90</v>
      </c>
      <c r="X35" s="7">
        <f t="shared" si="4"/>
        <v>59.3</v>
      </c>
      <c r="Y35" s="37">
        <f t="shared" si="20"/>
        <v>84.7142857142857</v>
      </c>
    </row>
    <row r="36" s="3" customFormat="1" ht="15.6" hidden="1" outlineLevel="2" spans="1:25">
      <c r="A36" s="6">
        <v>101</v>
      </c>
      <c r="B36" s="6">
        <v>35</v>
      </c>
      <c r="C36" s="29" t="s">
        <v>51</v>
      </c>
      <c r="D36" s="29" t="s">
        <v>46</v>
      </c>
      <c r="E36" s="6">
        <v>17.6</v>
      </c>
      <c r="F36" s="40">
        <f>LOOKUP(E36,{0,0.4,1.2,2,2.8,3.6,4.4,5.7,7,8.3,9.6,10.9,12.2,13.5,14.8,16.1,17.4,19.1,20.8,22.5,24.2},{0,10,20,30,40,50,60,62,64,66,68,70,72,74,76,78,80,85,90,95,100})</f>
        <v>80</v>
      </c>
      <c r="G36" s="6">
        <v>212</v>
      </c>
      <c r="H36" s="40">
        <f>LOOKUP(G36,{0,123,128,133,138,143,148,151,154,157,160,163,166,169,172,175,178,185,192,198,204},{0,10,20,30,40,50,60,62,64,66,68,70,72,74,76,78,80,85,90,95,100})</f>
        <v>100</v>
      </c>
      <c r="I36" s="6">
        <v>55</v>
      </c>
      <c r="J36" s="40">
        <f>LOOKUP(I36,{0,13,15,17,19,21,23,25,27,29,31,33,35,37,39,41,43,46,49,51,53},{0,10,20,30,40,50,60,62,64,66,68,70,72,74,76,78,80,85,90,95,100})</f>
        <v>100</v>
      </c>
      <c r="K36" s="45">
        <f t="shared" ref="K36:K40" si="21">I36-53</f>
        <v>2</v>
      </c>
      <c r="L36" s="40">
        <f>LOOKUP(K36,{0,2,4,6,7,8,9,10,11,12,13},{0,1,2,3,4,5,6,7,8,9,10})</f>
        <v>1</v>
      </c>
      <c r="M36" s="7">
        <f t="shared" si="15"/>
        <v>101</v>
      </c>
      <c r="N36" s="6">
        <v>8.18</v>
      </c>
      <c r="O36" s="43">
        <f t="shared" si="16"/>
        <v>4.82</v>
      </c>
      <c r="P36" s="40">
        <f>LOOKUP(O36,{0,1.4,1.6,1.8,2,2.2,2.4,2.6,2.8,3,3.2,3.4,3.6,3.8,4,4.2,4.4,4.7,5,5.1,5.2},{0,10,20,30,40,50,60,62,64,66,68,70,72,74,76,78,80,85,90,95,100})</f>
        <v>85</v>
      </c>
      <c r="Q36" s="6">
        <v>3.38</v>
      </c>
      <c r="R36" s="6">
        <f t="shared" si="17"/>
        <v>6.62</v>
      </c>
      <c r="S36" s="40">
        <f>LOOKUP(R36,{0,4.7,4.8,4.9,5,5.5,5.6,5.65,5.7,5.75,5.8,5.85,5.9,5.95,6,6.45,6.5,6.57,6.64,6.7,6.76},{0,10,20,30,40,50,60,62,64,66,68,70,72,74,76,78,80,85,90,95,100})</f>
        <v>85</v>
      </c>
      <c r="T36" s="45"/>
      <c r="U36" s="45"/>
      <c r="V36" s="7">
        <f t="shared" si="19"/>
        <v>85</v>
      </c>
      <c r="W36" s="6"/>
      <c r="X36" s="7">
        <f t="shared" si="4"/>
        <v>62</v>
      </c>
      <c r="Y36" s="37">
        <f t="shared" si="20"/>
        <v>89.5714285714286</v>
      </c>
    </row>
    <row r="37" ht="15.6" hidden="1" outlineLevel="2" spans="1:25">
      <c r="A37" s="6">
        <v>101</v>
      </c>
      <c r="B37" s="6">
        <v>36</v>
      </c>
      <c r="C37" s="29" t="s">
        <v>52</v>
      </c>
      <c r="D37" s="29" t="s">
        <v>46</v>
      </c>
      <c r="E37" s="6">
        <v>19.5</v>
      </c>
      <c r="F37" s="40">
        <f>LOOKUP(E37,{0,0.4,1.2,2,2.8,3.6,4.4,5.7,7,8.3,9.6,10.9,12.2,13.5,14.8,16.1,17.4,19.1,20.8,22.5,24.2},{0,10,20,30,40,50,60,62,64,66,68,70,72,74,76,78,80,85,90,95,100})</f>
        <v>85</v>
      </c>
      <c r="G37" s="6">
        <v>175</v>
      </c>
      <c r="H37" s="40">
        <f>LOOKUP(G37,{0,123,128,133,138,143,148,151,154,157,160,163,166,169,172,175,178,185,192,198,204},{0,10,20,30,40,50,60,62,64,66,68,70,72,74,76,78,80,85,90,95,100})</f>
        <v>78</v>
      </c>
      <c r="I37" s="6">
        <v>42</v>
      </c>
      <c r="J37" s="40">
        <f>LOOKUP(I37,{0,13,15,17,19,21,23,25,27,29,31,33,35,37,39,41,43,46,49,51,53},{0,10,20,30,40,50,60,62,64,66,68,70,72,74,76,78,80,85,90,95,100})</f>
        <v>78</v>
      </c>
      <c r="K37" s="45"/>
      <c r="L37" s="45"/>
      <c r="M37" s="7">
        <f t="shared" si="15"/>
        <v>78</v>
      </c>
      <c r="N37" s="6">
        <v>8.4</v>
      </c>
      <c r="O37" s="43">
        <f t="shared" si="16"/>
        <v>4.6</v>
      </c>
      <c r="P37" s="40">
        <f>LOOKUP(O37,{0,1.4,1.6,1.8,2,2.2,2.4,2.6,2.8,3,3.2,3.4,3.6,3.8,4,4.2,4.4,4.7,5,5.1,5.2},{0,10,20,30,40,50,60,62,64,66,68,70,72,74,76,78,80,85,90,95,100})</f>
        <v>80</v>
      </c>
      <c r="Q37" s="6">
        <v>3.35</v>
      </c>
      <c r="R37" s="6">
        <f t="shared" si="17"/>
        <v>6.65</v>
      </c>
      <c r="S37" s="40">
        <f>LOOKUP(R37,{0,4.7,4.8,4.9,5,5.5,5.6,5.65,5.7,5.75,5.8,5.85,5.9,5.95,6,6.45,6.5,6.57,6.64,6.7,6.76},{0,10,20,30,40,50,60,62,64,66,68,70,72,74,76,78,80,85,90,95,100})</f>
        <v>90</v>
      </c>
      <c r="T37" s="45"/>
      <c r="U37" s="45"/>
      <c r="V37" s="7">
        <f t="shared" si="19"/>
        <v>90</v>
      </c>
      <c r="X37" s="7">
        <f t="shared" si="4"/>
        <v>58.1</v>
      </c>
      <c r="Y37" s="37">
        <f t="shared" si="20"/>
        <v>83</v>
      </c>
    </row>
    <row r="38" ht="15.6" hidden="1" outlineLevel="2" spans="1:25">
      <c r="A38" s="6">
        <v>101</v>
      </c>
      <c r="B38" s="6">
        <v>37</v>
      </c>
      <c r="C38" s="29" t="s">
        <v>53</v>
      </c>
      <c r="D38" s="29" t="s">
        <v>46</v>
      </c>
      <c r="E38" s="6">
        <v>19</v>
      </c>
      <c r="F38" s="40">
        <f>LOOKUP(E38,{0,0.4,1.2,2,2.8,3.6,4.4,5.7,7,8.3,9.6,10.9,12.2,13.5,14.8,16.1,17.4,19.1,20.8,22.5,24.2},{0,10,20,30,40,50,60,62,64,66,68,70,72,74,76,78,80,85,90,95,100})</f>
        <v>80</v>
      </c>
      <c r="G38" s="6">
        <v>190</v>
      </c>
      <c r="H38" s="40">
        <f>LOOKUP(G38,{0,123,128,133,138,143,148,151,154,157,160,163,166,169,172,175,178,185,192,198,204},{0,10,20,30,40,50,60,62,64,66,68,70,72,74,76,78,80,85,90,95,100})</f>
        <v>85</v>
      </c>
      <c r="I38" s="6">
        <v>53</v>
      </c>
      <c r="J38" s="40">
        <f>LOOKUP(I38,{0,13,15,17,19,21,23,25,27,29,31,33,35,37,39,41,43,46,49,51,53},{0,10,20,30,40,50,60,62,64,66,68,70,72,74,76,78,80,85,90,95,100})</f>
        <v>100</v>
      </c>
      <c r="K38" s="45">
        <f t="shared" si="21"/>
        <v>0</v>
      </c>
      <c r="L38" s="40">
        <f>LOOKUP(K38,{0,2,4,6,7,8,9,10,11,12,13},{0,1,2,3,4,5,6,7,8,9,10})</f>
        <v>0</v>
      </c>
      <c r="M38" s="7">
        <f t="shared" si="15"/>
        <v>100</v>
      </c>
      <c r="N38" s="6">
        <v>8.4</v>
      </c>
      <c r="O38" s="43">
        <f t="shared" si="16"/>
        <v>4.6</v>
      </c>
      <c r="P38" s="40">
        <f>LOOKUP(O38,{0,1.4,1.6,1.8,2,2.2,2.4,2.6,2.8,3,3.2,3.4,3.6,3.8,4,4.2,4.4,4.7,5,5.1,5.2},{0,10,20,30,40,50,60,62,64,66,68,70,72,74,76,78,80,85,90,95,100})</f>
        <v>80</v>
      </c>
      <c r="Q38" s="6">
        <v>3.14</v>
      </c>
      <c r="R38" s="6">
        <f t="shared" si="17"/>
        <v>6.86</v>
      </c>
      <c r="S38" s="40">
        <f>LOOKUP(R38,{0,4.7,4.8,4.9,5,5.5,5.6,5.65,5.7,5.75,5.8,5.85,5.9,5.95,6,6.45,6.5,6.57,6.64,6.7,6.76},{0,10,20,30,40,50,60,62,64,66,68,70,72,74,76,78,80,85,90,95,100})</f>
        <v>100</v>
      </c>
      <c r="T38" s="48">
        <f t="shared" si="18"/>
        <v>0.1</v>
      </c>
      <c r="U38" s="40">
        <f>LOOKUP(T38,{0,0.05,0.1,0.15,0.2,0.25,0.3,0.35,0.4,0.45,0.5},{0,1,2,3,4,5,6,7,8,9,10})</f>
        <v>2</v>
      </c>
      <c r="V38" s="7">
        <f t="shared" si="19"/>
        <v>102</v>
      </c>
      <c r="X38" s="7">
        <f t="shared" si="4"/>
        <v>62.5</v>
      </c>
      <c r="Y38" s="37">
        <f t="shared" si="20"/>
        <v>91.2857142857143</v>
      </c>
    </row>
    <row r="39" ht="15.6" hidden="1" outlineLevel="2" spans="1:25">
      <c r="A39" s="6">
        <v>101</v>
      </c>
      <c r="B39" s="6">
        <v>38</v>
      </c>
      <c r="C39" s="29" t="s">
        <v>54</v>
      </c>
      <c r="D39" s="29" t="s">
        <v>46</v>
      </c>
      <c r="E39" s="6">
        <v>18.1</v>
      </c>
      <c r="F39" s="40">
        <f>LOOKUP(E39,{0,0.4,1.2,2,2.8,3.6,4.4,5.7,7,8.3,9.6,10.9,12.2,13.5,14.8,16.1,17.4,19.1,20.8,22.5,24.2},{0,10,20,30,40,50,60,62,64,66,68,70,72,74,76,78,80,85,90,95,100})</f>
        <v>80</v>
      </c>
      <c r="G39" s="6">
        <v>190</v>
      </c>
      <c r="H39" s="40">
        <f>LOOKUP(G39,{0,123,128,133,138,143,148,151,154,157,160,163,166,169,172,175,178,185,192,198,204},{0,10,20,30,40,50,60,62,64,66,68,70,72,74,76,78,80,85,90,95,100})</f>
        <v>85</v>
      </c>
      <c r="I39" s="6">
        <v>52</v>
      </c>
      <c r="J39" s="40">
        <f>LOOKUP(I39,{0,13,15,17,19,21,23,25,27,29,31,33,35,37,39,41,43,46,49,51,53},{0,10,20,30,40,50,60,62,64,66,68,70,72,74,76,78,80,85,90,95,100})</f>
        <v>95</v>
      </c>
      <c r="K39" s="45"/>
      <c r="L39" s="45"/>
      <c r="M39" s="7">
        <f t="shared" si="15"/>
        <v>95</v>
      </c>
      <c r="N39" s="6">
        <v>8.3</v>
      </c>
      <c r="O39" s="43">
        <f t="shared" si="16"/>
        <v>4.7</v>
      </c>
      <c r="P39" s="40">
        <f>LOOKUP(O39,{0,1.4,1.6,1.8,2,2.2,2.4,2.6,2.8,3,3.2,3.4,3.6,3.8,4,4.2,4.4,4.7,5,5.1,5.2},{0,10,20,30,40,50,60,62,64,66,68,70,72,74,76,78,80,85,90,95,100})</f>
        <v>85</v>
      </c>
      <c r="Q39" s="6">
        <v>3.18</v>
      </c>
      <c r="R39" s="6">
        <f t="shared" si="17"/>
        <v>6.82</v>
      </c>
      <c r="S39" s="40">
        <f>LOOKUP(R39,{0,4.7,4.8,4.9,5,5.5,5.6,5.65,5.7,5.75,5.8,5.85,5.9,5.95,6,6.45,6.5,6.57,6.64,6.7,6.76},{0,10,20,30,40,50,60,62,64,66,68,70,72,74,76,78,80,85,90,95,100})</f>
        <v>100</v>
      </c>
      <c r="T39" s="48">
        <f t="shared" si="18"/>
        <v>0.0600000000000001</v>
      </c>
      <c r="U39" s="40">
        <f>LOOKUP(T39,{0,0.05,0.1,0.15,0.2,0.25,0.3,0.35,0.4,0.45,0.5},{0,1,2,3,4,5,6,7,8,9,10})</f>
        <v>1</v>
      </c>
      <c r="V39" s="7">
        <f t="shared" si="19"/>
        <v>101</v>
      </c>
      <c r="X39" s="7">
        <f t="shared" si="4"/>
        <v>63</v>
      </c>
      <c r="Y39" s="37">
        <f t="shared" si="20"/>
        <v>91</v>
      </c>
    </row>
    <row r="40" ht="15.6" hidden="1" outlineLevel="2" spans="1:25">
      <c r="A40" s="6">
        <v>101</v>
      </c>
      <c r="B40" s="6">
        <v>39</v>
      </c>
      <c r="C40" s="39" t="s">
        <v>56</v>
      </c>
      <c r="D40" s="29" t="s">
        <v>46</v>
      </c>
      <c r="E40" s="6">
        <v>15.5</v>
      </c>
      <c r="F40" s="40">
        <f>LOOKUP(E40,{0,0.4,1.2,2,2.8,3.6,4.4,5.7,7,8.3,9.6,10.9,12.2,13.5,14.8,16.1,17.4,19.1,20.8,22.5,24.2},{0,10,20,30,40,50,60,62,64,66,68,70,72,74,76,78,80,85,90,95,100})</f>
        <v>76</v>
      </c>
      <c r="G40" s="6">
        <v>210</v>
      </c>
      <c r="H40" s="40">
        <f>LOOKUP(G40,{0,123,128,133,138,143,148,151,154,157,160,163,166,169,172,175,178,185,192,198,204},{0,10,20,30,40,50,60,62,64,66,68,70,72,74,76,78,80,85,90,95,100})</f>
        <v>100</v>
      </c>
      <c r="I40" s="6">
        <v>53</v>
      </c>
      <c r="J40" s="40">
        <f>LOOKUP(I40,{0,13,15,17,19,21,23,25,27,29,31,33,35,37,39,41,43,46,49,51,53},{0,10,20,30,40,50,60,62,64,66,68,70,72,74,76,78,80,85,90,95,100})</f>
        <v>100</v>
      </c>
      <c r="K40" s="45">
        <f t="shared" si="21"/>
        <v>0</v>
      </c>
      <c r="L40" s="40">
        <f>LOOKUP(K40,{0,2,4,6,7,8,9,10,11,12,13},{0,1,2,3,4,5,6,7,8,9,10})</f>
        <v>0</v>
      </c>
      <c r="M40" s="7">
        <f t="shared" si="15"/>
        <v>100</v>
      </c>
      <c r="N40" s="6">
        <v>7.8</v>
      </c>
      <c r="O40" s="43">
        <f t="shared" si="16"/>
        <v>5.2</v>
      </c>
      <c r="P40" s="40">
        <f>LOOKUP(O40,{0,1.4,1.6,1.8,2,2.2,2.4,2.6,2.8,3,3.2,3.4,3.6,3.8,4,4.2,4.4,4.7,5,5.1,5.2},{0,10,20,30,40,50,60,62,64,66,68,70,72,74,76,78,80,85,90,95,100})</f>
        <v>100</v>
      </c>
      <c r="Q40" s="6">
        <v>3.16</v>
      </c>
      <c r="R40" s="6">
        <f t="shared" si="17"/>
        <v>6.84</v>
      </c>
      <c r="S40" s="40">
        <f>LOOKUP(R40,{0,4.7,4.8,4.9,5,5.5,5.6,5.65,5.7,5.75,5.8,5.85,5.9,5.95,6,6.45,6.5,6.57,6.64,6.7,6.76},{0,10,20,30,40,50,60,62,64,66,68,70,72,74,76,78,80,85,90,95,100})</f>
        <v>100</v>
      </c>
      <c r="T40" s="48">
        <f t="shared" si="18"/>
        <v>0.0800000000000001</v>
      </c>
      <c r="U40" s="40">
        <f>LOOKUP(T40,{0,0.05,0.1,0.15,0.2,0.25,0.3,0.35,0.4,0.45,0.5},{0,1,2,3,4,5,6,7,8,9,10})</f>
        <v>1</v>
      </c>
      <c r="V40" s="7">
        <f t="shared" si="19"/>
        <v>101</v>
      </c>
      <c r="X40" s="7">
        <f t="shared" si="4"/>
        <v>67.6</v>
      </c>
      <c r="Y40" s="37">
        <f t="shared" si="20"/>
        <v>97.5714285714286</v>
      </c>
    </row>
    <row r="41" ht="15.6" hidden="1" outlineLevel="2" spans="1:25">
      <c r="A41" s="6">
        <v>101</v>
      </c>
      <c r="B41" s="6">
        <v>40</v>
      </c>
      <c r="C41" s="29" t="s">
        <v>57</v>
      </c>
      <c r="D41" s="29" t="s">
        <v>46</v>
      </c>
      <c r="E41" s="6">
        <v>15.2</v>
      </c>
      <c r="F41" s="40">
        <f>LOOKUP(E41,{0,0.4,1.2,2,2.8,3.6,4.4,5.7,7,8.3,9.6,10.9,12.2,13.5,14.8,16.1,17.4,19.1,20.8,22.5,24.2},{0,10,20,30,40,50,60,62,64,66,68,70,72,74,76,78,80,85,90,95,100})</f>
        <v>76</v>
      </c>
      <c r="G41" s="6">
        <v>165</v>
      </c>
      <c r="H41" s="40">
        <f>LOOKUP(G41,{0,123,128,133,138,143,148,151,154,157,160,163,166,169,172,175,178,185,192,198,204},{0,10,20,30,40,50,60,62,64,66,68,70,72,74,76,78,80,85,90,95,100})</f>
        <v>70</v>
      </c>
      <c r="I41" s="6">
        <v>41</v>
      </c>
      <c r="J41" s="40">
        <f>LOOKUP(I41,{0,13,15,17,19,21,23,25,27,29,31,33,35,37,39,41,43,46,49,51,53},{0,10,20,30,40,50,60,62,64,66,68,70,72,74,76,78,80,85,90,95,100})</f>
        <v>78</v>
      </c>
      <c r="K41" s="45"/>
      <c r="L41" s="45"/>
      <c r="M41" s="7">
        <f t="shared" si="15"/>
        <v>78</v>
      </c>
      <c r="N41" s="6">
        <v>10.1</v>
      </c>
      <c r="O41" s="43">
        <f t="shared" si="16"/>
        <v>2.9</v>
      </c>
      <c r="P41" s="40">
        <f>LOOKUP(O41,{0,1.4,1.6,1.8,2,2.2,2.4,2.6,2.8,3,3.2,3.4,3.6,3.8,4,4.2,4.4,4.7,5,5.1,5.2},{0,10,20,30,40,50,60,62,64,66,68,70,72,74,76,78,80,85,90,95,100})</f>
        <v>64</v>
      </c>
      <c r="Q41" s="6">
        <v>4.32</v>
      </c>
      <c r="R41" s="6">
        <f t="shared" si="17"/>
        <v>5.68</v>
      </c>
      <c r="S41" s="40">
        <f>LOOKUP(R41,{0,4.7,4.8,4.9,5,5.5,5.6,5.65,5.7,5.75,5.8,5.85,5.9,5.95,6,6.45,6.5,6.57,6.64,6.7,6.76},{0,10,20,30,40,50,60,62,64,66,68,70,72,74,76,78,80,85,90,95,100})</f>
        <v>62</v>
      </c>
      <c r="T41" s="45"/>
      <c r="U41" s="45"/>
      <c r="V41" s="7">
        <f t="shared" si="19"/>
        <v>62</v>
      </c>
      <c r="X41" s="7">
        <f t="shared" si="4"/>
        <v>47.6</v>
      </c>
      <c r="Y41" s="37">
        <f t="shared" si="20"/>
        <v>68</v>
      </c>
    </row>
    <row r="42" ht="15.6" hidden="1" outlineLevel="2" spans="1:25">
      <c r="A42" s="6">
        <v>101</v>
      </c>
      <c r="B42" s="6">
        <v>41</v>
      </c>
      <c r="C42" s="29" t="s">
        <v>58</v>
      </c>
      <c r="D42" s="29" t="s">
        <v>46</v>
      </c>
      <c r="E42" s="6">
        <v>17</v>
      </c>
      <c r="F42" s="40">
        <f>LOOKUP(E42,{0,0.4,1.2,2,2.8,3.6,4.4,5.7,7,8.3,9.6,10.9,12.2,13.5,14.8,16.1,17.4,19.1,20.8,22.5,24.2},{0,10,20,30,40,50,60,62,64,66,68,70,72,74,76,78,80,85,90,95,100})</f>
        <v>78</v>
      </c>
      <c r="G42" s="6">
        <v>200</v>
      </c>
      <c r="H42" s="40">
        <f>LOOKUP(G42,{0,123,128,133,138,143,148,151,154,157,160,163,166,169,172,175,178,185,192,198,204},{0,10,20,30,40,50,60,62,64,66,68,70,72,74,76,78,80,85,90,95,100})</f>
        <v>95</v>
      </c>
      <c r="I42" s="6">
        <v>43</v>
      </c>
      <c r="J42" s="40">
        <f>LOOKUP(I42,{0,13,15,17,19,21,23,25,27,29,31,33,35,37,39,41,43,46,49,51,53},{0,10,20,30,40,50,60,62,64,66,68,70,72,74,76,78,80,85,90,95,100})</f>
        <v>80</v>
      </c>
      <c r="K42" s="45"/>
      <c r="L42" s="45"/>
      <c r="M42" s="7">
        <f t="shared" si="15"/>
        <v>80</v>
      </c>
      <c r="N42" s="6">
        <v>8</v>
      </c>
      <c r="O42" s="43">
        <f t="shared" si="16"/>
        <v>5</v>
      </c>
      <c r="P42" s="40">
        <f>LOOKUP(O42,{0,1.4,1.6,1.8,2,2.2,2.4,2.6,2.8,3,3.2,3.4,3.6,3.8,4,4.2,4.4,4.7,5,5.1,5.2},{0,10,20,30,40,50,60,62,64,66,68,70,72,74,76,78,80,85,90,95,100})</f>
        <v>90</v>
      </c>
      <c r="Q42" s="6">
        <v>3.29</v>
      </c>
      <c r="R42" s="6">
        <f t="shared" si="17"/>
        <v>6.71</v>
      </c>
      <c r="S42" s="40">
        <f>LOOKUP(R42,{0,4.7,4.8,4.9,5,5.5,5.6,5.65,5.7,5.75,5.8,5.85,5.9,5.95,6,6.45,6.5,6.57,6.64,6.7,6.76},{0,10,20,30,40,50,60,62,64,66,68,70,72,74,76,78,80,85,90,95,100})</f>
        <v>95</v>
      </c>
      <c r="T42" s="45"/>
      <c r="U42" s="45"/>
      <c r="V42" s="7">
        <f t="shared" si="19"/>
        <v>95</v>
      </c>
      <c r="X42" s="7">
        <f t="shared" si="4"/>
        <v>62.3</v>
      </c>
      <c r="Y42" s="37">
        <f t="shared" si="20"/>
        <v>89</v>
      </c>
    </row>
    <row r="43" ht="15.6" hidden="1" outlineLevel="2" spans="1:25">
      <c r="A43" s="6">
        <v>101</v>
      </c>
      <c r="B43" s="6">
        <v>42</v>
      </c>
      <c r="C43" s="29" t="s">
        <v>59</v>
      </c>
      <c r="D43" s="29" t="s">
        <v>46</v>
      </c>
      <c r="E43" s="6">
        <v>17</v>
      </c>
      <c r="F43" s="40">
        <f>LOOKUP(E43,{0,0.4,1.2,2,2.8,3.6,4.4,5.7,7,8.3,9.6,10.9,12.2,13.5,14.8,16.1,17.4,19.1,20.8,22.5,24.2},{0,10,20,30,40,50,60,62,64,66,68,70,72,74,76,78,80,85,90,95,100})</f>
        <v>78</v>
      </c>
      <c r="G43" s="6">
        <v>200</v>
      </c>
      <c r="H43" s="40">
        <f>LOOKUP(G43,{0,123,128,133,138,143,148,151,154,157,160,163,166,169,172,175,178,185,192,198,204},{0,10,20,30,40,50,60,62,64,66,68,70,72,74,76,78,80,85,90,95,100})</f>
        <v>95</v>
      </c>
      <c r="I43" s="6">
        <v>50</v>
      </c>
      <c r="J43" s="40">
        <f>LOOKUP(I43,{0,13,15,17,19,21,23,25,27,29,31,33,35,37,39,41,43,46,49,51,53},{0,10,20,30,40,50,60,62,64,66,68,70,72,74,76,78,80,85,90,95,100})</f>
        <v>90</v>
      </c>
      <c r="K43" s="45"/>
      <c r="L43" s="45"/>
      <c r="M43" s="7">
        <f t="shared" si="15"/>
        <v>90</v>
      </c>
      <c r="N43" s="6">
        <v>8.5</v>
      </c>
      <c r="O43" s="43">
        <f t="shared" si="16"/>
        <v>4.5</v>
      </c>
      <c r="P43" s="40">
        <f>LOOKUP(O43,{0,1.4,1.6,1.8,2,2.2,2.4,2.6,2.8,3,3.2,3.4,3.6,3.8,4,4.2,4.4,4.7,5,5.1,5.2},{0,10,20,30,40,50,60,62,64,66,68,70,72,74,76,78,80,85,90,95,100})</f>
        <v>80</v>
      </c>
      <c r="Q43" s="6">
        <v>3.19</v>
      </c>
      <c r="R43" s="6">
        <f t="shared" si="17"/>
        <v>6.81</v>
      </c>
      <c r="S43" s="40">
        <f>LOOKUP(R43,{0,4.7,4.8,4.9,5,5.5,5.6,5.65,5.7,5.75,5.8,5.85,5.9,5.95,6,6.45,6.5,6.57,6.64,6.7,6.76},{0,10,20,30,40,50,60,62,64,66,68,70,72,74,76,78,80,85,90,95,100})</f>
        <v>100</v>
      </c>
      <c r="T43" s="48">
        <f t="shared" ref="T43:T45" si="22">3.24-Q43</f>
        <v>0.0500000000000003</v>
      </c>
      <c r="U43" s="40">
        <f>LOOKUP(T43,{0,0.05,0.1,0.15,0.2,0.25,0.3,0.35,0.4,0.45,0.5},{0,1,2,3,4,5,6,7,8,9,10})</f>
        <v>1</v>
      </c>
      <c r="V43" s="7">
        <f t="shared" si="19"/>
        <v>101</v>
      </c>
      <c r="X43" s="7">
        <f t="shared" si="4"/>
        <v>62.3</v>
      </c>
      <c r="Y43" s="37">
        <f t="shared" si="20"/>
        <v>90</v>
      </c>
    </row>
    <row r="44" ht="15.6" hidden="1" outlineLevel="2" spans="1:25">
      <c r="A44" s="6">
        <v>101</v>
      </c>
      <c r="B44" s="6">
        <v>43</v>
      </c>
      <c r="C44" s="29" t="s">
        <v>60</v>
      </c>
      <c r="D44" s="29" t="s">
        <v>46</v>
      </c>
      <c r="E44" s="6">
        <v>27.1</v>
      </c>
      <c r="F44" s="40">
        <f>LOOKUP(E44,{0,0.4,1.2,2,2.8,3.6,4.4,5.7,7,8.3,9.6,10.9,12.2,13.5,14.8,16.1,17.4,19.1,20.8,22.5,24.2},{0,10,20,30,40,50,60,62,64,66,68,70,72,74,76,78,80,85,90,95,100})</f>
        <v>100</v>
      </c>
      <c r="G44" s="6">
        <v>184</v>
      </c>
      <c r="H44" s="40">
        <f>LOOKUP(G44,{0,123,128,133,138,143,148,151,154,157,160,163,166,169,172,175,178,185,192,198,204},{0,10,20,30,40,50,60,62,64,66,68,70,72,74,76,78,80,85,90,95,100})</f>
        <v>80</v>
      </c>
      <c r="I44" s="6">
        <v>43</v>
      </c>
      <c r="J44" s="40">
        <f>LOOKUP(I44,{0,13,15,17,19,21,23,25,27,29,31,33,35,37,39,41,43,46,49,51,53},{0,10,20,30,40,50,60,62,64,66,68,70,72,74,76,78,80,85,90,95,100})</f>
        <v>80</v>
      </c>
      <c r="K44" s="45"/>
      <c r="L44" s="45"/>
      <c r="M44" s="7">
        <f t="shared" si="15"/>
        <v>80</v>
      </c>
      <c r="N44" s="6">
        <v>8.2</v>
      </c>
      <c r="O44" s="43">
        <f t="shared" si="16"/>
        <v>4.8</v>
      </c>
      <c r="P44" s="40">
        <f>LOOKUP(O44,{0,1.4,1.6,1.8,2,2.2,2.4,2.6,2.8,3,3.2,3.4,3.6,3.8,4,4.2,4.4,4.7,5,5.1,5.2},{0,10,20,30,40,50,60,62,64,66,68,70,72,74,76,78,80,85,90,95,100})</f>
        <v>85</v>
      </c>
      <c r="Q44" s="6">
        <v>3.2</v>
      </c>
      <c r="R44" s="6">
        <f t="shared" si="17"/>
        <v>6.8</v>
      </c>
      <c r="S44" s="40">
        <f>LOOKUP(R44,{0,4.7,4.8,4.9,5,5.5,5.6,5.65,5.7,5.75,5.8,5.85,5.9,5.95,6,6.45,6.5,6.57,6.64,6.7,6.76},{0,10,20,30,40,50,60,62,64,66,68,70,72,74,76,78,80,85,90,95,100})</f>
        <v>100</v>
      </c>
      <c r="T44" s="48">
        <f t="shared" si="22"/>
        <v>0.04</v>
      </c>
      <c r="U44" s="40">
        <f>LOOKUP(T44,{0,0.05,0.1,0.15,0.2,0.25,0.3,0.35,0.4,0.45,0.5},{0,1,2,3,4,5,6,7,8,9,10})</f>
        <v>0</v>
      </c>
      <c r="V44" s="7">
        <f t="shared" si="19"/>
        <v>100</v>
      </c>
      <c r="X44" s="7">
        <f t="shared" si="4"/>
        <v>63</v>
      </c>
      <c r="Y44" s="37">
        <f t="shared" si="20"/>
        <v>90</v>
      </c>
    </row>
    <row r="45" ht="15.6" hidden="1" outlineLevel="2" spans="1:25">
      <c r="A45" s="6">
        <v>101</v>
      </c>
      <c r="B45" s="6">
        <v>44</v>
      </c>
      <c r="C45" s="29" t="s">
        <v>61</v>
      </c>
      <c r="D45" s="29" t="s">
        <v>46</v>
      </c>
      <c r="E45" s="6">
        <v>18.9</v>
      </c>
      <c r="F45" s="40">
        <f>LOOKUP(E45,{0,0.4,1.2,2,2.8,3.6,4.4,5.7,7,8.3,9.6,10.9,12.2,13.5,14.8,16.1,17.4,19.1,20.8,22.5,24.2},{0,10,20,30,40,50,60,62,64,66,68,70,72,74,76,78,80,85,90,95,100})</f>
        <v>80</v>
      </c>
      <c r="G45" s="6">
        <v>178</v>
      </c>
      <c r="H45" s="40">
        <f>LOOKUP(G45,{0,123,128,133,138,143,148,151,154,157,160,163,166,169,172,175,178,185,192,198,204},{0,10,20,30,40,50,60,62,64,66,68,70,72,74,76,78,80,85,90,95,100})</f>
        <v>80</v>
      </c>
      <c r="I45" s="6">
        <v>54</v>
      </c>
      <c r="J45" s="40">
        <f>LOOKUP(I45,{0,13,15,17,19,21,23,25,27,29,31,33,35,37,39,41,43,46,49,51,53},{0,10,20,30,40,50,60,62,64,66,68,70,72,74,76,78,80,85,90,95,100})</f>
        <v>100</v>
      </c>
      <c r="K45" s="45">
        <f>I45-53</f>
        <v>1</v>
      </c>
      <c r="L45" s="40">
        <f>LOOKUP(K45,{0,2,4,6,7,8,9,10,11,12,13},{0,1,2,3,4,5,6,7,8,9,10})</f>
        <v>0</v>
      </c>
      <c r="M45" s="7">
        <f t="shared" si="15"/>
        <v>100</v>
      </c>
      <c r="N45" s="6">
        <v>8.6</v>
      </c>
      <c r="O45" s="43">
        <f t="shared" si="16"/>
        <v>4.4</v>
      </c>
      <c r="P45" s="40">
        <f>LOOKUP(O45,{0,1.4,1.6,1.8,2,2.2,2.4,2.6,2.8,3,3.2,3.4,3.6,3.8,4,4.2,4.4,4.7,5,5.1,5.2},{0,10,20,30,40,50,60,62,64,66,68,70,72,74,76,78,80,85,90,95,100})</f>
        <v>80</v>
      </c>
      <c r="Q45" s="6">
        <v>3.19</v>
      </c>
      <c r="R45" s="6">
        <f t="shared" si="17"/>
        <v>6.81</v>
      </c>
      <c r="S45" s="40">
        <f>LOOKUP(R45,{0,4.7,4.8,4.9,5,5.5,5.6,5.65,5.7,5.75,5.8,5.85,5.9,5.95,6,6.45,6.5,6.57,6.64,6.7,6.76},{0,10,20,30,40,50,60,62,64,66,68,70,72,74,76,78,80,85,90,95,100})</f>
        <v>100</v>
      </c>
      <c r="T45" s="48">
        <f t="shared" si="22"/>
        <v>0.0500000000000003</v>
      </c>
      <c r="U45" s="40">
        <f>LOOKUP(T45,{0,0.05,0.1,0.15,0.2,0.25,0.3,0.35,0.4,0.45,0.5},{0,1,2,3,4,5,6,7,8,9,10})</f>
        <v>1</v>
      </c>
      <c r="V45" s="7">
        <f t="shared" si="19"/>
        <v>101</v>
      </c>
      <c r="X45" s="7">
        <f t="shared" si="4"/>
        <v>62</v>
      </c>
      <c r="Y45" s="37">
        <f t="shared" si="20"/>
        <v>89.5714285714286</v>
      </c>
    </row>
    <row r="46" ht="15.6" hidden="1" outlineLevel="2" spans="1:25">
      <c r="A46" s="6">
        <v>101</v>
      </c>
      <c r="B46" s="6">
        <v>45</v>
      </c>
      <c r="C46" s="29" t="s">
        <v>62</v>
      </c>
      <c r="D46" s="29" t="s">
        <v>46</v>
      </c>
      <c r="E46" s="6">
        <v>17.5</v>
      </c>
      <c r="F46" s="40">
        <f>LOOKUP(E46,{0,0.4,1.2,2,2.8,3.6,4.4,5.7,7,8.3,9.6,10.9,12.2,13.5,14.8,16.1,17.4,19.1,20.8,22.5,24.2},{0,10,20,30,40,50,60,62,64,66,68,70,72,74,76,78,80,85,90,95,100})</f>
        <v>80</v>
      </c>
      <c r="G46" s="6">
        <v>185</v>
      </c>
      <c r="H46" s="40">
        <f>LOOKUP(G46,{0,123,128,133,138,143,148,151,154,157,160,163,166,169,172,175,178,185,192,198,204},{0,10,20,30,40,50,60,62,64,66,68,70,72,74,76,78,80,85,90,95,100})</f>
        <v>85</v>
      </c>
      <c r="I46" s="6">
        <v>52</v>
      </c>
      <c r="J46" s="40">
        <f>LOOKUP(I46,{0,13,15,17,19,21,23,25,27,29,31,33,35,37,39,41,43,46,49,51,53},{0,10,20,30,40,50,60,62,64,66,68,70,72,74,76,78,80,85,90,95,100})</f>
        <v>95</v>
      </c>
      <c r="K46" s="45"/>
      <c r="L46" s="45"/>
      <c r="M46" s="7">
        <f t="shared" si="15"/>
        <v>95</v>
      </c>
      <c r="N46" s="6">
        <v>8.7</v>
      </c>
      <c r="O46" s="43">
        <f t="shared" si="16"/>
        <v>4.3</v>
      </c>
      <c r="P46" s="40">
        <f>LOOKUP(O46,{0,1.4,1.6,1.8,2,2.2,2.4,2.6,2.8,3,3.2,3.4,3.6,3.8,4,4.2,4.4,4.7,5,5.1,5.2},{0,10,20,30,40,50,60,62,64,66,68,70,72,74,76,78,80,85,90,95,100})</f>
        <v>78</v>
      </c>
      <c r="Q46" s="6">
        <v>3.31</v>
      </c>
      <c r="R46" s="6">
        <f t="shared" si="17"/>
        <v>6.69</v>
      </c>
      <c r="S46" s="40">
        <f>LOOKUP(R46,{0,4.7,4.8,4.9,5,5.5,5.6,5.65,5.7,5.75,5.8,5.85,5.9,5.95,6,6.45,6.5,6.57,6.64,6.7,6.76},{0,10,20,30,40,50,60,62,64,66,68,70,72,74,76,78,80,85,90,95,100})</f>
        <v>90</v>
      </c>
      <c r="T46" s="45"/>
      <c r="U46" s="45"/>
      <c r="V46" s="7">
        <f t="shared" si="19"/>
        <v>90</v>
      </c>
      <c r="X46" s="7">
        <f t="shared" si="4"/>
        <v>59.6</v>
      </c>
      <c r="Y46" s="37">
        <f t="shared" si="20"/>
        <v>85.1428571428572</v>
      </c>
    </row>
    <row r="47" s="3" customFormat="1" ht="15.6" hidden="1" outlineLevel="2" spans="1:25">
      <c r="A47" s="6">
        <v>101</v>
      </c>
      <c r="B47" s="6">
        <v>46</v>
      </c>
      <c r="C47" s="29" t="s">
        <v>63</v>
      </c>
      <c r="D47" s="29" t="s">
        <v>46</v>
      </c>
      <c r="E47" s="6">
        <v>21.1</v>
      </c>
      <c r="F47" s="40">
        <f>LOOKUP(E47,{0,0.4,1.2,2,2.8,3.6,4.4,5.7,7,8.3,9.6,10.9,12.2,13.5,14.8,16.1,17.4,19.1,20.8,22.5,24.2},{0,10,20,30,40,50,60,62,64,66,68,70,72,74,76,78,80,85,90,95,100})</f>
        <v>90</v>
      </c>
      <c r="G47" s="6">
        <v>173</v>
      </c>
      <c r="H47" s="40">
        <f>LOOKUP(G47,{0,123,128,133,138,143,148,151,154,157,160,163,166,169,172,175,178,185,192,198,204},{0,10,20,30,40,50,60,62,64,66,68,70,72,74,76,78,80,85,90,95,100})</f>
        <v>76</v>
      </c>
      <c r="I47" s="6">
        <v>42</v>
      </c>
      <c r="J47" s="40">
        <f>LOOKUP(I47,{0,13,15,17,19,21,23,25,27,29,31,33,35,37,39,41,43,46,49,51,53},{0,10,20,30,40,50,60,62,64,66,68,70,72,74,76,78,80,85,90,95,100})</f>
        <v>78</v>
      </c>
      <c r="K47" s="45"/>
      <c r="L47" s="45"/>
      <c r="M47" s="7">
        <f t="shared" si="15"/>
        <v>78</v>
      </c>
      <c r="N47" s="6">
        <v>8.3</v>
      </c>
      <c r="O47" s="43">
        <f t="shared" si="16"/>
        <v>4.7</v>
      </c>
      <c r="P47" s="40">
        <f>LOOKUP(O47,{0,1.4,1.6,1.8,2,2.2,2.4,2.6,2.8,3,3.2,3.4,3.6,3.8,4,4.2,4.4,4.7,5,5.1,5.2},{0,10,20,30,40,50,60,62,64,66,68,70,72,74,76,78,80,85,90,95,100})</f>
        <v>85</v>
      </c>
      <c r="Q47" s="6">
        <v>4.01</v>
      </c>
      <c r="R47" s="6">
        <f t="shared" si="17"/>
        <v>5.99</v>
      </c>
      <c r="S47" s="40">
        <f>LOOKUP(R47,{0,4.7,4.8,4.9,5,5.5,5.6,5.65,5.7,5.75,5.8,5.85,5.9,5.95,6,6.45,6.5,6.57,6.64,6.7,6.76},{0,10,20,30,40,50,60,62,64,66,68,70,72,74,76,78,80,85,90,95,100})</f>
        <v>74</v>
      </c>
      <c r="T47" s="45"/>
      <c r="U47" s="45"/>
      <c r="V47" s="7">
        <f t="shared" si="19"/>
        <v>74</v>
      </c>
      <c r="W47" s="6"/>
      <c r="X47" s="7">
        <f t="shared" si="4"/>
        <v>56.2</v>
      </c>
      <c r="Y47" s="37">
        <f t="shared" si="20"/>
        <v>80.2857142857143</v>
      </c>
    </row>
    <row r="48" s="3" customFormat="1" ht="15.6" outlineLevel="1" collapsed="1" spans="1:25">
      <c r="A48" s="42" t="s">
        <v>842</v>
      </c>
      <c r="B48" s="6"/>
      <c r="C48" s="29"/>
      <c r="D48" s="29"/>
      <c r="E48" s="6"/>
      <c r="F48" s="1">
        <f>SUBTOTAL(1,F2:F47)</f>
        <v>76</v>
      </c>
      <c r="G48" s="6"/>
      <c r="H48" s="1">
        <f>SUBTOTAL(1,H2:H47)</f>
        <v>82.4666666666667</v>
      </c>
      <c r="I48" s="6"/>
      <c r="J48" s="1">
        <f>SUBTOTAL(1,J2:J47)</f>
        <v>75.0666666666667</v>
      </c>
      <c r="K48" s="45"/>
      <c r="L48" s="45"/>
      <c r="M48" s="21">
        <f>SUBTOTAL(1,M2:M47)</f>
        <v>76.4444444444444</v>
      </c>
      <c r="N48" s="6"/>
      <c r="O48" s="43"/>
      <c r="P48" s="1">
        <f>SUBTOTAL(1,P2:P47)</f>
        <v>87.8205128205128</v>
      </c>
      <c r="Q48" s="6"/>
      <c r="R48" s="6"/>
      <c r="S48" s="1">
        <f>SUBTOTAL(1,S2:S47)</f>
        <v>87.1136363636364</v>
      </c>
      <c r="T48" s="45"/>
      <c r="U48" s="45"/>
      <c r="V48" s="21">
        <f>SUBTOTAL(1,V2:V47)</f>
        <v>87.6363636363636</v>
      </c>
      <c r="W48" s="6"/>
      <c r="X48" s="21">
        <f>SUBTOTAL(1,X2:X47)</f>
        <v>54.4021739130435</v>
      </c>
      <c r="Y48" s="37">
        <f>SUBTOTAL(1,Y2:Y47)</f>
        <v>80.6521739130435</v>
      </c>
    </row>
    <row r="49" ht="15.6" hidden="1" outlineLevel="2" spans="1:25">
      <c r="A49" s="6">
        <v>102</v>
      </c>
      <c r="B49" s="6">
        <v>1</v>
      </c>
      <c r="C49" s="39" t="s">
        <v>65</v>
      </c>
      <c r="D49" s="29" t="s">
        <v>11</v>
      </c>
      <c r="E49" s="6">
        <v>12.1</v>
      </c>
      <c r="F49" s="1">
        <f>LOOKUP(E49,{0,-4,-3,-2,-1,0,1,2.4,3.8,5.2,6.6,8,9.4,10.8,12.2,13.6,15,17.2,19.4,21.5,23.6},{0,10,20,30,40,50,60,62,64,66,68,70,72,74,76,78,80,85,90,95,100})</f>
        <v>74</v>
      </c>
      <c r="G49" s="6">
        <v>241</v>
      </c>
      <c r="H49" s="1">
        <f>LOOKUP(G49,{0,170,175,180,185,190,195,199,203,207,211,215,219,223,227,231,235,243,250,255,260},{0,10,20,30,40,50,60,62,64,66,68,70,72,74,76,78,80,85,90,95,100})</f>
        <v>80</v>
      </c>
      <c r="I49" s="6">
        <v>3</v>
      </c>
      <c r="J49" s="1">
        <f>LOOKUP(I49,{0,2,3,4,5,6,7,8,9,10,11,12,13,14,15,16},{0,10,20,30,40,50,60,64,68,72,76,80,85,90,95,100})</f>
        <v>20</v>
      </c>
      <c r="K49" s="7"/>
      <c r="L49" s="7"/>
      <c r="M49" s="21">
        <f t="shared" ref="M49:M65" si="23">J49+L49</f>
        <v>20</v>
      </c>
      <c r="O49" s="43"/>
      <c r="P49" s="1"/>
      <c r="Q49" s="6">
        <v>3.31</v>
      </c>
      <c r="R49" s="6">
        <f t="shared" ref="R49:R65" si="24">10-Q49</f>
        <v>6.69</v>
      </c>
      <c r="S49" s="1">
        <f>LOOKUP(R49,{0,3.75,3.95,4.55,4.75,4.95,5.55,5.6,5.65,5.7,5.75,5.8,5.85,5.9,5.95,6,6.45,6.53,6.6,6.65,6.7},{0,10,20,30,40,50,60,62,64,66,68,70,72,74,76,78,80,85,90,95,100})</f>
        <v>95</v>
      </c>
      <c r="T49" s="7"/>
      <c r="U49" s="7"/>
      <c r="V49" s="21">
        <f t="shared" ref="V49:V65" si="25">S49+U49</f>
        <v>95</v>
      </c>
      <c r="X49" s="21">
        <f t="shared" ref="X49:X94" si="26">F49*0.1+H49*0.1+J49*0.1+P49*0.2+S49*0.2</f>
        <v>36.4</v>
      </c>
      <c r="Y49" s="37">
        <f t="shared" ref="Y49:Y65" si="27">X49/0.7+L49+U49</f>
        <v>52</v>
      </c>
    </row>
    <row r="50" ht="15.6" hidden="1" outlineLevel="2" spans="1:25">
      <c r="A50" s="6">
        <v>102</v>
      </c>
      <c r="B50" s="6">
        <v>2</v>
      </c>
      <c r="C50" s="29" t="s">
        <v>66</v>
      </c>
      <c r="D50" s="29" t="s">
        <v>11</v>
      </c>
      <c r="E50" s="6">
        <v>6.4</v>
      </c>
      <c r="F50" s="1">
        <f>LOOKUP(E50,{0,-4,-3,-2,-1,0,1,2.4,3.8,5.2,6.6,8,9.4,10.8,12.2,13.6,15,17.2,19.4,21.5,23.6},{0,10,20,30,40,50,60,62,64,66,68,70,72,74,76,78,80,85,90,95,100})</f>
        <v>66</v>
      </c>
      <c r="G50" s="6">
        <v>168</v>
      </c>
      <c r="H50" s="1">
        <f>LOOKUP(G50,{0,170,175,180,185,190,195,199,203,207,211,215,219,223,227,231,235,243,250,255,260},{0,10,20,30,40,50,60,62,64,66,68,70,72,74,76,78,80,85,90,95,100})</f>
        <v>0</v>
      </c>
      <c r="I50" s="6">
        <v>5</v>
      </c>
      <c r="J50" s="1">
        <f>LOOKUP(I50,{0,2,3,4,5,6,7,8,9,10,11,12,13,14,15,16},{0,10,20,30,40,50,60,64,68,72,76,80,85,90,95,100})</f>
        <v>40</v>
      </c>
      <c r="K50" s="7"/>
      <c r="L50" s="7"/>
      <c r="M50" s="21">
        <f t="shared" si="23"/>
        <v>40</v>
      </c>
      <c r="N50" s="6">
        <v>6.8</v>
      </c>
      <c r="O50" s="43">
        <f t="shared" ref="O50:O52" si="28">13-N50</f>
        <v>6.2</v>
      </c>
      <c r="P50" s="1">
        <f>LOOKUP(O50,{0,2.5,2.7,2.9,3.1,3.3,3.5,3.7,3.9,4.1,4.3,4.5,4.7,4.9,5.1,5.3,5.5,5.6,5.7,5.8,5.9},{0,10,20,30,40,50,60,62,64,66,68,70,72,74,76,78,80,85,90,95,100})</f>
        <v>100</v>
      </c>
      <c r="Q50" s="6">
        <v>3.5</v>
      </c>
      <c r="R50" s="6">
        <f t="shared" si="24"/>
        <v>6.5</v>
      </c>
      <c r="S50" s="1">
        <f>LOOKUP(R50,{0,3.75,3.95,4.55,4.75,4.95,5.55,5.6,5.65,5.7,5.75,5.8,5.85,5.9,5.95,6,6.45,6.53,6.6,6.65,6.7},{0,10,20,30,40,50,60,62,64,66,68,70,72,74,76,78,80,85,90,95,100})</f>
        <v>80</v>
      </c>
      <c r="T50" s="7"/>
      <c r="U50" s="7"/>
      <c r="V50" s="21">
        <f t="shared" si="25"/>
        <v>80</v>
      </c>
      <c r="X50" s="21">
        <f t="shared" si="26"/>
        <v>46.6</v>
      </c>
      <c r="Y50" s="37">
        <f t="shared" si="27"/>
        <v>66.5714285714286</v>
      </c>
    </row>
    <row r="51" ht="15.6" hidden="1" outlineLevel="2" spans="1:25">
      <c r="A51" s="6">
        <v>102</v>
      </c>
      <c r="B51" s="6">
        <v>3</v>
      </c>
      <c r="C51" s="29" t="s">
        <v>67</v>
      </c>
      <c r="D51" s="29" t="s">
        <v>11</v>
      </c>
      <c r="E51" s="6">
        <v>8.3</v>
      </c>
      <c r="F51" s="1">
        <f>LOOKUP(E51,{0,-4,-3,-2,-1,0,1,2.4,3.8,5.2,6.6,8,9.4,10.8,12.2,13.6,15,17.2,19.4,21.5,23.6},{0,10,20,30,40,50,60,62,64,66,68,70,72,74,76,78,80,85,90,95,100})</f>
        <v>70</v>
      </c>
      <c r="G51" s="6">
        <v>257</v>
      </c>
      <c r="H51" s="1">
        <f>LOOKUP(G51,{0,170,175,180,185,190,195,199,203,207,211,215,219,223,227,231,235,243,250,255,260},{0,10,20,30,40,50,60,62,64,66,68,70,72,74,76,78,80,85,90,95,100})</f>
        <v>95</v>
      </c>
      <c r="I51" s="6">
        <v>3</v>
      </c>
      <c r="J51" s="1">
        <f>LOOKUP(I51,{0,2,3,4,5,6,7,8,9,10,11,12,13,14,15,16},{0,10,20,30,40,50,60,64,68,72,76,80,85,90,95,100})</f>
        <v>20</v>
      </c>
      <c r="K51" s="7"/>
      <c r="L51" s="7"/>
      <c r="M51" s="21">
        <f t="shared" si="23"/>
        <v>20</v>
      </c>
      <c r="N51" s="6">
        <v>7.1</v>
      </c>
      <c r="O51" s="43">
        <f t="shared" si="28"/>
        <v>5.9</v>
      </c>
      <c r="P51" s="1">
        <f>LOOKUP(O51,{0,2.5,2.7,2.9,3.1,3.3,3.5,3.7,3.9,4.1,4.3,4.5,4.7,4.9,5.1,5.3,5.5,5.6,5.7,5.8,5.9},{0,10,20,30,40,50,60,62,64,66,68,70,72,74,76,78,80,85,90,95,100})</f>
        <v>100</v>
      </c>
      <c r="Q51" s="6">
        <v>3.46</v>
      </c>
      <c r="R51" s="6">
        <f t="shared" si="24"/>
        <v>6.54</v>
      </c>
      <c r="S51" s="1">
        <f>LOOKUP(R51,{0,3.75,3.95,4.55,4.75,4.95,5.55,5.6,5.65,5.7,5.75,5.8,5.85,5.9,5.95,6,6.45,6.53,6.6,6.65,6.7},{0,10,20,30,40,50,60,62,64,66,68,70,72,74,76,78,80,85,90,95,100})</f>
        <v>85</v>
      </c>
      <c r="T51" s="7"/>
      <c r="U51" s="7"/>
      <c r="V51" s="21">
        <f t="shared" si="25"/>
        <v>85</v>
      </c>
      <c r="X51" s="21">
        <f t="shared" si="26"/>
        <v>55.5</v>
      </c>
      <c r="Y51" s="37">
        <f t="shared" si="27"/>
        <v>79.2857142857143</v>
      </c>
    </row>
    <row r="52" ht="15.6" hidden="1" outlineLevel="2" spans="1:25">
      <c r="A52" s="6">
        <v>102</v>
      </c>
      <c r="B52" s="6">
        <v>4</v>
      </c>
      <c r="C52" s="29" t="s">
        <v>68</v>
      </c>
      <c r="D52" s="29" t="s">
        <v>11</v>
      </c>
      <c r="E52" s="6">
        <v>9.6</v>
      </c>
      <c r="F52" s="1">
        <f>LOOKUP(E52,{0,-4,-3,-2,-1,0,1,2.4,3.8,5.2,6.6,8,9.4,10.8,12.2,13.6,15,17.2,19.4,21.5,23.6},{0,10,20,30,40,50,60,62,64,66,68,70,72,74,76,78,80,85,90,95,100})</f>
        <v>72</v>
      </c>
      <c r="G52" s="6">
        <v>227</v>
      </c>
      <c r="H52" s="1">
        <f>LOOKUP(G52,{0,170,175,180,185,190,195,199,203,207,211,215,219,223,227,231,235,243,250,255,260},{0,10,20,30,40,50,60,62,64,66,68,70,72,74,76,78,80,85,90,95,100})</f>
        <v>76</v>
      </c>
      <c r="I52" s="6">
        <v>6</v>
      </c>
      <c r="J52" s="1">
        <f>LOOKUP(I52,{0,2,3,4,5,6,7,8,9,10,11,12,13,14,15,16},{0,10,20,30,40,50,60,64,68,72,76,80,85,90,95,100})</f>
        <v>50</v>
      </c>
      <c r="K52" s="7"/>
      <c r="L52" s="7"/>
      <c r="M52" s="21">
        <f t="shared" si="23"/>
        <v>50</v>
      </c>
      <c r="N52" s="6">
        <v>6.8</v>
      </c>
      <c r="O52" s="43">
        <f t="shared" si="28"/>
        <v>6.2</v>
      </c>
      <c r="P52" s="1">
        <f>LOOKUP(O52,{0,2.5,2.7,2.9,3.1,3.3,3.5,3.7,3.9,4.1,4.3,4.5,4.7,4.9,5.1,5.3,5.5,5.6,5.7,5.8,5.9},{0,10,20,30,40,50,60,62,64,66,68,70,72,74,76,78,80,85,90,95,100})</f>
        <v>100</v>
      </c>
      <c r="Q52" s="6">
        <v>3.2</v>
      </c>
      <c r="R52" s="6">
        <f t="shared" si="24"/>
        <v>6.8</v>
      </c>
      <c r="S52" s="1">
        <f>LOOKUP(R52,{0,3.75,3.95,4.55,4.75,4.95,5.55,5.6,5.65,5.7,5.75,5.8,5.85,5.9,5.95,6,6.45,6.53,6.6,6.65,6.7},{0,10,20,30,40,50,60,62,64,66,68,70,72,74,76,78,80,85,90,95,100})</f>
        <v>100</v>
      </c>
      <c r="T52" s="7">
        <f>3.3-Q52</f>
        <v>0.0999999999999996</v>
      </c>
      <c r="U52" s="40">
        <f>LOOKUP(T52,{0,0.04,0.08,0.12,0.16,0.2,0.23,0.26,0.29,0.32,0.35},{0,1,2,3,4,5,6,7,8,9,10})</f>
        <v>2</v>
      </c>
      <c r="V52" s="21">
        <f t="shared" si="25"/>
        <v>102</v>
      </c>
      <c r="X52" s="21">
        <f t="shared" si="26"/>
        <v>59.8</v>
      </c>
      <c r="Y52" s="37">
        <f t="shared" si="27"/>
        <v>87.4285714285714</v>
      </c>
    </row>
    <row r="53" ht="15.6" hidden="1" outlineLevel="2" spans="1:25">
      <c r="A53" s="6">
        <v>102</v>
      </c>
      <c r="B53" s="6">
        <v>5</v>
      </c>
      <c r="C53" s="29" t="s">
        <v>69</v>
      </c>
      <c r="D53" s="29" t="s">
        <v>11</v>
      </c>
      <c r="E53" s="6">
        <v>-4.5</v>
      </c>
      <c r="F53" s="1">
        <v>0</v>
      </c>
      <c r="G53" s="6">
        <v>251</v>
      </c>
      <c r="H53" s="1">
        <f>LOOKUP(G53,{0,170,175,180,185,190,195,199,203,207,211,215,219,223,227,231,235,243,250,255,260},{0,10,20,30,40,50,60,62,64,66,68,70,72,74,76,78,80,85,90,95,100})</f>
        <v>90</v>
      </c>
      <c r="I53" s="6">
        <v>24</v>
      </c>
      <c r="J53" s="1">
        <f>LOOKUP(I53,{0,2,3,4,5,6,7,8,9,10,11,12,13,14,15,16},{0,10,20,30,40,50,60,64,68,72,76,80,85,90,95,100})</f>
        <v>100</v>
      </c>
      <c r="K53" s="7">
        <f t="shared" ref="K53:K56" si="29">I53-16</f>
        <v>8</v>
      </c>
      <c r="L53" s="40">
        <f>LOOKUP(K53,{0,1,2,3,4,5,6,7,8,9,10},{0,1,2,3,4,5,6,7,8,9,10})</f>
        <v>8</v>
      </c>
      <c r="M53" s="21">
        <f t="shared" si="23"/>
        <v>108</v>
      </c>
      <c r="O53" s="43"/>
      <c r="P53" s="1"/>
      <c r="Q53" s="6">
        <v>3.3</v>
      </c>
      <c r="R53" s="6">
        <f t="shared" si="24"/>
        <v>6.7</v>
      </c>
      <c r="S53" s="1">
        <f>LOOKUP(R53,{0,3.75,3.95,4.55,4.75,4.95,5.55,5.6,5.65,5.7,5.75,5.8,5.85,5.9,5.95,6,6.45,6.53,6.6,6.65,6.7},{0,10,20,30,40,50,60,62,64,66,68,70,72,74,76,78,80,85,90,95,100})</f>
        <v>100</v>
      </c>
      <c r="T53" s="7">
        <f>3.3-Q53</f>
        <v>0</v>
      </c>
      <c r="U53" s="40">
        <f>LOOKUP(T53,{0,0.04,0.08,0.12,0.16,0.2,0.23,0.26,0.29,0.32,0.35},{0,1,2,3,4,5,6,7,8,9,10})</f>
        <v>0</v>
      </c>
      <c r="V53" s="21">
        <f t="shared" si="25"/>
        <v>100</v>
      </c>
      <c r="X53" s="21">
        <f t="shared" si="26"/>
        <v>39</v>
      </c>
      <c r="Y53" s="37">
        <f t="shared" si="27"/>
        <v>63.7142857142857</v>
      </c>
    </row>
    <row r="54" ht="15.6" hidden="1" outlineLevel="2" spans="1:25">
      <c r="A54" s="6">
        <v>102</v>
      </c>
      <c r="B54" s="6">
        <v>6</v>
      </c>
      <c r="C54" s="29" t="s">
        <v>70</v>
      </c>
      <c r="D54" s="29" t="s">
        <v>11</v>
      </c>
      <c r="E54" s="6">
        <v>5.6</v>
      </c>
      <c r="F54" s="1">
        <f>LOOKUP(E54,{0,-4,-3,-2,-1,0,1,2.4,3.8,5.2,6.6,8,9.4,10.8,12.2,13.6,15,17.2,19.4,21.5,23.6},{0,10,20,30,40,50,60,62,64,66,68,70,72,74,76,78,80,85,90,95,100})</f>
        <v>66</v>
      </c>
      <c r="G54" s="6">
        <v>251</v>
      </c>
      <c r="H54" s="1">
        <f>LOOKUP(G54,{0,170,175,180,185,190,195,199,203,207,211,215,219,223,227,231,235,243,250,255,260},{0,10,20,30,40,50,60,62,64,66,68,70,72,74,76,78,80,85,90,95,100})</f>
        <v>90</v>
      </c>
      <c r="I54" s="6">
        <v>21</v>
      </c>
      <c r="J54" s="1">
        <f>LOOKUP(I54,{0,2,3,4,5,6,7,8,9,10,11,12,13,14,15,16},{0,10,20,30,40,50,60,64,68,72,76,80,85,90,95,100})</f>
        <v>100</v>
      </c>
      <c r="K54" s="7">
        <f t="shared" si="29"/>
        <v>5</v>
      </c>
      <c r="L54" s="40">
        <f>LOOKUP(K54,{0,1,2,3,4,5,6,7,8,9,10},{0,1,2,3,4,5,6,7,8,9,10})</f>
        <v>5</v>
      </c>
      <c r="M54" s="21">
        <f t="shared" si="23"/>
        <v>105</v>
      </c>
      <c r="N54" s="6">
        <v>6.7</v>
      </c>
      <c r="O54" s="43">
        <f t="shared" ref="O54:O65" si="30">13-N54</f>
        <v>6.3</v>
      </c>
      <c r="P54" s="1">
        <f>LOOKUP(O54,{0,2.5,2.7,2.9,3.1,3.3,3.5,3.7,3.9,4.1,4.3,4.5,4.7,4.9,5.1,5.3,5.5,5.6,5.7,5.8,5.9},{0,10,20,30,40,50,60,62,64,66,68,70,72,74,76,78,80,85,90,95,100})</f>
        <v>100</v>
      </c>
      <c r="Q54" s="6">
        <v>3.38</v>
      </c>
      <c r="R54" s="6">
        <f t="shared" si="24"/>
        <v>6.62</v>
      </c>
      <c r="S54" s="1">
        <f>LOOKUP(R54,{0,3.75,3.95,4.55,4.75,4.95,5.55,5.6,5.65,5.7,5.75,5.8,5.85,5.9,5.95,6,6.45,6.53,6.6,6.65,6.7},{0,10,20,30,40,50,60,62,64,66,68,70,72,74,76,78,80,85,90,95,100})</f>
        <v>90</v>
      </c>
      <c r="T54" s="7"/>
      <c r="U54" s="7"/>
      <c r="V54" s="21">
        <f t="shared" si="25"/>
        <v>90</v>
      </c>
      <c r="X54" s="21">
        <f t="shared" si="26"/>
        <v>63.6</v>
      </c>
      <c r="Y54" s="37">
        <f t="shared" si="27"/>
        <v>95.8571428571429</v>
      </c>
    </row>
    <row r="55" ht="15.6" hidden="1" outlineLevel="2" spans="1:25">
      <c r="A55" s="6">
        <v>102</v>
      </c>
      <c r="B55" s="6">
        <v>7</v>
      </c>
      <c r="C55" s="29" t="s">
        <v>71</v>
      </c>
      <c r="D55" s="29" t="s">
        <v>11</v>
      </c>
      <c r="E55" s="6">
        <v>7.1</v>
      </c>
      <c r="F55" s="1">
        <f>LOOKUP(E55,{0,-4,-3,-2,-1,0,1,2.4,3.8,5.2,6.6,8,9.4,10.8,12.2,13.6,15,17.2,19.4,21.5,23.6},{0,10,20,30,40,50,60,62,64,66,68,70,72,74,76,78,80,85,90,95,100})</f>
        <v>68</v>
      </c>
      <c r="G55" s="6">
        <v>205</v>
      </c>
      <c r="H55" s="1">
        <f>LOOKUP(G55,{0,170,175,180,185,190,195,199,203,207,211,215,219,223,227,231,235,243,250,255,260},{0,10,20,30,40,50,60,62,64,66,68,70,72,74,76,78,80,85,90,95,100})</f>
        <v>64</v>
      </c>
      <c r="I55" s="6">
        <v>5</v>
      </c>
      <c r="J55" s="1">
        <f>LOOKUP(I55,{0,2,3,4,5,6,7,8,9,10,11,12,13,14,15,16},{0,10,20,30,40,50,60,64,68,72,76,80,85,90,95,100})</f>
        <v>40</v>
      </c>
      <c r="K55" s="7"/>
      <c r="L55" s="7"/>
      <c r="M55" s="21">
        <f t="shared" si="23"/>
        <v>40</v>
      </c>
      <c r="N55" s="6">
        <v>7.1</v>
      </c>
      <c r="O55" s="43">
        <f t="shared" si="30"/>
        <v>5.9</v>
      </c>
      <c r="P55" s="1">
        <f>LOOKUP(O55,{0,2.5,2.7,2.9,3.1,3.3,3.5,3.7,3.9,4.1,4.3,4.5,4.7,4.9,5.1,5.3,5.5,5.6,5.7,5.8,5.9},{0,10,20,30,40,50,60,62,64,66,68,70,72,74,76,78,80,85,90,95,100})</f>
        <v>100</v>
      </c>
      <c r="Q55" s="6">
        <v>3.36</v>
      </c>
      <c r="R55" s="6">
        <f t="shared" si="24"/>
        <v>6.64</v>
      </c>
      <c r="S55" s="1">
        <f>LOOKUP(R55,{0,3.75,3.95,4.55,4.75,4.95,5.55,5.6,5.65,5.7,5.75,5.8,5.85,5.9,5.95,6,6.45,6.53,6.6,6.65,6.7},{0,10,20,30,40,50,60,62,64,66,68,70,72,74,76,78,80,85,90,95,100})</f>
        <v>90</v>
      </c>
      <c r="T55" s="7"/>
      <c r="U55" s="7"/>
      <c r="V55" s="21">
        <f t="shared" si="25"/>
        <v>90</v>
      </c>
      <c r="X55" s="21">
        <f t="shared" si="26"/>
        <v>55.2</v>
      </c>
      <c r="Y55" s="37">
        <f t="shared" si="27"/>
        <v>78.8571428571429</v>
      </c>
    </row>
    <row r="56" ht="15.6" hidden="1" outlineLevel="2" spans="1:25">
      <c r="A56" s="6">
        <v>102</v>
      </c>
      <c r="B56" s="6">
        <v>8</v>
      </c>
      <c r="C56" s="29" t="s">
        <v>72</v>
      </c>
      <c r="D56" s="29" t="s">
        <v>11</v>
      </c>
      <c r="E56" s="6">
        <v>8.6</v>
      </c>
      <c r="F56" s="1">
        <f>LOOKUP(E56,{0,-4,-3,-2,-1,0,1,2.4,3.8,5.2,6.6,8,9.4,10.8,12.2,13.6,15,17.2,19.4,21.5,23.6},{0,10,20,30,40,50,60,62,64,66,68,70,72,74,76,78,80,85,90,95,100})</f>
        <v>70</v>
      </c>
      <c r="G56" s="6">
        <v>247</v>
      </c>
      <c r="H56" s="1">
        <f>LOOKUP(G56,{0,170,175,180,185,190,195,199,203,207,211,215,219,223,227,231,235,243,250,255,260},{0,10,20,30,40,50,60,62,64,66,68,70,72,74,76,78,80,85,90,95,100})</f>
        <v>85</v>
      </c>
      <c r="I56" s="6">
        <v>21</v>
      </c>
      <c r="J56" s="1">
        <f>LOOKUP(I56,{0,2,3,4,5,6,7,8,9,10,11,12,13,14,15,16},{0,10,20,30,40,50,60,64,68,72,76,80,85,90,95,100})</f>
        <v>100</v>
      </c>
      <c r="K56" s="7">
        <f t="shared" si="29"/>
        <v>5</v>
      </c>
      <c r="L56" s="40">
        <f>LOOKUP(K56,{0,1,2,3,4,5,6,7,8,9,10},{0,1,2,3,4,5,6,7,8,9,10})</f>
        <v>5</v>
      </c>
      <c r="M56" s="21">
        <f t="shared" si="23"/>
        <v>105</v>
      </c>
      <c r="N56" s="6">
        <v>6.8</v>
      </c>
      <c r="O56" s="43">
        <f t="shared" si="30"/>
        <v>6.2</v>
      </c>
      <c r="P56" s="1">
        <f>LOOKUP(O56,{0,2.5,2.7,2.9,3.1,3.3,3.5,3.7,3.9,4.1,4.3,4.5,4.7,4.9,5.1,5.3,5.5,5.6,5.7,5.8,5.9},{0,10,20,30,40,50,60,62,64,66,68,70,72,74,76,78,80,85,90,95,100})</f>
        <v>100</v>
      </c>
      <c r="Q56" s="6">
        <v>4.24</v>
      </c>
      <c r="R56" s="6">
        <f t="shared" si="24"/>
        <v>5.76</v>
      </c>
      <c r="S56" s="1">
        <f>LOOKUP(R56,{0,3.75,3.95,4.55,4.75,4.95,5.55,5.6,5.65,5.7,5.75,5.8,5.85,5.9,5.95,6,6.45,6.53,6.6,6.65,6.7},{0,10,20,30,40,50,60,62,64,66,68,70,72,74,76,78,80,85,90,95,100})</f>
        <v>68</v>
      </c>
      <c r="T56" s="7"/>
      <c r="U56" s="7"/>
      <c r="V56" s="21">
        <f t="shared" si="25"/>
        <v>68</v>
      </c>
      <c r="X56" s="21">
        <f t="shared" si="26"/>
        <v>59.1</v>
      </c>
      <c r="Y56" s="37">
        <f t="shared" si="27"/>
        <v>89.4285714285714</v>
      </c>
    </row>
    <row r="57" ht="15.6" hidden="1" outlineLevel="2" spans="1:25">
      <c r="A57" s="6">
        <v>102</v>
      </c>
      <c r="B57" s="6">
        <v>9</v>
      </c>
      <c r="C57" s="29" t="s">
        <v>73</v>
      </c>
      <c r="D57" s="29" t="s">
        <v>11</v>
      </c>
      <c r="E57" s="6">
        <v>10</v>
      </c>
      <c r="F57" s="1">
        <f>LOOKUP(E57,{0,-4,-3,-2,-1,0,1,2.4,3.8,5.2,6.6,8,9.4,10.8,12.2,13.6,15,17.2,19.4,21.5,23.6},{0,10,20,30,40,50,60,62,64,66,68,70,72,74,76,78,80,85,90,95,100})</f>
        <v>72</v>
      </c>
      <c r="G57" s="6">
        <v>231</v>
      </c>
      <c r="H57" s="1">
        <f>LOOKUP(G57,{0,170,175,180,185,190,195,199,203,207,211,215,219,223,227,231,235,243,250,255,260},{0,10,20,30,40,50,60,62,64,66,68,70,72,74,76,78,80,85,90,95,100})</f>
        <v>78</v>
      </c>
      <c r="I57" s="6">
        <v>13</v>
      </c>
      <c r="J57" s="1">
        <f>LOOKUP(I57,{0,2,3,4,5,6,7,8,9,10,11,12,13,14,15,16},{0,10,20,30,40,50,60,64,68,72,76,80,85,90,95,100})</f>
        <v>85</v>
      </c>
      <c r="K57" s="7"/>
      <c r="L57" s="7"/>
      <c r="M57" s="21">
        <f t="shared" si="23"/>
        <v>85</v>
      </c>
      <c r="N57" s="6">
        <v>7.3</v>
      </c>
      <c r="O57" s="43">
        <f t="shared" si="30"/>
        <v>5.7</v>
      </c>
      <c r="P57" s="1">
        <f>LOOKUP(O57,{0,2.5,2.7,2.9,3.1,3.3,3.5,3.7,3.9,4.1,4.3,4.5,4.7,4.9,5.1,5.3,5.5,5.6,5.7,5.8,5.9},{0,10,20,30,40,50,60,62,64,66,68,70,72,74,76,78,80,85,90,95,100})</f>
        <v>90</v>
      </c>
      <c r="Q57" s="6">
        <v>3.41</v>
      </c>
      <c r="R57" s="6">
        <f t="shared" si="24"/>
        <v>6.59</v>
      </c>
      <c r="S57" s="1">
        <f>LOOKUP(R57,{0,3.75,3.95,4.55,4.75,4.95,5.55,5.6,5.65,5.7,5.75,5.8,5.85,5.9,5.95,6,6.45,6.53,6.6,6.65,6.7},{0,10,20,30,40,50,60,62,64,66,68,70,72,74,76,78,80,85,90,95,100})</f>
        <v>85</v>
      </c>
      <c r="T57" s="7"/>
      <c r="U57" s="7"/>
      <c r="V57" s="21">
        <f t="shared" si="25"/>
        <v>85</v>
      </c>
      <c r="X57" s="21">
        <f t="shared" si="26"/>
        <v>58.5</v>
      </c>
      <c r="Y57" s="37">
        <f t="shared" si="27"/>
        <v>83.5714285714286</v>
      </c>
    </row>
    <row r="58" ht="15.6" hidden="1" outlineLevel="2" spans="1:25">
      <c r="A58" s="6">
        <v>102</v>
      </c>
      <c r="B58" s="6">
        <v>10</v>
      </c>
      <c r="C58" s="29" t="s">
        <v>74</v>
      </c>
      <c r="D58" s="29" t="s">
        <v>11</v>
      </c>
      <c r="E58" s="6">
        <v>11</v>
      </c>
      <c r="F58" s="1">
        <f>LOOKUP(E58,{0,-4,-3,-2,-1,0,1,2.4,3.8,5.2,6.6,8,9.4,10.8,12.2,13.6,15,17.2,19.4,21.5,23.6},{0,10,20,30,40,50,60,62,64,66,68,70,72,74,76,78,80,85,90,95,100})</f>
        <v>74</v>
      </c>
      <c r="G58" s="6">
        <v>197</v>
      </c>
      <c r="H58" s="1">
        <f>LOOKUP(G58,{0,170,175,180,185,190,195,199,203,207,211,215,219,223,227,231,235,243,250,255,260},{0,10,20,30,40,50,60,62,64,66,68,70,72,74,76,78,80,85,90,95,100})</f>
        <v>60</v>
      </c>
      <c r="I58" s="6">
        <v>0</v>
      </c>
      <c r="J58" s="1">
        <f>LOOKUP(I58,{0,2,3,4,5,6,7,8,9,10,11,12,13,14,15,16},{0,10,20,30,40,50,60,64,68,72,76,80,85,90,95,100})</f>
        <v>0</v>
      </c>
      <c r="K58" s="7"/>
      <c r="L58" s="7"/>
      <c r="M58" s="21">
        <f t="shared" si="23"/>
        <v>0</v>
      </c>
      <c r="N58" s="6">
        <v>7.6</v>
      </c>
      <c r="O58" s="43">
        <f t="shared" si="30"/>
        <v>5.4</v>
      </c>
      <c r="P58" s="1">
        <f>LOOKUP(O58,{0,2.5,2.7,2.9,3.1,3.3,3.5,3.7,3.9,4.1,4.3,4.5,4.7,4.9,5.1,5.3,5.5,5.6,5.7,5.8,5.9},{0,10,20,30,40,50,60,62,64,66,68,70,72,74,76,78,80,85,90,95,100})</f>
        <v>78</v>
      </c>
      <c r="Q58" s="6">
        <v>4.43</v>
      </c>
      <c r="R58" s="6">
        <f t="shared" si="24"/>
        <v>5.57</v>
      </c>
      <c r="S58" s="1">
        <f>LOOKUP(R58,{0,3.75,3.95,4.55,4.75,4.95,5.55,5.6,5.65,5.7,5.75,5.8,5.85,5.9,5.95,6,6.45,6.53,6.6,6.65,6.7},{0,10,20,30,40,50,60,62,64,66,68,70,72,74,76,78,80,85,90,95,100})</f>
        <v>60</v>
      </c>
      <c r="T58" s="7"/>
      <c r="U58" s="7"/>
      <c r="V58" s="21">
        <f t="shared" si="25"/>
        <v>60</v>
      </c>
      <c r="X58" s="21">
        <f t="shared" si="26"/>
        <v>41</v>
      </c>
      <c r="Y58" s="37">
        <f t="shared" si="27"/>
        <v>58.5714285714286</v>
      </c>
    </row>
    <row r="59" s="3" customFormat="1" ht="15.6" hidden="1" outlineLevel="2" spans="1:25">
      <c r="A59" s="6">
        <v>102</v>
      </c>
      <c r="B59" s="6">
        <v>11</v>
      </c>
      <c r="C59" s="39" t="s">
        <v>76</v>
      </c>
      <c r="D59" s="29" t="s">
        <v>11</v>
      </c>
      <c r="E59" s="6">
        <v>5.3</v>
      </c>
      <c r="F59" s="1">
        <f>LOOKUP(E59,{0,-4,-3,-2,-1,0,1,2.4,3.8,5.2,6.6,8,9.4,10.8,12.2,13.6,15,17.2,19.4,21.5,23.6},{0,10,20,30,40,50,60,62,64,66,68,70,72,74,76,78,80,85,90,95,100})</f>
        <v>66</v>
      </c>
      <c r="G59" s="6">
        <v>190</v>
      </c>
      <c r="H59" s="1">
        <f>LOOKUP(G59,{0,170,175,180,185,190,195,199,203,207,211,215,219,223,227,231,235,243,250,255,260},{0,10,20,30,40,50,60,62,64,66,68,70,72,74,76,78,80,85,90,95,100})</f>
        <v>50</v>
      </c>
      <c r="I59" s="6">
        <v>0</v>
      </c>
      <c r="J59" s="1">
        <f>LOOKUP(I59,{0,2,3,4,5,6,7,8,9,10,11,12,13,14,15,16},{0,10,20,30,40,50,60,64,68,72,76,80,85,90,95,100})</f>
        <v>0</v>
      </c>
      <c r="K59" s="7"/>
      <c r="L59" s="7"/>
      <c r="M59" s="21">
        <f t="shared" si="23"/>
        <v>0</v>
      </c>
      <c r="N59" s="6">
        <v>7.7</v>
      </c>
      <c r="O59" s="43">
        <f t="shared" si="30"/>
        <v>5.3</v>
      </c>
      <c r="P59" s="1">
        <f>LOOKUP(O59,{0,2.5,2.7,2.9,3.1,3.3,3.5,3.7,3.9,4.1,4.3,4.5,4.7,4.9,5.1,5.3,5.5,5.6,5.7,5.8,5.9},{0,10,20,30,40,50,60,62,64,66,68,70,72,74,76,78,80,85,90,95,100})</f>
        <v>78</v>
      </c>
      <c r="Q59" s="6">
        <v>4.14</v>
      </c>
      <c r="R59" s="6">
        <f t="shared" si="24"/>
        <v>5.86</v>
      </c>
      <c r="S59" s="1">
        <f>LOOKUP(R59,{0,3.75,3.95,4.55,4.75,4.95,5.55,5.6,5.65,5.7,5.75,5.8,5.85,5.9,5.95,6,6.45,6.53,6.6,6.65,6.7},{0,10,20,30,40,50,60,62,64,66,68,70,72,74,76,78,80,85,90,95,100})</f>
        <v>72</v>
      </c>
      <c r="T59" s="7"/>
      <c r="U59" s="7"/>
      <c r="V59" s="21">
        <f t="shared" si="25"/>
        <v>72</v>
      </c>
      <c r="W59" s="6"/>
      <c r="X59" s="21">
        <f t="shared" si="26"/>
        <v>41.6</v>
      </c>
      <c r="Y59" s="37">
        <f t="shared" si="27"/>
        <v>59.4285714285714</v>
      </c>
    </row>
    <row r="60" ht="15.6" hidden="1" outlineLevel="2" spans="1:25">
      <c r="A60" s="6">
        <v>102</v>
      </c>
      <c r="B60" s="6">
        <v>12</v>
      </c>
      <c r="C60" s="29" t="s">
        <v>77</v>
      </c>
      <c r="D60" s="29" t="s">
        <v>11</v>
      </c>
      <c r="E60" s="6">
        <v>11</v>
      </c>
      <c r="F60" s="1">
        <f>LOOKUP(E60,{0,-4,-3,-2,-1,0,1,2.4,3.8,5.2,6.6,8,9.4,10.8,12.2,13.6,15,17.2,19.4,21.5,23.6},{0,10,20,30,40,50,60,62,64,66,68,70,72,74,76,78,80,85,90,95,100})</f>
        <v>74</v>
      </c>
      <c r="G60" s="6">
        <v>186</v>
      </c>
      <c r="H60" s="1">
        <f>LOOKUP(G60,{0,170,175,180,185,190,195,199,203,207,211,215,219,223,227,231,235,243,250,255,260},{0,10,20,30,40,50,60,62,64,66,68,70,72,74,76,78,80,85,90,95,100})</f>
        <v>40</v>
      </c>
      <c r="I60" s="6">
        <v>11</v>
      </c>
      <c r="J60" s="1">
        <f>LOOKUP(I60,{0,2,3,4,5,6,7,8,9,10,11,12,13,14,15,16},{0,10,20,30,40,50,60,64,68,72,76,80,85,90,95,100})</f>
        <v>76</v>
      </c>
      <c r="K60" s="7"/>
      <c r="L60" s="7"/>
      <c r="M60" s="21">
        <f t="shared" si="23"/>
        <v>76</v>
      </c>
      <c r="N60" s="6">
        <v>8.4</v>
      </c>
      <c r="O60" s="43">
        <f t="shared" si="30"/>
        <v>4.6</v>
      </c>
      <c r="P60" s="1">
        <f>LOOKUP(O60,{0,2.5,2.7,2.9,3.1,3.3,3.5,3.7,3.9,4.1,4.3,4.5,4.7,4.9,5.1,5.3,5.5,5.6,5.7,5.8,5.9},{0,10,20,30,40,50,60,62,64,66,68,70,72,74,76,78,80,85,90,95,100})</f>
        <v>70</v>
      </c>
      <c r="Q60" s="6">
        <v>3.42</v>
      </c>
      <c r="R60" s="6">
        <f t="shared" si="24"/>
        <v>6.58</v>
      </c>
      <c r="S60" s="1">
        <f>LOOKUP(R60,{0,3.75,3.95,4.55,4.75,4.95,5.55,5.6,5.65,5.7,5.75,5.8,5.85,5.9,5.95,6,6.45,6.53,6.6,6.65,6.7},{0,10,20,30,40,50,60,62,64,66,68,70,72,74,76,78,80,85,90,95,100})</f>
        <v>85</v>
      </c>
      <c r="T60" s="7"/>
      <c r="U60" s="7"/>
      <c r="V60" s="21">
        <f t="shared" si="25"/>
        <v>85</v>
      </c>
      <c r="X60" s="21">
        <f t="shared" si="26"/>
        <v>50</v>
      </c>
      <c r="Y60" s="37">
        <f t="shared" si="27"/>
        <v>71.4285714285714</v>
      </c>
    </row>
    <row r="61" ht="15.6" hidden="1" outlineLevel="2" spans="1:25">
      <c r="A61" s="6">
        <v>102</v>
      </c>
      <c r="B61" s="6">
        <v>13</v>
      </c>
      <c r="C61" s="29" t="s">
        <v>78</v>
      </c>
      <c r="D61" s="29" t="s">
        <v>11</v>
      </c>
      <c r="E61" s="6">
        <v>6.6</v>
      </c>
      <c r="F61" s="1">
        <f>LOOKUP(E61,{0,-4,-3,-2,-1,0,1,2.4,3.8,5.2,6.6,8,9.4,10.8,12.2,13.6,15,17.2,19.4,21.5,23.6},{0,10,20,30,40,50,60,62,64,66,68,70,72,74,76,78,80,85,90,95,100})</f>
        <v>68</v>
      </c>
      <c r="G61" s="6">
        <v>206</v>
      </c>
      <c r="H61" s="1">
        <f>LOOKUP(G61,{0,170,175,180,185,190,195,199,203,207,211,215,219,223,227,231,235,243,250,255,260},{0,10,20,30,40,50,60,62,64,66,68,70,72,74,76,78,80,85,90,95,100})</f>
        <v>64</v>
      </c>
      <c r="I61" s="6">
        <v>8</v>
      </c>
      <c r="J61" s="1">
        <f>LOOKUP(I61,{0,2,3,4,5,6,7,8,9,10,11,12,13,14,15,16},{0,10,20,30,40,50,60,64,68,72,76,80,85,90,95,100})</f>
        <v>64</v>
      </c>
      <c r="K61" s="7"/>
      <c r="L61" s="7"/>
      <c r="M61" s="21">
        <f t="shared" si="23"/>
        <v>64</v>
      </c>
      <c r="N61" s="6">
        <v>7.2</v>
      </c>
      <c r="O61" s="43">
        <f t="shared" si="30"/>
        <v>5.8</v>
      </c>
      <c r="P61" s="1">
        <f>LOOKUP(O61,{0,2.5,2.7,2.9,3.1,3.3,3.5,3.7,3.9,4.1,4.3,4.5,4.7,4.9,5.1,5.3,5.5,5.6,5.7,5.8,5.9},{0,10,20,30,40,50,60,62,64,66,68,70,72,74,76,78,80,85,90,95,100})</f>
        <v>95</v>
      </c>
      <c r="Q61" s="6">
        <v>3.53</v>
      </c>
      <c r="R61" s="6">
        <f t="shared" si="24"/>
        <v>6.47</v>
      </c>
      <c r="S61" s="1">
        <f>LOOKUP(R61,{0,3.75,3.95,4.55,4.75,4.95,5.55,5.6,5.65,5.7,5.75,5.8,5.85,5.9,5.95,6,6.45,6.53,6.6,6.65,6.7},{0,10,20,30,40,50,60,62,64,66,68,70,72,74,76,78,80,85,90,95,100})</f>
        <v>80</v>
      </c>
      <c r="T61" s="7"/>
      <c r="U61" s="7"/>
      <c r="V61" s="21">
        <f t="shared" si="25"/>
        <v>80</v>
      </c>
      <c r="X61" s="21">
        <f t="shared" si="26"/>
        <v>54.6</v>
      </c>
      <c r="Y61" s="37">
        <f t="shared" si="27"/>
        <v>78</v>
      </c>
    </row>
    <row r="62" ht="15.6" hidden="1" outlineLevel="2" spans="1:25">
      <c r="A62" s="6">
        <v>102</v>
      </c>
      <c r="B62" s="6">
        <v>14</v>
      </c>
      <c r="C62" s="29" t="s">
        <v>79</v>
      </c>
      <c r="D62" s="29" t="s">
        <v>11</v>
      </c>
      <c r="E62" s="6">
        <v>9.6</v>
      </c>
      <c r="F62" s="1">
        <f>LOOKUP(E62,{0,-4,-3,-2,-1,0,1,2.4,3.8,5.2,6.6,8,9.4,10.8,12.2,13.6,15,17.2,19.4,21.5,23.6},{0,10,20,30,40,50,60,62,64,66,68,70,72,74,76,78,80,85,90,95,100})</f>
        <v>72</v>
      </c>
      <c r="G62" s="6">
        <v>224</v>
      </c>
      <c r="H62" s="1">
        <f>LOOKUP(G62,{0,170,175,180,185,190,195,199,203,207,211,215,219,223,227,231,235,243,250,255,260},{0,10,20,30,40,50,60,62,64,66,68,70,72,74,76,78,80,85,90,95,100})</f>
        <v>74</v>
      </c>
      <c r="I62" s="6">
        <v>20</v>
      </c>
      <c r="J62" s="1">
        <f>LOOKUP(I62,{0,2,3,4,5,6,7,8,9,10,11,12,13,14,15,16},{0,10,20,30,40,50,60,64,68,72,76,80,85,90,95,100})</f>
        <v>100</v>
      </c>
      <c r="K62" s="7">
        <f>I62-16</f>
        <v>4</v>
      </c>
      <c r="L62" s="40">
        <f>LOOKUP(K62,{0,1,2,3,4,5,6,7,8,9,10},{0,1,2,3,4,5,6,7,8,9,10})</f>
        <v>4</v>
      </c>
      <c r="M62" s="21">
        <f t="shared" si="23"/>
        <v>104</v>
      </c>
      <c r="N62" s="6">
        <v>7.4</v>
      </c>
      <c r="O62" s="43">
        <f t="shared" si="30"/>
        <v>5.6</v>
      </c>
      <c r="P62" s="1">
        <f>LOOKUP(O62,{0,2.5,2.7,2.9,3.1,3.3,3.5,3.7,3.9,4.1,4.3,4.5,4.7,4.9,5.1,5.3,5.5,5.6,5.7,5.8,5.9},{0,10,20,30,40,50,60,62,64,66,68,70,72,74,76,78,80,85,90,95,100})</f>
        <v>85</v>
      </c>
      <c r="Q62" s="6">
        <v>3.31</v>
      </c>
      <c r="R62" s="6">
        <f t="shared" si="24"/>
        <v>6.69</v>
      </c>
      <c r="S62" s="1">
        <f>LOOKUP(R62,{0,3.75,3.95,4.55,4.75,4.95,5.55,5.6,5.65,5.7,5.75,5.8,5.85,5.9,5.95,6,6.45,6.53,6.6,6.65,6.7},{0,10,20,30,40,50,60,62,64,66,68,70,72,74,76,78,80,85,90,95,100})</f>
        <v>95</v>
      </c>
      <c r="T62" s="7"/>
      <c r="U62" s="7"/>
      <c r="V62" s="21">
        <f t="shared" si="25"/>
        <v>95</v>
      </c>
      <c r="X62" s="21">
        <f t="shared" si="26"/>
        <v>60.6</v>
      </c>
      <c r="Y62" s="37">
        <f t="shared" si="27"/>
        <v>90.5714285714286</v>
      </c>
    </row>
    <row r="63" ht="15.6" hidden="1" outlineLevel="2" spans="1:25">
      <c r="A63" s="6">
        <v>102</v>
      </c>
      <c r="B63" s="6">
        <v>15</v>
      </c>
      <c r="C63" s="29" t="s">
        <v>80</v>
      </c>
      <c r="D63" s="29" t="s">
        <v>11</v>
      </c>
      <c r="E63" s="6">
        <v>17.2</v>
      </c>
      <c r="F63" s="1">
        <f>LOOKUP(E63,{0,-4,-3,-2,-1,0,1,2.4,3.8,5.2,6.6,8,9.4,10.8,12.2,13.6,15,17.2,19.4,21.5,23.6},{0,10,20,30,40,50,60,62,64,66,68,70,72,74,76,78,80,85,90,95,100})</f>
        <v>85</v>
      </c>
      <c r="G63" s="6">
        <v>223</v>
      </c>
      <c r="H63" s="1">
        <f>LOOKUP(G63,{0,170,175,180,185,190,195,199,203,207,211,215,219,223,227,231,235,243,250,255,260},{0,10,20,30,40,50,60,62,64,66,68,70,72,74,76,78,80,85,90,95,100})</f>
        <v>74</v>
      </c>
      <c r="I63" s="6">
        <v>11</v>
      </c>
      <c r="J63" s="1">
        <f>LOOKUP(I63,{0,2,3,4,5,6,7,8,9,10,11,12,13,14,15,16},{0,10,20,30,40,50,60,64,68,72,76,80,85,90,95,100})</f>
        <v>76</v>
      </c>
      <c r="K63" s="7"/>
      <c r="L63" s="7"/>
      <c r="M63" s="21">
        <f t="shared" si="23"/>
        <v>76</v>
      </c>
      <c r="N63" s="6">
        <v>7.4</v>
      </c>
      <c r="O63" s="43">
        <f t="shared" si="30"/>
        <v>5.6</v>
      </c>
      <c r="P63" s="1">
        <f>LOOKUP(O63,{0,2.5,2.7,2.9,3.1,3.3,3.5,3.7,3.9,4.1,4.3,4.5,4.7,4.9,5.1,5.3,5.5,5.6,5.7,5.8,5.9},{0,10,20,30,40,50,60,62,64,66,68,70,72,74,76,78,80,85,90,95,100})</f>
        <v>85</v>
      </c>
      <c r="Q63" s="6">
        <v>4.03</v>
      </c>
      <c r="R63" s="6">
        <f t="shared" si="24"/>
        <v>5.97</v>
      </c>
      <c r="S63" s="1">
        <f>LOOKUP(R63,{0,3.75,3.95,4.55,4.75,4.95,5.55,5.6,5.65,5.7,5.75,5.8,5.85,5.9,5.95,6,6.45,6.53,6.6,6.65,6.7},{0,10,20,30,40,50,60,62,64,66,68,70,72,74,76,78,80,85,90,95,100})</f>
        <v>76</v>
      </c>
      <c r="T63" s="7"/>
      <c r="U63" s="7"/>
      <c r="V63" s="21">
        <f t="shared" si="25"/>
        <v>76</v>
      </c>
      <c r="X63" s="21">
        <f t="shared" si="26"/>
        <v>55.7</v>
      </c>
      <c r="Y63" s="37">
        <f t="shared" si="27"/>
        <v>79.5714285714286</v>
      </c>
    </row>
    <row r="64" ht="15.6" hidden="1" outlineLevel="2" spans="1:25">
      <c r="A64" s="6">
        <v>102</v>
      </c>
      <c r="B64" s="6">
        <v>16</v>
      </c>
      <c r="C64" s="29" t="s">
        <v>81</v>
      </c>
      <c r="D64" s="29" t="s">
        <v>11</v>
      </c>
      <c r="E64" s="6">
        <v>-4.3</v>
      </c>
      <c r="F64" s="1">
        <v>0</v>
      </c>
      <c r="G64" s="6">
        <v>188</v>
      </c>
      <c r="H64" s="1">
        <f>LOOKUP(G64,{0,170,175,180,185,190,195,199,203,207,211,215,219,223,227,231,235,243,250,255,260},{0,10,20,30,40,50,60,62,64,66,68,70,72,74,76,78,80,85,90,95,100})</f>
        <v>40</v>
      </c>
      <c r="I64" s="6">
        <v>1</v>
      </c>
      <c r="J64" s="1">
        <f>LOOKUP(I64,{0,2,3,4,5,6,7,8,9,10,11,12,13,14,15,16},{0,10,20,30,40,50,60,64,68,72,76,80,85,90,95,100})</f>
        <v>0</v>
      </c>
      <c r="K64" s="7"/>
      <c r="L64" s="7"/>
      <c r="M64" s="21">
        <f t="shared" si="23"/>
        <v>0</v>
      </c>
      <c r="N64" s="6">
        <v>7.6</v>
      </c>
      <c r="O64" s="43">
        <f t="shared" si="30"/>
        <v>5.4</v>
      </c>
      <c r="P64" s="1">
        <f>LOOKUP(O64,{0,2.5,2.7,2.9,3.1,3.3,3.5,3.7,3.9,4.1,4.3,4.5,4.7,4.9,5.1,5.3,5.5,5.6,5.7,5.8,5.9},{0,10,20,30,40,50,60,62,64,66,68,70,72,74,76,78,80,85,90,95,100})</f>
        <v>78</v>
      </c>
      <c r="Q64" s="6">
        <v>3.48</v>
      </c>
      <c r="R64" s="6">
        <f t="shared" si="24"/>
        <v>6.52</v>
      </c>
      <c r="S64" s="1">
        <f>LOOKUP(R64,{0,3.75,3.95,4.55,4.75,4.95,5.55,5.6,5.65,5.7,5.75,5.8,5.85,5.9,5.95,6,6.45,6.53,6.6,6.65,6.7},{0,10,20,30,40,50,60,62,64,66,68,70,72,74,76,78,80,85,90,95,100})</f>
        <v>80</v>
      </c>
      <c r="T64" s="7"/>
      <c r="U64" s="7"/>
      <c r="V64" s="21">
        <f t="shared" si="25"/>
        <v>80</v>
      </c>
      <c r="X64" s="21">
        <f t="shared" si="26"/>
        <v>35.6</v>
      </c>
      <c r="Y64" s="37">
        <f t="shared" si="27"/>
        <v>50.8571428571429</v>
      </c>
    </row>
    <row r="65" ht="15.6" hidden="1" outlineLevel="2" spans="1:25">
      <c r="A65" s="6">
        <v>102</v>
      </c>
      <c r="B65" s="6">
        <v>17</v>
      </c>
      <c r="C65" s="29" t="s">
        <v>82</v>
      </c>
      <c r="D65" s="29" t="s">
        <v>11</v>
      </c>
      <c r="E65" s="6">
        <v>9.8</v>
      </c>
      <c r="F65" s="1">
        <f>LOOKUP(E65,{0,-4,-3,-2,-1,0,1,2.4,3.8,5.2,6.6,8,9.4,10.8,12.2,13.6,15,17.2,19.4,21.5,23.6},{0,10,20,30,40,50,60,62,64,66,68,70,72,74,76,78,80,85,90,95,100})</f>
        <v>72</v>
      </c>
      <c r="G65" s="6">
        <v>170</v>
      </c>
      <c r="H65" s="1">
        <f>LOOKUP(G65,{0,170,175,180,185,190,195,199,203,207,211,215,219,223,227,231,235,243,250,255,260},{0,10,20,30,40,50,60,62,64,66,68,70,72,74,76,78,80,85,90,95,100})</f>
        <v>10</v>
      </c>
      <c r="I65" s="6">
        <v>1</v>
      </c>
      <c r="J65" s="1">
        <f>LOOKUP(I65,{0,2,3,4,5,6,7,8,9,10,11,12,13,14,15,16},{0,10,20,30,40,50,60,64,68,72,76,80,85,90,95,100})</f>
        <v>0</v>
      </c>
      <c r="K65" s="7"/>
      <c r="L65" s="7"/>
      <c r="M65" s="21">
        <f t="shared" si="23"/>
        <v>0</v>
      </c>
      <c r="N65" s="6">
        <v>7.6</v>
      </c>
      <c r="O65" s="43">
        <f t="shared" si="30"/>
        <v>5.4</v>
      </c>
      <c r="P65" s="1">
        <f>LOOKUP(O65,{0,2.5,2.7,2.9,3.1,3.3,3.5,3.7,3.9,4.1,4.3,4.5,4.7,4.9,5.1,5.3,5.5,5.6,5.7,5.8,5.9},{0,10,20,30,40,50,60,62,64,66,68,70,72,74,76,78,80,85,90,95,100})</f>
        <v>78</v>
      </c>
      <c r="Q65" s="6">
        <v>3.35</v>
      </c>
      <c r="R65" s="6">
        <f t="shared" si="24"/>
        <v>6.65</v>
      </c>
      <c r="S65" s="1">
        <f>LOOKUP(R65,{0,3.75,3.95,4.55,4.75,4.95,5.55,5.6,5.65,5.7,5.75,5.8,5.85,5.9,5.95,6,6.45,6.53,6.6,6.65,6.7},{0,10,20,30,40,50,60,62,64,66,68,70,72,74,76,78,80,85,90,95,100})</f>
        <v>95</v>
      </c>
      <c r="T65" s="7"/>
      <c r="U65" s="7"/>
      <c r="V65" s="21">
        <f t="shared" si="25"/>
        <v>95</v>
      </c>
      <c r="X65" s="21">
        <f t="shared" si="26"/>
        <v>42.8</v>
      </c>
      <c r="Y65" s="37">
        <f t="shared" si="27"/>
        <v>61.1428571428571</v>
      </c>
    </row>
    <row r="66" ht="15.6" hidden="1" outlineLevel="2" spans="1:25">
      <c r="A66" s="6">
        <v>102</v>
      </c>
      <c r="B66" s="6">
        <v>18</v>
      </c>
      <c r="C66" s="29" t="s">
        <v>83</v>
      </c>
      <c r="D66" s="29" t="s">
        <v>11</v>
      </c>
      <c r="F66" s="1"/>
      <c r="H66" s="1"/>
      <c r="J66" s="1"/>
      <c r="K66" s="7"/>
      <c r="L66" s="7"/>
      <c r="M66" s="21"/>
      <c r="O66" s="43"/>
      <c r="P66" s="1"/>
      <c r="S66" s="1"/>
      <c r="T66" s="7"/>
      <c r="U66" s="40"/>
      <c r="V66" s="21"/>
      <c r="W66" s="6" t="s">
        <v>84</v>
      </c>
      <c r="X66" s="21">
        <f t="shared" si="26"/>
        <v>0</v>
      </c>
      <c r="Y66" s="37">
        <v>50</v>
      </c>
    </row>
    <row r="67" ht="15.6" hidden="1" outlineLevel="2" spans="1:25">
      <c r="A67" s="6">
        <v>102</v>
      </c>
      <c r="B67" s="6">
        <v>19</v>
      </c>
      <c r="C67" s="29" t="s">
        <v>85</v>
      </c>
      <c r="D67" s="29" t="s">
        <v>11</v>
      </c>
      <c r="E67" s="6">
        <v>17</v>
      </c>
      <c r="F67" s="1">
        <f>LOOKUP(E67,{0,-4,-3,-2,-1,0,1,2.4,3.8,5.2,6.6,8,9.4,10.8,12.2,13.6,15,17.2,19.4,21.5,23.6},{0,10,20,30,40,50,60,62,64,66,68,70,72,74,76,78,80,85,90,95,100})</f>
        <v>80</v>
      </c>
      <c r="G67" s="6">
        <v>258</v>
      </c>
      <c r="H67" s="1">
        <f>LOOKUP(G67,{0,170,175,180,185,190,195,199,203,207,211,215,219,223,227,231,235,243,250,255,260},{0,10,20,30,40,50,60,62,64,66,68,70,72,74,76,78,80,85,90,95,100})</f>
        <v>95</v>
      </c>
      <c r="I67" s="6">
        <v>7</v>
      </c>
      <c r="J67" s="1">
        <f>LOOKUP(I67,{0,2,3,4,5,6,7,8,9,10,11,12,13,14,15,16},{0,10,20,30,40,50,60,64,68,72,76,80,85,90,95,100})</f>
        <v>60</v>
      </c>
      <c r="K67" s="7"/>
      <c r="L67" s="7"/>
      <c r="M67" s="21">
        <f t="shared" ref="M67:M79" si="31">J67+L67</f>
        <v>60</v>
      </c>
      <c r="N67" s="6">
        <v>7</v>
      </c>
      <c r="O67" s="43">
        <f t="shared" ref="O67:O77" si="32">13-N67</f>
        <v>6</v>
      </c>
      <c r="P67" s="1">
        <f>LOOKUP(O67,{0,2.5,2.7,2.9,3.1,3.3,3.5,3.7,3.9,4.1,4.3,4.5,4.7,4.9,5.1,5.3,5.5,5.6,5.7,5.8,5.9},{0,10,20,30,40,50,60,62,64,66,68,70,72,74,76,78,80,85,90,95,100})</f>
        <v>100</v>
      </c>
      <c r="Q67" s="6">
        <v>3.35</v>
      </c>
      <c r="R67" s="6">
        <f t="shared" ref="R67:R79" si="33">10-Q67</f>
        <v>6.65</v>
      </c>
      <c r="S67" s="1">
        <f>LOOKUP(R67,{0,3.75,3.95,4.55,4.75,4.95,5.55,5.6,5.65,5.7,5.75,5.8,5.85,5.9,5.95,6,6.45,6.53,6.6,6.65,6.7},{0,10,20,30,40,50,60,62,64,66,68,70,72,74,76,78,80,85,90,95,100})</f>
        <v>95</v>
      </c>
      <c r="T67" s="7"/>
      <c r="U67" s="7"/>
      <c r="V67" s="21">
        <f t="shared" ref="V67:V79" si="34">S67+U67</f>
        <v>95</v>
      </c>
      <c r="X67" s="21">
        <f t="shared" si="26"/>
        <v>62.5</v>
      </c>
      <c r="Y67" s="37">
        <f t="shared" ref="Y67:Y79" si="35">X67/0.7+L67+U67</f>
        <v>89.2857142857143</v>
      </c>
    </row>
    <row r="68" ht="15.6" hidden="1" outlineLevel="2" spans="1:25">
      <c r="A68" s="6">
        <v>102</v>
      </c>
      <c r="B68" s="6">
        <v>20</v>
      </c>
      <c r="C68" s="29" t="s">
        <v>86</v>
      </c>
      <c r="D68" s="29" t="s">
        <v>11</v>
      </c>
      <c r="E68" s="6">
        <v>15.6</v>
      </c>
      <c r="F68" s="1">
        <f>LOOKUP(E68,{0,-4,-3,-2,-1,0,1,2.4,3.8,5.2,6.6,8,9.4,10.8,12.2,13.6,15,17.2,19.4,21.5,23.6},{0,10,20,30,40,50,60,62,64,66,68,70,72,74,76,78,80,85,90,95,100})</f>
        <v>80</v>
      </c>
      <c r="G68" s="6">
        <v>232</v>
      </c>
      <c r="H68" s="1">
        <f>LOOKUP(G68,{0,170,175,180,185,190,195,199,203,207,211,215,219,223,227,231,235,243,250,255,260},{0,10,20,30,40,50,60,62,64,66,68,70,72,74,76,78,80,85,90,95,100})</f>
        <v>78</v>
      </c>
      <c r="I68" s="6">
        <v>7</v>
      </c>
      <c r="J68" s="1">
        <f>LOOKUP(I68,{0,2,3,4,5,6,7,8,9,10,11,12,13,14,15,16},{0,10,20,30,40,50,60,64,68,72,76,80,85,90,95,100})</f>
        <v>60</v>
      </c>
      <c r="K68" s="7"/>
      <c r="L68" s="7"/>
      <c r="M68" s="21">
        <f t="shared" si="31"/>
        <v>60</v>
      </c>
      <c r="N68" s="6">
        <v>7</v>
      </c>
      <c r="O68" s="43">
        <f t="shared" si="32"/>
        <v>6</v>
      </c>
      <c r="P68" s="1">
        <f>LOOKUP(O68,{0,2.5,2.7,2.9,3.1,3.3,3.5,3.7,3.9,4.1,4.3,4.5,4.7,4.9,5.1,5.3,5.5,5.6,5.7,5.8,5.9},{0,10,20,30,40,50,60,62,64,66,68,70,72,74,76,78,80,85,90,95,100})</f>
        <v>100</v>
      </c>
      <c r="Q68" s="6">
        <v>3.46</v>
      </c>
      <c r="R68" s="6">
        <f t="shared" si="33"/>
        <v>6.54</v>
      </c>
      <c r="S68" s="1">
        <f>LOOKUP(R68,{0,3.75,3.95,4.55,4.75,4.95,5.55,5.6,5.65,5.7,5.75,5.8,5.85,5.9,5.95,6,6.45,6.53,6.6,6.65,6.7},{0,10,20,30,40,50,60,62,64,66,68,70,72,74,76,78,80,85,90,95,100})</f>
        <v>85</v>
      </c>
      <c r="T68" s="7"/>
      <c r="U68" s="7"/>
      <c r="V68" s="21">
        <f t="shared" si="34"/>
        <v>85</v>
      </c>
      <c r="X68" s="21">
        <f t="shared" si="26"/>
        <v>58.8</v>
      </c>
      <c r="Y68" s="37">
        <f t="shared" si="35"/>
        <v>84</v>
      </c>
    </row>
    <row r="69" ht="15.6" hidden="1" outlineLevel="2" spans="1:25">
      <c r="A69" s="6">
        <v>102</v>
      </c>
      <c r="B69" s="6">
        <v>21</v>
      </c>
      <c r="C69" s="39" t="s">
        <v>88</v>
      </c>
      <c r="D69" s="29" t="s">
        <v>11</v>
      </c>
      <c r="E69" s="6">
        <v>24</v>
      </c>
      <c r="F69" s="1">
        <f>LOOKUP(E69,{0,-4,-3,-2,-1,0,1,2.4,3.8,5.2,6.6,8,9.4,10.8,12.2,13.6,15,17.2,19.4,21.5,23.6},{0,10,20,30,40,50,60,62,64,66,68,70,72,74,76,78,80,85,90,95,100})</f>
        <v>100</v>
      </c>
      <c r="G69" s="6">
        <v>207</v>
      </c>
      <c r="H69" s="1">
        <f>LOOKUP(G69,{0,170,175,180,185,190,195,199,203,207,211,215,219,223,227,231,235,243,250,255,260},{0,10,20,30,40,50,60,62,64,66,68,70,72,74,76,78,80,85,90,95,100})</f>
        <v>66</v>
      </c>
      <c r="I69" s="6">
        <v>4</v>
      </c>
      <c r="J69" s="1">
        <f>LOOKUP(I69,{0,2,3,4,5,6,7,8,9,10,11,12,13,14,15,16},{0,10,20,30,40,50,60,64,68,72,76,80,85,90,95,100})</f>
        <v>30</v>
      </c>
      <c r="K69" s="7"/>
      <c r="L69" s="7"/>
      <c r="M69" s="21">
        <f t="shared" si="31"/>
        <v>30</v>
      </c>
      <c r="N69" s="6">
        <v>8.5</v>
      </c>
      <c r="O69" s="43">
        <f t="shared" si="32"/>
        <v>4.5</v>
      </c>
      <c r="P69" s="1">
        <f>LOOKUP(O69,{0,2.5,2.7,2.9,3.1,3.3,3.5,3.7,3.9,4.1,4.3,4.5,4.7,4.9,5.1,5.3,5.5,5.6,5.7,5.8,5.9},{0,10,20,30,40,50,60,62,64,66,68,70,72,74,76,78,80,85,90,95,100})</f>
        <v>70</v>
      </c>
      <c r="Q69" s="6">
        <v>4.18</v>
      </c>
      <c r="R69" s="6">
        <f t="shared" si="33"/>
        <v>5.82</v>
      </c>
      <c r="S69" s="1">
        <f>LOOKUP(R69,{0,3.75,3.95,4.55,4.75,4.95,5.55,5.6,5.65,5.7,5.75,5.8,5.85,5.9,5.95,6,6.45,6.53,6.6,6.65,6.7},{0,10,20,30,40,50,60,62,64,66,68,70,72,74,76,78,80,85,90,95,100})</f>
        <v>70</v>
      </c>
      <c r="T69" s="7"/>
      <c r="U69" s="7"/>
      <c r="V69" s="21">
        <f t="shared" si="34"/>
        <v>70</v>
      </c>
      <c r="X69" s="21">
        <f t="shared" si="26"/>
        <v>47.6</v>
      </c>
      <c r="Y69" s="37">
        <f t="shared" si="35"/>
        <v>68</v>
      </c>
    </row>
    <row r="70" ht="15.6" hidden="1" outlineLevel="2" spans="1:25">
      <c r="A70" s="6">
        <v>102</v>
      </c>
      <c r="B70" s="6">
        <v>22</v>
      </c>
      <c r="C70" s="29" t="s">
        <v>89</v>
      </c>
      <c r="D70" s="29" t="s">
        <v>11</v>
      </c>
      <c r="E70" s="6">
        <v>24</v>
      </c>
      <c r="F70" s="1">
        <f>LOOKUP(E70,{0,-4,-3,-2,-1,0,1,2.4,3.8,5.2,6.6,8,9.4,10.8,12.2,13.6,15,17.2,19.4,21.5,23.6},{0,10,20,30,40,50,60,62,64,66,68,70,72,74,76,78,80,85,90,95,100})</f>
        <v>100</v>
      </c>
      <c r="G70" s="6">
        <v>211</v>
      </c>
      <c r="H70" s="1">
        <f>LOOKUP(G70,{0,170,175,180,185,190,195,199,203,207,211,215,219,223,227,231,235,243,250,255,260},{0,10,20,30,40,50,60,62,64,66,68,70,72,74,76,78,80,85,90,95,100})</f>
        <v>68</v>
      </c>
      <c r="I70" s="6">
        <v>15</v>
      </c>
      <c r="J70" s="1">
        <f>LOOKUP(I70,{0,2,3,4,5,6,7,8,9,10,11,12,13,14,15,16},{0,10,20,30,40,50,60,64,68,72,76,80,85,90,95,100})</f>
        <v>95</v>
      </c>
      <c r="K70" s="7"/>
      <c r="L70" s="7"/>
      <c r="M70" s="21">
        <f t="shared" si="31"/>
        <v>95</v>
      </c>
      <c r="N70" s="6">
        <v>7.3</v>
      </c>
      <c r="O70" s="43">
        <f t="shared" si="32"/>
        <v>5.7</v>
      </c>
      <c r="P70" s="1">
        <f>LOOKUP(O70,{0,2.5,2.7,2.9,3.1,3.3,3.5,3.7,3.9,4.1,4.3,4.5,4.7,4.9,5.1,5.3,5.5,5.6,5.7,5.8,5.9},{0,10,20,30,40,50,60,62,64,66,68,70,72,74,76,78,80,85,90,95,100})</f>
        <v>90</v>
      </c>
      <c r="Q70" s="6">
        <v>3.3</v>
      </c>
      <c r="R70" s="6">
        <f t="shared" si="33"/>
        <v>6.7</v>
      </c>
      <c r="S70" s="1">
        <f>LOOKUP(R70,{0,3.75,3.95,4.55,4.75,4.95,5.55,5.6,5.65,5.7,5.75,5.8,5.85,5.9,5.95,6,6.45,6.53,6.6,6.65,6.7},{0,10,20,30,40,50,60,62,64,66,68,70,72,74,76,78,80,85,90,95,100})</f>
        <v>100</v>
      </c>
      <c r="T70" s="7">
        <f t="shared" ref="T70:T73" si="36">3.3-Q70</f>
        <v>0</v>
      </c>
      <c r="U70" s="40">
        <f>LOOKUP(T70,{0,0.04,0.08,0.12,0.16,0.2,0.23,0.26,0.29,0.32,0.35},{0,1,2,3,4,5,6,7,8,9,10})</f>
        <v>0</v>
      </c>
      <c r="V70" s="21">
        <f t="shared" si="34"/>
        <v>100</v>
      </c>
      <c r="X70" s="21">
        <f t="shared" si="26"/>
        <v>64.3</v>
      </c>
      <c r="Y70" s="37">
        <f t="shared" si="35"/>
        <v>91.8571428571429</v>
      </c>
    </row>
    <row r="71" ht="15.6" hidden="1" outlineLevel="2" spans="1:25">
      <c r="A71" s="6">
        <v>102</v>
      </c>
      <c r="B71" s="6">
        <v>23</v>
      </c>
      <c r="C71" s="29" t="s">
        <v>90</v>
      </c>
      <c r="D71" s="29" t="s">
        <v>11</v>
      </c>
      <c r="E71" s="6">
        <v>14</v>
      </c>
      <c r="F71" s="1">
        <f>LOOKUP(E71,{0,-4,-3,-2,-1,0,1,2.4,3.8,5.2,6.6,8,9.4,10.8,12.2,13.6,15,17.2,19.4,21.5,23.6},{0,10,20,30,40,50,60,62,64,66,68,70,72,74,76,78,80,85,90,95,100})</f>
        <v>78</v>
      </c>
      <c r="G71" s="6">
        <v>267</v>
      </c>
      <c r="H71" s="1">
        <f>LOOKUP(G71,{0,170,175,180,185,190,195,199,203,207,211,215,219,223,227,231,235,243,250,255,260},{0,10,20,30,40,50,60,62,64,66,68,70,72,74,76,78,80,85,90,95,100})</f>
        <v>100</v>
      </c>
      <c r="I71" s="6">
        <v>26</v>
      </c>
      <c r="J71" s="1">
        <f>LOOKUP(I71,{0,2,3,4,5,6,7,8,9,10,11,12,13,14,15,16},{0,10,20,30,40,50,60,64,68,72,76,80,85,90,95,100})</f>
        <v>100</v>
      </c>
      <c r="K71" s="7">
        <f t="shared" ref="K71:K75" si="37">I71-16</f>
        <v>10</v>
      </c>
      <c r="L71" s="40">
        <f>LOOKUP(K71,{0,1,2,3,4,5,6,7,8,9,10},{0,1,2,3,4,5,6,7,8,9,10})</f>
        <v>10</v>
      </c>
      <c r="M71" s="21">
        <f t="shared" si="31"/>
        <v>110</v>
      </c>
      <c r="N71" s="6">
        <v>7</v>
      </c>
      <c r="O71" s="43">
        <f t="shared" si="32"/>
        <v>6</v>
      </c>
      <c r="P71" s="1">
        <f>LOOKUP(O71,{0,2.5,2.7,2.9,3.1,3.3,3.5,3.7,3.9,4.1,4.3,4.5,4.7,4.9,5.1,5.3,5.5,5.6,5.7,5.8,5.9},{0,10,20,30,40,50,60,62,64,66,68,70,72,74,76,78,80,85,90,95,100})</f>
        <v>100</v>
      </c>
      <c r="Q71" s="6">
        <v>3.28</v>
      </c>
      <c r="R71" s="6">
        <f t="shared" si="33"/>
        <v>6.72</v>
      </c>
      <c r="S71" s="1">
        <f>LOOKUP(R71,{0,3.75,3.95,4.55,4.75,4.95,5.55,5.6,5.65,5.7,5.75,5.8,5.85,5.9,5.95,6,6.45,6.53,6.6,6.65,6.7},{0,10,20,30,40,50,60,62,64,66,68,70,72,74,76,78,80,85,90,95,100})</f>
        <v>100</v>
      </c>
      <c r="T71" s="7">
        <f t="shared" si="36"/>
        <v>0.02</v>
      </c>
      <c r="U71" s="40">
        <f>LOOKUP(T71,{0,0.04,0.08,0.12,0.16,0.2,0.23,0.26,0.29,0.32,0.35},{0,1,2,3,4,5,6,7,8,9,10})</f>
        <v>0</v>
      </c>
      <c r="V71" s="21">
        <f t="shared" si="34"/>
        <v>100</v>
      </c>
      <c r="X71" s="21">
        <f t="shared" si="26"/>
        <v>67.8</v>
      </c>
      <c r="Y71" s="37">
        <f t="shared" si="35"/>
        <v>106.857142857143</v>
      </c>
    </row>
    <row r="72" s="3" customFormat="1" ht="15.6" hidden="1" outlineLevel="2" spans="1:25">
      <c r="A72" s="6">
        <v>102</v>
      </c>
      <c r="B72" s="6">
        <v>24</v>
      </c>
      <c r="C72" s="29" t="s">
        <v>91</v>
      </c>
      <c r="D72" s="29" t="s">
        <v>11</v>
      </c>
      <c r="E72" s="6">
        <v>18</v>
      </c>
      <c r="F72" s="1">
        <f>LOOKUP(E72,{0,-4,-3,-2,-1,0,1,2.4,3.8,5.2,6.6,8,9.4,10.8,12.2,13.6,15,17.2,19.4,21.5,23.6},{0,10,20,30,40,50,60,62,64,66,68,70,72,74,76,78,80,85,90,95,100})</f>
        <v>85</v>
      </c>
      <c r="G72" s="6">
        <v>221</v>
      </c>
      <c r="H72" s="1">
        <f>LOOKUP(G72,{0,170,175,180,185,190,195,199,203,207,211,215,219,223,227,231,235,243,250,255,260},{0,10,20,30,40,50,60,62,64,66,68,70,72,74,76,78,80,85,90,95,100})</f>
        <v>72</v>
      </c>
      <c r="I72" s="6">
        <v>6</v>
      </c>
      <c r="J72" s="1">
        <f>LOOKUP(I72,{0,2,3,4,5,6,7,8,9,10,11,12,13,14,15,16},{0,10,20,30,40,50,60,64,68,72,76,80,85,90,95,100})</f>
        <v>50</v>
      </c>
      <c r="K72" s="7"/>
      <c r="L72" s="7"/>
      <c r="M72" s="21">
        <f t="shared" si="31"/>
        <v>50</v>
      </c>
      <c r="N72" s="6">
        <v>7.5</v>
      </c>
      <c r="O72" s="43">
        <f t="shared" si="32"/>
        <v>5.5</v>
      </c>
      <c r="P72" s="1">
        <f>LOOKUP(O72,{0,2.5,2.7,2.9,3.1,3.3,3.5,3.7,3.9,4.1,4.3,4.5,4.7,4.9,5.1,5.3,5.5,5.6,5.7,5.8,5.9},{0,10,20,30,40,50,60,62,64,66,68,70,72,74,76,78,80,85,90,95,100})</f>
        <v>80</v>
      </c>
      <c r="Q72" s="6">
        <v>3.32</v>
      </c>
      <c r="R72" s="6">
        <f t="shared" si="33"/>
        <v>6.68</v>
      </c>
      <c r="S72" s="1">
        <f>LOOKUP(R72,{0,3.75,3.95,4.55,4.75,4.95,5.55,5.6,5.65,5.7,5.75,5.8,5.85,5.9,5.95,6,6.45,6.53,6.6,6.65,6.7},{0,10,20,30,40,50,60,62,64,66,68,70,72,74,76,78,80,85,90,95,100})</f>
        <v>95</v>
      </c>
      <c r="T72" s="7"/>
      <c r="U72" s="7"/>
      <c r="V72" s="21">
        <f t="shared" si="34"/>
        <v>95</v>
      </c>
      <c r="W72" s="6"/>
      <c r="X72" s="21">
        <f t="shared" si="26"/>
        <v>55.7</v>
      </c>
      <c r="Y72" s="37">
        <f t="shared" si="35"/>
        <v>79.5714285714286</v>
      </c>
    </row>
    <row r="73" ht="15.6" hidden="1" outlineLevel="2" spans="1:25">
      <c r="A73" s="6">
        <v>102</v>
      </c>
      <c r="B73" s="6">
        <v>25</v>
      </c>
      <c r="C73" s="29" t="s">
        <v>92</v>
      </c>
      <c r="D73" s="29" t="s">
        <v>11</v>
      </c>
      <c r="E73" s="6">
        <v>16</v>
      </c>
      <c r="F73" s="1">
        <f>LOOKUP(E73,{0,-4,-3,-2,-1,0,1,2.4,3.8,5.2,6.6,8,9.4,10.8,12.2,13.6,15,17.2,19.4,21.5,23.6},{0,10,20,30,40,50,60,62,64,66,68,70,72,74,76,78,80,85,90,95,100})</f>
        <v>80</v>
      </c>
      <c r="G73" s="6">
        <v>245</v>
      </c>
      <c r="H73" s="1">
        <f>LOOKUP(G73,{0,170,175,180,185,190,195,199,203,207,211,215,219,223,227,231,235,243,250,255,260},{0,10,20,30,40,50,60,62,64,66,68,70,72,74,76,78,80,85,90,95,100})</f>
        <v>85</v>
      </c>
      <c r="I73" s="6">
        <v>17</v>
      </c>
      <c r="J73" s="1">
        <f>LOOKUP(I73,{0,2,3,4,5,6,7,8,9,10,11,12,13,14,15,16},{0,10,20,30,40,50,60,64,68,72,76,80,85,90,95,100})</f>
        <v>100</v>
      </c>
      <c r="K73" s="7">
        <f t="shared" si="37"/>
        <v>1</v>
      </c>
      <c r="L73" s="40">
        <f>LOOKUP(K73,{0,1,2,3,4,5,6,7,8,9,10},{0,1,2,3,4,5,6,7,8,9,10})</f>
        <v>1</v>
      </c>
      <c r="M73" s="21">
        <f t="shared" si="31"/>
        <v>101</v>
      </c>
      <c r="N73" s="6">
        <v>7.2</v>
      </c>
      <c r="O73" s="43">
        <f t="shared" si="32"/>
        <v>5.8</v>
      </c>
      <c r="P73" s="1">
        <f>LOOKUP(O73,{0,2.5,2.7,2.9,3.1,3.3,3.5,3.7,3.9,4.1,4.3,4.5,4.7,4.9,5.1,5.3,5.5,5.6,5.7,5.8,5.9},{0,10,20,30,40,50,60,62,64,66,68,70,72,74,76,78,80,85,90,95,100})</f>
        <v>95</v>
      </c>
      <c r="Q73" s="6">
        <v>3.28</v>
      </c>
      <c r="R73" s="6">
        <f t="shared" si="33"/>
        <v>6.72</v>
      </c>
      <c r="S73" s="1">
        <f>LOOKUP(R73,{0,3.75,3.95,4.55,4.75,4.95,5.55,5.6,5.65,5.7,5.75,5.8,5.85,5.9,5.95,6,6.45,6.53,6.6,6.65,6.7},{0,10,20,30,40,50,60,62,64,66,68,70,72,74,76,78,80,85,90,95,100})</f>
        <v>100</v>
      </c>
      <c r="T73" s="7">
        <f t="shared" si="36"/>
        <v>0.02</v>
      </c>
      <c r="U73" s="40">
        <f>LOOKUP(T73,{0,0.04,0.08,0.12,0.16,0.2,0.23,0.26,0.29,0.32,0.35},{0,1,2,3,4,5,6,7,8,9,10})</f>
        <v>0</v>
      </c>
      <c r="V73" s="21">
        <f t="shared" si="34"/>
        <v>100</v>
      </c>
      <c r="X73" s="21">
        <f t="shared" si="26"/>
        <v>65.5</v>
      </c>
      <c r="Y73" s="37">
        <f t="shared" si="35"/>
        <v>94.5714285714286</v>
      </c>
    </row>
    <row r="74" ht="15.6" hidden="1" outlineLevel="2" spans="1:25">
      <c r="A74" s="6">
        <v>102</v>
      </c>
      <c r="B74" s="6">
        <v>26</v>
      </c>
      <c r="C74" s="29" t="s">
        <v>93</v>
      </c>
      <c r="D74" s="29" t="s">
        <v>11</v>
      </c>
      <c r="E74" s="6">
        <v>9.5</v>
      </c>
      <c r="F74" s="1">
        <f>LOOKUP(E74,{0,-4,-3,-2,-1,0,1,2.4,3.8,5.2,6.6,8,9.4,10.8,12.2,13.6,15,17.2,19.4,21.5,23.6},{0,10,20,30,40,50,60,62,64,66,68,70,72,74,76,78,80,85,90,95,100})</f>
        <v>72</v>
      </c>
      <c r="G74" s="6">
        <v>217</v>
      </c>
      <c r="H74" s="1">
        <f>LOOKUP(G74,{0,170,175,180,185,190,195,199,203,207,211,215,219,223,227,231,235,243,250,255,260},{0,10,20,30,40,50,60,62,64,66,68,70,72,74,76,78,80,85,90,95,100})</f>
        <v>70</v>
      </c>
      <c r="I74" s="6">
        <v>6</v>
      </c>
      <c r="J74" s="1">
        <f>LOOKUP(I74,{0,2,3,4,5,6,7,8,9,10,11,12,13,14,15,16},{0,10,20,30,40,50,60,64,68,72,76,80,85,90,95,100})</f>
        <v>50</v>
      </c>
      <c r="K74" s="7"/>
      <c r="L74" s="7"/>
      <c r="M74" s="21">
        <f t="shared" si="31"/>
        <v>50</v>
      </c>
      <c r="N74" s="6">
        <v>7.4</v>
      </c>
      <c r="O74" s="43">
        <f t="shared" si="32"/>
        <v>5.6</v>
      </c>
      <c r="P74" s="1">
        <f>LOOKUP(O74,{0,2.5,2.7,2.9,3.1,3.3,3.5,3.7,3.9,4.1,4.3,4.5,4.7,4.9,5.1,5.3,5.5,5.6,5.7,5.8,5.9},{0,10,20,30,40,50,60,62,64,66,68,70,72,74,76,78,80,85,90,95,100})</f>
        <v>85</v>
      </c>
      <c r="Q74" s="6">
        <v>3.47</v>
      </c>
      <c r="R74" s="6">
        <f t="shared" si="33"/>
        <v>6.53</v>
      </c>
      <c r="S74" s="1">
        <f>LOOKUP(R74,{0,3.75,3.95,4.55,4.75,4.95,5.55,5.6,5.65,5.7,5.75,5.8,5.85,5.9,5.95,6,6.45,6.53,6.6,6.65,6.7},{0,10,20,30,40,50,60,62,64,66,68,70,72,74,76,78,80,85,90,95,100})</f>
        <v>85</v>
      </c>
      <c r="T74" s="7"/>
      <c r="U74" s="7"/>
      <c r="V74" s="21">
        <f t="shared" si="34"/>
        <v>85</v>
      </c>
      <c r="X74" s="21">
        <f t="shared" si="26"/>
        <v>53.2</v>
      </c>
      <c r="Y74" s="37">
        <f t="shared" si="35"/>
        <v>76</v>
      </c>
    </row>
    <row r="75" ht="15.6" hidden="1" outlineLevel="2" spans="1:25">
      <c r="A75" s="6">
        <v>102</v>
      </c>
      <c r="B75" s="6">
        <v>27</v>
      </c>
      <c r="C75" s="29" t="s">
        <v>94</v>
      </c>
      <c r="D75" s="29" t="s">
        <v>11</v>
      </c>
      <c r="E75" s="6">
        <v>15</v>
      </c>
      <c r="F75" s="1">
        <f>LOOKUP(E75,{0,-4,-3,-2,-1,0,1,2.4,3.8,5.2,6.6,8,9.4,10.8,12.2,13.6,15,17.2,19.4,21.5,23.6},{0,10,20,30,40,50,60,62,64,66,68,70,72,74,76,78,80,85,90,95,100})</f>
        <v>80</v>
      </c>
      <c r="G75" s="6">
        <v>245</v>
      </c>
      <c r="H75" s="1">
        <f>LOOKUP(G75,{0,170,175,180,185,190,195,199,203,207,211,215,219,223,227,231,235,243,250,255,260},{0,10,20,30,40,50,60,62,64,66,68,70,72,74,76,78,80,85,90,95,100})</f>
        <v>85</v>
      </c>
      <c r="I75" s="6">
        <v>16</v>
      </c>
      <c r="J75" s="1">
        <f>LOOKUP(I75,{0,2,3,4,5,6,7,8,9,10,11,12,13,14,15,16},{0,10,20,30,40,50,60,64,68,72,76,80,85,90,95,100})</f>
        <v>100</v>
      </c>
      <c r="K75" s="7">
        <f t="shared" si="37"/>
        <v>0</v>
      </c>
      <c r="L75" s="40">
        <f>LOOKUP(K75,{0,1,2,3,4,5,6,7,8,9,10},{0,1,2,3,4,5,6,7,8,9,10})</f>
        <v>0</v>
      </c>
      <c r="M75" s="21">
        <f t="shared" si="31"/>
        <v>100</v>
      </c>
      <c r="N75" s="6">
        <v>6.6</v>
      </c>
      <c r="O75" s="43">
        <f t="shared" si="32"/>
        <v>6.4</v>
      </c>
      <c r="P75" s="1">
        <f>LOOKUP(O75,{0,2.5,2.7,2.9,3.1,3.3,3.5,3.7,3.9,4.1,4.3,4.5,4.7,4.9,5.1,5.3,5.5,5.6,5.7,5.8,5.9},{0,10,20,30,40,50,60,62,64,66,68,70,72,74,76,78,80,85,90,95,100})</f>
        <v>100</v>
      </c>
      <c r="Q75" s="6">
        <v>3.41</v>
      </c>
      <c r="R75" s="6">
        <f t="shared" si="33"/>
        <v>6.59</v>
      </c>
      <c r="S75" s="1">
        <f>LOOKUP(R75,{0,3.75,3.95,4.55,4.75,4.95,5.55,5.6,5.65,5.7,5.75,5.8,5.85,5.9,5.95,6,6.45,6.53,6.6,6.65,6.7},{0,10,20,30,40,50,60,62,64,66,68,70,72,74,76,78,80,85,90,95,100})</f>
        <v>85</v>
      </c>
      <c r="T75" s="7"/>
      <c r="U75" s="7"/>
      <c r="V75" s="21">
        <f t="shared" si="34"/>
        <v>85</v>
      </c>
      <c r="X75" s="21">
        <f t="shared" si="26"/>
        <v>63.5</v>
      </c>
      <c r="Y75" s="37">
        <f t="shared" si="35"/>
        <v>90.7142857142857</v>
      </c>
    </row>
    <row r="76" ht="15.6" hidden="1" outlineLevel="2" spans="1:25">
      <c r="A76" s="6">
        <v>102</v>
      </c>
      <c r="B76" s="6">
        <v>28</v>
      </c>
      <c r="C76" s="29" t="s">
        <v>95</v>
      </c>
      <c r="D76" s="29" t="s">
        <v>11</v>
      </c>
      <c r="E76" s="6">
        <v>14</v>
      </c>
      <c r="F76" s="1">
        <f>LOOKUP(E76,{0,-4,-3,-2,-1,0,1,2.4,3.8,5.2,6.6,8,9.4,10.8,12.2,13.6,15,17.2,19.4,21.5,23.6},{0,10,20,30,40,50,60,62,64,66,68,70,72,74,76,78,80,85,90,95,100})</f>
        <v>78</v>
      </c>
      <c r="G76" s="6">
        <v>188</v>
      </c>
      <c r="H76" s="1">
        <f>LOOKUP(G76,{0,170,175,180,185,190,195,199,203,207,211,215,219,223,227,231,235,243,250,255,260},{0,10,20,30,40,50,60,62,64,66,68,70,72,74,76,78,80,85,90,95,100})</f>
        <v>40</v>
      </c>
      <c r="I76" s="6">
        <v>9</v>
      </c>
      <c r="J76" s="1">
        <f>LOOKUP(I76,{0,2,3,4,5,6,7,8,9,10,11,12,13,14,15,16},{0,10,20,30,40,50,60,64,68,72,76,80,85,90,95,100})</f>
        <v>68</v>
      </c>
      <c r="K76" s="7"/>
      <c r="L76" s="7"/>
      <c r="M76" s="21">
        <f t="shared" si="31"/>
        <v>68</v>
      </c>
      <c r="N76" s="6">
        <v>7.6</v>
      </c>
      <c r="O76" s="43">
        <f t="shared" si="32"/>
        <v>5.4</v>
      </c>
      <c r="P76" s="1">
        <f>LOOKUP(O76,{0,2.5,2.7,2.9,3.1,3.3,3.5,3.7,3.9,4.1,4.3,4.5,4.7,4.9,5.1,5.3,5.5,5.6,5.7,5.8,5.9},{0,10,20,30,40,50,60,62,64,66,68,70,72,74,76,78,80,85,90,95,100})</f>
        <v>78</v>
      </c>
      <c r="Q76" s="6">
        <v>4.11</v>
      </c>
      <c r="R76" s="6">
        <f t="shared" si="33"/>
        <v>5.89</v>
      </c>
      <c r="S76" s="1">
        <f>LOOKUP(R76,{0,3.75,3.95,4.55,4.75,4.95,5.55,5.6,5.65,5.7,5.75,5.8,5.85,5.9,5.95,6,6.45,6.53,6.6,6.65,6.7},{0,10,20,30,40,50,60,62,64,66,68,70,72,74,76,78,80,85,90,95,100})</f>
        <v>72</v>
      </c>
      <c r="T76" s="7"/>
      <c r="U76" s="7"/>
      <c r="V76" s="21">
        <f t="shared" si="34"/>
        <v>72</v>
      </c>
      <c r="X76" s="21">
        <f t="shared" si="26"/>
        <v>48.6</v>
      </c>
      <c r="Y76" s="37">
        <f t="shared" si="35"/>
        <v>69.4285714285714</v>
      </c>
    </row>
    <row r="77" ht="15.6" hidden="1" outlineLevel="2" spans="1:25">
      <c r="A77" s="6">
        <v>102</v>
      </c>
      <c r="B77" s="6">
        <v>29</v>
      </c>
      <c r="C77" s="29" t="s">
        <v>96</v>
      </c>
      <c r="D77" s="29" t="s">
        <v>11</v>
      </c>
      <c r="E77" s="6">
        <v>20.5</v>
      </c>
      <c r="F77" s="1">
        <f>LOOKUP(E77,{0,-4,-3,-2,-1,0,1,2.4,3.8,5.2,6.6,8,9.4,10.8,12.2,13.6,15,17.2,19.4,21.5,23.6},{0,10,20,30,40,50,60,62,64,66,68,70,72,74,76,78,80,85,90,95,100})</f>
        <v>90</v>
      </c>
      <c r="G77" s="6">
        <v>237</v>
      </c>
      <c r="H77" s="1">
        <f>LOOKUP(G77,{0,170,175,180,185,190,195,199,203,207,211,215,219,223,227,231,235,243,250,255,260},{0,10,20,30,40,50,60,62,64,66,68,70,72,74,76,78,80,85,90,95,100})</f>
        <v>80</v>
      </c>
      <c r="I77" s="6">
        <v>4</v>
      </c>
      <c r="J77" s="1">
        <f>LOOKUP(I77,{0,2,3,4,5,6,7,8,9,10,11,12,13,14,15,16},{0,10,20,30,40,50,60,64,68,72,76,80,85,90,95,100})</f>
        <v>30</v>
      </c>
      <c r="K77" s="7"/>
      <c r="L77" s="7"/>
      <c r="M77" s="21">
        <f t="shared" si="31"/>
        <v>30</v>
      </c>
      <c r="N77" s="6">
        <v>2.3</v>
      </c>
      <c r="O77" s="43">
        <f t="shared" si="32"/>
        <v>10.7</v>
      </c>
      <c r="P77" s="1">
        <f>LOOKUP(O77,{0,2.5,2.7,2.9,3.1,3.3,3.5,3.7,3.9,4.1,4.3,4.5,4.7,4.9,5.1,5.3,5.5,5.6,5.7,5.8,5.9},{0,10,20,30,40,50,60,62,64,66,68,70,72,74,76,78,80,85,90,95,100})</f>
        <v>100</v>
      </c>
      <c r="Q77" s="6">
        <v>3.42</v>
      </c>
      <c r="R77" s="6">
        <f t="shared" si="33"/>
        <v>6.58</v>
      </c>
      <c r="S77" s="1">
        <f>LOOKUP(R77,{0,3.75,3.95,4.55,4.75,4.95,5.55,5.6,5.65,5.7,5.75,5.8,5.85,5.9,5.95,6,6.45,6.53,6.6,6.65,6.7},{0,10,20,30,40,50,60,62,64,66,68,70,72,74,76,78,80,85,90,95,100})</f>
        <v>85</v>
      </c>
      <c r="T77" s="7"/>
      <c r="U77" s="7"/>
      <c r="V77" s="21">
        <f t="shared" si="34"/>
        <v>85</v>
      </c>
      <c r="X77" s="21">
        <f t="shared" si="26"/>
        <v>57</v>
      </c>
      <c r="Y77" s="37">
        <f t="shared" si="35"/>
        <v>81.4285714285714</v>
      </c>
    </row>
    <row r="78" ht="15.6" hidden="1" outlineLevel="2" spans="1:25">
      <c r="A78" s="6">
        <v>102</v>
      </c>
      <c r="B78" s="6">
        <v>30</v>
      </c>
      <c r="C78" s="29" t="s">
        <v>97</v>
      </c>
      <c r="D78" s="29" t="s">
        <v>11</v>
      </c>
      <c r="E78" s="6">
        <v>15</v>
      </c>
      <c r="F78" s="1">
        <f>LOOKUP(E78,{0,-4,-3,-2,-1,0,1,2.4,3.8,5.2,6.6,8,9.4,10.8,12.2,13.6,15,17.2,19.4,21.5,23.6},{0,10,20,30,40,50,60,62,64,66,68,70,72,74,76,78,80,85,90,95,100})</f>
        <v>80</v>
      </c>
      <c r="G78" s="6">
        <v>233</v>
      </c>
      <c r="H78" s="1">
        <f>LOOKUP(G78,{0,170,175,180,185,190,195,199,203,207,211,215,219,223,227,231,235,243,250,255,260},{0,10,20,30,40,50,60,62,64,66,68,70,72,74,76,78,80,85,90,95,100})</f>
        <v>78</v>
      </c>
      <c r="I78" s="6">
        <v>8</v>
      </c>
      <c r="J78" s="1">
        <f>LOOKUP(I78,{0,2,3,4,5,6,7,8,9,10,11,12,13,14,15,16},{0,10,20,30,40,50,60,64,68,72,76,80,85,90,95,100})</f>
        <v>64</v>
      </c>
      <c r="K78" s="7"/>
      <c r="L78" s="7"/>
      <c r="M78" s="21">
        <f t="shared" si="31"/>
        <v>64</v>
      </c>
      <c r="O78" s="43"/>
      <c r="P78" s="1"/>
      <c r="Q78" s="6">
        <v>3.14</v>
      </c>
      <c r="R78" s="6">
        <f t="shared" si="33"/>
        <v>6.86</v>
      </c>
      <c r="S78" s="1">
        <f>LOOKUP(R78,{0,3.75,3.95,4.55,4.75,4.95,5.55,5.6,5.65,5.7,5.75,5.8,5.85,5.9,5.95,6,6.45,6.53,6.6,6.65,6.7},{0,10,20,30,40,50,60,62,64,66,68,70,72,74,76,78,80,85,90,95,100})</f>
        <v>100</v>
      </c>
      <c r="T78" s="7">
        <f>3.3-Q78</f>
        <v>0.16</v>
      </c>
      <c r="U78" s="40">
        <f>LOOKUP(T78,{0,0.04,0.08,0.12,0.16,0.2,0.23,0.26,0.29,0.32,0.35},{0,1,2,3,4,5,6,7,8,9,10})</f>
        <v>3</v>
      </c>
      <c r="V78" s="21">
        <f t="shared" si="34"/>
        <v>103</v>
      </c>
      <c r="X78" s="21">
        <f t="shared" si="26"/>
        <v>42.2</v>
      </c>
      <c r="Y78" s="37">
        <f t="shared" si="35"/>
        <v>63.2857142857143</v>
      </c>
    </row>
    <row r="79" ht="15.6" hidden="1" outlineLevel="2" spans="1:25">
      <c r="A79" s="6">
        <v>102</v>
      </c>
      <c r="B79" s="6">
        <v>31</v>
      </c>
      <c r="C79" s="29" t="s">
        <v>98</v>
      </c>
      <c r="D79" s="29" t="s">
        <v>11</v>
      </c>
      <c r="E79" s="6">
        <v>10</v>
      </c>
      <c r="F79" s="1">
        <f>LOOKUP(E79,{0,-4,-3,-2,-1,0,1,2.4,3.8,5.2,6.6,8,9.4,10.8,12.2,13.6,15,17.2,19.4,21.5,23.6},{0,10,20,30,40,50,60,62,64,66,68,70,72,74,76,78,80,85,90,95,100})</f>
        <v>72</v>
      </c>
      <c r="G79" s="6">
        <v>209</v>
      </c>
      <c r="H79" s="1">
        <f>LOOKUP(G79,{0,170,175,180,185,190,195,199,203,207,211,215,219,223,227,231,235,243,250,255,260},{0,10,20,30,40,50,60,62,64,66,68,70,72,74,76,78,80,85,90,95,100})</f>
        <v>66</v>
      </c>
      <c r="I79" s="6">
        <v>16</v>
      </c>
      <c r="J79" s="1">
        <f>LOOKUP(I79,{0,2,3,4,5,6,7,8,9,10,11,12,13,14,15,16},{0,10,20,30,40,50,60,64,68,72,76,80,85,90,95,100})</f>
        <v>100</v>
      </c>
      <c r="K79" s="7">
        <f>I79-16</f>
        <v>0</v>
      </c>
      <c r="L79" s="40">
        <f>LOOKUP(K79,{0,1,2,3,4,5,6,7,8,9,10},{0,1,2,3,4,5,6,7,8,9,10})</f>
        <v>0</v>
      </c>
      <c r="M79" s="21">
        <f t="shared" si="31"/>
        <v>100</v>
      </c>
      <c r="N79" s="6">
        <v>7</v>
      </c>
      <c r="O79" s="43">
        <f t="shared" ref="O79:O83" si="38">13-N79</f>
        <v>6</v>
      </c>
      <c r="P79" s="1">
        <f>LOOKUP(O79,{0,2.5,2.7,2.9,3.1,3.3,3.5,3.7,3.9,4.1,4.3,4.5,4.7,4.9,5.1,5.3,5.5,5.6,5.7,5.8,5.9},{0,10,20,30,40,50,60,62,64,66,68,70,72,74,76,78,80,85,90,95,100})</f>
        <v>100</v>
      </c>
      <c r="Q79" s="6">
        <v>4.03</v>
      </c>
      <c r="R79" s="6">
        <f t="shared" si="33"/>
        <v>5.97</v>
      </c>
      <c r="S79" s="1">
        <f>LOOKUP(R79,{0,3.75,3.95,4.55,4.75,4.95,5.55,5.6,5.65,5.7,5.75,5.8,5.85,5.9,5.95,6,6.45,6.53,6.6,6.65,6.7},{0,10,20,30,40,50,60,62,64,66,68,70,72,74,76,78,80,85,90,95,100})</f>
        <v>76</v>
      </c>
      <c r="T79" s="7"/>
      <c r="U79" s="7"/>
      <c r="V79" s="21">
        <f t="shared" si="34"/>
        <v>76</v>
      </c>
      <c r="X79" s="21">
        <f t="shared" si="26"/>
        <v>59</v>
      </c>
      <c r="Y79" s="37">
        <f t="shared" si="35"/>
        <v>84.2857142857143</v>
      </c>
    </row>
    <row r="80" ht="15.6" hidden="1" outlineLevel="2" spans="1:25">
      <c r="A80" s="6">
        <v>102</v>
      </c>
      <c r="B80" s="6">
        <v>32</v>
      </c>
      <c r="C80" s="39" t="s">
        <v>100</v>
      </c>
      <c r="D80" s="29" t="s">
        <v>46</v>
      </c>
      <c r="F80" s="1"/>
      <c r="H80" s="1"/>
      <c r="J80" s="1"/>
      <c r="K80" s="45"/>
      <c r="L80" s="45"/>
      <c r="M80" s="21"/>
      <c r="O80" s="43"/>
      <c r="P80" s="1"/>
      <c r="S80" s="1"/>
      <c r="T80" s="48"/>
      <c r="U80" s="40"/>
      <c r="V80" s="21"/>
      <c r="W80" s="6" t="s">
        <v>84</v>
      </c>
      <c r="X80" s="21">
        <f t="shared" si="26"/>
        <v>0</v>
      </c>
      <c r="Y80" s="37">
        <v>50</v>
      </c>
    </row>
    <row r="81" ht="15.6" hidden="1" outlineLevel="2" spans="1:25">
      <c r="A81" s="6">
        <v>102</v>
      </c>
      <c r="B81" s="6">
        <v>33</v>
      </c>
      <c r="C81" s="29" t="s">
        <v>101</v>
      </c>
      <c r="D81" s="29" t="s">
        <v>46</v>
      </c>
      <c r="E81" s="6">
        <v>16</v>
      </c>
      <c r="F81" s="1">
        <f>LOOKUP(E81,{0,0.4,1.2,2,2.8,3.6,4.4,5.7,7,8.3,9.6,10.9,12.2,13.5,14.8,16.1,17.4,19.1,20.8,22.5,24.2},{0,10,20,30,40,50,60,62,64,66,68,70,72,74,76,78,80,85,90,95,100})</f>
        <v>76</v>
      </c>
      <c r="G81" s="6">
        <v>185</v>
      </c>
      <c r="H81" s="1">
        <f>LOOKUP(G81,{0,123,128,133,138,143,148,151,154,157,160,163,166,169,172,175,178,185,192,198,204},{0,10,20,30,40,50,60,62,64,66,68,70,72,74,76,78,80,85,90,95,100})</f>
        <v>85</v>
      </c>
      <c r="I81" s="6">
        <v>49</v>
      </c>
      <c r="J81" s="1">
        <f>LOOKUP(I81,{0,13,15,17,19,21,23,25,27,29,31,33,35,37,39,41,43,46,49,51,53},{0,10,20,30,40,50,60,62,64,66,68,70,72,74,76,78,80,85,90,95,100})</f>
        <v>90</v>
      </c>
      <c r="K81" s="45"/>
      <c r="L81" s="45"/>
      <c r="M81" s="21">
        <f t="shared" ref="M81:M97" si="39">J81+L81</f>
        <v>90</v>
      </c>
      <c r="N81" s="6">
        <v>8.4</v>
      </c>
      <c r="O81" s="43">
        <f t="shared" si="38"/>
        <v>4.6</v>
      </c>
      <c r="P81" s="1">
        <f>LOOKUP(O81,{0,1.4,1.6,1.8,2,2.2,2.4,2.6,2.8,3,3.2,3.4,3.6,3.8,4,4.2,4.4,4.7,5,5.1,5.2},{0,10,20,30,40,50,60,62,64,66,68,70,72,74,76,78,80,85,90,95,100})</f>
        <v>80</v>
      </c>
      <c r="Q81" s="6">
        <v>3.15</v>
      </c>
      <c r="R81" s="6">
        <f t="shared" ref="R81:R97" si="40">10-Q81</f>
        <v>6.85</v>
      </c>
      <c r="S81" s="1">
        <f>LOOKUP(R81,{0,4.7,4.8,4.9,5,5.5,5.6,5.65,5.7,5.75,5.8,5.85,5.9,5.95,6,6.45,6.5,6.57,6.64,6.7,6.76},{0,10,20,30,40,50,60,62,64,66,68,70,72,74,76,78,80,85,90,95,100})</f>
        <v>100</v>
      </c>
      <c r="T81" s="48">
        <f t="shared" ref="T81:T84" si="41">3.24-Q81</f>
        <v>0.0900000000000003</v>
      </c>
      <c r="U81" s="40">
        <f>LOOKUP(T81,{0,0.05,0.1,0.15,0.2,0.25,0.3,0.35,0.4,0.45,0.5},{0,1,2,3,4,5,6,7,8,9,10})</f>
        <v>1</v>
      </c>
      <c r="V81" s="21">
        <f t="shared" ref="V81:V97" si="42">S81+U81</f>
        <v>101</v>
      </c>
      <c r="X81" s="21">
        <f t="shared" si="26"/>
        <v>61.1</v>
      </c>
      <c r="Y81" s="37">
        <f t="shared" ref="Y81:Y96" si="43">X81/0.7+L81+U81</f>
        <v>88.2857142857143</v>
      </c>
    </row>
    <row r="82" ht="15.6" hidden="1" outlineLevel="2" spans="1:25">
      <c r="A82" s="6">
        <v>102</v>
      </c>
      <c r="B82" s="6">
        <v>34</v>
      </c>
      <c r="C82" s="29" t="s">
        <v>102</v>
      </c>
      <c r="D82" s="29" t="s">
        <v>46</v>
      </c>
      <c r="E82" s="6">
        <v>27</v>
      </c>
      <c r="F82" s="1">
        <f>LOOKUP(E82,{0,0.4,1.2,2,2.8,3.6,4.4,5.7,7,8.3,9.6,10.9,12.2,13.5,14.8,16.1,17.4,19.1,20.8,22.5,24.2},{0,10,20,30,40,50,60,62,64,66,68,70,72,74,76,78,80,85,90,95,100})</f>
        <v>100</v>
      </c>
      <c r="G82" s="6">
        <v>214</v>
      </c>
      <c r="H82" s="1">
        <f>LOOKUP(G82,{0,123,128,133,138,143,148,151,154,157,160,163,166,169,172,175,178,185,192,198,204},{0,10,20,30,40,50,60,62,64,66,68,70,72,74,76,78,80,85,90,95,100})</f>
        <v>100</v>
      </c>
      <c r="I82" s="6">
        <v>51</v>
      </c>
      <c r="J82" s="1">
        <f>LOOKUP(I82,{0,13,15,17,19,21,23,25,27,29,31,33,35,37,39,41,43,46,49,51,53},{0,10,20,30,40,50,60,62,64,66,68,70,72,74,76,78,80,85,90,95,100})</f>
        <v>95</v>
      </c>
      <c r="K82" s="45"/>
      <c r="L82" s="45"/>
      <c r="M82" s="21">
        <f t="shared" si="39"/>
        <v>95</v>
      </c>
      <c r="N82" s="6">
        <v>8.6</v>
      </c>
      <c r="O82" s="43">
        <f t="shared" si="38"/>
        <v>4.4</v>
      </c>
      <c r="P82" s="1">
        <f>LOOKUP(O82,{0,1.4,1.6,1.8,2,2.2,2.4,2.6,2.8,3,3.2,3.4,3.6,3.8,4,4.2,4.4,4.7,5,5.1,5.2},{0,10,20,30,40,50,60,62,64,66,68,70,72,74,76,78,80,85,90,95,100})</f>
        <v>80</v>
      </c>
      <c r="Q82" s="6">
        <v>3.23</v>
      </c>
      <c r="R82" s="6">
        <f t="shared" si="40"/>
        <v>6.77</v>
      </c>
      <c r="S82" s="1">
        <f>LOOKUP(R82,{0,4.7,4.8,4.9,5,5.5,5.6,5.65,5.7,5.75,5.8,5.85,5.9,5.95,6,6.45,6.5,6.57,6.64,6.7,6.76},{0,10,20,30,40,50,60,62,64,66,68,70,72,74,76,78,80,85,90,95,100})</f>
        <v>100</v>
      </c>
      <c r="T82" s="48">
        <f t="shared" si="41"/>
        <v>0.0100000000000002</v>
      </c>
      <c r="U82" s="40">
        <f>LOOKUP(T82,{0,0.05,0.1,0.15,0.2,0.25,0.3,0.35,0.4,0.45,0.5},{0,1,2,3,4,5,6,7,8,9,10})</f>
        <v>0</v>
      </c>
      <c r="V82" s="21">
        <f t="shared" si="42"/>
        <v>100</v>
      </c>
      <c r="X82" s="21">
        <f t="shared" si="26"/>
        <v>65.5</v>
      </c>
      <c r="Y82" s="37">
        <f t="shared" si="43"/>
        <v>93.5714285714286</v>
      </c>
    </row>
    <row r="83" ht="15.6" hidden="1" outlineLevel="2" spans="1:25">
      <c r="A83" s="6">
        <v>102</v>
      </c>
      <c r="B83" s="6">
        <v>35</v>
      </c>
      <c r="C83" s="29" t="s">
        <v>103</v>
      </c>
      <c r="D83" s="29" t="s">
        <v>46</v>
      </c>
      <c r="E83" s="6">
        <v>6.4</v>
      </c>
      <c r="F83" s="1">
        <f>LOOKUP(E83,{0,0.4,1.2,2,2.8,3.6,4.4,5.7,7,8.3,9.6,10.9,12.2,13.5,14.8,16.1,17.4,19.1,20.8,22.5,24.2},{0,10,20,30,40,50,60,62,64,66,68,70,72,74,76,78,80,85,90,95,100})</f>
        <v>62</v>
      </c>
      <c r="G83" s="6">
        <v>178</v>
      </c>
      <c r="H83" s="1">
        <f>LOOKUP(G83,{0,123,128,133,138,143,148,151,154,157,160,163,166,169,172,175,178,185,192,198,204},{0,10,20,30,40,50,60,62,64,66,68,70,72,74,76,78,80,85,90,95,100})</f>
        <v>80</v>
      </c>
      <c r="I83" s="6">
        <v>41</v>
      </c>
      <c r="J83" s="1">
        <f>LOOKUP(I83,{0,13,15,17,19,21,23,25,27,29,31,33,35,37,39,41,43,46,49,51,53},{0,10,20,30,40,50,60,62,64,66,68,70,72,74,76,78,80,85,90,95,100})</f>
        <v>78</v>
      </c>
      <c r="K83" s="45"/>
      <c r="L83" s="45"/>
      <c r="M83" s="21">
        <f t="shared" si="39"/>
        <v>78</v>
      </c>
      <c r="N83" s="6">
        <v>9.4</v>
      </c>
      <c r="O83" s="43">
        <f t="shared" si="38"/>
        <v>3.6</v>
      </c>
      <c r="P83" s="1">
        <f>LOOKUP(O83,{0,1.4,1.6,1.8,2,2.2,2.4,2.6,2.8,3,3.2,3.4,3.6,3.8,4,4.2,4.4,4.7,5,5.1,5.2},{0,10,20,30,40,50,60,62,64,66,68,70,72,74,76,78,80,85,90,95,100})</f>
        <v>72</v>
      </c>
      <c r="Q83" s="6">
        <v>3.49</v>
      </c>
      <c r="R83" s="6">
        <f t="shared" si="40"/>
        <v>6.51</v>
      </c>
      <c r="S83" s="1">
        <f>LOOKUP(R83,{0,4.7,4.8,4.9,5,5.5,5.6,5.65,5.7,5.75,5.8,5.85,5.9,5.95,6,6.45,6.5,6.57,6.64,6.7,6.76},{0,10,20,30,40,50,60,62,64,66,68,70,72,74,76,78,80,85,90,95,100})</f>
        <v>80</v>
      </c>
      <c r="T83" s="45"/>
      <c r="U83" s="45"/>
      <c r="V83" s="21">
        <f t="shared" si="42"/>
        <v>80</v>
      </c>
      <c r="X83" s="21">
        <f t="shared" si="26"/>
        <v>52.4</v>
      </c>
      <c r="Y83" s="37">
        <f t="shared" si="43"/>
        <v>74.8571428571429</v>
      </c>
    </row>
    <row r="84" s="3" customFormat="1" ht="15.6" hidden="1" outlineLevel="2" spans="1:25">
      <c r="A84" s="6">
        <v>102</v>
      </c>
      <c r="B84" s="6">
        <v>36</v>
      </c>
      <c r="C84" s="29" t="s">
        <v>104</v>
      </c>
      <c r="D84" s="29" t="s">
        <v>46</v>
      </c>
      <c r="E84" s="6">
        <v>17.5</v>
      </c>
      <c r="F84" s="1">
        <f>LOOKUP(E84,{0,0.4,1.2,2,2.8,3.6,4.4,5.7,7,8.3,9.6,10.9,12.2,13.5,14.8,16.1,17.4,19.1,20.8,22.5,24.2},{0,10,20,30,40,50,60,62,64,66,68,70,72,74,76,78,80,85,90,95,100})</f>
        <v>80</v>
      </c>
      <c r="G84" s="6">
        <v>210</v>
      </c>
      <c r="H84" s="1">
        <f>LOOKUP(G84,{0,123,128,133,138,143,148,151,154,157,160,163,166,169,172,175,178,185,192,198,204},{0,10,20,30,40,50,60,62,64,66,68,70,72,74,76,78,80,85,90,95,100})</f>
        <v>100</v>
      </c>
      <c r="I84" s="6">
        <v>50</v>
      </c>
      <c r="J84" s="1">
        <f>LOOKUP(I84,{0,13,15,17,19,21,23,25,27,29,31,33,35,37,39,41,43,46,49,51,53},{0,10,20,30,40,50,60,62,64,66,68,70,72,74,76,78,80,85,90,95,100})</f>
        <v>90</v>
      </c>
      <c r="K84" s="45"/>
      <c r="L84" s="45"/>
      <c r="M84" s="21">
        <f t="shared" si="39"/>
        <v>90</v>
      </c>
      <c r="N84" s="6"/>
      <c r="O84" s="43"/>
      <c r="P84" s="1"/>
      <c r="Q84" s="6">
        <v>3.1</v>
      </c>
      <c r="R84" s="6">
        <f t="shared" si="40"/>
        <v>6.9</v>
      </c>
      <c r="S84" s="1">
        <f>LOOKUP(R84,{0,4.7,4.8,4.9,5,5.5,5.6,5.65,5.7,5.75,5.8,5.85,5.9,5.95,6,6.45,6.5,6.57,6.64,6.7,6.76},{0,10,20,30,40,50,60,62,64,66,68,70,72,74,76,78,80,85,90,95,100})</f>
        <v>100</v>
      </c>
      <c r="T84" s="48">
        <f t="shared" si="41"/>
        <v>0.14</v>
      </c>
      <c r="U84" s="40">
        <f>LOOKUP(T84,{0,0.05,0.1,0.15,0.2,0.25,0.3,0.35,0.4,0.45,0.5},{0,1,2,3,4,5,6,7,8,9,10})</f>
        <v>2</v>
      </c>
      <c r="V84" s="21">
        <f t="shared" si="42"/>
        <v>102</v>
      </c>
      <c r="W84" s="6"/>
      <c r="X84" s="21">
        <f t="shared" si="26"/>
        <v>47</v>
      </c>
      <c r="Y84" s="37">
        <f t="shared" si="43"/>
        <v>69.1428571428572</v>
      </c>
    </row>
    <row r="85" ht="15.6" hidden="1" outlineLevel="2" spans="1:25">
      <c r="A85" s="6">
        <v>102</v>
      </c>
      <c r="B85" s="6">
        <v>37</v>
      </c>
      <c r="C85" s="29" t="s">
        <v>105</v>
      </c>
      <c r="D85" s="29" t="s">
        <v>46</v>
      </c>
      <c r="E85" s="6">
        <v>15.2</v>
      </c>
      <c r="F85" s="1">
        <f>LOOKUP(E85,{0,0.4,1.2,2,2.8,3.6,4.4,5.7,7,8.3,9.6,10.9,12.2,13.5,14.8,16.1,17.4,19.1,20.8,22.5,24.2},{0,10,20,30,40,50,60,62,64,66,68,70,72,74,76,78,80,85,90,95,100})</f>
        <v>76</v>
      </c>
      <c r="G85" s="6">
        <v>210</v>
      </c>
      <c r="H85" s="1">
        <f>LOOKUP(G85,{0,123,128,133,138,143,148,151,154,157,160,163,166,169,172,175,178,185,192,198,204},{0,10,20,30,40,50,60,62,64,66,68,70,72,74,76,78,80,85,90,95,100})</f>
        <v>100</v>
      </c>
      <c r="I85" s="6">
        <v>50</v>
      </c>
      <c r="J85" s="1">
        <f>LOOKUP(I85,{0,13,15,17,19,21,23,25,27,29,31,33,35,37,39,41,43,46,49,51,53},{0,10,20,30,40,50,60,62,64,66,68,70,72,74,76,78,80,85,90,95,100})</f>
        <v>90</v>
      </c>
      <c r="K85" s="45"/>
      <c r="L85" s="45"/>
      <c r="M85" s="21">
        <f t="shared" si="39"/>
        <v>90</v>
      </c>
      <c r="N85" s="6">
        <v>7.9</v>
      </c>
      <c r="O85" s="43">
        <f t="shared" ref="O85:O96" si="44">13-N85</f>
        <v>5.1</v>
      </c>
      <c r="P85" s="1">
        <f>LOOKUP(O85,{0,1.4,1.6,1.8,2,2.2,2.4,2.6,2.8,3,3.2,3.4,3.6,3.8,4,4.2,4.4,4.7,5,5.1,5.2},{0,10,20,30,40,50,60,62,64,66,68,70,72,74,76,78,80,85,90,95,100})</f>
        <v>95</v>
      </c>
      <c r="Q85" s="6">
        <v>3.3</v>
      </c>
      <c r="R85" s="6">
        <f t="shared" si="40"/>
        <v>6.7</v>
      </c>
      <c r="S85" s="1">
        <f>LOOKUP(R85,{0,4.7,4.8,4.9,5,5.5,5.6,5.65,5.7,5.75,5.8,5.85,5.9,5.95,6,6.45,6.5,6.57,6.64,6.7,6.76},{0,10,20,30,40,50,60,62,64,66,68,70,72,74,76,78,80,85,90,95,100})</f>
        <v>95</v>
      </c>
      <c r="T85" s="45"/>
      <c r="U85" s="45"/>
      <c r="V85" s="21">
        <f t="shared" si="42"/>
        <v>95</v>
      </c>
      <c r="X85" s="21">
        <f t="shared" si="26"/>
        <v>64.6</v>
      </c>
      <c r="Y85" s="37">
        <f t="shared" si="43"/>
        <v>92.2857142857143</v>
      </c>
    </row>
    <row r="86" ht="15.6" hidden="1" outlineLevel="2" spans="1:25">
      <c r="A86" s="6">
        <v>102</v>
      </c>
      <c r="B86" s="6">
        <v>38</v>
      </c>
      <c r="C86" s="29" t="s">
        <v>106</v>
      </c>
      <c r="D86" s="29" t="s">
        <v>46</v>
      </c>
      <c r="E86" s="6">
        <v>17.5</v>
      </c>
      <c r="F86" s="1">
        <f>LOOKUP(E86,{0,0.4,1.2,2,2.8,3.6,4.4,5.7,7,8.3,9.6,10.9,12.2,13.5,14.8,16.1,17.4,19.1,20.8,22.5,24.2},{0,10,20,30,40,50,60,62,64,66,68,70,72,74,76,78,80,85,90,95,100})</f>
        <v>80</v>
      </c>
      <c r="G86" s="6">
        <v>176</v>
      </c>
      <c r="H86" s="1">
        <f>LOOKUP(G86,{0,123,128,133,138,143,148,151,154,157,160,163,166,169,172,175,178,185,192,198,204},{0,10,20,30,40,50,60,62,64,66,68,70,72,74,76,78,80,85,90,95,100})</f>
        <v>78</v>
      </c>
      <c r="I86" s="6">
        <v>55</v>
      </c>
      <c r="J86" s="1">
        <f>LOOKUP(I86,{0,13,15,17,19,21,23,25,27,29,31,33,35,37,39,41,43,46,49,51,53},{0,10,20,30,40,50,60,62,64,66,68,70,72,74,76,78,80,85,90,95,100})</f>
        <v>100</v>
      </c>
      <c r="K86" s="45">
        <f>I86-53</f>
        <v>2</v>
      </c>
      <c r="L86" s="40">
        <f>LOOKUP(K86,{0,2,4,6,7,8,9,10,11,12,13},{0,1,2,3,4,5,6,7,8,9,10})</f>
        <v>1</v>
      </c>
      <c r="M86" s="21">
        <f t="shared" si="39"/>
        <v>101</v>
      </c>
      <c r="N86" s="6">
        <v>8.7</v>
      </c>
      <c r="O86" s="43">
        <f t="shared" si="44"/>
        <v>4.3</v>
      </c>
      <c r="P86" s="1">
        <f>LOOKUP(O86,{0,1.4,1.6,1.8,2,2.2,2.4,2.6,2.8,3,3.2,3.4,3.6,3.8,4,4.2,4.4,4.7,5,5.1,5.2},{0,10,20,30,40,50,60,62,64,66,68,70,72,74,76,78,80,85,90,95,100})</f>
        <v>78</v>
      </c>
      <c r="Q86" s="6">
        <v>3.09</v>
      </c>
      <c r="R86" s="6">
        <f t="shared" si="40"/>
        <v>6.91</v>
      </c>
      <c r="S86" s="1">
        <f>LOOKUP(R86,{0,4.7,4.8,4.9,5,5.5,5.6,5.65,5.7,5.75,5.8,5.85,5.9,5.95,6,6.45,6.5,6.57,6.64,6.7,6.76},{0,10,20,30,40,50,60,62,64,66,68,70,72,74,76,78,80,85,90,95,100})</f>
        <v>100</v>
      </c>
      <c r="T86" s="48">
        <f>3.24-Q86</f>
        <v>0.15</v>
      </c>
      <c r="U86" s="40">
        <f>LOOKUP(T86,{0,0.05,0.1,0.15,0.2,0.25,0.3,0.35,0.4,0.45,0.5},{0,1,2,3,4,5,6,7,8,9,10})</f>
        <v>3</v>
      </c>
      <c r="V86" s="21">
        <f t="shared" si="42"/>
        <v>103</v>
      </c>
      <c r="X86" s="21">
        <f t="shared" si="26"/>
        <v>61.4</v>
      </c>
      <c r="Y86" s="37">
        <f t="shared" si="43"/>
        <v>91.7142857142857</v>
      </c>
    </row>
    <row r="87" ht="15.6" hidden="1" outlineLevel="2" spans="1:25">
      <c r="A87" s="6">
        <v>102</v>
      </c>
      <c r="B87" s="6">
        <v>39</v>
      </c>
      <c r="C87" s="29" t="s">
        <v>107</v>
      </c>
      <c r="D87" s="29" t="s">
        <v>46</v>
      </c>
      <c r="E87" s="6">
        <v>27</v>
      </c>
      <c r="F87" s="1">
        <f>LOOKUP(E87,{0,0.4,1.2,2,2.8,3.6,4.4,5.7,7,8.3,9.6,10.9,12.2,13.5,14.8,16.1,17.4,19.1,20.8,22.5,24.2},{0,10,20,30,40,50,60,62,64,66,68,70,72,74,76,78,80,85,90,95,100})</f>
        <v>100</v>
      </c>
      <c r="G87" s="6">
        <v>155</v>
      </c>
      <c r="H87" s="1">
        <f>LOOKUP(G87,{0,123,128,133,138,143,148,151,154,157,160,163,166,169,172,175,178,185,192,198,204},{0,10,20,30,40,50,60,62,64,66,68,70,72,74,76,78,80,85,90,95,100})</f>
        <v>64</v>
      </c>
      <c r="I87" s="6">
        <v>34</v>
      </c>
      <c r="J87" s="1">
        <f>LOOKUP(I87,{0,13,15,17,19,21,23,25,27,29,31,33,35,37,39,41,43,46,49,51,53},{0,10,20,30,40,50,60,62,64,66,68,70,72,74,76,78,80,85,90,95,100})</f>
        <v>70</v>
      </c>
      <c r="K87" s="45"/>
      <c r="L87" s="45"/>
      <c r="M87" s="21">
        <f t="shared" si="39"/>
        <v>70</v>
      </c>
      <c r="N87" s="6">
        <v>9.4</v>
      </c>
      <c r="O87" s="43">
        <f t="shared" si="44"/>
        <v>3.6</v>
      </c>
      <c r="P87" s="1">
        <f>LOOKUP(O87,{0,1.4,1.6,1.8,2,2.2,2.4,2.6,2.8,3,3.2,3.4,3.6,3.8,4,4.2,4.4,4.7,5,5.1,5.2},{0,10,20,30,40,50,60,62,64,66,68,70,72,74,76,78,80,85,90,95,100})</f>
        <v>72</v>
      </c>
      <c r="Q87" s="6">
        <v>3.48</v>
      </c>
      <c r="R87" s="6">
        <f t="shared" si="40"/>
        <v>6.52</v>
      </c>
      <c r="S87" s="1">
        <f>LOOKUP(R87,{0,4.7,4.8,4.9,5,5.5,5.6,5.65,5.7,5.75,5.8,5.85,5.9,5.95,6,6.45,6.5,6.57,6.64,6.7,6.76},{0,10,20,30,40,50,60,62,64,66,68,70,72,74,76,78,80,85,90,95,100})</f>
        <v>80</v>
      </c>
      <c r="T87" s="45"/>
      <c r="U87" s="45"/>
      <c r="V87" s="21">
        <f t="shared" si="42"/>
        <v>80</v>
      </c>
      <c r="X87" s="21">
        <f t="shared" si="26"/>
        <v>53.8</v>
      </c>
      <c r="Y87" s="37">
        <f t="shared" si="43"/>
        <v>76.8571428571429</v>
      </c>
    </row>
    <row r="88" ht="15.6" hidden="1" outlineLevel="2" spans="1:25">
      <c r="A88" s="6">
        <v>102</v>
      </c>
      <c r="B88" s="6">
        <v>40</v>
      </c>
      <c r="C88" s="39" t="s">
        <v>109</v>
      </c>
      <c r="D88" s="29" t="s">
        <v>46</v>
      </c>
      <c r="E88" s="6">
        <v>22</v>
      </c>
      <c r="F88" s="1">
        <f>LOOKUP(E88,{0,0.4,1.2,2,2.8,3.6,4.4,5.7,7,8.3,9.6,10.9,12.2,13.5,14.8,16.1,17.4,19.1,20.8,22.5,24.2},{0,10,20,30,40,50,60,62,64,66,68,70,72,74,76,78,80,85,90,95,100})</f>
        <v>90</v>
      </c>
      <c r="G88" s="6">
        <v>200</v>
      </c>
      <c r="H88" s="1">
        <f>LOOKUP(G88,{0,123,128,133,138,143,148,151,154,157,160,163,166,169,172,175,178,185,192,198,204},{0,10,20,30,40,50,60,62,64,66,68,70,72,74,76,78,80,85,90,95,100})</f>
        <v>95</v>
      </c>
      <c r="I88" s="6">
        <v>44</v>
      </c>
      <c r="J88" s="1">
        <f>LOOKUP(I88,{0,13,15,17,19,21,23,25,27,29,31,33,35,37,39,41,43,46,49,51,53},{0,10,20,30,40,50,60,62,64,66,68,70,72,74,76,78,80,85,90,95,100})</f>
        <v>80</v>
      </c>
      <c r="K88" s="45"/>
      <c r="L88" s="45"/>
      <c r="M88" s="21">
        <f t="shared" si="39"/>
        <v>80</v>
      </c>
      <c r="N88" s="6">
        <v>7.9</v>
      </c>
      <c r="O88" s="43">
        <f t="shared" si="44"/>
        <v>5.1</v>
      </c>
      <c r="P88" s="1">
        <f>LOOKUP(O88,{0,1.4,1.6,1.8,2,2.2,2.4,2.6,2.8,3,3.2,3.4,3.6,3.8,4,4.2,4.4,4.7,5,5.1,5.2},{0,10,20,30,40,50,60,62,64,66,68,70,72,74,76,78,80,85,90,95,100})</f>
        <v>95</v>
      </c>
      <c r="Q88" s="6">
        <v>3.31</v>
      </c>
      <c r="R88" s="6">
        <f t="shared" si="40"/>
        <v>6.69</v>
      </c>
      <c r="S88" s="1">
        <f>LOOKUP(R88,{0,4.7,4.8,4.9,5,5.5,5.6,5.65,5.7,5.75,5.8,5.85,5.9,5.95,6,6.45,6.5,6.57,6.64,6.7,6.76},{0,10,20,30,40,50,60,62,64,66,68,70,72,74,76,78,80,85,90,95,100})</f>
        <v>90</v>
      </c>
      <c r="T88" s="45"/>
      <c r="U88" s="45"/>
      <c r="V88" s="21">
        <f t="shared" si="42"/>
        <v>90</v>
      </c>
      <c r="X88" s="21">
        <f t="shared" si="26"/>
        <v>63.5</v>
      </c>
      <c r="Y88" s="37">
        <f t="shared" si="43"/>
        <v>90.7142857142857</v>
      </c>
    </row>
    <row r="89" ht="15.6" hidden="1" outlineLevel="2" spans="1:25">
      <c r="A89" s="6">
        <v>102</v>
      </c>
      <c r="B89" s="6">
        <v>41</v>
      </c>
      <c r="C89" s="29" t="s">
        <v>110</v>
      </c>
      <c r="D89" s="29" t="s">
        <v>46</v>
      </c>
      <c r="E89" s="6">
        <v>4</v>
      </c>
      <c r="F89" s="1">
        <f>LOOKUP(E89,{0,0.4,1.2,2,2.8,3.6,4.4,5.7,7,8.3,9.6,10.9,12.2,13.5,14.8,16.1,17.4,19.1,20.8,22.5,24.2},{0,10,20,30,40,50,60,62,64,66,68,70,72,74,76,78,80,85,90,95,100})</f>
        <v>50</v>
      </c>
      <c r="G89" s="6">
        <v>165</v>
      </c>
      <c r="H89" s="1">
        <f>LOOKUP(G89,{0,123,128,133,138,143,148,151,154,157,160,163,166,169,172,175,178,185,192,198,204},{0,10,20,30,40,50,60,62,64,66,68,70,72,74,76,78,80,85,90,95,100})</f>
        <v>70</v>
      </c>
      <c r="I89" s="6">
        <v>49</v>
      </c>
      <c r="J89" s="1">
        <f>LOOKUP(I89,{0,13,15,17,19,21,23,25,27,29,31,33,35,37,39,41,43,46,49,51,53},{0,10,20,30,40,50,60,62,64,66,68,70,72,74,76,78,80,85,90,95,100})</f>
        <v>90</v>
      </c>
      <c r="K89" s="45"/>
      <c r="L89" s="45"/>
      <c r="M89" s="21">
        <f t="shared" si="39"/>
        <v>90</v>
      </c>
      <c r="N89" s="6">
        <v>10.5</v>
      </c>
      <c r="O89" s="43">
        <f t="shared" si="44"/>
        <v>2.5</v>
      </c>
      <c r="P89" s="1">
        <f>LOOKUP(O89,{0,1.4,1.6,1.8,2,2.2,2.4,2.6,2.8,3,3.2,3.4,3.6,3.8,4,4.2,4.4,4.7,5,5.1,5.2},{0,10,20,30,40,50,60,62,64,66,68,70,72,74,76,78,80,85,90,95,100})</f>
        <v>60</v>
      </c>
      <c r="Q89" s="6">
        <v>4.07</v>
      </c>
      <c r="R89" s="6">
        <f t="shared" si="40"/>
        <v>5.93</v>
      </c>
      <c r="S89" s="1">
        <f>LOOKUP(R89,{0,4.7,4.8,4.9,5,5.5,5.6,5.65,5.7,5.75,5.8,5.85,5.9,5.95,6,6.45,6.5,6.57,6.64,6.7,6.76},{0,10,20,30,40,50,60,62,64,66,68,70,72,74,76,78,80,85,90,95,100})</f>
        <v>72</v>
      </c>
      <c r="T89" s="45"/>
      <c r="U89" s="45"/>
      <c r="V89" s="21">
        <f t="shared" si="42"/>
        <v>72</v>
      </c>
      <c r="X89" s="21">
        <f t="shared" si="26"/>
        <v>47.4</v>
      </c>
      <c r="Y89" s="37">
        <f t="shared" si="43"/>
        <v>67.7142857142857</v>
      </c>
    </row>
    <row r="90" ht="15.6" hidden="1" outlineLevel="2" spans="1:25">
      <c r="A90" s="6">
        <v>102</v>
      </c>
      <c r="B90" s="6">
        <v>42</v>
      </c>
      <c r="C90" s="29" t="s">
        <v>111</v>
      </c>
      <c r="D90" s="29" t="s">
        <v>46</v>
      </c>
      <c r="E90" s="6">
        <v>22.6</v>
      </c>
      <c r="F90" s="1">
        <f>LOOKUP(E90,{0,0.4,1.2,2,2.8,3.6,4.4,5.7,7,8.3,9.6,10.9,12.2,13.5,14.8,16.1,17.4,19.1,20.8,22.5,24.2},{0,10,20,30,40,50,60,62,64,66,68,70,72,74,76,78,80,85,90,95,100})</f>
        <v>95</v>
      </c>
      <c r="G90" s="6">
        <v>170</v>
      </c>
      <c r="H90" s="1">
        <f>LOOKUP(G90,{0,123,128,133,138,143,148,151,154,157,160,163,166,169,172,175,178,185,192,198,204},{0,10,20,30,40,50,60,62,64,66,68,70,72,74,76,78,80,85,90,95,100})</f>
        <v>74</v>
      </c>
      <c r="I90" s="6">
        <v>49</v>
      </c>
      <c r="J90" s="1">
        <f>LOOKUP(I90,{0,13,15,17,19,21,23,25,27,29,31,33,35,37,39,41,43,46,49,51,53},{0,10,20,30,40,50,60,62,64,66,68,70,72,74,76,78,80,85,90,95,100})</f>
        <v>90</v>
      </c>
      <c r="K90" s="45"/>
      <c r="L90" s="45"/>
      <c r="M90" s="21">
        <f t="shared" si="39"/>
        <v>90</v>
      </c>
      <c r="N90" s="6">
        <v>8.8</v>
      </c>
      <c r="O90" s="43">
        <f t="shared" si="44"/>
        <v>4.2</v>
      </c>
      <c r="P90" s="1">
        <f>LOOKUP(O90,{0,1.4,1.6,1.8,2,2.2,2.4,2.6,2.8,3,3.2,3.4,3.6,3.8,4,4.2,4.4,4.7,5,5.1,5.2},{0,10,20,30,40,50,60,62,64,66,68,70,72,74,76,78,80,85,90,95,100})</f>
        <v>78</v>
      </c>
      <c r="Q90" s="6">
        <v>3.32</v>
      </c>
      <c r="R90" s="6">
        <f t="shared" si="40"/>
        <v>6.68</v>
      </c>
      <c r="S90" s="1">
        <f>LOOKUP(R90,{0,4.7,4.8,4.9,5,5.5,5.6,5.65,5.7,5.75,5.8,5.85,5.9,5.95,6,6.45,6.5,6.57,6.64,6.7,6.76},{0,10,20,30,40,50,60,62,64,66,68,70,72,74,76,78,80,85,90,95,100})</f>
        <v>90</v>
      </c>
      <c r="T90" s="45"/>
      <c r="U90" s="45"/>
      <c r="V90" s="21">
        <f t="shared" si="42"/>
        <v>90</v>
      </c>
      <c r="X90" s="21">
        <f t="shared" si="26"/>
        <v>59.5</v>
      </c>
      <c r="Y90" s="37">
        <f t="shared" si="43"/>
        <v>85</v>
      </c>
    </row>
    <row r="91" ht="15.6" hidden="1" outlineLevel="2" spans="1:25">
      <c r="A91" s="6">
        <v>102</v>
      </c>
      <c r="B91" s="6">
        <v>43</v>
      </c>
      <c r="C91" s="29" t="s">
        <v>112</v>
      </c>
      <c r="D91" s="29" t="s">
        <v>46</v>
      </c>
      <c r="E91" s="6">
        <v>9.5</v>
      </c>
      <c r="F91" s="1">
        <f>LOOKUP(E91,{0,0.4,1.2,2,2.8,3.6,4.4,5.7,7,8.3,9.6,10.9,12.2,13.5,14.8,16.1,17.4,19.1,20.8,22.5,24.2},{0,10,20,30,40,50,60,62,64,66,68,70,72,74,76,78,80,85,90,95,100})</f>
        <v>66</v>
      </c>
      <c r="G91" s="6">
        <v>180</v>
      </c>
      <c r="H91" s="1">
        <f>LOOKUP(G91,{0,123,128,133,138,143,148,151,154,157,160,163,166,169,172,175,178,185,192,198,204},{0,10,20,30,40,50,60,62,64,66,68,70,72,74,76,78,80,85,90,95,100})</f>
        <v>80</v>
      </c>
      <c r="I91" s="6">
        <v>46</v>
      </c>
      <c r="J91" s="1">
        <f>LOOKUP(I91,{0,13,15,17,19,21,23,25,27,29,31,33,35,37,39,41,43,46,49,51,53},{0,10,20,30,40,50,60,62,64,66,68,70,72,74,76,78,80,85,90,95,100})</f>
        <v>85</v>
      </c>
      <c r="K91" s="45"/>
      <c r="L91" s="45"/>
      <c r="M91" s="21">
        <f t="shared" si="39"/>
        <v>85</v>
      </c>
      <c r="N91" s="6">
        <v>8.8</v>
      </c>
      <c r="O91" s="43">
        <f t="shared" si="44"/>
        <v>4.2</v>
      </c>
      <c r="P91" s="1">
        <f>LOOKUP(O91,{0,1.4,1.6,1.8,2,2.2,2.4,2.6,2.8,3,3.2,3.4,3.6,3.8,4,4.2,4.4,4.7,5,5.1,5.2},{0,10,20,30,40,50,60,62,64,66,68,70,72,74,76,78,80,85,90,95,100})</f>
        <v>78</v>
      </c>
      <c r="Q91" s="6">
        <v>3.43</v>
      </c>
      <c r="R91" s="6">
        <f t="shared" si="40"/>
        <v>6.57</v>
      </c>
      <c r="S91" s="1">
        <f>LOOKUP(R91,{0,4.7,4.8,4.9,5,5.5,5.6,5.65,5.7,5.75,5.8,5.85,5.9,5.95,6,6.45,6.5,6.57,6.64,6.7,6.76},{0,10,20,30,40,50,60,62,64,66,68,70,72,74,76,78,80,85,90,95,100})</f>
        <v>85</v>
      </c>
      <c r="T91" s="45"/>
      <c r="U91" s="45"/>
      <c r="V91" s="21">
        <f t="shared" si="42"/>
        <v>85</v>
      </c>
      <c r="X91" s="21">
        <f t="shared" si="26"/>
        <v>55.7</v>
      </c>
      <c r="Y91" s="37">
        <f t="shared" si="43"/>
        <v>79.5714285714286</v>
      </c>
    </row>
    <row r="92" ht="15.6" hidden="1" outlineLevel="2" spans="1:25">
      <c r="A92" s="6">
        <v>102</v>
      </c>
      <c r="B92" s="6">
        <v>44</v>
      </c>
      <c r="C92" s="29" t="s">
        <v>113</v>
      </c>
      <c r="D92" s="29" t="s">
        <v>46</v>
      </c>
      <c r="E92" s="6">
        <v>25.7</v>
      </c>
      <c r="F92" s="1">
        <f>LOOKUP(E92,{0,0.4,1.2,2,2.8,3.6,4.4,5.7,7,8.3,9.6,10.9,12.2,13.5,14.8,16.1,17.4,19.1,20.8,22.5,24.2},{0,10,20,30,40,50,60,62,64,66,68,70,72,74,76,78,80,85,90,95,100})</f>
        <v>100</v>
      </c>
      <c r="G92" s="6">
        <v>185</v>
      </c>
      <c r="H92" s="1">
        <f>LOOKUP(G92,{0,123,128,133,138,143,148,151,154,157,160,163,166,169,172,175,178,185,192,198,204},{0,10,20,30,40,50,60,62,64,66,68,70,72,74,76,78,80,85,90,95,100})</f>
        <v>85</v>
      </c>
      <c r="I92" s="6">
        <v>46</v>
      </c>
      <c r="J92" s="1">
        <f>LOOKUP(I92,{0,13,15,17,19,21,23,25,27,29,31,33,35,37,39,41,43,46,49,51,53},{0,10,20,30,40,50,60,62,64,66,68,70,72,74,76,78,80,85,90,95,100})</f>
        <v>85</v>
      </c>
      <c r="K92" s="45"/>
      <c r="L92" s="45"/>
      <c r="M92" s="21">
        <f t="shared" si="39"/>
        <v>85</v>
      </c>
      <c r="N92" s="6">
        <v>8</v>
      </c>
      <c r="O92" s="43">
        <f t="shared" si="44"/>
        <v>5</v>
      </c>
      <c r="P92" s="1">
        <f>LOOKUP(O92,{0,1.4,1.6,1.8,2,2.2,2.4,2.6,2.8,3,3.2,3.4,3.6,3.8,4,4.2,4.4,4.7,5,5.1,5.2},{0,10,20,30,40,50,60,62,64,66,68,70,72,74,76,78,80,85,90,95,100})</f>
        <v>90</v>
      </c>
      <c r="Q92" s="6">
        <v>3.25</v>
      </c>
      <c r="R92" s="6">
        <f t="shared" si="40"/>
        <v>6.75</v>
      </c>
      <c r="S92" s="1">
        <f>LOOKUP(R92,{0,4.7,4.8,4.9,5,5.5,5.6,5.65,5.7,5.75,5.8,5.85,5.9,5.95,6,6.45,6.5,6.57,6.64,6.7,6.76},{0,10,20,30,40,50,60,62,64,66,68,70,72,74,76,78,80,85,90,95,100})</f>
        <v>95</v>
      </c>
      <c r="T92" s="45"/>
      <c r="U92" s="45"/>
      <c r="V92" s="21">
        <f t="shared" si="42"/>
        <v>95</v>
      </c>
      <c r="X92" s="21">
        <f t="shared" si="26"/>
        <v>64</v>
      </c>
      <c r="Y92" s="37">
        <f t="shared" si="43"/>
        <v>91.4285714285714</v>
      </c>
    </row>
    <row r="93" ht="15.6" hidden="1" outlineLevel="2" spans="1:25">
      <c r="A93" s="6">
        <v>102</v>
      </c>
      <c r="B93" s="6">
        <v>45</v>
      </c>
      <c r="C93" s="29" t="s">
        <v>114</v>
      </c>
      <c r="D93" s="29" t="s">
        <v>46</v>
      </c>
      <c r="E93" s="6">
        <v>23.6</v>
      </c>
      <c r="F93" s="1">
        <f>LOOKUP(E93,{0,0.4,1.2,2,2.8,3.6,4.4,5.7,7,8.3,9.6,10.9,12.2,13.5,14.8,16.1,17.4,19.1,20.8,22.5,24.2},{0,10,20,30,40,50,60,62,64,66,68,70,72,74,76,78,80,85,90,95,100})</f>
        <v>95</v>
      </c>
      <c r="G93" s="6">
        <v>192</v>
      </c>
      <c r="H93" s="1">
        <f>LOOKUP(G93,{0,123,128,133,138,143,148,151,154,157,160,163,166,169,172,175,178,185,192,198,204},{0,10,20,30,40,50,60,62,64,66,68,70,72,74,76,78,80,85,90,95,100})</f>
        <v>90</v>
      </c>
      <c r="I93" s="6">
        <v>52</v>
      </c>
      <c r="J93" s="1">
        <f>LOOKUP(I93,{0,13,15,17,19,21,23,25,27,29,31,33,35,37,39,41,43,46,49,51,53},{0,10,20,30,40,50,60,62,64,66,68,70,72,74,76,78,80,85,90,95,100})</f>
        <v>95</v>
      </c>
      <c r="K93" s="45"/>
      <c r="L93" s="45"/>
      <c r="M93" s="21">
        <f t="shared" si="39"/>
        <v>95</v>
      </c>
      <c r="N93" s="6">
        <v>8.1</v>
      </c>
      <c r="O93" s="43">
        <f t="shared" si="44"/>
        <v>4.9</v>
      </c>
      <c r="P93" s="1">
        <f>LOOKUP(O93,{0,1.4,1.6,1.8,2,2.2,2.4,2.6,2.8,3,3.2,3.4,3.6,3.8,4,4.2,4.4,4.7,5,5.1,5.2},{0,10,20,30,40,50,60,62,64,66,68,70,72,74,76,78,80,85,90,95,100})</f>
        <v>85</v>
      </c>
      <c r="Q93" s="6">
        <v>3.29</v>
      </c>
      <c r="R93" s="6">
        <f t="shared" si="40"/>
        <v>6.71</v>
      </c>
      <c r="S93" s="1">
        <f>LOOKUP(R93,{0,4.7,4.8,4.9,5,5.5,5.6,5.65,5.7,5.75,5.8,5.85,5.9,5.95,6,6.45,6.5,6.57,6.64,6.7,6.76},{0,10,20,30,40,50,60,62,64,66,68,70,72,74,76,78,80,85,90,95,100})</f>
        <v>95</v>
      </c>
      <c r="T93" s="45"/>
      <c r="U93" s="45"/>
      <c r="V93" s="21">
        <f t="shared" si="42"/>
        <v>95</v>
      </c>
      <c r="X93" s="21">
        <f t="shared" si="26"/>
        <v>64</v>
      </c>
      <c r="Y93" s="37">
        <f t="shared" si="43"/>
        <v>91.4285714285714</v>
      </c>
    </row>
    <row r="94" ht="15.6" hidden="1" outlineLevel="2" spans="1:25">
      <c r="A94" s="6">
        <v>102</v>
      </c>
      <c r="B94" s="6">
        <v>46</v>
      </c>
      <c r="C94" s="29" t="s">
        <v>115</v>
      </c>
      <c r="D94" s="29" t="s">
        <v>46</v>
      </c>
      <c r="E94" s="6">
        <v>6</v>
      </c>
      <c r="F94" s="1">
        <f>LOOKUP(E94,{0,0.4,1.2,2,2.8,3.6,4.4,5.7,7,8.3,9.6,10.9,12.2,13.5,14.8,16.1,17.4,19.1,20.8,22.5,24.2},{0,10,20,30,40,50,60,62,64,66,68,70,72,74,76,78,80,85,90,95,100})</f>
        <v>62</v>
      </c>
      <c r="G94" s="6">
        <v>175</v>
      </c>
      <c r="H94" s="1">
        <f>LOOKUP(G94,{0,123,128,133,138,143,148,151,154,157,160,163,166,169,172,175,178,185,192,198,204},{0,10,20,30,40,50,60,62,64,66,68,70,72,74,76,78,80,85,90,95,100})</f>
        <v>78</v>
      </c>
      <c r="I94" s="6">
        <v>37</v>
      </c>
      <c r="J94" s="1">
        <f>LOOKUP(I94,{0,13,15,17,19,21,23,25,27,29,31,33,35,37,39,41,43,46,49,51,53},{0,10,20,30,40,50,60,62,64,66,68,70,72,74,76,78,80,85,90,95,100})</f>
        <v>74</v>
      </c>
      <c r="K94" s="45"/>
      <c r="L94" s="45"/>
      <c r="M94" s="21">
        <f t="shared" si="39"/>
        <v>74</v>
      </c>
      <c r="N94" s="6">
        <v>8.7</v>
      </c>
      <c r="O94" s="43">
        <f t="shared" si="44"/>
        <v>4.3</v>
      </c>
      <c r="P94" s="1">
        <f>LOOKUP(O94,{0,1.4,1.6,1.8,2,2.2,2.4,2.6,2.8,3,3.2,3.4,3.6,3.8,4,4.2,4.4,4.7,5,5.1,5.2},{0,10,20,30,40,50,60,62,64,66,68,70,72,74,76,78,80,85,90,95,100})</f>
        <v>78</v>
      </c>
      <c r="Q94" s="6">
        <v>3.44</v>
      </c>
      <c r="R94" s="6">
        <f t="shared" si="40"/>
        <v>6.56</v>
      </c>
      <c r="S94" s="1">
        <f>LOOKUP(R94,{0,4.7,4.8,4.9,5,5.5,5.6,5.65,5.7,5.75,5.8,5.85,5.9,5.95,6,6.45,6.5,6.57,6.64,6.7,6.76},{0,10,20,30,40,50,60,62,64,66,68,70,72,74,76,78,80,85,90,95,100})</f>
        <v>80</v>
      </c>
      <c r="T94" s="45"/>
      <c r="U94" s="45"/>
      <c r="V94" s="21">
        <f t="shared" si="42"/>
        <v>80</v>
      </c>
      <c r="X94" s="21">
        <f t="shared" si="26"/>
        <v>53</v>
      </c>
      <c r="Y94" s="37">
        <f t="shared" si="43"/>
        <v>75.7142857142857</v>
      </c>
    </row>
    <row r="95" ht="15.6" outlineLevel="1" collapsed="1" spans="1:25">
      <c r="A95" s="42" t="s">
        <v>843</v>
      </c>
      <c r="C95" s="29"/>
      <c r="D95" s="29"/>
      <c r="F95" s="1">
        <f>SUBTOTAL(1,F49:F94)</f>
        <v>74.4545454545455</v>
      </c>
      <c r="H95" s="1">
        <f>SUBTOTAL(1,H49:H94)</f>
        <v>73.4545454545455</v>
      </c>
      <c r="J95" s="1">
        <f>SUBTOTAL(1,J49:J94)</f>
        <v>67.9545454545455</v>
      </c>
      <c r="K95" s="45"/>
      <c r="L95" s="45"/>
      <c r="M95" s="21">
        <f>SUBTOTAL(1,M49:M94)</f>
        <v>68.7272727272727</v>
      </c>
      <c r="O95" s="43"/>
      <c r="P95" s="1">
        <f>SUBTOTAL(1,P49:P94)</f>
        <v>86.9</v>
      </c>
      <c r="S95" s="1">
        <f>SUBTOTAL(1,S49:S94)</f>
        <v>87.4090909090909</v>
      </c>
      <c r="T95" s="45"/>
      <c r="U95" s="45"/>
      <c r="V95" s="21">
        <f>SUBTOTAL(1,V49:V94)</f>
        <v>87.6590909090909</v>
      </c>
      <c r="X95" s="21">
        <f>SUBTOTAL(1,X49:X94)</f>
        <v>52.4826086956522</v>
      </c>
      <c r="Y95" s="37">
        <f>SUBTOTAL(1,Y49:Y94)</f>
        <v>78.1273291925466</v>
      </c>
    </row>
    <row r="96" ht="15.6" hidden="1" outlineLevel="2" spans="1:25">
      <c r="A96" s="6">
        <v>103</v>
      </c>
      <c r="B96" s="6">
        <v>1</v>
      </c>
      <c r="C96" s="39" t="s">
        <v>117</v>
      </c>
      <c r="D96" s="29" t="s">
        <v>11</v>
      </c>
      <c r="E96" s="6">
        <v>16</v>
      </c>
      <c r="F96" s="1">
        <f>LOOKUP(E96,{0,-4,-3,-2,-1,0,1,2.4,3.8,5.2,6.6,8,9.4,10.8,12.2,13.6,15,17.2,19.4,21.5,23.6},{0,10,20,30,40,50,60,62,64,66,68,70,72,74,76,78,80,85,90,95,100})</f>
        <v>80</v>
      </c>
      <c r="G96" s="6">
        <v>236</v>
      </c>
      <c r="H96" s="1">
        <f>LOOKUP(G96,{0,170,175,180,185,190,195,199,203,207,211,215,219,223,227,231,235,243,250,255,260},{0,10,20,30,40,50,60,62,64,66,68,70,72,74,76,78,80,85,90,95,100})</f>
        <v>80</v>
      </c>
      <c r="I96" s="6">
        <v>17</v>
      </c>
      <c r="J96" s="1">
        <f>LOOKUP(I96,{0,2,3,4,5,6,7,8,9,10,11,12,13,14,15,16},{0,10,20,30,40,50,60,64,68,72,76,80,85,90,95,100})</f>
        <v>100</v>
      </c>
      <c r="K96" s="7">
        <f>I96-16</f>
        <v>1</v>
      </c>
      <c r="L96" s="40">
        <f>LOOKUP(K96,{0,1,2,3,4,5,6,7,8,9,10},{0,1,2,3,4,5,6,7,8,9,10})</f>
        <v>1</v>
      </c>
      <c r="M96" s="21">
        <f>J96+L96</f>
        <v>101</v>
      </c>
      <c r="N96" s="6">
        <v>7</v>
      </c>
      <c r="O96" s="43">
        <f>13-N96</f>
        <v>6</v>
      </c>
      <c r="P96" s="1">
        <f>LOOKUP(O96,{0,2.5,2.7,2.9,3.1,3.3,3.5,3.7,3.9,4.1,4.3,4.5,4.7,4.9,5.1,5.3,5.5,5.6,5.7,5.8,5.9},{0,10,20,30,40,50,60,62,64,66,68,70,72,74,76,78,80,85,90,95,100})</f>
        <v>100</v>
      </c>
      <c r="Q96" s="6">
        <v>3.32</v>
      </c>
      <c r="R96" s="6">
        <f>10-Q96</f>
        <v>6.68</v>
      </c>
      <c r="S96" s="1">
        <f>LOOKUP(R96,{0,3.75,3.95,4.55,4.75,4.95,5.55,5.6,5.65,5.7,5.75,5.8,5.85,5.9,5.95,6,6.45,6.53,6.6,6.65,6.7},{0,10,20,30,40,50,60,62,64,66,68,70,72,74,76,78,80,85,90,95,100})</f>
        <v>95</v>
      </c>
      <c r="T96" s="7"/>
      <c r="U96" s="7"/>
      <c r="V96" s="21">
        <f>S96+U96</f>
        <v>95</v>
      </c>
      <c r="X96" s="21">
        <f t="shared" ref="X96:X141" si="45">F96*0.1+H96*0.1+J96*0.1+P96*0.2+S96*0.2</f>
        <v>65</v>
      </c>
      <c r="Y96" s="37">
        <f>X96/0.7+L96+U96</f>
        <v>93.8571428571429</v>
      </c>
    </row>
    <row r="97" ht="15.6" hidden="1" outlineLevel="2" spans="1:25">
      <c r="A97" s="6">
        <v>103</v>
      </c>
      <c r="B97" s="6">
        <v>2</v>
      </c>
      <c r="C97" s="29" t="s">
        <v>118</v>
      </c>
      <c r="D97" s="29" t="s">
        <v>11</v>
      </c>
      <c r="E97" s="6">
        <v>7</v>
      </c>
      <c r="F97" s="1">
        <f>LOOKUP(E97,{0,-4,-3,-2,-1,0,1,2.4,3.8,5.2,6.6,8,9.4,10.8,12.2,13.6,15,17.2,19.4,21.5,23.6},{0,10,20,30,40,50,60,62,64,66,68,70,72,74,76,78,80,85,90,95,100})</f>
        <v>68</v>
      </c>
      <c r="G97" s="6">
        <v>203</v>
      </c>
      <c r="H97" s="1">
        <f>LOOKUP(G97,{0,170,175,180,185,190,195,199,203,207,211,215,219,223,227,231,235,243,250,255,260},{0,10,20,30,40,50,60,62,64,66,68,70,72,74,76,78,80,85,90,95,100})</f>
        <v>64</v>
      </c>
      <c r="I97" s="6">
        <v>11</v>
      </c>
      <c r="J97" s="1">
        <f>LOOKUP(I97,{0,2,3,4,5,6,7,8,9,10,11,12,13,14,15,16},{0,10,20,30,40,50,60,64,68,72,76,80,85,90,95,100})</f>
        <v>76</v>
      </c>
      <c r="K97" s="7"/>
      <c r="L97" s="7"/>
      <c r="M97" s="21">
        <f>J97+L97</f>
        <v>76</v>
      </c>
      <c r="N97" s="6">
        <v>7.6</v>
      </c>
      <c r="O97" s="43">
        <f>13-N97</f>
        <v>5.4</v>
      </c>
      <c r="P97" s="1">
        <f>LOOKUP(O97,{0,2.5,2.7,2.9,3.1,3.3,3.5,3.7,3.9,4.1,4.3,4.5,4.7,4.9,5.1,5.3,5.5,5.6,5.7,5.8,5.9},{0,10,20,30,40,50,60,62,64,66,68,70,72,74,76,78,80,85,90,95,100})</f>
        <v>78</v>
      </c>
      <c r="Q97" s="6">
        <v>4.19</v>
      </c>
      <c r="R97" s="6">
        <f>10-Q97</f>
        <v>5.81</v>
      </c>
      <c r="S97" s="1">
        <f>LOOKUP(R97,{0,3.75,3.95,4.55,4.75,4.95,5.55,5.6,5.65,5.7,5.75,5.8,5.85,5.9,5.95,6,6.45,6.53,6.6,6.65,6.7},{0,10,20,30,40,50,60,62,64,66,68,70,72,74,76,78,80,85,90,95,100})</f>
        <v>70</v>
      </c>
      <c r="T97" s="7"/>
      <c r="U97" s="7"/>
      <c r="V97" s="21">
        <f>S97+U97</f>
        <v>70</v>
      </c>
      <c r="X97" s="21">
        <f t="shared" si="45"/>
        <v>50.4</v>
      </c>
      <c r="Y97" s="37">
        <f>X97/0.7+L97+U97</f>
        <v>72</v>
      </c>
    </row>
    <row r="98" s="3" customFormat="1" ht="15.6" hidden="1" outlineLevel="2" spans="1:25">
      <c r="A98" s="6">
        <v>103</v>
      </c>
      <c r="B98" s="6">
        <v>3</v>
      </c>
      <c r="C98" s="29" t="s">
        <v>119</v>
      </c>
      <c r="D98" s="29" t="s">
        <v>11</v>
      </c>
      <c r="E98" s="6">
        <v>9</v>
      </c>
      <c r="F98" s="1">
        <f>LOOKUP(E98,{0,-4,-3,-2,-1,0,1,2.4,3.8,5.2,6.6,8,9.4,10.8,12.2,13.6,15,17.2,19.4,21.5,23.6},{0,10,20,30,40,50,60,62,64,66,68,70,72,74,76,78,80,85,90,95,100})</f>
        <v>70</v>
      </c>
      <c r="G98" s="6">
        <v>213</v>
      </c>
      <c r="H98" s="1">
        <f>LOOKUP(G98,{0,170,175,180,185,190,195,199,203,207,211,215,219,223,227,231,235,243,250,255,260},{0,10,20,30,40,50,60,62,64,66,68,70,72,74,76,78,80,85,90,95,100})</f>
        <v>68</v>
      </c>
      <c r="I98" s="6">
        <v>4</v>
      </c>
      <c r="J98" s="1">
        <f>LOOKUP(I98,{0,2,3,4,5,6,7,8,9,10,11,12,13,14,15,16},{0,10,20,30,40,50,60,64,68,72,76,80,85,90,95,100})</f>
        <v>30</v>
      </c>
      <c r="K98" s="7"/>
      <c r="L98" s="7"/>
      <c r="M98" s="21">
        <f>J98+L98</f>
        <v>30</v>
      </c>
      <c r="N98" s="6"/>
      <c r="O98" s="43"/>
      <c r="P98" s="1"/>
      <c r="Q98" s="6">
        <v>4.27</v>
      </c>
      <c r="R98" s="6">
        <f>10-Q98</f>
        <v>5.73</v>
      </c>
      <c r="S98" s="1">
        <f>LOOKUP(R98,{0,3.75,3.95,4.55,4.75,4.95,5.55,5.6,5.65,5.7,5.75,5.8,5.85,5.9,5.95,6,6.45,6.53,6.6,6.65,6.7},{0,10,20,30,40,50,60,62,64,66,68,70,72,74,76,78,80,85,90,95,100})</f>
        <v>66</v>
      </c>
      <c r="T98" s="7"/>
      <c r="U98" s="7"/>
      <c r="V98" s="21">
        <f>S98+U98</f>
        <v>66</v>
      </c>
      <c r="W98" s="6"/>
      <c r="X98" s="21">
        <f t="shared" si="45"/>
        <v>30</v>
      </c>
      <c r="Y98" s="51">
        <v>50</v>
      </c>
    </row>
    <row r="99" ht="15.6" hidden="1" outlineLevel="2" spans="1:25">
      <c r="A99" s="6">
        <v>103</v>
      </c>
      <c r="B99" s="6">
        <v>4</v>
      </c>
      <c r="C99" s="29" t="s">
        <v>120</v>
      </c>
      <c r="D99" s="29" t="s">
        <v>11</v>
      </c>
      <c r="F99" s="1"/>
      <c r="H99" s="1"/>
      <c r="J99" s="1"/>
      <c r="K99" s="7"/>
      <c r="L99" s="7"/>
      <c r="M99" s="21"/>
      <c r="O99" s="43"/>
      <c r="P99" s="1"/>
      <c r="S99" s="1"/>
      <c r="T99" s="7"/>
      <c r="U99" s="40"/>
      <c r="V99" s="21"/>
      <c r="W99" s="6" t="s">
        <v>84</v>
      </c>
      <c r="X99" s="21">
        <f t="shared" si="45"/>
        <v>0</v>
      </c>
      <c r="Y99" s="37">
        <v>50</v>
      </c>
    </row>
    <row r="100" ht="15.6" hidden="1" outlineLevel="2" spans="1:25">
      <c r="A100" s="6">
        <v>103</v>
      </c>
      <c r="B100" s="6">
        <v>5</v>
      </c>
      <c r="C100" s="29" t="s">
        <v>121</v>
      </c>
      <c r="D100" s="29" t="s">
        <v>11</v>
      </c>
      <c r="E100" s="6">
        <v>16</v>
      </c>
      <c r="F100" s="1">
        <f>LOOKUP(E100,{0,-4,-3,-2,-1,0,1,2.4,3.8,5.2,6.6,8,9.4,10.8,12.2,13.6,15,17.2,19.4,21.5,23.6},{0,10,20,30,40,50,60,62,64,66,68,70,72,74,76,78,80,85,90,95,100})</f>
        <v>80</v>
      </c>
      <c r="G100" s="6">
        <v>250</v>
      </c>
      <c r="H100" s="1">
        <f>LOOKUP(G100,{0,170,175,180,185,190,195,199,203,207,211,215,219,223,227,231,235,243,250,255,260},{0,10,20,30,40,50,60,62,64,66,68,70,72,74,76,78,80,85,90,95,100})</f>
        <v>90</v>
      </c>
      <c r="I100" s="6">
        <v>18</v>
      </c>
      <c r="J100" s="1">
        <f>LOOKUP(I100,{0,2,3,4,5,6,7,8,9,10,11,12,13,14,15,16},{0,10,20,30,40,50,60,64,68,72,76,80,85,90,95,100})</f>
        <v>100</v>
      </c>
      <c r="K100" s="7">
        <f t="shared" ref="K100:K104" si="46">I100-16</f>
        <v>2</v>
      </c>
      <c r="L100" s="40">
        <f>LOOKUP(K100,{0,1,2,3,4,5,6,7,8,9,10},{0,1,2,3,4,5,6,7,8,9,10})</f>
        <v>2</v>
      </c>
      <c r="M100" s="21">
        <f t="shared" ref="M100:M104" si="47">J100+L100</f>
        <v>102</v>
      </c>
      <c r="N100" s="6">
        <v>6.4</v>
      </c>
      <c r="O100" s="43">
        <f t="shared" ref="O100:O104" si="48">13-N100</f>
        <v>6.6</v>
      </c>
      <c r="P100" s="1">
        <f>LOOKUP(O100,{0,2.5,2.7,2.9,3.1,3.3,3.5,3.7,3.9,4.1,4.3,4.5,4.7,4.9,5.1,5.3,5.5,5.6,5.7,5.8,5.9},{0,10,20,30,40,50,60,62,64,66,68,70,72,74,76,78,80,85,90,95,100})</f>
        <v>100</v>
      </c>
      <c r="Q100" s="6">
        <v>3.29</v>
      </c>
      <c r="R100" s="6">
        <f t="shared" ref="R100:R104" si="49">10-Q100</f>
        <v>6.71</v>
      </c>
      <c r="S100" s="1">
        <f>LOOKUP(R100,{0,3.75,3.95,4.55,4.75,4.95,5.55,5.6,5.65,5.7,5.75,5.8,5.85,5.9,5.95,6,6.45,6.53,6.6,6.65,6.7},{0,10,20,30,40,50,60,62,64,66,68,70,72,74,76,78,80,85,90,95,100})</f>
        <v>100</v>
      </c>
      <c r="T100" s="7">
        <f>3.3-Q100</f>
        <v>0.00999999999999979</v>
      </c>
      <c r="U100" s="40">
        <f>LOOKUP(T100,{0,0.04,0.08,0.12,0.16,0.2,0.23,0.26,0.29,0.32,0.35},{0,1,2,3,4,5,6,7,8,9,10})</f>
        <v>0</v>
      </c>
      <c r="V100" s="21">
        <f t="shared" ref="V100:V104" si="50">S100+U100</f>
        <v>100</v>
      </c>
      <c r="X100" s="21">
        <f t="shared" si="45"/>
        <v>67</v>
      </c>
      <c r="Y100" s="37">
        <f t="shared" ref="Y100:Y104" si="51">X100/0.7+L100+U100</f>
        <v>97.7142857142857</v>
      </c>
    </row>
    <row r="101" ht="15.6" hidden="1" outlineLevel="2" spans="1:25">
      <c r="A101" s="6">
        <v>103</v>
      </c>
      <c r="B101" s="6">
        <v>6</v>
      </c>
      <c r="C101" s="29" t="s">
        <v>122</v>
      </c>
      <c r="D101" s="29" t="s">
        <v>11</v>
      </c>
      <c r="E101" s="6">
        <v>8.5</v>
      </c>
      <c r="F101" s="1">
        <f>LOOKUP(E101,{0,-4,-3,-2,-1,0,1,2.4,3.8,5.2,6.6,8,9.4,10.8,12.2,13.6,15,17.2,19.4,21.5,23.6},{0,10,20,30,40,50,60,62,64,66,68,70,72,74,76,78,80,85,90,95,100})</f>
        <v>70</v>
      </c>
      <c r="G101" s="6">
        <v>220</v>
      </c>
      <c r="H101" s="1">
        <f>LOOKUP(G101,{0,170,175,180,185,190,195,199,203,207,211,215,219,223,227,231,235,243,250,255,260},{0,10,20,30,40,50,60,62,64,66,68,70,72,74,76,78,80,85,90,95,100})</f>
        <v>72</v>
      </c>
      <c r="I101" s="6">
        <v>3</v>
      </c>
      <c r="J101" s="1">
        <f>LOOKUP(I101,{0,2,3,4,5,6,7,8,9,10,11,12,13,14,15,16},{0,10,20,30,40,50,60,64,68,72,76,80,85,90,95,100})</f>
        <v>20</v>
      </c>
      <c r="K101" s="7"/>
      <c r="L101" s="7"/>
      <c r="M101" s="21">
        <f t="shared" si="47"/>
        <v>20</v>
      </c>
      <c r="N101" s="6">
        <v>7.1</v>
      </c>
      <c r="O101" s="43">
        <f t="shared" si="48"/>
        <v>5.9</v>
      </c>
      <c r="P101" s="1">
        <f>LOOKUP(O101,{0,2.5,2.7,2.9,3.1,3.3,3.5,3.7,3.9,4.1,4.3,4.5,4.7,4.9,5.1,5.3,5.5,5.6,5.7,5.8,5.9},{0,10,20,30,40,50,60,62,64,66,68,70,72,74,76,78,80,85,90,95,100})</f>
        <v>100</v>
      </c>
      <c r="Q101" s="6">
        <v>4.01</v>
      </c>
      <c r="R101" s="6">
        <f t="shared" si="49"/>
        <v>5.99</v>
      </c>
      <c r="S101" s="1">
        <f>LOOKUP(R101,{0,3.75,3.95,4.55,4.75,4.95,5.55,5.6,5.65,5.7,5.75,5.8,5.85,5.9,5.95,6,6.45,6.53,6.6,6.65,6.7},{0,10,20,30,40,50,60,62,64,66,68,70,72,74,76,78,80,85,90,95,100})</f>
        <v>76</v>
      </c>
      <c r="T101" s="7"/>
      <c r="U101" s="7"/>
      <c r="V101" s="21">
        <f t="shared" si="50"/>
        <v>76</v>
      </c>
      <c r="X101" s="21">
        <f t="shared" si="45"/>
        <v>51.4</v>
      </c>
      <c r="Y101" s="37">
        <f t="shared" si="51"/>
        <v>73.4285714285714</v>
      </c>
    </row>
    <row r="102" ht="15.6" hidden="1" outlineLevel="2" spans="1:25">
      <c r="A102" s="6">
        <v>103</v>
      </c>
      <c r="B102" s="6">
        <v>7</v>
      </c>
      <c r="C102" s="29" t="s">
        <v>123</v>
      </c>
      <c r="D102" s="29" t="s">
        <v>11</v>
      </c>
      <c r="E102" s="6">
        <v>9.5</v>
      </c>
      <c r="F102" s="1">
        <f>LOOKUP(E102,{0,-4,-3,-2,-1,0,1,2.4,3.8,5.2,6.6,8,9.4,10.8,12.2,13.6,15,17.2,19.4,21.5,23.6},{0,10,20,30,40,50,60,62,64,66,68,70,72,74,76,78,80,85,90,95,100})</f>
        <v>72</v>
      </c>
      <c r="G102" s="6">
        <v>240</v>
      </c>
      <c r="H102" s="1">
        <f>LOOKUP(G102,{0,170,175,180,185,190,195,199,203,207,211,215,219,223,227,231,235,243,250,255,260},{0,10,20,30,40,50,60,62,64,66,68,70,72,74,76,78,80,85,90,95,100})</f>
        <v>80</v>
      </c>
      <c r="I102" s="6">
        <v>20</v>
      </c>
      <c r="J102" s="1">
        <f>LOOKUP(I102,{0,2,3,4,5,6,7,8,9,10,11,12,13,14,15,16},{0,10,20,30,40,50,60,64,68,72,76,80,85,90,95,100})</f>
        <v>100</v>
      </c>
      <c r="K102" s="7">
        <f t="shared" si="46"/>
        <v>4</v>
      </c>
      <c r="L102" s="40">
        <f>LOOKUP(K102,{0,1,2,3,4,5,6,7,8,9,10},{0,1,2,3,4,5,6,7,8,9,10})</f>
        <v>4</v>
      </c>
      <c r="M102" s="21">
        <f t="shared" si="47"/>
        <v>104</v>
      </c>
      <c r="N102" s="6">
        <v>6.8</v>
      </c>
      <c r="O102" s="43">
        <f t="shared" si="48"/>
        <v>6.2</v>
      </c>
      <c r="P102" s="1">
        <f>LOOKUP(O102,{0,2.5,2.7,2.9,3.1,3.3,3.5,3.7,3.9,4.1,4.3,4.5,4.7,4.9,5.1,5.3,5.5,5.6,5.7,5.8,5.9},{0,10,20,30,40,50,60,62,64,66,68,70,72,74,76,78,80,85,90,95,100})</f>
        <v>100</v>
      </c>
      <c r="Q102" s="6">
        <v>3.36</v>
      </c>
      <c r="R102" s="6">
        <f t="shared" si="49"/>
        <v>6.64</v>
      </c>
      <c r="S102" s="1">
        <f>LOOKUP(R102,{0,3.75,3.95,4.55,4.75,4.95,5.55,5.6,5.65,5.7,5.75,5.8,5.85,5.9,5.95,6,6.45,6.53,6.6,6.65,6.7},{0,10,20,30,40,50,60,62,64,66,68,70,72,74,76,78,80,85,90,95,100})</f>
        <v>90</v>
      </c>
      <c r="T102" s="7"/>
      <c r="U102" s="7"/>
      <c r="V102" s="21">
        <f t="shared" si="50"/>
        <v>90</v>
      </c>
      <c r="X102" s="21">
        <f t="shared" si="45"/>
        <v>63.2</v>
      </c>
      <c r="Y102" s="37">
        <f t="shared" si="51"/>
        <v>94.2857142857143</v>
      </c>
    </row>
    <row r="103" ht="15.6" hidden="1" outlineLevel="2" spans="1:25">
      <c r="A103" s="6">
        <v>103</v>
      </c>
      <c r="B103" s="6">
        <v>8</v>
      </c>
      <c r="C103" s="29" t="s">
        <v>124</v>
      </c>
      <c r="D103" s="29" t="s">
        <v>11</v>
      </c>
      <c r="E103" s="6">
        <v>14</v>
      </c>
      <c r="F103" s="1">
        <f>LOOKUP(E103,{0,-4,-3,-2,-1,0,1,2.4,3.8,5.2,6.6,8,9.4,10.8,12.2,13.6,15,17.2,19.4,21.5,23.6},{0,10,20,30,40,50,60,62,64,66,68,70,72,74,76,78,80,85,90,95,100})</f>
        <v>78</v>
      </c>
      <c r="G103" s="6">
        <v>235</v>
      </c>
      <c r="H103" s="1">
        <f>LOOKUP(G103,{0,170,175,180,185,190,195,199,203,207,211,215,219,223,227,231,235,243,250,255,260},{0,10,20,30,40,50,60,62,64,66,68,70,72,74,76,78,80,85,90,95,100})</f>
        <v>80</v>
      </c>
      <c r="I103" s="6">
        <v>16</v>
      </c>
      <c r="J103" s="1">
        <f>LOOKUP(I103,{0,2,3,4,5,6,7,8,9,10,11,12,13,14,15,16},{0,10,20,30,40,50,60,64,68,72,76,80,85,90,95,100})</f>
        <v>100</v>
      </c>
      <c r="K103" s="7">
        <f t="shared" si="46"/>
        <v>0</v>
      </c>
      <c r="L103" s="40">
        <f>LOOKUP(K103,{0,1,2,3,4,5,6,7,8,9,10},{0,1,2,3,4,5,6,7,8,9,10})</f>
        <v>0</v>
      </c>
      <c r="M103" s="21">
        <f t="shared" si="47"/>
        <v>100</v>
      </c>
      <c r="N103" s="6">
        <v>7.4</v>
      </c>
      <c r="O103" s="43">
        <f t="shared" si="48"/>
        <v>5.6</v>
      </c>
      <c r="P103" s="1">
        <f>LOOKUP(O103,{0,2.5,2.7,2.9,3.1,3.3,3.5,3.7,3.9,4.1,4.3,4.5,4.7,4.9,5.1,5.3,5.5,5.6,5.7,5.8,5.9},{0,10,20,30,40,50,60,62,64,66,68,70,72,74,76,78,80,85,90,95,100})</f>
        <v>85</v>
      </c>
      <c r="Q103" s="6">
        <v>4.24</v>
      </c>
      <c r="R103" s="6">
        <f t="shared" si="49"/>
        <v>5.76</v>
      </c>
      <c r="S103" s="1">
        <f>LOOKUP(R103,{0,3.75,3.95,4.55,4.75,4.95,5.55,5.6,5.65,5.7,5.75,5.8,5.85,5.9,5.95,6,6.45,6.53,6.6,6.65,6.7},{0,10,20,30,40,50,60,62,64,66,68,70,72,74,76,78,80,85,90,95,100})</f>
        <v>68</v>
      </c>
      <c r="T103" s="7"/>
      <c r="U103" s="7"/>
      <c r="V103" s="21">
        <f t="shared" si="50"/>
        <v>68</v>
      </c>
      <c r="X103" s="21">
        <f t="shared" si="45"/>
        <v>56.4</v>
      </c>
      <c r="Y103" s="37">
        <f t="shared" si="51"/>
        <v>80.5714285714286</v>
      </c>
    </row>
    <row r="104" ht="15.6" hidden="1" outlineLevel="2" spans="1:25">
      <c r="A104" s="6">
        <v>103</v>
      </c>
      <c r="B104" s="6">
        <v>9</v>
      </c>
      <c r="C104" s="29" t="s">
        <v>125</v>
      </c>
      <c r="D104" s="29" t="s">
        <v>11</v>
      </c>
      <c r="E104" s="6">
        <v>18.5</v>
      </c>
      <c r="F104" s="1">
        <f>LOOKUP(E104,{0,-4,-3,-2,-1,0,1,2.4,3.8,5.2,6.6,8,9.4,10.8,12.2,13.6,15,17.2,19.4,21.5,23.6},{0,10,20,30,40,50,60,62,64,66,68,70,72,74,76,78,80,85,90,95,100})</f>
        <v>85</v>
      </c>
      <c r="G104" s="6">
        <v>245</v>
      </c>
      <c r="H104" s="1">
        <f>LOOKUP(G104,{0,170,175,180,185,190,195,199,203,207,211,215,219,223,227,231,235,243,250,255,260},{0,10,20,30,40,50,60,62,64,66,68,70,72,74,76,78,80,85,90,95,100})</f>
        <v>85</v>
      </c>
      <c r="I104" s="6">
        <v>21</v>
      </c>
      <c r="J104" s="1">
        <f>LOOKUP(I104,{0,2,3,4,5,6,7,8,9,10,11,12,13,14,15,16},{0,10,20,30,40,50,60,64,68,72,76,80,85,90,95,100})</f>
        <v>100</v>
      </c>
      <c r="K104" s="7">
        <f t="shared" si="46"/>
        <v>5</v>
      </c>
      <c r="L104" s="40">
        <f>LOOKUP(K104,{0,1,2,3,4,5,6,7,8,9,10},{0,1,2,3,4,5,6,7,8,9,10})</f>
        <v>5</v>
      </c>
      <c r="M104" s="21">
        <f t="shared" si="47"/>
        <v>105</v>
      </c>
      <c r="N104" s="6">
        <v>6.7</v>
      </c>
      <c r="O104" s="43">
        <f t="shared" si="48"/>
        <v>6.3</v>
      </c>
      <c r="P104" s="1">
        <f>LOOKUP(O104,{0,2.5,2.7,2.9,3.1,3.3,3.5,3.7,3.9,4.1,4.3,4.5,4.7,4.9,5.1,5.3,5.5,5.6,5.7,5.8,5.9},{0,10,20,30,40,50,60,62,64,66,68,70,72,74,76,78,80,85,90,95,100})</f>
        <v>100</v>
      </c>
      <c r="Q104" s="6">
        <v>3.14</v>
      </c>
      <c r="R104" s="6">
        <f t="shared" si="49"/>
        <v>6.86</v>
      </c>
      <c r="S104" s="1">
        <f>LOOKUP(R104,{0,3.75,3.95,4.55,4.75,4.95,5.55,5.6,5.65,5.7,5.75,5.8,5.85,5.9,5.95,6,6.45,6.53,6.6,6.65,6.7},{0,10,20,30,40,50,60,62,64,66,68,70,72,74,76,78,80,85,90,95,100})</f>
        <v>100</v>
      </c>
      <c r="T104" s="7">
        <f t="shared" ref="T104:T109" si="52">3.3-Q104</f>
        <v>0.16</v>
      </c>
      <c r="U104" s="40">
        <f>LOOKUP(T104,{0,0.04,0.08,0.12,0.16,0.2,0.23,0.26,0.29,0.32,0.35},{0,1,2,3,4,5,6,7,8,9,10})</f>
        <v>3</v>
      </c>
      <c r="V104" s="21">
        <f t="shared" si="50"/>
        <v>103</v>
      </c>
      <c r="X104" s="21">
        <f t="shared" si="45"/>
        <v>67</v>
      </c>
      <c r="Y104" s="37">
        <f t="shared" si="51"/>
        <v>103.714285714286</v>
      </c>
    </row>
    <row r="105" ht="15.6" hidden="1" outlineLevel="2" spans="1:25">
      <c r="A105" s="6">
        <v>103</v>
      </c>
      <c r="B105" s="6">
        <v>10</v>
      </c>
      <c r="C105" s="29" t="s">
        <v>126</v>
      </c>
      <c r="D105" s="29" t="s">
        <v>11</v>
      </c>
      <c r="F105" s="1"/>
      <c r="H105" s="1"/>
      <c r="J105" s="1"/>
      <c r="K105" s="7"/>
      <c r="L105" s="7"/>
      <c r="M105" s="21"/>
      <c r="O105" s="43"/>
      <c r="P105" s="1"/>
      <c r="S105" s="1"/>
      <c r="T105" s="7"/>
      <c r="U105" s="40"/>
      <c r="V105" s="21"/>
      <c r="W105" s="6" t="s">
        <v>84</v>
      </c>
      <c r="X105" s="21">
        <f t="shared" si="45"/>
        <v>0</v>
      </c>
      <c r="Y105" s="37">
        <v>50</v>
      </c>
    </row>
    <row r="106" ht="15.6" hidden="1" outlineLevel="2" spans="1:25">
      <c r="A106" s="6">
        <v>103</v>
      </c>
      <c r="B106" s="6">
        <v>11</v>
      </c>
      <c r="C106" s="39" t="s">
        <v>128</v>
      </c>
      <c r="D106" s="29" t="s">
        <v>11</v>
      </c>
      <c r="E106" s="6">
        <v>24</v>
      </c>
      <c r="F106" s="1">
        <f>LOOKUP(E106,{0,-4,-3,-2,-1,0,1,2.4,3.8,5.2,6.6,8,9.4,10.8,12.2,13.6,15,17.2,19.4,21.5,23.6},{0,10,20,30,40,50,60,62,64,66,68,70,72,74,76,78,80,85,90,95,100})</f>
        <v>100</v>
      </c>
      <c r="G106" s="6">
        <v>263</v>
      </c>
      <c r="H106" s="1">
        <f>LOOKUP(G106,{0,170,175,180,185,190,195,199,203,207,211,215,219,223,227,231,235,243,250,255,260},{0,10,20,30,40,50,60,62,64,66,68,70,72,74,76,78,80,85,90,95,100})</f>
        <v>100</v>
      </c>
      <c r="I106" s="6">
        <v>24</v>
      </c>
      <c r="J106" s="1">
        <f>LOOKUP(I106,{0,2,3,4,5,6,7,8,9,10,11,12,13,14,15,16},{0,10,20,30,40,50,60,64,68,72,76,80,85,90,95,100})</f>
        <v>100</v>
      </c>
      <c r="K106" s="7">
        <f t="shared" ref="K106:K111" si="53">I106-16</f>
        <v>8</v>
      </c>
      <c r="L106" s="40">
        <f>LOOKUP(K106,{0,1,2,3,4,5,6,7,8,9,10},{0,1,2,3,4,5,6,7,8,9,10})</f>
        <v>8</v>
      </c>
      <c r="M106" s="21">
        <f t="shared" ref="M106:M118" si="54">J106+L106</f>
        <v>108</v>
      </c>
      <c r="N106" s="6">
        <v>7</v>
      </c>
      <c r="O106" s="43">
        <f t="shared" ref="O106:O117" si="55">13-N106</f>
        <v>6</v>
      </c>
      <c r="P106" s="1">
        <f>LOOKUP(O106,{0,2.5,2.7,2.9,3.1,3.3,3.5,3.7,3.9,4.1,4.3,4.5,4.7,4.9,5.1,5.3,5.5,5.6,5.7,5.8,5.9},{0,10,20,30,40,50,60,62,64,66,68,70,72,74,76,78,80,85,90,95,100})</f>
        <v>100</v>
      </c>
      <c r="Q106" s="6">
        <v>3.37</v>
      </c>
      <c r="R106" s="6">
        <f t="shared" ref="R106:R118" si="56">10-Q106</f>
        <v>6.63</v>
      </c>
      <c r="S106" s="1">
        <f>LOOKUP(R106,{0,3.75,3.95,4.55,4.75,4.95,5.55,5.6,5.65,5.7,5.75,5.8,5.85,5.9,5.95,6,6.45,6.53,6.6,6.65,6.7},{0,10,20,30,40,50,60,62,64,66,68,70,72,74,76,78,80,85,90,95,100})</f>
        <v>90</v>
      </c>
      <c r="T106" s="7"/>
      <c r="U106" s="7"/>
      <c r="V106" s="21">
        <f t="shared" ref="V106:V118" si="57">S106+U106</f>
        <v>90</v>
      </c>
      <c r="X106" s="21">
        <f t="shared" si="45"/>
        <v>68</v>
      </c>
      <c r="Y106" s="37">
        <f t="shared" ref="Y106:Y118" si="58">X106/0.7+L106+U106</f>
        <v>105.142857142857</v>
      </c>
    </row>
    <row r="107" ht="15.6" hidden="1" outlineLevel="2" spans="1:25">
      <c r="A107" s="6">
        <v>103</v>
      </c>
      <c r="B107" s="6">
        <v>12</v>
      </c>
      <c r="C107" s="29" t="s">
        <v>129</v>
      </c>
      <c r="D107" s="29" t="s">
        <v>11</v>
      </c>
      <c r="E107" s="6">
        <v>21.2</v>
      </c>
      <c r="F107" s="1">
        <f>LOOKUP(E107,{0,-4,-3,-2,-1,0,1,2.4,3.8,5.2,6.6,8,9.4,10.8,12.2,13.6,15,17.2,19.4,21.5,23.6},{0,10,20,30,40,50,60,62,64,66,68,70,72,74,76,78,80,85,90,95,100})</f>
        <v>90</v>
      </c>
      <c r="G107" s="6">
        <v>300</v>
      </c>
      <c r="H107" s="1">
        <f>LOOKUP(G107,{0,170,175,180,185,190,195,199,203,207,211,215,219,223,227,231,235,243,250,255,260},{0,10,20,30,40,50,60,62,64,66,68,70,72,74,76,78,80,85,90,95,100})</f>
        <v>100</v>
      </c>
      <c r="I107" s="6">
        <v>20</v>
      </c>
      <c r="J107" s="1">
        <f>LOOKUP(I107,{0,2,3,4,5,6,7,8,9,10,11,12,13,14,15,16},{0,10,20,30,40,50,60,64,68,72,76,80,85,90,95,100})</f>
        <v>100</v>
      </c>
      <c r="K107" s="7">
        <f t="shared" si="53"/>
        <v>4</v>
      </c>
      <c r="L107" s="40">
        <f>LOOKUP(K107,{0,1,2,3,4,5,6,7,8,9,10},{0,1,2,3,4,5,6,7,8,9,10})</f>
        <v>4</v>
      </c>
      <c r="M107" s="21">
        <f t="shared" si="54"/>
        <v>104</v>
      </c>
      <c r="N107" s="6">
        <v>6.6</v>
      </c>
      <c r="O107" s="43">
        <f t="shared" si="55"/>
        <v>6.4</v>
      </c>
      <c r="P107" s="1">
        <f>LOOKUP(O107,{0,2.5,2.7,2.9,3.1,3.3,3.5,3.7,3.9,4.1,4.3,4.5,4.7,4.9,5.1,5.3,5.5,5.6,5.7,5.8,5.9},{0,10,20,30,40,50,60,62,64,66,68,70,72,74,76,78,80,85,90,95,100})</f>
        <v>100</v>
      </c>
      <c r="Q107" s="6">
        <v>3.17</v>
      </c>
      <c r="R107" s="6">
        <f t="shared" si="56"/>
        <v>6.83</v>
      </c>
      <c r="S107" s="1">
        <f>LOOKUP(R107,{0,3.75,3.95,4.55,4.75,4.95,5.55,5.6,5.65,5.7,5.75,5.8,5.85,5.9,5.95,6,6.45,6.53,6.6,6.65,6.7},{0,10,20,30,40,50,60,62,64,66,68,70,72,74,76,78,80,85,90,95,100})</f>
        <v>100</v>
      </c>
      <c r="T107" s="7">
        <f t="shared" si="52"/>
        <v>0.13</v>
      </c>
      <c r="U107" s="40">
        <f>LOOKUP(T107,{0,0.04,0.08,0.12,0.16,0.2,0.23,0.26,0.29,0.32,0.35},{0,1,2,3,4,5,6,7,8,9,10})</f>
        <v>3</v>
      </c>
      <c r="V107" s="21">
        <f t="shared" si="57"/>
        <v>103</v>
      </c>
      <c r="X107" s="21">
        <f t="shared" si="45"/>
        <v>69</v>
      </c>
      <c r="Y107" s="37">
        <f t="shared" si="58"/>
        <v>105.571428571429</v>
      </c>
    </row>
    <row r="108" s="3" customFormat="1" ht="15.6" hidden="1" outlineLevel="2" spans="1:25">
      <c r="A108" s="6">
        <v>103</v>
      </c>
      <c r="B108" s="6">
        <v>13</v>
      </c>
      <c r="C108" s="29" t="s">
        <v>130</v>
      </c>
      <c r="D108" s="29" t="s">
        <v>11</v>
      </c>
      <c r="E108" s="6">
        <v>8</v>
      </c>
      <c r="F108" s="1">
        <f>LOOKUP(E108,{0,-4,-3,-2,-1,0,1,2.4,3.8,5.2,6.6,8,9.4,10.8,12.2,13.6,15,17.2,19.4,21.5,23.6},{0,10,20,30,40,50,60,62,64,66,68,70,72,74,76,78,80,85,90,95,100})</f>
        <v>70</v>
      </c>
      <c r="G108" s="6">
        <v>205</v>
      </c>
      <c r="H108" s="1">
        <f>LOOKUP(G108,{0,170,175,180,185,190,195,199,203,207,211,215,219,223,227,231,235,243,250,255,260},{0,10,20,30,40,50,60,62,64,66,68,70,72,74,76,78,80,85,90,95,100})</f>
        <v>64</v>
      </c>
      <c r="I108" s="6">
        <v>13</v>
      </c>
      <c r="J108" s="1">
        <f>LOOKUP(I108,{0,2,3,4,5,6,7,8,9,10,11,12,13,14,15,16},{0,10,20,30,40,50,60,64,68,72,76,80,85,90,95,100})</f>
        <v>85</v>
      </c>
      <c r="K108" s="7"/>
      <c r="L108" s="7"/>
      <c r="M108" s="21">
        <f t="shared" si="54"/>
        <v>85</v>
      </c>
      <c r="N108" s="6">
        <v>8</v>
      </c>
      <c r="O108" s="43">
        <f t="shared" si="55"/>
        <v>5</v>
      </c>
      <c r="P108" s="1">
        <f>LOOKUP(O108,{0,2.5,2.7,2.9,3.1,3.3,3.5,3.7,3.9,4.1,4.3,4.5,4.7,4.9,5.1,5.3,5.5,5.6,5.7,5.8,5.9},{0,10,20,30,40,50,60,62,64,66,68,70,72,74,76,78,80,85,90,95,100})</f>
        <v>74</v>
      </c>
      <c r="Q108" s="6">
        <v>4.16</v>
      </c>
      <c r="R108" s="6">
        <f t="shared" si="56"/>
        <v>5.84</v>
      </c>
      <c r="S108" s="1">
        <f>LOOKUP(R108,{0,3.75,3.95,4.55,4.75,4.95,5.55,5.6,5.65,5.7,5.75,5.8,5.85,5.9,5.95,6,6.45,6.53,6.6,6.65,6.7},{0,10,20,30,40,50,60,62,64,66,68,70,72,74,76,78,80,85,90,95,100})</f>
        <v>70</v>
      </c>
      <c r="T108" s="7"/>
      <c r="U108" s="7"/>
      <c r="V108" s="21">
        <f t="shared" si="57"/>
        <v>70</v>
      </c>
      <c r="W108" s="6"/>
      <c r="X108" s="21">
        <f t="shared" si="45"/>
        <v>50.7</v>
      </c>
      <c r="Y108" s="37">
        <f t="shared" si="58"/>
        <v>72.4285714285714</v>
      </c>
    </row>
    <row r="109" ht="15.6" hidden="1" outlineLevel="2" spans="1:25">
      <c r="A109" s="6">
        <v>103</v>
      </c>
      <c r="B109" s="6">
        <v>14</v>
      </c>
      <c r="C109" s="29" t="s">
        <v>131</v>
      </c>
      <c r="D109" s="29" t="s">
        <v>11</v>
      </c>
      <c r="E109" s="6">
        <v>15</v>
      </c>
      <c r="F109" s="1">
        <f>LOOKUP(E109,{0,-4,-3,-2,-1,0,1,2.4,3.8,5.2,6.6,8,9.4,10.8,12.2,13.6,15,17.2,19.4,21.5,23.6},{0,10,20,30,40,50,60,62,64,66,68,70,72,74,76,78,80,85,90,95,100})</f>
        <v>80</v>
      </c>
      <c r="G109" s="6">
        <v>230</v>
      </c>
      <c r="H109" s="1">
        <f>LOOKUP(G109,{0,170,175,180,185,190,195,199,203,207,211,215,219,223,227,231,235,243,250,255,260},{0,10,20,30,40,50,60,62,64,66,68,70,72,74,76,78,80,85,90,95,100})</f>
        <v>76</v>
      </c>
      <c r="I109" s="6">
        <v>12</v>
      </c>
      <c r="J109" s="1">
        <f>LOOKUP(I109,{0,2,3,4,5,6,7,8,9,10,11,12,13,14,15,16},{0,10,20,30,40,50,60,64,68,72,76,80,85,90,95,100})</f>
        <v>80</v>
      </c>
      <c r="K109" s="7"/>
      <c r="L109" s="7"/>
      <c r="M109" s="21">
        <f t="shared" si="54"/>
        <v>80</v>
      </c>
      <c r="N109" s="6">
        <v>7.3</v>
      </c>
      <c r="O109" s="43">
        <f t="shared" si="55"/>
        <v>5.7</v>
      </c>
      <c r="P109" s="1">
        <f>LOOKUP(O109,{0,2.5,2.7,2.9,3.1,3.3,3.5,3.7,3.9,4.1,4.3,4.5,4.7,4.9,5.1,5.3,5.5,5.6,5.7,5.8,5.9},{0,10,20,30,40,50,60,62,64,66,68,70,72,74,76,78,80,85,90,95,100})</f>
        <v>90</v>
      </c>
      <c r="Q109" s="6">
        <v>3.22</v>
      </c>
      <c r="R109" s="6">
        <f t="shared" si="56"/>
        <v>6.78</v>
      </c>
      <c r="S109" s="1">
        <f>LOOKUP(R109,{0,3.75,3.95,4.55,4.75,4.95,5.55,5.6,5.65,5.7,5.75,5.8,5.85,5.9,5.95,6,6.45,6.53,6.6,6.65,6.7},{0,10,20,30,40,50,60,62,64,66,68,70,72,74,76,78,80,85,90,95,100})</f>
        <v>100</v>
      </c>
      <c r="T109" s="7">
        <f t="shared" si="52"/>
        <v>0.0799999999999996</v>
      </c>
      <c r="U109" s="40">
        <f>LOOKUP(T109,{0,0.04,0.08,0.12,0.16,0.2,0.23,0.26,0.29,0.32,0.35},{0,1,2,3,4,5,6,7,8,9,10})</f>
        <v>1</v>
      </c>
      <c r="V109" s="21">
        <f t="shared" si="57"/>
        <v>101</v>
      </c>
      <c r="X109" s="21">
        <f t="shared" si="45"/>
        <v>61.6</v>
      </c>
      <c r="Y109" s="37">
        <f t="shared" si="58"/>
        <v>89</v>
      </c>
    </row>
    <row r="110" ht="15.6" hidden="1" outlineLevel="2" spans="1:25">
      <c r="A110" s="6">
        <v>103</v>
      </c>
      <c r="B110" s="6">
        <v>15</v>
      </c>
      <c r="C110" s="29" t="s">
        <v>132</v>
      </c>
      <c r="D110" s="29" t="s">
        <v>11</v>
      </c>
      <c r="E110" s="6">
        <v>11.4</v>
      </c>
      <c r="F110" s="1">
        <f>LOOKUP(E110,{0,-4,-3,-2,-1,0,1,2.4,3.8,5.2,6.6,8,9.4,10.8,12.2,13.6,15,17.2,19.4,21.5,23.6},{0,10,20,30,40,50,60,62,64,66,68,70,72,74,76,78,80,85,90,95,100})</f>
        <v>74</v>
      </c>
      <c r="G110" s="6">
        <v>223</v>
      </c>
      <c r="H110" s="1">
        <f>LOOKUP(G110,{0,170,175,180,185,190,195,199,203,207,211,215,219,223,227,231,235,243,250,255,260},{0,10,20,30,40,50,60,62,64,66,68,70,72,74,76,78,80,85,90,95,100})</f>
        <v>74</v>
      </c>
      <c r="I110" s="6">
        <v>9</v>
      </c>
      <c r="J110" s="1">
        <f>LOOKUP(I110,{0,2,3,4,5,6,7,8,9,10,11,12,13,14,15,16},{0,10,20,30,40,50,60,64,68,72,76,80,85,90,95,100})</f>
        <v>68</v>
      </c>
      <c r="K110" s="7"/>
      <c r="L110" s="7"/>
      <c r="M110" s="21">
        <f t="shared" si="54"/>
        <v>68</v>
      </c>
      <c r="N110" s="6">
        <v>7.2</v>
      </c>
      <c r="O110" s="43">
        <f t="shared" si="55"/>
        <v>5.8</v>
      </c>
      <c r="P110" s="1">
        <f>LOOKUP(O110,{0,2.5,2.7,2.9,3.1,3.3,3.5,3.7,3.9,4.1,4.3,4.5,4.7,4.9,5.1,5.3,5.5,5.6,5.7,5.8,5.9},{0,10,20,30,40,50,60,62,64,66,68,70,72,74,76,78,80,85,90,95,100})</f>
        <v>95</v>
      </c>
      <c r="Q110" s="6">
        <v>3.33</v>
      </c>
      <c r="R110" s="6">
        <f t="shared" si="56"/>
        <v>6.67</v>
      </c>
      <c r="S110" s="1">
        <f>LOOKUP(R110,{0,3.75,3.95,4.55,4.75,4.95,5.55,5.6,5.65,5.7,5.75,5.8,5.85,5.9,5.95,6,6.45,6.53,6.6,6.65,6.7},{0,10,20,30,40,50,60,62,64,66,68,70,72,74,76,78,80,85,90,95,100})</f>
        <v>95</v>
      </c>
      <c r="T110" s="7"/>
      <c r="U110" s="7"/>
      <c r="V110" s="21">
        <f t="shared" si="57"/>
        <v>95</v>
      </c>
      <c r="X110" s="21">
        <f t="shared" si="45"/>
        <v>59.6</v>
      </c>
      <c r="Y110" s="37">
        <f t="shared" si="58"/>
        <v>85.1428571428572</v>
      </c>
    </row>
    <row r="111" ht="15.6" hidden="1" outlineLevel="2" spans="1:25">
      <c r="A111" s="6">
        <v>103</v>
      </c>
      <c r="B111" s="6">
        <v>16</v>
      </c>
      <c r="C111" s="29" t="s">
        <v>133</v>
      </c>
      <c r="D111" s="29" t="s">
        <v>11</v>
      </c>
      <c r="E111" s="6">
        <v>15.5</v>
      </c>
      <c r="F111" s="1">
        <f>LOOKUP(E111,{0,-4,-3,-2,-1,0,1,2.4,3.8,5.2,6.6,8,9.4,10.8,12.2,13.6,15,17.2,19.4,21.5,23.6},{0,10,20,30,40,50,60,62,64,66,68,70,72,74,76,78,80,85,90,95,100})</f>
        <v>80</v>
      </c>
      <c r="G111" s="6">
        <v>246</v>
      </c>
      <c r="H111" s="1">
        <f>LOOKUP(G111,{0,170,175,180,185,190,195,199,203,207,211,215,219,223,227,231,235,243,250,255,260},{0,10,20,30,40,50,60,62,64,66,68,70,72,74,76,78,80,85,90,95,100})</f>
        <v>85</v>
      </c>
      <c r="I111" s="6">
        <v>16</v>
      </c>
      <c r="J111" s="1">
        <f>LOOKUP(I111,{0,2,3,4,5,6,7,8,9,10,11,12,13,14,15,16},{0,10,20,30,40,50,60,64,68,72,76,80,85,90,95,100})</f>
        <v>100</v>
      </c>
      <c r="K111" s="7">
        <f t="shared" si="53"/>
        <v>0</v>
      </c>
      <c r="L111" s="40">
        <f>LOOKUP(K111,{0,1,2,3,4,5,6,7,8,9,10},{0,1,2,3,4,5,6,7,8,9,10})</f>
        <v>0</v>
      </c>
      <c r="M111" s="21">
        <f t="shared" si="54"/>
        <v>100</v>
      </c>
      <c r="N111" s="6">
        <v>7.2</v>
      </c>
      <c r="O111" s="43">
        <f t="shared" si="55"/>
        <v>5.8</v>
      </c>
      <c r="P111" s="1">
        <f>LOOKUP(O111,{0,2.5,2.7,2.9,3.1,3.3,3.5,3.7,3.9,4.1,4.3,4.5,4.7,4.9,5.1,5.3,5.5,5.6,5.7,5.8,5.9},{0,10,20,30,40,50,60,62,64,66,68,70,72,74,76,78,80,85,90,95,100})</f>
        <v>95</v>
      </c>
      <c r="Q111" s="6">
        <v>3.57</v>
      </c>
      <c r="R111" s="6">
        <f t="shared" si="56"/>
        <v>6.43</v>
      </c>
      <c r="S111" s="1">
        <f>LOOKUP(R111,{0,3.75,3.95,4.55,4.75,4.95,5.55,5.6,5.65,5.7,5.75,5.8,5.85,5.9,5.95,6,6.45,6.53,6.6,6.65,6.7},{0,10,20,30,40,50,60,62,64,66,68,70,72,74,76,78,80,85,90,95,100})</f>
        <v>78</v>
      </c>
      <c r="T111" s="7"/>
      <c r="U111" s="7"/>
      <c r="V111" s="21">
        <f t="shared" si="57"/>
        <v>78</v>
      </c>
      <c r="X111" s="21">
        <f t="shared" si="45"/>
        <v>61.1</v>
      </c>
      <c r="Y111" s="37">
        <f t="shared" si="58"/>
        <v>87.2857142857143</v>
      </c>
    </row>
    <row r="112" ht="15.6" hidden="1" outlineLevel="2" spans="1:25">
      <c r="A112" s="6">
        <v>103</v>
      </c>
      <c r="B112" s="6">
        <v>17</v>
      </c>
      <c r="C112" s="29" t="s">
        <v>134</v>
      </c>
      <c r="D112" s="29" t="s">
        <v>11</v>
      </c>
      <c r="E112" s="6">
        <v>8</v>
      </c>
      <c r="F112" s="1">
        <f>LOOKUP(E112,{0,-4,-3,-2,-1,0,1,2.4,3.8,5.2,6.6,8,9.4,10.8,12.2,13.6,15,17.2,19.4,21.5,23.6},{0,10,20,30,40,50,60,62,64,66,68,70,72,74,76,78,80,85,90,95,100})</f>
        <v>70</v>
      </c>
      <c r="G112" s="6">
        <v>217</v>
      </c>
      <c r="H112" s="1">
        <f>LOOKUP(G112,{0,170,175,180,185,190,195,199,203,207,211,215,219,223,227,231,235,243,250,255,260},{0,10,20,30,40,50,60,62,64,66,68,70,72,74,76,78,80,85,90,95,100})</f>
        <v>70</v>
      </c>
      <c r="I112" s="6">
        <v>3</v>
      </c>
      <c r="J112" s="1">
        <f>LOOKUP(I112,{0,2,3,4,5,6,7,8,9,10,11,12,13,14,15,16},{0,10,20,30,40,50,60,64,68,72,76,80,85,90,95,100})</f>
        <v>20</v>
      </c>
      <c r="K112" s="7"/>
      <c r="L112" s="7"/>
      <c r="M112" s="21">
        <f t="shared" si="54"/>
        <v>20</v>
      </c>
      <c r="N112" s="6">
        <v>7.5</v>
      </c>
      <c r="O112" s="43">
        <f t="shared" si="55"/>
        <v>5.5</v>
      </c>
      <c r="P112" s="1">
        <f>LOOKUP(O112,{0,2.5,2.7,2.9,3.1,3.3,3.5,3.7,3.9,4.1,4.3,4.5,4.7,4.9,5.1,5.3,5.5,5.6,5.7,5.8,5.9},{0,10,20,30,40,50,60,62,64,66,68,70,72,74,76,78,80,85,90,95,100})</f>
        <v>80</v>
      </c>
      <c r="Q112" s="6">
        <v>4.16</v>
      </c>
      <c r="R112" s="6">
        <f t="shared" si="56"/>
        <v>5.84</v>
      </c>
      <c r="S112" s="1">
        <f>LOOKUP(R112,{0,3.75,3.95,4.55,4.75,4.95,5.55,5.6,5.65,5.7,5.75,5.8,5.85,5.9,5.95,6,6.45,6.53,6.6,6.65,6.7},{0,10,20,30,40,50,60,62,64,66,68,70,72,74,76,78,80,85,90,95,100})</f>
        <v>70</v>
      </c>
      <c r="T112" s="7"/>
      <c r="U112" s="7"/>
      <c r="V112" s="21">
        <f t="shared" si="57"/>
        <v>70</v>
      </c>
      <c r="X112" s="21">
        <f t="shared" si="45"/>
        <v>46</v>
      </c>
      <c r="Y112" s="37">
        <f t="shared" si="58"/>
        <v>65.7142857142857</v>
      </c>
    </row>
    <row r="113" ht="15.6" hidden="1" outlineLevel="2" spans="1:25">
      <c r="A113" s="6">
        <v>103</v>
      </c>
      <c r="B113" s="6">
        <v>18</v>
      </c>
      <c r="C113" s="29" t="s">
        <v>135</v>
      </c>
      <c r="D113" s="29" t="s">
        <v>11</v>
      </c>
      <c r="E113" s="6">
        <v>-1</v>
      </c>
      <c r="F113" s="1">
        <f>LOOKUP(E113,{0,-4,-3,-2,-1,0,1,2.4,3.8,5.2,6.6,8,9.4,10.8,12.2,13.6,15,17.2,19.4,21.5,23.6},{0,10,20,30,40,50,60,62,64,66,68,70,72,74,76,78,80,85,90,95,100})</f>
        <v>40</v>
      </c>
      <c r="G113" s="6">
        <v>210</v>
      </c>
      <c r="H113" s="1">
        <f>LOOKUP(G113,{0,170,175,180,185,190,195,199,203,207,211,215,219,223,227,231,235,243,250,255,260},{0,10,20,30,40,50,60,62,64,66,68,70,72,74,76,78,80,85,90,95,100})</f>
        <v>66</v>
      </c>
      <c r="I113" s="6">
        <v>12</v>
      </c>
      <c r="J113" s="1">
        <f>LOOKUP(I113,{0,2,3,4,5,6,7,8,9,10,11,12,13,14,15,16},{0,10,20,30,40,50,60,64,68,72,76,80,85,90,95,100})</f>
        <v>80</v>
      </c>
      <c r="K113" s="7"/>
      <c r="L113" s="7"/>
      <c r="M113" s="21">
        <f t="shared" si="54"/>
        <v>80</v>
      </c>
      <c r="N113" s="6">
        <v>8</v>
      </c>
      <c r="O113" s="43">
        <f t="shared" si="55"/>
        <v>5</v>
      </c>
      <c r="P113" s="1">
        <f>LOOKUP(O113,{0,2.5,2.7,2.9,3.1,3.3,3.5,3.7,3.9,4.1,4.3,4.5,4.7,4.9,5.1,5.3,5.5,5.6,5.7,5.8,5.9},{0,10,20,30,40,50,60,62,64,66,68,70,72,74,76,78,80,85,90,95,100})</f>
        <v>74</v>
      </c>
      <c r="Q113" s="6">
        <v>4.3</v>
      </c>
      <c r="R113" s="6">
        <f t="shared" si="56"/>
        <v>5.7</v>
      </c>
      <c r="S113" s="1">
        <f>LOOKUP(R113,{0,3.75,3.95,4.55,4.75,4.95,5.55,5.6,5.65,5.7,5.75,5.8,5.85,5.9,5.95,6,6.45,6.53,6.6,6.65,6.7},{0,10,20,30,40,50,60,62,64,66,68,70,72,74,76,78,80,85,90,95,100})</f>
        <v>66</v>
      </c>
      <c r="T113" s="7"/>
      <c r="U113" s="7"/>
      <c r="V113" s="21">
        <f t="shared" si="57"/>
        <v>66</v>
      </c>
      <c r="X113" s="21">
        <f t="shared" si="45"/>
        <v>46.6</v>
      </c>
      <c r="Y113" s="37">
        <f t="shared" si="58"/>
        <v>66.5714285714286</v>
      </c>
    </row>
    <row r="114" ht="15.6" hidden="1" outlineLevel="2" spans="1:25">
      <c r="A114" s="6">
        <v>103</v>
      </c>
      <c r="B114" s="6">
        <v>19</v>
      </c>
      <c r="C114" s="29" t="s">
        <v>136</v>
      </c>
      <c r="D114" s="29" t="s">
        <v>11</v>
      </c>
      <c r="E114" s="6">
        <v>2.5</v>
      </c>
      <c r="F114" s="1">
        <f>LOOKUP(E114,{0,-4,-3,-2,-1,0,1,2.4,3.8,5.2,6.6,8,9.4,10.8,12.2,13.6,15,17.2,19.4,21.5,23.6},{0,10,20,30,40,50,60,62,64,66,68,70,72,74,76,78,80,85,90,95,100})</f>
        <v>62</v>
      </c>
      <c r="G114" s="6">
        <v>235</v>
      </c>
      <c r="H114" s="1">
        <f>LOOKUP(G114,{0,170,175,180,185,190,195,199,203,207,211,215,219,223,227,231,235,243,250,255,260},{0,10,20,30,40,50,60,62,64,66,68,70,72,74,76,78,80,85,90,95,100})</f>
        <v>80</v>
      </c>
      <c r="I114" s="6">
        <v>14</v>
      </c>
      <c r="J114" s="1">
        <f>LOOKUP(I114,{0,2,3,4,5,6,7,8,9,10,11,12,13,14,15,16},{0,10,20,30,40,50,60,64,68,72,76,80,85,90,95,100})</f>
        <v>90</v>
      </c>
      <c r="K114" s="7"/>
      <c r="L114" s="7"/>
      <c r="M114" s="21">
        <f t="shared" si="54"/>
        <v>90</v>
      </c>
      <c r="N114" s="6">
        <v>7.5</v>
      </c>
      <c r="O114" s="43">
        <f t="shared" si="55"/>
        <v>5.5</v>
      </c>
      <c r="P114" s="1">
        <f>LOOKUP(O114,{0,2.5,2.7,2.9,3.1,3.3,3.5,3.7,3.9,4.1,4.3,4.5,4.7,4.9,5.1,5.3,5.5,5.6,5.7,5.8,5.9},{0,10,20,30,40,50,60,62,64,66,68,70,72,74,76,78,80,85,90,95,100})</f>
        <v>80</v>
      </c>
      <c r="Q114" s="6">
        <v>3.46</v>
      </c>
      <c r="R114" s="6">
        <f t="shared" si="56"/>
        <v>6.54</v>
      </c>
      <c r="S114" s="1">
        <f>LOOKUP(R114,{0,3.75,3.95,4.55,4.75,4.95,5.55,5.6,5.65,5.7,5.75,5.8,5.85,5.9,5.95,6,6.45,6.53,6.6,6.65,6.7},{0,10,20,30,40,50,60,62,64,66,68,70,72,74,76,78,80,85,90,95,100})</f>
        <v>85</v>
      </c>
      <c r="T114" s="7"/>
      <c r="U114" s="7"/>
      <c r="V114" s="21">
        <f t="shared" si="57"/>
        <v>85</v>
      </c>
      <c r="X114" s="21">
        <f t="shared" si="45"/>
        <v>56.2</v>
      </c>
      <c r="Y114" s="37">
        <f t="shared" si="58"/>
        <v>80.2857142857143</v>
      </c>
    </row>
    <row r="115" ht="15.6" hidden="1" outlineLevel="2" spans="1:25">
      <c r="A115" s="6">
        <v>103</v>
      </c>
      <c r="B115" s="6">
        <v>20</v>
      </c>
      <c r="C115" s="39" t="s">
        <v>138</v>
      </c>
      <c r="D115" s="29" t="s">
        <v>11</v>
      </c>
      <c r="E115" s="6">
        <v>-1</v>
      </c>
      <c r="F115" s="1">
        <f>LOOKUP(E115,{0,-4,-3,-2,-1,0,1,2.4,3.8,5.2,6.6,8,9.4,10.8,12.2,13.6,15,17.2,19.4,21.5,23.6},{0,10,20,30,40,50,60,62,64,66,68,70,72,74,76,78,80,85,90,95,100})</f>
        <v>40</v>
      </c>
      <c r="G115" s="6">
        <v>233</v>
      </c>
      <c r="H115" s="1">
        <f>LOOKUP(G115,{0,170,175,180,185,190,195,199,203,207,211,215,219,223,227,231,235,243,250,255,260},{0,10,20,30,40,50,60,62,64,66,68,70,72,74,76,78,80,85,90,95,100})</f>
        <v>78</v>
      </c>
      <c r="I115" s="6">
        <v>10</v>
      </c>
      <c r="J115" s="1">
        <f>LOOKUP(I115,{0,2,3,4,5,6,7,8,9,10,11,12,13,14,15,16},{0,10,20,30,40,50,60,64,68,72,76,80,85,90,95,100})</f>
        <v>72</v>
      </c>
      <c r="K115" s="7"/>
      <c r="L115" s="7"/>
      <c r="M115" s="21">
        <f t="shared" si="54"/>
        <v>72</v>
      </c>
      <c r="N115" s="6">
        <v>7.1</v>
      </c>
      <c r="O115" s="43">
        <f t="shared" si="55"/>
        <v>5.9</v>
      </c>
      <c r="P115" s="1">
        <f>LOOKUP(O115,{0,2.5,2.7,2.9,3.1,3.3,3.5,3.7,3.9,4.1,4.3,4.5,4.7,4.9,5.1,5.3,5.5,5.6,5.7,5.8,5.9},{0,10,20,30,40,50,60,62,64,66,68,70,72,74,76,78,80,85,90,95,100})</f>
        <v>100</v>
      </c>
      <c r="Q115" s="6">
        <v>3.33</v>
      </c>
      <c r="R115" s="6">
        <f t="shared" si="56"/>
        <v>6.67</v>
      </c>
      <c r="S115" s="1">
        <f>LOOKUP(R115,{0,3.75,3.95,4.55,4.75,4.95,5.55,5.6,5.65,5.7,5.75,5.8,5.85,5.9,5.95,6,6.45,6.53,6.6,6.65,6.7},{0,10,20,30,40,50,60,62,64,66,68,70,72,74,76,78,80,85,90,95,100})</f>
        <v>95</v>
      </c>
      <c r="T115" s="7"/>
      <c r="U115" s="7"/>
      <c r="V115" s="21">
        <f t="shared" si="57"/>
        <v>95</v>
      </c>
      <c r="X115" s="21">
        <f t="shared" si="45"/>
        <v>58</v>
      </c>
      <c r="Y115" s="37">
        <f t="shared" si="58"/>
        <v>82.8571428571429</v>
      </c>
    </row>
    <row r="116" ht="15.6" hidden="1" outlineLevel="2" spans="1:25">
      <c r="A116" s="6">
        <v>103</v>
      </c>
      <c r="B116" s="6">
        <v>21</v>
      </c>
      <c r="C116" s="29" t="s">
        <v>139</v>
      </c>
      <c r="D116" s="29" t="s">
        <v>11</v>
      </c>
      <c r="E116" s="6">
        <v>18</v>
      </c>
      <c r="F116" s="1">
        <f>LOOKUP(E116,{0,-4,-3,-2,-1,0,1,2.4,3.8,5.2,6.6,8,9.4,10.8,12.2,13.6,15,17.2,19.4,21.5,23.6},{0,10,20,30,40,50,60,62,64,66,68,70,72,74,76,78,80,85,90,95,100})</f>
        <v>85</v>
      </c>
      <c r="G116" s="6">
        <v>232</v>
      </c>
      <c r="H116" s="1">
        <f>LOOKUP(G116,{0,170,175,180,185,190,195,199,203,207,211,215,219,223,227,231,235,243,250,255,260},{0,10,20,30,40,50,60,62,64,66,68,70,72,74,76,78,80,85,90,95,100})</f>
        <v>78</v>
      </c>
      <c r="I116" s="6">
        <v>21</v>
      </c>
      <c r="J116" s="1">
        <f>LOOKUP(I116,{0,2,3,4,5,6,7,8,9,10,11,12,13,14,15,16},{0,10,20,30,40,50,60,64,68,72,76,80,85,90,95,100})</f>
        <v>100</v>
      </c>
      <c r="K116" s="7">
        <f>I116-16</f>
        <v>5</v>
      </c>
      <c r="L116" s="40">
        <f>LOOKUP(K116,{0,1,2,3,4,5,6,7,8,9,10},{0,1,2,3,4,5,6,7,8,9,10})</f>
        <v>5</v>
      </c>
      <c r="M116" s="21">
        <f t="shared" si="54"/>
        <v>105</v>
      </c>
      <c r="N116" s="6">
        <v>7.3</v>
      </c>
      <c r="O116" s="43">
        <f t="shared" si="55"/>
        <v>5.7</v>
      </c>
      <c r="P116" s="1">
        <f>LOOKUP(O116,{0,2.5,2.7,2.9,3.1,3.3,3.5,3.7,3.9,4.1,4.3,4.5,4.7,4.9,5.1,5.3,5.5,5.6,5.7,5.8,5.9},{0,10,20,30,40,50,60,62,64,66,68,70,72,74,76,78,80,85,90,95,100})</f>
        <v>90</v>
      </c>
      <c r="Q116" s="6">
        <v>3.4</v>
      </c>
      <c r="R116" s="6">
        <f t="shared" si="56"/>
        <v>6.6</v>
      </c>
      <c r="S116" s="1">
        <f>LOOKUP(R116,{0,3.75,3.95,4.55,4.75,4.95,5.55,5.6,5.65,5.7,5.75,5.8,5.85,5.9,5.95,6,6.45,6.53,6.6,6.65,6.7},{0,10,20,30,40,50,60,62,64,66,68,70,72,74,76,78,80,85,90,95,100})</f>
        <v>90</v>
      </c>
      <c r="T116" s="7"/>
      <c r="U116" s="7"/>
      <c r="V116" s="21">
        <f t="shared" si="57"/>
        <v>90</v>
      </c>
      <c r="X116" s="21">
        <f t="shared" si="45"/>
        <v>62.3</v>
      </c>
      <c r="Y116" s="37">
        <f t="shared" si="58"/>
        <v>94</v>
      </c>
    </row>
    <row r="117" ht="15.6" hidden="1" outlineLevel="2" spans="1:25">
      <c r="A117" s="6">
        <v>103</v>
      </c>
      <c r="B117" s="6">
        <v>22</v>
      </c>
      <c r="C117" s="29" t="s">
        <v>140</v>
      </c>
      <c r="D117" s="29" t="s">
        <v>11</v>
      </c>
      <c r="E117" s="6">
        <v>-3</v>
      </c>
      <c r="F117" s="1">
        <f>LOOKUP(E117,{0,-4,-3,-2,-1,0,1,2.4,3.8,5.2,6.6,8,9.4,10.8,12.2,13.6,15,17.2,19.4,21.5,23.6},{0,10,20,30,40,50,60,62,64,66,68,70,72,74,76,78,80,85,90,95,100})</f>
        <v>20</v>
      </c>
      <c r="G117" s="6">
        <v>204</v>
      </c>
      <c r="H117" s="1">
        <f>LOOKUP(G117,{0,170,175,180,185,190,195,199,203,207,211,215,219,223,227,231,235,243,250,255,260},{0,10,20,30,40,50,60,62,64,66,68,70,72,74,76,78,80,85,90,95,100})</f>
        <v>64</v>
      </c>
      <c r="I117" s="6">
        <v>0</v>
      </c>
      <c r="J117" s="1">
        <f>LOOKUP(I117,{0,2,3,4,5,6,7,8,9,10,11,12,13,14,15,16},{0,10,20,30,40,50,60,64,68,72,76,80,85,90,95,100})</f>
        <v>0</v>
      </c>
      <c r="K117" s="7"/>
      <c r="L117" s="7"/>
      <c r="M117" s="21">
        <f t="shared" si="54"/>
        <v>0</v>
      </c>
      <c r="N117" s="6">
        <v>7.7</v>
      </c>
      <c r="O117" s="43">
        <f t="shared" si="55"/>
        <v>5.3</v>
      </c>
      <c r="P117" s="1">
        <f>LOOKUP(O117,{0,2.5,2.7,2.9,3.1,3.3,3.5,3.7,3.9,4.1,4.3,4.5,4.7,4.9,5.1,5.3,5.5,5.6,5.7,5.8,5.9},{0,10,20,30,40,50,60,62,64,66,68,70,72,74,76,78,80,85,90,95,100})</f>
        <v>78</v>
      </c>
      <c r="Q117" s="6">
        <v>3.51</v>
      </c>
      <c r="R117" s="6">
        <f t="shared" si="56"/>
        <v>6.49</v>
      </c>
      <c r="S117" s="1">
        <f>LOOKUP(R117,{0,3.75,3.95,4.55,4.75,4.95,5.55,5.6,5.65,5.7,5.75,5.8,5.85,5.9,5.95,6,6.45,6.53,6.6,6.65,6.7},{0,10,20,30,40,50,60,62,64,66,68,70,72,74,76,78,80,85,90,95,100})</f>
        <v>80</v>
      </c>
      <c r="T117" s="7"/>
      <c r="U117" s="7"/>
      <c r="V117" s="21">
        <f t="shared" si="57"/>
        <v>80</v>
      </c>
      <c r="X117" s="21">
        <f t="shared" si="45"/>
        <v>40</v>
      </c>
      <c r="Y117" s="37">
        <f t="shared" si="58"/>
        <v>57.1428571428571</v>
      </c>
    </row>
    <row r="118" ht="15.6" hidden="1" outlineLevel="2" spans="1:25">
      <c r="A118" s="6">
        <v>103</v>
      </c>
      <c r="B118" s="6">
        <v>23</v>
      </c>
      <c r="C118" s="29" t="s">
        <v>141</v>
      </c>
      <c r="D118" s="29" t="s">
        <v>11</v>
      </c>
      <c r="E118" s="6">
        <v>19</v>
      </c>
      <c r="F118" s="1">
        <f>LOOKUP(E118,{0,-4,-3,-2,-1,0,1,2.4,3.8,5.2,6.6,8,9.4,10.8,12.2,13.6,15,17.2,19.4,21.5,23.6},{0,10,20,30,40,50,60,62,64,66,68,70,72,74,76,78,80,85,90,95,100})</f>
        <v>85</v>
      </c>
      <c r="G118" s="6">
        <v>227</v>
      </c>
      <c r="H118" s="1">
        <f>LOOKUP(G118,{0,170,175,180,185,190,195,199,203,207,211,215,219,223,227,231,235,243,250,255,260},{0,10,20,30,40,50,60,62,64,66,68,70,72,74,76,78,80,85,90,95,100})</f>
        <v>76</v>
      </c>
      <c r="I118" s="6">
        <v>13</v>
      </c>
      <c r="J118" s="1">
        <f>LOOKUP(I118,{0,2,3,4,5,6,7,8,9,10,11,12,13,14,15,16},{0,10,20,30,40,50,60,64,68,72,76,80,85,90,95,100})</f>
        <v>85</v>
      </c>
      <c r="K118" s="7"/>
      <c r="L118" s="7"/>
      <c r="M118" s="21">
        <f t="shared" si="54"/>
        <v>85</v>
      </c>
      <c r="O118" s="43"/>
      <c r="P118" s="1"/>
      <c r="Q118" s="6">
        <v>3.58</v>
      </c>
      <c r="R118" s="6">
        <f t="shared" si="56"/>
        <v>6.42</v>
      </c>
      <c r="S118" s="1">
        <f>LOOKUP(R118,{0,3.75,3.95,4.55,4.75,4.95,5.55,5.6,5.65,5.7,5.75,5.8,5.85,5.9,5.95,6,6.45,6.53,6.6,6.65,6.7},{0,10,20,30,40,50,60,62,64,66,68,70,72,74,76,78,80,85,90,95,100})</f>
        <v>78</v>
      </c>
      <c r="T118" s="7"/>
      <c r="U118" s="7"/>
      <c r="V118" s="21">
        <f t="shared" si="57"/>
        <v>78</v>
      </c>
      <c r="X118" s="21">
        <f t="shared" si="45"/>
        <v>40.2</v>
      </c>
      <c r="Y118" s="37">
        <f t="shared" si="58"/>
        <v>57.4285714285714</v>
      </c>
    </row>
    <row r="119" ht="15.6" hidden="1" outlineLevel="2" spans="1:25">
      <c r="A119" s="6">
        <v>103</v>
      </c>
      <c r="B119" s="6">
        <v>24</v>
      </c>
      <c r="C119" s="29" t="s">
        <v>142</v>
      </c>
      <c r="D119" s="29" t="s">
        <v>11</v>
      </c>
      <c r="F119" s="1"/>
      <c r="H119" s="1"/>
      <c r="J119" s="1"/>
      <c r="K119" s="7"/>
      <c r="L119" s="7"/>
      <c r="M119" s="21"/>
      <c r="O119" s="43"/>
      <c r="P119" s="1"/>
      <c r="S119" s="1"/>
      <c r="T119" s="7"/>
      <c r="U119" s="40"/>
      <c r="V119" s="21"/>
      <c r="W119" s="6" t="s">
        <v>84</v>
      </c>
      <c r="X119" s="21">
        <f t="shared" si="45"/>
        <v>0</v>
      </c>
      <c r="Y119" s="37">
        <v>50</v>
      </c>
    </row>
    <row r="120" s="3" customFormat="1" ht="15.6" hidden="1" outlineLevel="2" spans="1:25">
      <c r="A120" s="6">
        <v>103</v>
      </c>
      <c r="B120" s="6">
        <v>25</v>
      </c>
      <c r="C120" s="29" t="s">
        <v>143</v>
      </c>
      <c r="D120" s="29" t="s">
        <v>11</v>
      </c>
      <c r="E120" s="6">
        <v>-1.5</v>
      </c>
      <c r="F120" s="1">
        <f>LOOKUP(E120,{0,-4,-3,-2,-1,0,1,2.4,3.8,5.2,6.6,8,9.4,10.8,12.2,13.6,15,17.2,19.4,21.5,23.6},{0,10,20,30,40,50,60,62,64,66,68,70,72,74,76,78,80,85,90,95,100})</f>
        <v>30</v>
      </c>
      <c r="G120" s="6">
        <v>240</v>
      </c>
      <c r="H120" s="1">
        <f>LOOKUP(G120,{0,170,175,180,185,190,195,199,203,207,211,215,219,223,227,231,235,243,250,255,260},{0,10,20,30,40,50,60,62,64,66,68,70,72,74,76,78,80,85,90,95,100})</f>
        <v>80</v>
      </c>
      <c r="I120" s="6">
        <v>11</v>
      </c>
      <c r="J120" s="1">
        <f>LOOKUP(I120,{0,2,3,4,5,6,7,8,9,10,11,12,13,14,15,16},{0,10,20,30,40,50,60,64,68,72,76,80,85,90,95,100})</f>
        <v>76</v>
      </c>
      <c r="K120" s="7"/>
      <c r="L120" s="7"/>
      <c r="M120" s="21">
        <f t="shared" ref="M120:M123" si="59">J120+L120</f>
        <v>76</v>
      </c>
      <c r="N120" s="6">
        <v>6.8</v>
      </c>
      <c r="O120" s="43">
        <f t="shared" ref="O120:O123" si="60">13-N120</f>
        <v>6.2</v>
      </c>
      <c r="P120" s="1">
        <f>LOOKUP(O120,{0,2.5,2.7,2.9,3.1,3.3,3.5,3.7,3.9,4.1,4.3,4.5,4.7,4.9,5.1,5.3,5.5,5.6,5.7,5.8,5.9},{0,10,20,30,40,50,60,62,64,66,68,70,72,74,76,78,80,85,90,95,100})</f>
        <v>100</v>
      </c>
      <c r="Q120" s="6">
        <v>3.25</v>
      </c>
      <c r="R120" s="6">
        <f t="shared" ref="R120:R123" si="61">10-Q120</f>
        <v>6.75</v>
      </c>
      <c r="S120" s="1">
        <f>LOOKUP(R120,{0,3.75,3.95,4.55,4.75,4.95,5.55,5.6,5.65,5.7,5.75,5.8,5.85,5.9,5.95,6,6.45,6.53,6.6,6.65,6.7},{0,10,20,30,40,50,60,62,64,66,68,70,72,74,76,78,80,85,90,95,100})</f>
        <v>100</v>
      </c>
      <c r="T120" s="7">
        <f>3.3-Q120</f>
        <v>0.0499999999999998</v>
      </c>
      <c r="U120" s="40">
        <f>LOOKUP(T120,{0,0.04,0.08,0.12,0.16,0.2,0.23,0.26,0.29,0.32,0.35},{0,1,2,3,4,5,6,7,8,9,10})</f>
        <v>1</v>
      </c>
      <c r="V120" s="21">
        <f t="shared" ref="V120:V123" si="62">S120+U120</f>
        <v>101</v>
      </c>
      <c r="W120" s="6"/>
      <c r="X120" s="21">
        <f t="shared" si="45"/>
        <v>58.6</v>
      </c>
      <c r="Y120" s="37">
        <f t="shared" ref="Y120:Y123" si="63">X120/0.7+L120+U120</f>
        <v>84.7142857142857</v>
      </c>
    </row>
    <row r="121" ht="15.6" hidden="1" outlineLevel="2" spans="1:25">
      <c r="A121" s="6">
        <v>103</v>
      </c>
      <c r="B121" s="6">
        <v>26</v>
      </c>
      <c r="C121" s="29" t="s">
        <v>144</v>
      </c>
      <c r="D121" s="29" t="s">
        <v>11</v>
      </c>
      <c r="E121" s="6">
        <v>13</v>
      </c>
      <c r="F121" s="1">
        <f>LOOKUP(E121,{0,-4,-3,-2,-1,0,1,2.4,3.8,5.2,6.6,8,9.4,10.8,12.2,13.6,15,17.2,19.4,21.5,23.6},{0,10,20,30,40,50,60,62,64,66,68,70,72,74,76,78,80,85,90,95,100})</f>
        <v>76</v>
      </c>
      <c r="G121" s="6">
        <v>210</v>
      </c>
      <c r="H121" s="1">
        <f>LOOKUP(G121,{0,170,175,180,185,190,195,199,203,207,211,215,219,223,227,231,235,243,250,255,260},{0,10,20,30,40,50,60,62,64,66,68,70,72,74,76,78,80,85,90,95,100})</f>
        <v>66</v>
      </c>
      <c r="I121" s="6">
        <v>1</v>
      </c>
      <c r="J121" s="1">
        <f>LOOKUP(I121,{0,2,3,4,5,6,7,8,9,10,11,12,13,14,15,16},{0,10,20,30,40,50,60,64,68,72,76,80,85,90,95,100})</f>
        <v>0</v>
      </c>
      <c r="K121" s="7"/>
      <c r="L121" s="7"/>
      <c r="M121" s="21">
        <f t="shared" si="59"/>
        <v>0</v>
      </c>
      <c r="N121" s="6">
        <v>7.7</v>
      </c>
      <c r="O121" s="43">
        <f t="shared" si="60"/>
        <v>5.3</v>
      </c>
      <c r="P121" s="1">
        <f>LOOKUP(O121,{0,2.5,2.7,2.9,3.1,3.3,3.5,3.7,3.9,4.1,4.3,4.5,4.7,4.9,5.1,5.3,5.5,5.6,5.7,5.8,5.9},{0,10,20,30,40,50,60,62,64,66,68,70,72,74,76,78,80,85,90,95,100})</f>
        <v>78</v>
      </c>
      <c r="Q121" s="6">
        <v>4.02</v>
      </c>
      <c r="R121" s="6">
        <f t="shared" si="61"/>
        <v>5.98</v>
      </c>
      <c r="S121" s="1">
        <f>LOOKUP(R121,{0,3.75,3.95,4.55,4.75,4.95,5.55,5.6,5.65,5.7,5.75,5.8,5.85,5.9,5.95,6,6.45,6.53,6.6,6.65,6.7},{0,10,20,30,40,50,60,62,64,66,68,70,72,74,76,78,80,85,90,95,100})</f>
        <v>76</v>
      </c>
      <c r="T121" s="7"/>
      <c r="U121" s="7"/>
      <c r="V121" s="21">
        <f t="shared" si="62"/>
        <v>76</v>
      </c>
      <c r="X121" s="21">
        <f t="shared" si="45"/>
        <v>45</v>
      </c>
      <c r="Y121" s="37">
        <f t="shared" si="63"/>
        <v>64.2857142857143</v>
      </c>
    </row>
    <row r="122" ht="15.6" hidden="1" outlineLevel="2" spans="1:25">
      <c r="A122" s="6">
        <v>103</v>
      </c>
      <c r="B122" s="6">
        <v>27</v>
      </c>
      <c r="C122" s="29" t="s">
        <v>145</v>
      </c>
      <c r="D122" s="29" t="s">
        <v>11</v>
      </c>
      <c r="E122" s="6">
        <v>2.5</v>
      </c>
      <c r="F122" s="1">
        <f>LOOKUP(E122,{0,-4,-3,-2,-1,0,1,2.4,3.8,5.2,6.6,8,9.4,10.8,12.2,13.6,15,17.2,19.4,21.5,23.6},{0,10,20,30,40,50,60,62,64,66,68,70,72,74,76,78,80,85,90,95,100})</f>
        <v>62</v>
      </c>
      <c r="G122" s="6">
        <v>260</v>
      </c>
      <c r="H122" s="1">
        <f>LOOKUP(G122,{0,170,175,180,185,190,195,199,203,207,211,215,219,223,227,231,235,243,250,255,260},{0,10,20,30,40,50,60,62,64,66,68,70,72,74,76,78,80,85,90,95,100})</f>
        <v>100</v>
      </c>
      <c r="I122" s="6">
        <v>11</v>
      </c>
      <c r="J122" s="1">
        <f>LOOKUP(I122,{0,2,3,4,5,6,7,8,9,10,11,12,13,14,15,16},{0,10,20,30,40,50,60,64,68,72,76,80,85,90,95,100})</f>
        <v>76</v>
      </c>
      <c r="K122" s="7"/>
      <c r="L122" s="7"/>
      <c r="M122" s="21">
        <f t="shared" si="59"/>
        <v>76</v>
      </c>
      <c r="N122" s="6">
        <v>7.1</v>
      </c>
      <c r="O122" s="43">
        <f t="shared" si="60"/>
        <v>5.9</v>
      </c>
      <c r="P122" s="1">
        <f>LOOKUP(O122,{0,2.5,2.7,2.9,3.1,3.3,3.5,3.7,3.9,4.1,4.3,4.5,4.7,4.9,5.1,5.3,5.5,5.6,5.7,5.8,5.9},{0,10,20,30,40,50,60,62,64,66,68,70,72,74,76,78,80,85,90,95,100})</f>
        <v>100</v>
      </c>
      <c r="Q122" s="6">
        <v>3.48</v>
      </c>
      <c r="R122" s="6">
        <f t="shared" si="61"/>
        <v>6.52</v>
      </c>
      <c r="S122" s="1">
        <f>LOOKUP(R122,{0,3.75,3.95,4.55,4.75,4.95,5.55,5.6,5.65,5.7,5.75,5.8,5.85,5.9,5.95,6,6.45,6.53,6.6,6.65,6.7},{0,10,20,30,40,50,60,62,64,66,68,70,72,74,76,78,80,85,90,95,100})</f>
        <v>80</v>
      </c>
      <c r="T122" s="7"/>
      <c r="U122" s="7"/>
      <c r="V122" s="21">
        <f t="shared" si="62"/>
        <v>80</v>
      </c>
      <c r="X122" s="21">
        <f t="shared" si="45"/>
        <v>59.8</v>
      </c>
      <c r="Y122" s="37">
        <f t="shared" si="63"/>
        <v>85.4285714285714</v>
      </c>
    </row>
    <row r="123" ht="15.6" hidden="1" outlineLevel="2" spans="1:25">
      <c r="A123" s="6">
        <v>103</v>
      </c>
      <c r="B123" s="6">
        <v>28</v>
      </c>
      <c r="C123" s="29" t="s">
        <v>146</v>
      </c>
      <c r="D123" s="29" t="s">
        <v>11</v>
      </c>
      <c r="E123" s="6">
        <v>3</v>
      </c>
      <c r="F123" s="1">
        <f>LOOKUP(E123,{0,-4,-3,-2,-1,0,1,2.4,3.8,5.2,6.6,8,9.4,10.8,12.2,13.6,15,17.2,19.4,21.5,23.6},{0,10,20,30,40,50,60,62,64,66,68,70,72,74,76,78,80,85,90,95,100})</f>
        <v>62</v>
      </c>
      <c r="G123" s="6">
        <v>235</v>
      </c>
      <c r="H123" s="1">
        <f>LOOKUP(G123,{0,170,175,180,185,190,195,199,203,207,211,215,219,223,227,231,235,243,250,255,260},{0,10,20,30,40,50,60,62,64,66,68,70,72,74,76,78,80,85,90,95,100})</f>
        <v>80</v>
      </c>
      <c r="I123" s="6">
        <v>7</v>
      </c>
      <c r="J123" s="1">
        <f>LOOKUP(I123,{0,2,3,4,5,6,7,8,9,10,11,12,13,14,15,16},{0,10,20,30,40,50,60,64,68,72,76,80,85,90,95,100})</f>
        <v>60</v>
      </c>
      <c r="K123" s="7"/>
      <c r="L123" s="7"/>
      <c r="M123" s="21">
        <f t="shared" si="59"/>
        <v>60</v>
      </c>
      <c r="N123" s="6">
        <v>7.3</v>
      </c>
      <c r="O123" s="43">
        <f t="shared" si="60"/>
        <v>5.7</v>
      </c>
      <c r="P123" s="1">
        <f>LOOKUP(O123,{0,2.5,2.7,2.9,3.1,3.3,3.5,3.7,3.9,4.1,4.3,4.5,4.7,4.9,5.1,5.3,5.5,5.6,5.7,5.8,5.9},{0,10,20,30,40,50,60,62,64,66,68,70,72,74,76,78,80,85,90,95,100})</f>
        <v>90</v>
      </c>
      <c r="Q123" s="6">
        <v>3.53</v>
      </c>
      <c r="R123" s="6">
        <f t="shared" si="61"/>
        <v>6.47</v>
      </c>
      <c r="S123" s="1">
        <f>LOOKUP(R123,{0,3.75,3.95,4.55,4.75,4.95,5.55,5.6,5.65,5.7,5.75,5.8,5.85,5.9,5.95,6,6.45,6.53,6.6,6.65,6.7},{0,10,20,30,40,50,60,62,64,66,68,70,72,74,76,78,80,85,90,95,100})</f>
        <v>80</v>
      </c>
      <c r="T123" s="7"/>
      <c r="U123" s="7"/>
      <c r="V123" s="21">
        <f t="shared" si="62"/>
        <v>80</v>
      </c>
      <c r="X123" s="21">
        <f t="shared" si="45"/>
        <v>54.2</v>
      </c>
      <c r="Y123" s="37">
        <f t="shared" si="63"/>
        <v>77.4285714285714</v>
      </c>
    </row>
    <row r="124" ht="15.6" hidden="1" outlineLevel="2" spans="1:25">
      <c r="A124" s="6">
        <v>103</v>
      </c>
      <c r="B124" s="6">
        <v>29</v>
      </c>
      <c r="C124" s="39" t="s">
        <v>148</v>
      </c>
      <c r="D124" s="29" t="s">
        <v>46</v>
      </c>
      <c r="F124" s="1"/>
      <c r="H124" s="1"/>
      <c r="J124" s="1"/>
      <c r="K124" s="45"/>
      <c r="L124" s="45"/>
      <c r="M124" s="21"/>
      <c r="O124" s="43"/>
      <c r="P124" s="1"/>
      <c r="S124" s="1"/>
      <c r="T124" s="48"/>
      <c r="U124" s="40"/>
      <c r="V124" s="21"/>
      <c r="W124" s="6" t="s">
        <v>84</v>
      </c>
      <c r="X124" s="21">
        <f t="shared" si="45"/>
        <v>0</v>
      </c>
      <c r="Y124" s="37">
        <v>50</v>
      </c>
    </row>
    <row r="125" ht="15.6" hidden="1" outlineLevel="2" spans="1:25">
      <c r="A125" s="6">
        <v>103</v>
      </c>
      <c r="B125" s="6">
        <v>30</v>
      </c>
      <c r="C125" s="29" t="s">
        <v>149</v>
      </c>
      <c r="D125" s="29" t="s">
        <v>46</v>
      </c>
      <c r="E125" s="6">
        <v>22.7</v>
      </c>
      <c r="F125" s="1">
        <f>LOOKUP(E125,{0,0.4,1.2,2,2.8,3.6,4.4,5.7,7,8.3,9.6,10.9,12.2,13.5,14.8,16.1,17.4,19.1,20.8,22.5,24.2},{0,10,20,30,40,50,60,62,64,66,68,70,72,74,76,78,80,85,90,95,100})</f>
        <v>95</v>
      </c>
      <c r="G125" s="6">
        <v>175</v>
      </c>
      <c r="H125" s="1">
        <f>LOOKUP(G125,{0,123,128,133,138,143,148,151,154,157,160,163,166,169,172,175,178,185,192,198,204},{0,10,20,30,40,50,60,62,64,66,68,70,72,74,76,78,80,85,90,95,100})</f>
        <v>78</v>
      </c>
      <c r="I125" s="6">
        <v>50</v>
      </c>
      <c r="J125" s="1">
        <f>LOOKUP(I125,{0,13,15,17,19,21,23,25,27,29,31,33,35,37,39,41,43,46,49,51,53},{0,10,20,30,40,50,60,62,64,66,68,70,72,74,76,78,80,85,90,95,100})</f>
        <v>90</v>
      </c>
      <c r="K125" s="45"/>
      <c r="L125" s="45"/>
      <c r="M125" s="21">
        <f t="shared" ref="M125:M129" si="64">J125+L125</f>
        <v>90</v>
      </c>
      <c r="N125" s="6">
        <v>8.3</v>
      </c>
      <c r="O125" s="43">
        <f t="shared" ref="O125:O129" si="65">13-N125</f>
        <v>4.7</v>
      </c>
      <c r="P125" s="1">
        <f>LOOKUP(O125,{0,1.4,1.6,1.8,2,2.2,2.4,2.6,2.8,3,3.2,3.4,3.6,3.8,4,4.2,4.4,4.7,5,5.1,5.2},{0,10,20,30,40,50,60,62,64,66,68,70,72,74,76,78,80,85,90,95,100})</f>
        <v>85</v>
      </c>
      <c r="Q125" s="6">
        <v>3.57</v>
      </c>
      <c r="R125" s="6">
        <f t="shared" ref="R125:R129" si="66">10-Q125</f>
        <v>6.43</v>
      </c>
      <c r="S125" s="1">
        <f>LOOKUP(R125,{0,4.7,4.8,4.9,5,5.5,5.6,5.65,5.7,5.75,5.8,5.85,5.9,5.95,6,6.45,6.5,6.57,6.64,6.7,6.76},{0,10,20,30,40,50,60,62,64,66,68,70,72,74,76,78,80,85,90,95,100})</f>
        <v>76</v>
      </c>
      <c r="T125" s="45"/>
      <c r="U125" s="45"/>
      <c r="V125" s="21">
        <f t="shared" ref="V125:V129" si="67">S125+U125</f>
        <v>76</v>
      </c>
      <c r="X125" s="21">
        <f t="shared" si="45"/>
        <v>58.5</v>
      </c>
      <c r="Y125" s="37">
        <f t="shared" ref="Y125:Y129" si="68">X125/0.7+L125+U125</f>
        <v>83.5714285714286</v>
      </c>
    </row>
    <row r="126" ht="15.6" hidden="1" outlineLevel="2" spans="1:25">
      <c r="A126" s="6">
        <v>103</v>
      </c>
      <c r="B126" s="6">
        <v>31</v>
      </c>
      <c r="C126" s="29" t="s">
        <v>150</v>
      </c>
      <c r="D126" s="29" t="s">
        <v>46</v>
      </c>
      <c r="E126" s="6">
        <v>28</v>
      </c>
      <c r="F126" s="1">
        <f>LOOKUP(E126,{0,0.4,1.2,2,2.8,3.6,4.4,5.7,7,8.3,9.6,10.9,12.2,13.5,14.8,16.1,17.4,19.1,20.8,22.5,24.2},{0,10,20,30,40,50,60,62,64,66,68,70,72,74,76,78,80,85,90,95,100})</f>
        <v>100</v>
      </c>
      <c r="G126" s="6">
        <v>200</v>
      </c>
      <c r="H126" s="1">
        <f>LOOKUP(G126,{0,123,128,133,138,143,148,151,154,157,160,163,166,169,172,175,178,185,192,198,204},{0,10,20,30,40,50,60,62,64,66,68,70,72,74,76,78,80,85,90,95,100})</f>
        <v>95</v>
      </c>
      <c r="I126" s="6">
        <v>50</v>
      </c>
      <c r="J126" s="1">
        <f>LOOKUP(I126,{0,13,15,17,19,21,23,25,27,29,31,33,35,37,39,41,43,46,49,51,53},{0,10,20,30,40,50,60,62,64,66,68,70,72,74,76,78,80,85,90,95,100})</f>
        <v>90</v>
      </c>
      <c r="K126" s="45"/>
      <c r="L126" s="45"/>
      <c r="M126" s="21">
        <f t="shared" si="64"/>
        <v>90</v>
      </c>
      <c r="N126" s="6">
        <v>8.1</v>
      </c>
      <c r="O126" s="43">
        <f t="shared" si="65"/>
        <v>4.9</v>
      </c>
      <c r="P126" s="1">
        <f>LOOKUP(O126,{0,1.4,1.6,1.8,2,2.2,2.4,2.6,2.8,3,3.2,3.4,3.6,3.8,4,4.2,4.4,4.7,5,5.1,5.2},{0,10,20,30,40,50,60,62,64,66,68,70,72,74,76,78,80,85,90,95,100})</f>
        <v>85</v>
      </c>
      <c r="Q126" s="6">
        <v>3.3</v>
      </c>
      <c r="R126" s="6">
        <f t="shared" si="66"/>
        <v>6.7</v>
      </c>
      <c r="S126" s="1">
        <f>LOOKUP(R126,{0,4.7,4.8,4.9,5,5.5,5.6,5.65,5.7,5.75,5.8,5.85,5.9,5.95,6,6.45,6.5,6.57,6.64,6.7,6.76},{0,10,20,30,40,50,60,62,64,66,68,70,72,74,76,78,80,85,90,95,100})</f>
        <v>95</v>
      </c>
      <c r="T126" s="45"/>
      <c r="U126" s="45"/>
      <c r="V126" s="21">
        <f t="shared" si="67"/>
        <v>95</v>
      </c>
      <c r="X126" s="21">
        <f t="shared" si="45"/>
        <v>64.5</v>
      </c>
      <c r="Y126" s="37">
        <f t="shared" si="68"/>
        <v>92.1428571428572</v>
      </c>
    </row>
    <row r="127" ht="15.6" hidden="1" outlineLevel="2" spans="1:25">
      <c r="A127" s="6">
        <v>103</v>
      </c>
      <c r="B127" s="6">
        <v>32</v>
      </c>
      <c r="C127" s="29" t="s">
        <v>151</v>
      </c>
      <c r="D127" s="29" t="s">
        <v>46</v>
      </c>
      <c r="E127" s="6">
        <v>19.4</v>
      </c>
      <c r="F127" s="1">
        <f>LOOKUP(E127,{0,0.4,1.2,2,2.8,3.6,4.4,5.7,7,8.3,9.6,10.9,12.2,13.5,14.8,16.1,17.4,19.1,20.8,22.5,24.2},{0,10,20,30,40,50,60,62,64,66,68,70,72,74,76,78,80,85,90,95,100})</f>
        <v>85</v>
      </c>
      <c r="G127" s="6">
        <v>185</v>
      </c>
      <c r="H127" s="1">
        <f>LOOKUP(G127,{0,123,128,133,138,143,148,151,154,157,160,163,166,169,172,175,178,185,192,198,204},{0,10,20,30,40,50,60,62,64,66,68,70,72,74,76,78,80,85,90,95,100})</f>
        <v>85</v>
      </c>
      <c r="I127" s="6">
        <v>40</v>
      </c>
      <c r="J127" s="1">
        <f>LOOKUP(I127,{0,13,15,17,19,21,23,25,27,29,31,33,35,37,39,41,43,46,49,51,53},{0,10,20,30,40,50,60,62,64,66,68,70,72,74,76,78,80,85,90,95,100})</f>
        <v>76</v>
      </c>
      <c r="K127" s="45"/>
      <c r="L127" s="45"/>
      <c r="M127" s="21">
        <f t="shared" si="64"/>
        <v>76</v>
      </c>
      <c r="O127" s="43"/>
      <c r="P127" s="1"/>
      <c r="Q127" s="6">
        <v>3.56</v>
      </c>
      <c r="R127" s="6">
        <f t="shared" si="66"/>
        <v>6.44</v>
      </c>
      <c r="S127" s="1">
        <f>LOOKUP(R127,{0,4.7,4.8,4.9,5,5.5,5.6,5.65,5.7,5.75,5.8,5.85,5.9,5.95,6,6.45,6.5,6.57,6.64,6.7,6.76},{0,10,20,30,40,50,60,62,64,66,68,70,72,74,76,78,80,85,90,95,100})</f>
        <v>76</v>
      </c>
      <c r="T127" s="45"/>
      <c r="U127" s="45"/>
      <c r="V127" s="21">
        <f t="shared" si="67"/>
        <v>76</v>
      </c>
      <c r="X127" s="21">
        <f t="shared" si="45"/>
        <v>39.8</v>
      </c>
      <c r="Y127" s="37">
        <f t="shared" si="68"/>
        <v>56.8571428571429</v>
      </c>
    </row>
    <row r="128" ht="15.6" hidden="1" outlineLevel="2" spans="1:25">
      <c r="A128" s="6">
        <v>103</v>
      </c>
      <c r="B128" s="6">
        <v>33</v>
      </c>
      <c r="C128" s="29" t="s">
        <v>152</v>
      </c>
      <c r="D128" s="29" t="s">
        <v>46</v>
      </c>
      <c r="E128" s="6">
        <v>14</v>
      </c>
      <c r="F128" s="1">
        <f>LOOKUP(E128,{0,0.4,1.2,2,2.8,3.6,4.4,5.7,7,8.3,9.6,10.9,12.2,13.5,14.8,16.1,17.4,19.1,20.8,22.5,24.2},{0,10,20,30,40,50,60,62,64,66,68,70,72,74,76,78,80,85,90,95,100})</f>
        <v>74</v>
      </c>
      <c r="G128" s="6">
        <v>168</v>
      </c>
      <c r="H128" s="1">
        <f>LOOKUP(G128,{0,123,128,133,138,143,148,151,154,157,160,163,166,169,172,175,178,185,192,198,204},{0,10,20,30,40,50,60,62,64,66,68,70,72,74,76,78,80,85,90,95,100})</f>
        <v>72</v>
      </c>
      <c r="I128" s="6">
        <v>47</v>
      </c>
      <c r="J128" s="1">
        <f>LOOKUP(I128,{0,13,15,17,19,21,23,25,27,29,31,33,35,37,39,41,43,46,49,51,53},{0,10,20,30,40,50,60,62,64,66,68,70,72,74,76,78,80,85,90,95,100})</f>
        <v>85</v>
      </c>
      <c r="K128" s="45"/>
      <c r="L128" s="45"/>
      <c r="M128" s="21">
        <f t="shared" si="64"/>
        <v>85</v>
      </c>
      <c r="N128" s="6">
        <v>8.5</v>
      </c>
      <c r="O128" s="43">
        <f t="shared" si="65"/>
        <v>4.5</v>
      </c>
      <c r="P128" s="1">
        <f>LOOKUP(O128,{0,1.4,1.6,1.8,2,2.2,2.4,2.6,2.8,3,3.2,3.4,3.6,3.8,4,4.2,4.4,4.7,5,5.1,5.2},{0,10,20,30,40,50,60,62,64,66,68,70,72,74,76,78,80,85,90,95,100})</f>
        <v>80</v>
      </c>
      <c r="Q128" s="6">
        <v>3.46</v>
      </c>
      <c r="R128" s="6">
        <f t="shared" si="66"/>
        <v>6.54</v>
      </c>
      <c r="S128" s="1">
        <f>LOOKUP(R128,{0,4.7,4.8,4.9,5,5.5,5.6,5.65,5.7,5.75,5.8,5.85,5.9,5.95,6,6.45,6.5,6.57,6.64,6.7,6.76},{0,10,20,30,40,50,60,62,64,66,68,70,72,74,76,78,80,85,90,95,100})</f>
        <v>80</v>
      </c>
      <c r="T128" s="45"/>
      <c r="U128" s="45"/>
      <c r="V128" s="21">
        <f t="shared" si="67"/>
        <v>80</v>
      </c>
      <c r="X128" s="21">
        <f t="shared" si="45"/>
        <v>55.1</v>
      </c>
      <c r="Y128" s="37">
        <f t="shared" si="68"/>
        <v>78.7142857142857</v>
      </c>
    </row>
    <row r="129" ht="15.6" hidden="1" outlineLevel="2" spans="1:25">
      <c r="A129" s="6">
        <v>103</v>
      </c>
      <c r="B129" s="6">
        <v>34</v>
      </c>
      <c r="C129" s="29" t="s">
        <v>153</v>
      </c>
      <c r="D129" s="29" t="s">
        <v>46</v>
      </c>
      <c r="E129" s="6">
        <v>11</v>
      </c>
      <c r="F129" s="1">
        <f>LOOKUP(E129,{0,0.4,1.2,2,2.8,3.6,4.4,5.7,7,8.3,9.6,10.9,12.2,13.5,14.8,16.1,17.4,19.1,20.8,22.5,24.2},{0,10,20,30,40,50,60,62,64,66,68,70,72,74,76,78,80,85,90,95,100})</f>
        <v>70</v>
      </c>
      <c r="G129" s="6">
        <v>190</v>
      </c>
      <c r="H129" s="1">
        <f>LOOKUP(G129,{0,123,128,133,138,143,148,151,154,157,160,163,166,169,172,175,178,185,192,198,204},{0,10,20,30,40,50,60,62,64,66,68,70,72,74,76,78,80,85,90,95,100})</f>
        <v>85</v>
      </c>
      <c r="I129" s="6">
        <v>46</v>
      </c>
      <c r="J129" s="1">
        <f>LOOKUP(I129,{0,13,15,17,19,21,23,25,27,29,31,33,35,37,39,41,43,46,49,51,53},{0,10,20,30,40,50,60,62,64,66,68,70,72,74,76,78,80,85,90,95,100})</f>
        <v>85</v>
      </c>
      <c r="K129" s="45"/>
      <c r="L129" s="45"/>
      <c r="M129" s="21">
        <f t="shared" si="64"/>
        <v>85</v>
      </c>
      <c r="N129" s="6">
        <v>8.3</v>
      </c>
      <c r="O129" s="43">
        <f t="shared" si="65"/>
        <v>4.7</v>
      </c>
      <c r="P129" s="1">
        <f>LOOKUP(O129,{0,1.4,1.6,1.8,2,2.2,2.4,2.6,2.8,3,3.2,3.4,3.6,3.8,4,4.2,4.4,4.7,5,5.1,5.2},{0,10,20,30,40,50,60,62,64,66,68,70,72,74,76,78,80,85,90,95,100})</f>
        <v>85</v>
      </c>
      <c r="Q129" s="6">
        <v>3.27</v>
      </c>
      <c r="R129" s="6">
        <f t="shared" si="66"/>
        <v>6.73</v>
      </c>
      <c r="S129" s="1">
        <f>LOOKUP(R129,{0,4.7,4.8,4.9,5,5.5,5.6,5.65,5.7,5.75,5.8,5.85,5.9,5.95,6,6.45,6.5,6.57,6.64,6.7,6.76},{0,10,20,30,40,50,60,62,64,66,68,70,72,74,76,78,80,85,90,95,100})</f>
        <v>95</v>
      </c>
      <c r="T129" s="45"/>
      <c r="U129" s="45"/>
      <c r="V129" s="21">
        <f t="shared" si="67"/>
        <v>95</v>
      </c>
      <c r="X129" s="21">
        <f t="shared" si="45"/>
        <v>60</v>
      </c>
      <c r="Y129" s="37">
        <f t="shared" si="68"/>
        <v>85.7142857142857</v>
      </c>
    </row>
    <row r="130" ht="15.6" hidden="1" outlineLevel="2" spans="1:25">
      <c r="A130" s="6">
        <v>103</v>
      </c>
      <c r="B130" s="6">
        <v>35</v>
      </c>
      <c r="C130" s="29" t="s">
        <v>154</v>
      </c>
      <c r="D130" s="29" t="s">
        <v>46</v>
      </c>
      <c r="F130" s="1"/>
      <c r="H130" s="1"/>
      <c r="J130" s="1"/>
      <c r="K130" s="45"/>
      <c r="L130" s="45"/>
      <c r="M130" s="21"/>
      <c r="O130" s="43"/>
      <c r="P130" s="1"/>
      <c r="S130" s="1"/>
      <c r="T130" s="48"/>
      <c r="U130" s="40"/>
      <c r="V130" s="21"/>
      <c r="W130" s="6" t="s">
        <v>84</v>
      </c>
      <c r="X130" s="21">
        <f t="shared" si="45"/>
        <v>0</v>
      </c>
      <c r="Y130" s="37">
        <v>50</v>
      </c>
    </row>
    <row r="131" ht="15.6" hidden="1" outlineLevel="2" spans="1:25">
      <c r="A131" s="6">
        <v>103</v>
      </c>
      <c r="B131" s="6">
        <v>36</v>
      </c>
      <c r="C131" s="29" t="s">
        <v>155</v>
      </c>
      <c r="D131" s="29" t="s">
        <v>46</v>
      </c>
      <c r="E131" s="6">
        <v>19</v>
      </c>
      <c r="F131" s="1">
        <f>LOOKUP(E131,{0,0.4,1.2,2,2.8,3.6,4.4,5.7,7,8.3,9.6,10.9,12.2,13.5,14.8,16.1,17.4,19.1,20.8,22.5,24.2},{0,10,20,30,40,50,60,62,64,66,68,70,72,74,76,78,80,85,90,95,100})</f>
        <v>80</v>
      </c>
      <c r="G131" s="6">
        <v>181</v>
      </c>
      <c r="H131" s="1">
        <f>LOOKUP(G131,{0,123,128,133,138,143,148,151,154,157,160,163,166,169,172,175,178,185,192,198,204},{0,10,20,30,40,50,60,62,64,66,68,70,72,74,76,78,80,85,90,95,100})</f>
        <v>80</v>
      </c>
      <c r="I131" s="6">
        <v>43</v>
      </c>
      <c r="J131" s="1">
        <f>LOOKUP(I131,{0,13,15,17,19,21,23,25,27,29,31,33,35,37,39,41,43,46,49,51,53},{0,10,20,30,40,50,60,62,64,66,68,70,72,74,76,78,80,85,90,95,100})</f>
        <v>80</v>
      </c>
      <c r="K131" s="45"/>
      <c r="L131" s="45"/>
      <c r="M131" s="21">
        <f t="shared" ref="M131:M149" si="69">J131+L131</f>
        <v>80</v>
      </c>
      <c r="N131" s="6">
        <v>8.8</v>
      </c>
      <c r="O131" s="43">
        <f t="shared" ref="O131:O149" si="70">13-N131</f>
        <v>4.2</v>
      </c>
      <c r="P131" s="1">
        <f>LOOKUP(O131,{0,1.4,1.6,1.8,2,2.2,2.4,2.6,2.8,3,3.2,3.4,3.6,3.8,4,4.2,4.4,4.7,5,5.1,5.2},{0,10,20,30,40,50,60,62,64,66,68,70,72,74,76,78,80,85,90,95,100})</f>
        <v>78</v>
      </c>
      <c r="Q131" s="6">
        <v>4.15</v>
      </c>
      <c r="R131" s="6">
        <f t="shared" ref="R131:R133" si="71">10-Q131</f>
        <v>5.85</v>
      </c>
      <c r="S131" s="1">
        <f>LOOKUP(R131,{0,4.7,4.8,4.9,5,5.5,5.6,5.65,5.7,5.75,5.8,5.85,5.9,5.95,6,6.45,6.5,6.57,6.64,6.7,6.76},{0,10,20,30,40,50,60,62,64,66,68,70,72,74,76,78,80,85,90,95,100})</f>
        <v>70</v>
      </c>
      <c r="T131" s="45"/>
      <c r="U131" s="45"/>
      <c r="V131" s="21">
        <f t="shared" ref="V131:V133" si="72">S131+U131</f>
        <v>70</v>
      </c>
      <c r="X131" s="21">
        <f t="shared" si="45"/>
        <v>53.6</v>
      </c>
      <c r="Y131" s="37">
        <f t="shared" ref="Y131:Y149" si="73">X131/0.7+L131+U131</f>
        <v>76.5714285714286</v>
      </c>
    </row>
    <row r="132" s="3" customFormat="1" ht="15.6" hidden="1" outlineLevel="2" spans="1:25">
      <c r="A132" s="6">
        <v>103</v>
      </c>
      <c r="B132" s="6">
        <v>37</v>
      </c>
      <c r="C132" s="29" t="s">
        <v>156</v>
      </c>
      <c r="D132" s="29" t="s">
        <v>46</v>
      </c>
      <c r="E132" s="6">
        <v>19</v>
      </c>
      <c r="F132" s="1">
        <f>LOOKUP(E132,{0,0.4,1.2,2,2.8,3.6,4.4,5.7,7,8.3,9.6,10.9,12.2,13.5,14.8,16.1,17.4,19.1,20.8,22.5,24.2},{0,10,20,30,40,50,60,62,64,66,68,70,72,74,76,78,80,85,90,95,100})</f>
        <v>80</v>
      </c>
      <c r="G132" s="6">
        <v>185</v>
      </c>
      <c r="H132" s="1">
        <f>LOOKUP(G132,{0,123,128,133,138,143,148,151,154,157,160,163,166,169,172,175,178,185,192,198,204},{0,10,20,30,40,50,60,62,64,66,68,70,72,74,76,78,80,85,90,95,100})</f>
        <v>85</v>
      </c>
      <c r="I132" s="6">
        <v>55</v>
      </c>
      <c r="J132" s="1">
        <f>LOOKUP(I132,{0,13,15,17,19,21,23,25,27,29,31,33,35,37,39,41,43,46,49,51,53},{0,10,20,30,40,50,60,62,64,66,68,70,72,74,76,78,80,85,90,95,100})</f>
        <v>100</v>
      </c>
      <c r="K132" s="45">
        <f t="shared" ref="K132:K137" si="74">I132-53</f>
        <v>2</v>
      </c>
      <c r="L132" s="40">
        <f>LOOKUP(K132,{0,2,4,6,7,8,9,10,11,12,13},{0,1,2,3,4,5,6,7,8,9,10})</f>
        <v>1</v>
      </c>
      <c r="M132" s="21">
        <f t="shared" si="69"/>
        <v>101</v>
      </c>
      <c r="N132" s="6">
        <v>8</v>
      </c>
      <c r="O132" s="43">
        <f t="shared" si="70"/>
        <v>5</v>
      </c>
      <c r="P132" s="1">
        <f>LOOKUP(O132,{0,1.4,1.6,1.8,2,2.2,2.4,2.6,2.8,3,3.2,3.4,3.6,3.8,4,4.2,4.4,4.7,5,5.1,5.2},{0,10,20,30,40,50,60,62,64,66,68,70,72,74,76,78,80,85,90,95,100})</f>
        <v>90</v>
      </c>
      <c r="Q132" s="6">
        <v>3.28</v>
      </c>
      <c r="R132" s="6">
        <f t="shared" si="71"/>
        <v>6.72</v>
      </c>
      <c r="S132" s="1">
        <f>LOOKUP(R132,{0,4.7,4.8,4.9,5,5.5,5.6,5.65,5.7,5.75,5.8,5.85,5.9,5.95,6,6.45,6.5,6.57,6.64,6.7,6.76},{0,10,20,30,40,50,60,62,64,66,68,70,72,74,76,78,80,85,90,95,100})</f>
        <v>95</v>
      </c>
      <c r="T132" s="45"/>
      <c r="U132" s="45"/>
      <c r="V132" s="21">
        <f t="shared" si="72"/>
        <v>95</v>
      </c>
      <c r="W132" s="6"/>
      <c r="X132" s="21">
        <f t="shared" si="45"/>
        <v>63.5</v>
      </c>
      <c r="Y132" s="37">
        <f t="shared" si="73"/>
        <v>91.7142857142857</v>
      </c>
    </row>
    <row r="133" ht="15.6" hidden="1" outlineLevel="2" spans="1:25">
      <c r="A133" s="6">
        <v>103</v>
      </c>
      <c r="B133" s="6">
        <v>38</v>
      </c>
      <c r="C133" s="39" t="s">
        <v>158</v>
      </c>
      <c r="D133" s="29" t="s">
        <v>46</v>
      </c>
      <c r="E133" s="6">
        <v>12.5</v>
      </c>
      <c r="F133" s="1">
        <f>LOOKUP(E133,{0,0.4,1.2,2,2.8,3.6,4.4,5.7,7,8.3,9.6,10.9,12.2,13.5,14.8,16.1,17.4,19.1,20.8,22.5,24.2},{0,10,20,30,40,50,60,62,64,66,68,70,72,74,76,78,80,85,90,95,100})</f>
        <v>72</v>
      </c>
      <c r="G133" s="6">
        <v>200</v>
      </c>
      <c r="H133" s="1">
        <f>LOOKUP(G133,{0,123,128,133,138,143,148,151,154,157,160,163,166,169,172,175,178,185,192,198,204},{0,10,20,30,40,50,60,62,64,66,68,70,72,74,76,78,80,85,90,95,100})</f>
        <v>95</v>
      </c>
      <c r="I133" s="6">
        <v>55</v>
      </c>
      <c r="J133" s="1">
        <f>LOOKUP(I133,{0,13,15,17,19,21,23,25,27,29,31,33,35,37,39,41,43,46,49,51,53},{0,10,20,30,40,50,60,62,64,66,68,70,72,74,76,78,80,85,90,95,100})</f>
        <v>100</v>
      </c>
      <c r="K133" s="45">
        <f t="shared" si="74"/>
        <v>2</v>
      </c>
      <c r="L133" s="40">
        <f>LOOKUP(K133,{0,2,4,6,7,8,9,10,11,12,13},{0,1,2,3,4,5,6,7,8,9,10})</f>
        <v>1</v>
      </c>
      <c r="M133" s="21">
        <f t="shared" si="69"/>
        <v>101</v>
      </c>
      <c r="N133" s="6">
        <v>8.3</v>
      </c>
      <c r="O133" s="43">
        <f t="shared" si="70"/>
        <v>4.7</v>
      </c>
      <c r="P133" s="1">
        <f>LOOKUP(O133,{0,1.4,1.6,1.8,2,2.2,2.4,2.6,2.8,3,3.2,3.4,3.6,3.8,4,4.2,4.4,4.7,5,5.1,5.2},{0,10,20,30,40,50,60,62,64,66,68,70,72,74,76,78,80,85,90,95,100})</f>
        <v>85</v>
      </c>
      <c r="Q133" s="6">
        <v>3.27</v>
      </c>
      <c r="R133" s="6">
        <f t="shared" si="71"/>
        <v>6.73</v>
      </c>
      <c r="S133" s="1">
        <f>LOOKUP(R133,{0,4.7,4.8,4.9,5,5.5,5.6,5.65,5.7,5.75,5.8,5.85,5.9,5.95,6,6.45,6.5,6.57,6.64,6.7,6.76},{0,10,20,30,40,50,60,62,64,66,68,70,72,74,76,78,80,85,90,95,100})</f>
        <v>95</v>
      </c>
      <c r="T133" s="45"/>
      <c r="U133" s="45"/>
      <c r="V133" s="21">
        <f t="shared" si="72"/>
        <v>95</v>
      </c>
      <c r="X133" s="21">
        <f t="shared" si="45"/>
        <v>62.7</v>
      </c>
      <c r="Y133" s="37">
        <f t="shared" si="73"/>
        <v>90.5714285714286</v>
      </c>
    </row>
    <row r="134" ht="15.6" hidden="1" outlineLevel="2" spans="1:25">
      <c r="A134" s="6">
        <v>103</v>
      </c>
      <c r="B134" s="6">
        <v>39</v>
      </c>
      <c r="C134" s="29" t="s">
        <v>159</v>
      </c>
      <c r="D134" s="29" t="s">
        <v>46</v>
      </c>
      <c r="E134" s="6">
        <v>19.5</v>
      </c>
      <c r="F134" s="1">
        <f>LOOKUP(E134,{0,0.4,1.2,2,2.8,3.6,4.4,5.7,7,8.3,9.6,10.9,12.2,13.5,14.8,16.1,17.4,19.1,20.8,22.5,24.2},{0,10,20,30,40,50,60,62,64,66,68,70,72,74,76,78,80,85,90,95,100})</f>
        <v>85</v>
      </c>
      <c r="G134" s="6">
        <v>165</v>
      </c>
      <c r="H134" s="1">
        <f>LOOKUP(G134,{0,123,128,133,138,143,148,151,154,157,160,163,166,169,172,175,178,185,192,198,204},{0,10,20,30,40,50,60,62,64,66,68,70,72,74,76,78,80,85,90,95,100})</f>
        <v>70</v>
      </c>
      <c r="I134" s="6">
        <v>41</v>
      </c>
      <c r="J134" s="1">
        <f>LOOKUP(I134,{0,13,15,17,19,21,23,25,27,29,31,33,35,37,39,41,43,46,49,51,53},{0,10,20,30,40,50,60,62,64,66,68,70,72,74,76,78,80,85,90,95,100})</f>
        <v>78</v>
      </c>
      <c r="K134" s="45"/>
      <c r="L134" s="45"/>
      <c r="M134" s="21">
        <f t="shared" si="69"/>
        <v>78</v>
      </c>
      <c r="N134" s="6">
        <v>9.6</v>
      </c>
      <c r="O134" s="43">
        <f t="shared" si="70"/>
        <v>3.4</v>
      </c>
      <c r="P134" s="1">
        <f>LOOKUP(O134,{0,1.4,1.6,1.8,2,2.2,2.4,2.6,2.8,3,3.2,3.4,3.6,3.8,4,4.2,4.4,4.7,5,5.1,5.2},{0,10,20,30,40,50,60,62,64,66,68,70,72,74,76,78,80,85,90,95,100})</f>
        <v>70</v>
      </c>
      <c r="S134" s="1"/>
      <c r="T134" s="48"/>
      <c r="U134" s="40"/>
      <c r="V134" s="21"/>
      <c r="W134" s="6" t="s">
        <v>84</v>
      </c>
      <c r="X134" s="21">
        <f t="shared" si="45"/>
        <v>37.3</v>
      </c>
      <c r="Y134" s="37">
        <f t="shared" si="73"/>
        <v>53.2857142857143</v>
      </c>
    </row>
    <row r="135" ht="15.6" hidden="1" outlineLevel="2" spans="1:25">
      <c r="A135" s="6">
        <v>103</v>
      </c>
      <c r="B135" s="6">
        <v>40</v>
      </c>
      <c r="C135" s="29" t="s">
        <v>160</v>
      </c>
      <c r="D135" s="29" t="s">
        <v>46</v>
      </c>
      <c r="E135" s="6">
        <v>12.5</v>
      </c>
      <c r="F135" s="1">
        <f>LOOKUP(E135,{0,0.4,1.2,2,2.8,3.6,4.4,5.7,7,8.3,9.6,10.9,12.2,13.5,14.8,16.1,17.4,19.1,20.8,22.5,24.2},{0,10,20,30,40,50,60,62,64,66,68,70,72,74,76,78,80,85,90,95,100})</f>
        <v>72</v>
      </c>
      <c r="G135" s="6">
        <v>164</v>
      </c>
      <c r="H135" s="1">
        <f>LOOKUP(G135,{0,123,128,133,138,143,148,151,154,157,160,163,166,169,172,175,178,185,192,198,204},{0,10,20,30,40,50,60,62,64,66,68,70,72,74,76,78,80,85,90,95,100})</f>
        <v>70</v>
      </c>
      <c r="I135" s="6">
        <v>48</v>
      </c>
      <c r="J135" s="1">
        <f>LOOKUP(I135,{0,13,15,17,19,21,23,25,27,29,31,33,35,37,39,41,43,46,49,51,53},{0,10,20,30,40,50,60,62,64,66,68,70,72,74,76,78,80,85,90,95,100})</f>
        <v>85</v>
      </c>
      <c r="K135" s="45"/>
      <c r="L135" s="45"/>
      <c r="M135" s="21">
        <f t="shared" si="69"/>
        <v>85</v>
      </c>
      <c r="N135" s="6">
        <v>8.5</v>
      </c>
      <c r="O135" s="43">
        <f t="shared" si="70"/>
        <v>4.5</v>
      </c>
      <c r="P135" s="1">
        <f>LOOKUP(O135,{0,1.4,1.6,1.8,2,2.2,2.4,2.6,2.8,3,3.2,3.4,3.6,3.8,4,4.2,4.4,4.7,5,5.1,5.2},{0,10,20,30,40,50,60,62,64,66,68,70,72,74,76,78,80,85,90,95,100})</f>
        <v>80</v>
      </c>
      <c r="Q135" s="6">
        <v>4</v>
      </c>
      <c r="R135" s="6">
        <f t="shared" ref="R135:R141" si="75">10-Q135</f>
        <v>6</v>
      </c>
      <c r="S135" s="1">
        <f>LOOKUP(R135,{0,4.7,4.8,4.9,5,5.5,5.6,5.65,5.7,5.75,5.8,5.85,5.9,5.95,6,6.45,6.5,6.57,6.64,6.7,6.76},{0,10,20,30,40,50,60,62,64,66,68,70,72,74,76,78,80,85,90,95,100})</f>
        <v>76</v>
      </c>
      <c r="T135" s="45"/>
      <c r="U135" s="45"/>
      <c r="V135" s="21">
        <f t="shared" ref="V135:V141" si="76">S135+U135</f>
        <v>76</v>
      </c>
      <c r="X135" s="21">
        <f t="shared" si="45"/>
        <v>53.9</v>
      </c>
      <c r="Y135" s="37">
        <f t="shared" si="73"/>
        <v>77</v>
      </c>
    </row>
    <row r="136" ht="15.6" hidden="1" outlineLevel="2" spans="1:25">
      <c r="A136" s="6">
        <v>103</v>
      </c>
      <c r="B136" s="6">
        <v>41</v>
      </c>
      <c r="C136" s="29" t="s">
        <v>161</v>
      </c>
      <c r="D136" s="29" t="s">
        <v>46</v>
      </c>
      <c r="E136" s="6">
        <v>24.5</v>
      </c>
      <c r="F136" s="1">
        <f>LOOKUP(E136,{0,0.4,1.2,2,2.8,3.6,4.4,5.7,7,8.3,9.6,10.9,12.2,13.5,14.8,16.1,17.4,19.1,20.8,22.5,24.2},{0,10,20,30,40,50,60,62,64,66,68,70,72,74,76,78,80,85,90,95,100})</f>
        <v>100</v>
      </c>
      <c r="G136" s="6">
        <v>190</v>
      </c>
      <c r="H136" s="1">
        <f>LOOKUP(G136,{0,123,128,133,138,143,148,151,154,157,160,163,166,169,172,175,178,185,192,198,204},{0,10,20,30,40,50,60,62,64,66,68,70,72,74,76,78,80,85,90,95,100})</f>
        <v>85</v>
      </c>
      <c r="I136" s="6">
        <v>47</v>
      </c>
      <c r="J136" s="1">
        <f>LOOKUP(I136,{0,13,15,17,19,21,23,25,27,29,31,33,35,37,39,41,43,46,49,51,53},{0,10,20,30,40,50,60,62,64,66,68,70,72,74,76,78,80,85,90,95,100})</f>
        <v>85</v>
      </c>
      <c r="K136" s="45"/>
      <c r="L136" s="45"/>
      <c r="M136" s="21">
        <f t="shared" si="69"/>
        <v>85</v>
      </c>
      <c r="N136" s="6">
        <v>8.8</v>
      </c>
      <c r="O136" s="43">
        <f t="shared" si="70"/>
        <v>4.2</v>
      </c>
      <c r="P136" s="1">
        <f>LOOKUP(O136,{0,1.4,1.6,1.8,2,2.2,2.4,2.6,2.8,3,3.2,3.4,3.6,3.8,4,4.2,4.4,4.7,5,5.1,5.2},{0,10,20,30,40,50,60,62,64,66,68,70,72,74,76,78,80,85,90,95,100})</f>
        <v>78</v>
      </c>
      <c r="Q136" s="6">
        <v>3.31</v>
      </c>
      <c r="R136" s="6">
        <f t="shared" si="75"/>
        <v>6.69</v>
      </c>
      <c r="S136" s="1">
        <f>LOOKUP(R136,{0,4.7,4.8,4.9,5,5.5,5.6,5.65,5.7,5.75,5.8,5.85,5.9,5.95,6,6.45,6.5,6.57,6.64,6.7,6.76},{0,10,20,30,40,50,60,62,64,66,68,70,72,74,76,78,80,85,90,95,100})</f>
        <v>90</v>
      </c>
      <c r="T136" s="45"/>
      <c r="U136" s="45"/>
      <c r="V136" s="21">
        <f t="shared" si="76"/>
        <v>90</v>
      </c>
      <c r="X136" s="21">
        <f t="shared" si="45"/>
        <v>60.6</v>
      </c>
      <c r="Y136" s="37">
        <f t="shared" si="73"/>
        <v>86.5714285714286</v>
      </c>
    </row>
    <row r="137" ht="15.6" hidden="1" outlineLevel="2" spans="1:25">
      <c r="A137" s="6">
        <v>103</v>
      </c>
      <c r="B137" s="6">
        <v>42</v>
      </c>
      <c r="C137" s="29" t="s">
        <v>162</v>
      </c>
      <c r="D137" s="29" t="s">
        <v>46</v>
      </c>
      <c r="E137" s="6">
        <v>17</v>
      </c>
      <c r="F137" s="1">
        <f>LOOKUP(E137,{0,0.4,1.2,2,2.8,3.6,4.4,5.7,7,8.3,9.6,10.9,12.2,13.5,14.8,16.1,17.4,19.1,20.8,22.5,24.2},{0,10,20,30,40,50,60,62,64,66,68,70,72,74,76,78,80,85,90,95,100})</f>
        <v>78</v>
      </c>
      <c r="G137" s="6">
        <v>205</v>
      </c>
      <c r="H137" s="1">
        <f>LOOKUP(G137,{0,123,128,133,138,143,148,151,154,157,160,163,166,169,172,175,178,185,192,198,204},{0,10,20,30,40,50,60,62,64,66,68,70,72,74,76,78,80,85,90,95,100})</f>
        <v>100</v>
      </c>
      <c r="I137" s="6">
        <v>57</v>
      </c>
      <c r="J137" s="1">
        <f>LOOKUP(I137,{0,13,15,17,19,21,23,25,27,29,31,33,35,37,39,41,43,46,49,51,53},{0,10,20,30,40,50,60,62,64,66,68,70,72,74,76,78,80,85,90,95,100})</f>
        <v>100</v>
      </c>
      <c r="K137" s="45">
        <f t="shared" si="74"/>
        <v>4</v>
      </c>
      <c r="L137" s="40">
        <f>LOOKUP(K137,{0,2,4,6,7,8,9,10,11,12,13},{0,1,2,3,4,5,6,7,8,9,10})</f>
        <v>2</v>
      </c>
      <c r="M137" s="21">
        <f t="shared" si="69"/>
        <v>102</v>
      </c>
      <c r="N137" s="6">
        <v>8.5</v>
      </c>
      <c r="O137" s="43">
        <f t="shared" si="70"/>
        <v>4.5</v>
      </c>
      <c r="P137" s="1">
        <f>LOOKUP(O137,{0,1.4,1.6,1.8,2,2.2,2.4,2.6,2.8,3,3.2,3.4,3.6,3.8,4,4.2,4.4,4.7,5,5.1,5.2},{0,10,20,30,40,50,60,62,64,66,68,70,72,74,76,78,80,85,90,95,100})</f>
        <v>80</v>
      </c>
      <c r="Q137" s="6">
        <v>3.55</v>
      </c>
      <c r="R137" s="6">
        <f t="shared" si="75"/>
        <v>6.45</v>
      </c>
      <c r="S137" s="1">
        <f>LOOKUP(R137,{0,4.7,4.8,4.9,5,5.5,5.6,5.65,5.7,5.75,5.8,5.85,5.9,5.95,6,6.45,6.5,6.57,6.64,6.7,6.76},{0,10,20,30,40,50,60,62,64,66,68,70,72,74,76,78,80,85,90,95,100})</f>
        <v>78</v>
      </c>
      <c r="T137" s="45"/>
      <c r="U137" s="45"/>
      <c r="V137" s="21">
        <f t="shared" si="76"/>
        <v>78</v>
      </c>
      <c r="X137" s="21">
        <f t="shared" si="45"/>
        <v>59.4</v>
      </c>
      <c r="Y137" s="37">
        <f t="shared" si="73"/>
        <v>86.8571428571429</v>
      </c>
    </row>
    <row r="138" ht="15.6" hidden="1" outlineLevel="2" spans="1:25">
      <c r="A138" s="6">
        <v>103</v>
      </c>
      <c r="B138" s="6">
        <v>43</v>
      </c>
      <c r="C138" s="29" t="s">
        <v>163</v>
      </c>
      <c r="D138" s="29" t="s">
        <v>46</v>
      </c>
      <c r="E138" s="6">
        <v>21</v>
      </c>
      <c r="F138" s="1">
        <f>LOOKUP(E138,{0,0.4,1.2,2,2.8,3.6,4.4,5.7,7,8.3,9.6,10.9,12.2,13.5,14.8,16.1,17.4,19.1,20.8,22.5,24.2},{0,10,20,30,40,50,60,62,64,66,68,70,72,74,76,78,80,85,90,95,100})</f>
        <v>90</v>
      </c>
      <c r="G138" s="6">
        <v>155</v>
      </c>
      <c r="H138" s="1">
        <f>LOOKUP(G138,{0,123,128,133,138,143,148,151,154,157,160,163,166,169,172,175,178,185,192,198,204},{0,10,20,30,40,50,60,62,64,66,68,70,72,74,76,78,80,85,90,95,100})</f>
        <v>64</v>
      </c>
      <c r="I138" s="6">
        <v>51</v>
      </c>
      <c r="J138" s="1">
        <f>LOOKUP(I138,{0,13,15,17,19,21,23,25,27,29,31,33,35,37,39,41,43,46,49,51,53},{0,10,20,30,40,50,60,62,64,66,68,70,72,74,76,78,80,85,90,95,100})</f>
        <v>95</v>
      </c>
      <c r="K138" s="45"/>
      <c r="L138" s="45"/>
      <c r="M138" s="21">
        <f t="shared" si="69"/>
        <v>95</v>
      </c>
      <c r="N138" s="6">
        <v>9.3</v>
      </c>
      <c r="O138" s="43">
        <f t="shared" si="70"/>
        <v>3.7</v>
      </c>
      <c r="P138" s="1">
        <f>LOOKUP(O138,{0,1.4,1.6,1.8,2,2.2,2.4,2.6,2.8,3,3.2,3.4,3.6,3.8,4,4.2,4.4,4.7,5,5.1,5.2},{0,10,20,30,40,50,60,62,64,66,68,70,72,74,76,78,80,85,90,95,100})</f>
        <v>72</v>
      </c>
      <c r="Q138" s="6">
        <v>3.39</v>
      </c>
      <c r="R138" s="6">
        <f t="shared" si="75"/>
        <v>6.61</v>
      </c>
      <c r="S138" s="1">
        <f>LOOKUP(R138,{0,4.7,4.8,4.9,5,5.5,5.6,5.65,5.7,5.75,5.8,5.85,5.9,5.95,6,6.45,6.5,6.57,6.64,6.7,6.76},{0,10,20,30,40,50,60,62,64,66,68,70,72,74,76,78,80,85,90,95,100})</f>
        <v>85</v>
      </c>
      <c r="T138" s="45"/>
      <c r="U138" s="45"/>
      <c r="V138" s="21">
        <f t="shared" si="76"/>
        <v>85</v>
      </c>
      <c r="X138" s="21">
        <f t="shared" si="45"/>
        <v>56.3</v>
      </c>
      <c r="Y138" s="37">
        <f t="shared" si="73"/>
        <v>80.4285714285714</v>
      </c>
    </row>
    <row r="139" ht="15.6" hidden="1" outlineLevel="2" spans="1:25">
      <c r="A139" s="6">
        <v>103</v>
      </c>
      <c r="B139" s="6">
        <v>44</v>
      </c>
      <c r="C139" s="29" t="s">
        <v>164</v>
      </c>
      <c r="D139" s="29" t="s">
        <v>46</v>
      </c>
      <c r="E139" s="6">
        <v>8</v>
      </c>
      <c r="F139" s="1">
        <f>LOOKUP(E139,{0,0.4,1.2,2,2.8,3.6,4.4,5.7,7,8.3,9.6,10.9,12.2,13.5,14.8,16.1,17.4,19.1,20.8,22.5,24.2},{0,10,20,30,40,50,60,62,64,66,68,70,72,74,76,78,80,85,90,95,100})</f>
        <v>64</v>
      </c>
      <c r="G139" s="6">
        <v>175</v>
      </c>
      <c r="H139" s="1">
        <f>LOOKUP(G139,{0,123,128,133,138,143,148,151,154,157,160,163,166,169,172,175,178,185,192,198,204},{0,10,20,30,40,50,60,62,64,66,68,70,72,74,76,78,80,85,90,95,100})</f>
        <v>78</v>
      </c>
      <c r="I139" s="6">
        <v>47</v>
      </c>
      <c r="J139" s="1">
        <f>LOOKUP(I139,{0,13,15,17,19,21,23,25,27,29,31,33,35,37,39,41,43,46,49,51,53},{0,10,20,30,40,50,60,62,64,66,68,70,72,74,76,78,80,85,90,95,100})</f>
        <v>85</v>
      </c>
      <c r="K139" s="45"/>
      <c r="L139" s="45"/>
      <c r="M139" s="21">
        <f t="shared" si="69"/>
        <v>85</v>
      </c>
      <c r="N139" s="6">
        <v>9.1</v>
      </c>
      <c r="O139" s="43">
        <f t="shared" si="70"/>
        <v>3.9</v>
      </c>
      <c r="P139" s="1">
        <f>LOOKUP(O139,{0,1.4,1.6,1.8,2,2.2,2.4,2.6,2.8,3,3.2,3.4,3.6,3.8,4,4.2,4.4,4.7,5,5.1,5.2},{0,10,20,30,40,50,60,62,64,66,68,70,72,74,76,78,80,85,90,95,100})</f>
        <v>74</v>
      </c>
      <c r="Q139" s="6">
        <v>4.05</v>
      </c>
      <c r="R139" s="6">
        <f t="shared" si="75"/>
        <v>5.95</v>
      </c>
      <c r="S139" s="1">
        <f>LOOKUP(R139,{0,4.7,4.8,4.9,5,5.5,5.6,5.65,5.7,5.75,5.8,5.85,5.9,5.95,6,6.45,6.5,6.57,6.64,6.7,6.76},{0,10,20,30,40,50,60,62,64,66,68,70,72,74,76,78,80,85,90,95,100})</f>
        <v>74</v>
      </c>
      <c r="T139" s="45"/>
      <c r="U139" s="45"/>
      <c r="V139" s="21">
        <f t="shared" si="76"/>
        <v>74</v>
      </c>
      <c r="X139" s="21">
        <f t="shared" si="45"/>
        <v>52.3</v>
      </c>
      <c r="Y139" s="37">
        <f t="shared" si="73"/>
        <v>74.7142857142857</v>
      </c>
    </row>
    <row r="140" ht="15.6" hidden="1" outlineLevel="2" spans="1:25">
      <c r="A140" s="6">
        <v>103</v>
      </c>
      <c r="B140" s="6">
        <v>45</v>
      </c>
      <c r="C140" s="29" t="s">
        <v>165</v>
      </c>
      <c r="D140" s="29" t="s">
        <v>46</v>
      </c>
      <c r="E140" s="6">
        <v>14</v>
      </c>
      <c r="F140" s="1">
        <f>LOOKUP(E140,{0,0.4,1.2,2,2.8,3.6,4.4,5.7,7,8.3,9.6,10.9,12.2,13.5,14.8,16.1,17.4,19.1,20.8,22.5,24.2},{0,10,20,30,40,50,60,62,64,66,68,70,72,74,76,78,80,85,90,95,100})</f>
        <v>74</v>
      </c>
      <c r="G140" s="6">
        <v>187</v>
      </c>
      <c r="H140" s="1">
        <f>LOOKUP(G140,{0,123,128,133,138,143,148,151,154,157,160,163,166,169,172,175,178,185,192,198,204},{0,10,20,30,40,50,60,62,64,66,68,70,72,74,76,78,80,85,90,95,100})</f>
        <v>85</v>
      </c>
      <c r="I140" s="6">
        <v>47</v>
      </c>
      <c r="J140" s="1">
        <f>LOOKUP(I140,{0,13,15,17,19,21,23,25,27,29,31,33,35,37,39,41,43,46,49,51,53},{0,10,20,30,40,50,60,62,64,66,68,70,72,74,76,78,80,85,90,95,100})</f>
        <v>85</v>
      </c>
      <c r="K140" s="45"/>
      <c r="L140" s="45"/>
      <c r="M140" s="21">
        <f t="shared" si="69"/>
        <v>85</v>
      </c>
      <c r="N140" s="6">
        <v>9</v>
      </c>
      <c r="O140" s="43">
        <f t="shared" si="70"/>
        <v>4</v>
      </c>
      <c r="P140" s="1">
        <f>LOOKUP(O140,{0,1.4,1.6,1.8,2,2.2,2.4,2.6,2.8,3,3.2,3.4,3.6,3.8,4,4.2,4.4,4.7,5,5.1,5.2},{0,10,20,30,40,50,60,62,64,66,68,70,72,74,76,78,80,85,90,95,100})</f>
        <v>76</v>
      </c>
      <c r="Q140" s="6">
        <v>4.01</v>
      </c>
      <c r="R140" s="6">
        <f t="shared" si="75"/>
        <v>5.99</v>
      </c>
      <c r="S140" s="1">
        <f>LOOKUP(R140,{0,4.7,4.8,4.9,5,5.5,5.6,5.65,5.7,5.75,5.8,5.85,5.9,5.95,6,6.45,6.5,6.57,6.64,6.7,6.76},{0,10,20,30,40,50,60,62,64,66,68,70,72,74,76,78,80,85,90,95,100})</f>
        <v>74</v>
      </c>
      <c r="T140" s="45"/>
      <c r="U140" s="45"/>
      <c r="V140" s="21">
        <f t="shared" si="76"/>
        <v>74</v>
      </c>
      <c r="X140" s="21">
        <f t="shared" si="45"/>
        <v>54.4</v>
      </c>
      <c r="Y140" s="37">
        <f t="shared" si="73"/>
        <v>77.7142857142857</v>
      </c>
    </row>
    <row r="141" ht="15.6" hidden="1" outlineLevel="2" spans="1:25">
      <c r="A141" s="6">
        <v>103</v>
      </c>
      <c r="B141" s="6">
        <v>46</v>
      </c>
      <c r="C141" s="29" t="s">
        <v>166</v>
      </c>
      <c r="D141" s="29" t="s">
        <v>46</v>
      </c>
      <c r="E141" s="6">
        <v>10</v>
      </c>
      <c r="F141" s="1">
        <f>LOOKUP(E141,{0,0.4,1.2,2,2.8,3.6,4.4,5.7,7,8.3,9.6,10.9,12.2,13.5,14.8,16.1,17.4,19.1,20.8,22.5,24.2},{0,10,20,30,40,50,60,62,64,66,68,70,72,74,76,78,80,85,90,95,100})</f>
        <v>68</v>
      </c>
      <c r="G141" s="6">
        <v>170</v>
      </c>
      <c r="H141" s="1">
        <f>LOOKUP(G141,{0,123,128,133,138,143,148,151,154,157,160,163,166,169,172,175,178,185,192,198,204},{0,10,20,30,40,50,60,62,64,66,68,70,72,74,76,78,80,85,90,95,100})</f>
        <v>74</v>
      </c>
      <c r="I141" s="6">
        <v>44</v>
      </c>
      <c r="J141" s="1">
        <f>LOOKUP(I141,{0,13,15,17,19,21,23,25,27,29,31,33,35,37,39,41,43,46,49,51,53},{0,10,20,30,40,50,60,62,64,66,68,70,72,74,76,78,80,85,90,95,100})</f>
        <v>80</v>
      </c>
      <c r="K141" s="45"/>
      <c r="L141" s="45"/>
      <c r="M141" s="21">
        <f t="shared" si="69"/>
        <v>80</v>
      </c>
      <c r="N141" s="6">
        <v>9.4</v>
      </c>
      <c r="O141" s="43">
        <f t="shared" si="70"/>
        <v>3.6</v>
      </c>
      <c r="P141" s="1">
        <f>LOOKUP(O141,{0,1.4,1.6,1.8,2,2.2,2.4,2.6,2.8,3,3.2,3.4,3.6,3.8,4,4.2,4.4,4.7,5,5.1,5.2},{0,10,20,30,40,50,60,62,64,66,68,70,72,74,76,78,80,85,90,95,100})</f>
        <v>72</v>
      </c>
      <c r="Q141" s="6">
        <v>3.41</v>
      </c>
      <c r="R141" s="6">
        <f t="shared" si="75"/>
        <v>6.59</v>
      </c>
      <c r="S141" s="1">
        <f>LOOKUP(R141,{0,4.7,4.8,4.9,5,5.5,5.6,5.65,5.7,5.75,5.8,5.85,5.9,5.95,6,6.45,6.5,6.57,6.64,6.7,6.76},{0,10,20,30,40,50,60,62,64,66,68,70,72,74,76,78,80,85,90,95,100})</f>
        <v>85</v>
      </c>
      <c r="T141" s="45"/>
      <c r="U141" s="45"/>
      <c r="V141" s="21">
        <f t="shared" si="76"/>
        <v>85</v>
      </c>
      <c r="X141" s="21">
        <f t="shared" si="45"/>
        <v>53.6</v>
      </c>
      <c r="Y141" s="37">
        <f t="shared" si="73"/>
        <v>76.5714285714286</v>
      </c>
    </row>
    <row r="142" ht="15.6" outlineLevel="1" collapsed="1" spans="1:25">
      <c r="A142" s="42" t="s">
        <v>844</v>
      </c>
      <c r="C142" s="29"/>
      <c r="D142" s="29"/>
      <c r="F142" s="1">
        <f>SUBTOTAL(1,F96:F141)</f>
        <v>73.5609756097561</v>
      </c>
      <c r="H142" s="1">
        <f>SUBTOTAL(1,H96:H141)</f>
        <v>79.4390243902439</v>
      </c>
      <c r="J142" s="1">
        <f>SUBTOTAL(1,J96:J141)</f>
        <v>78.4634146341463</v>
      </c>
      <c r="K142" s="45"/>
      <c r="L142" s="45"/>
      <c r="M142" s="21">
        <f>SUBTOTAL(1,M96:M141)</f>
        <v>79.2682926829268</v>
      </c>
      <c r="O142" s="43"/>
      <c r="P142" s="1">
        <f>SUBTOTAL(1,P96:P141)</f>
        <v>86.2368421052632</v>
      </c>
      <c r="S142" s="1">
        <f>SUBTOTAL(1,S96:S141)</f>
        <v>83.55</v>
      </c>
      <c r="T142" s="45"/>
      <c r="U142" s="45"/>
      <c r="V142" s="21">
        <f>SUBTOTAL(1,V96:V141)</f>
        <v>83.75</v>
      </c>
      <c r="X142" s="21">
        <f>SUBTOTAL(1,X96:X141)</f>
        <v>49.4086956521739</v>
      </c>
      <c r="Y142" s="37">
        <f>SUBTOTAL(1,Y96:Y141)</f>
        <v>77.0652173913043</v>
      </c>
    </row>
    <row r="143" ht="15.6" hidden="1" outlineLevel="2" spans="1:25">
      <c r="A143" s="6">
        <v>104</v>
      </c>
      <c r="B143" s="6">
        <v>1</v>
      </c>
      <c r="C143" s="39" t="s">
        <v>168</v>
      </c>
      <c r="D143" s="29" t="s">
        <v>11</v>
      </c>
      <c r="E143" s="6">
        <v>13</v>
      </c>
      <c r="F143" s="1">
        <f>LOOKUP(E143,{0,-4,-3,-2,-1,0,1,2.4,3.8,5.2,6.6,8,9.4,10.8,12.2,13.6,15,17.2,19.4,21.5,23.6},{0,10,20,30,40,50,60,62,64,66,68,70,72,74,76,78,80,85,90,95,100})</f>
        <v>76</v>
      </c>
      <c r="G143" s="6">
        <v>206</v>
      </c>
      <c r="H143" s="1">
        <f>LOOKUP(G143,{0,170,175,180,185,190,195,199,203,207,211,215,219,223,227,231,235,243,250,255,260},{0,10,20,30,40,50,60,62,64,66,68,70,72,74,76,78,80,85,90,95,100})</f>
        <v>64</v>
      </c>
      <c r="I143" s="6">
        <v>0</v>
      </c>
      <c r="J143" s="1">
        <f>LOOKUP(I143,{0,2,3,4,5,6,7,8,9,10,11,12,13,14,15,16},{0,10,20,30,40,50,60,64,68,72,76,80,85,90,95,100})</f>
        <v>0</v>
      </c>
      <c r="K143" s="7"/>
      <c r="L143" s="7"/>
      <c r="M143" s="21">
        <f t="shared" ref="M143:M150" si="77">J143+L143</f>
        <v>0</v>
      </c>
      <c r="N143" s="6">
        <v>7.3</v>
      </c>
      <c r="O143" s="43">
        <f t="shared" ref="O143:O150" si="78">13-N143</f>
        <v>5.7</v>
      </c>
      <c r="P143" s="1">
        <f>LOOKUP(O143,{0,2.5,2.7,2.9,3.1,3.3,3.5,3.7,3.9,4.1,4.3,4.5,4.7,4.9,5.1,5.3,5.5,5.6,5.7,5.8,5.9},{0,10,20,30,40,50,60,62,64,66,68,70,72,74,76,78,80,85,90,95,100})</f>
        <v>90</v>
      </c>
      <c r="Q143" s="6">
        <v>4.06</v>
      </c>
      <c r="R143" s="6">
        <f t="shared" ref="R143:R150" si="79">10-Q143</f>
        <v>5.94</v>
      </c>
      <c r="S143" s="1">
        <f>LOOKUP(R143,{0,3.75,3.95,4.55,4.75,4.95,5.55,5.6,5.65,5.7,5.75,5.8,5.85,5.9,5.95,6,6.45,6.53,6.6,6.65,6.7},{0,10,20,30,40,50,60,62,64,66,68,70,72,74,76,78,80,85,90,95,100})</f>
        <v>74</v>
      </c>
      <c r="T143" s="7"/>
      <c r="U143" s="7"/>
      <c r="V143" s="21">
        <f t="shared" ref="V143:V150" si="80">S143+U143</f>
        <v>74</v>
      </c>
      <c r="X143" s="21">
        <f t="shared" ref="X143:X196" si="81">F143*0.1+H143*0.1+J143*0.1+P143*0.2+S143*0.2</f>
        <v>46.8</v>
      </c>
      <c r="Y143" s="37">
        <f t="shared" ref="Y143:Y150" si="82">X143/0.7+L143+U143</f>
        <v>66.8571428571429</v>
      </c>
    </row>
    <row r="144" s="3" customFormat="1" ht="15.6" hidden="1" outlineLevel="2" spans="1:25">
      <c r="A144" s="6">
        <v>104</v>
      </c>
      <c r="B144" s="6">
        <v>2</v>
      </c>
      <c r="C144" s="29" t="s">
        <v>169</v>
      </c>
      <c r="D144" s="29" t="s">
        <v>11</v>
      </c>
      <c r="E144" s="6">
        <v>18.5</v>
      </c>
      <c r="F144" s="1">
        <f>LOOKUP(E144,{0,-4,-3,-2,-1,0,1,2.4,3.8,5.2,6.6,8,9.4,10.8,12.2,13.6,15,17.2,19.4,21.5,23.6},{0,10,20,30,40,50,60,62,64,66,68,70,72,74,76,78,80,85,90,95,100})</f>
        <v>85</v>
      </c>
      <c r="G144" s="6">
        <v>206</v>
      </c>
      <c r="H144" s="1">
        <f>LOOKUP(G144,{0,170,175,180,185,190,195,199,203,207,211,215,219,223,227,231,235,243,250,255,260},{0,10,20,30,40,50,60,62,64,66,68,70,72,74,76,78,80,85,90,95,100})</f>
        <v>64</v>
      </c>
      <c r="I144" s="6">
        <v>0</v>
      </c>
      <c r="J144" s="1">
        <f>LOOKUP(I144,{0,2,3,4,5,6,7,8,9,10,11,12,13,14,15,16},{0,10,20,30,40,50,60,64,68,72,76,80,85,90,95,100})</f>
        <v>0</v>
      </c>
      <c r="K144" s="7"/>
      <c r="L144" s="7"/>
      <c r="M144" s="21">
        <f t="shared" si="77"/>
        <v>0</v>
      </c>
      <c r="N144" s="6">
        <v>7.8</v>
      </c>
      <c r="O144" s="43">
        <f t="shared" si="78"/>
        <v>5.2</v>
      </c>
      <c r="P144" s="1">
        <f>LOOKUP(O144,{0,2.5,2.7,2.9,3.1,3.3,3.5,3.7,3.9,4.1,4.3,4.5,4.7,4.9,5.1,5.3,5.5,5.6,5.7,5.8,5.9},{0,10,20,30,40,50,60,62,64,66,68,70,72,74,76,78,80,85,90,95,100})</f>
        <v>76</v>
      </c>
      <c r="Q144" s="6">
        <v>4.42</v>
      </c>
      <c r="R144" s="6">
        <f t="shared" si="79"/>
        <v>5.58</v>
      </c>
      <c r="S144" s="1">
        <f>LOOKUP(R144,{0,3.75,3.95,4.55,4.75,4.95,5.55,5.6,5.65,5.7,5.75,5.8,5.85,5.9,5.95,6,6.45,6.53,6.6,6.65,6.7},{0,10,20,30,40,50,60,62,64,66,68,70,72,74,76,78,80,85,90,95,100})</f>
        <v>60</v>
      </c>
      <c r="T144" s="7"/>
      <c r="U144" s="7"/>
      <c r="V144" s="21">
        <f t="shared" si="80"/>
        <v>60</v>
      </c>
      <c r="W144" s="6"/>
      <c r="X144" s="21">
        <f t="shared" si="81"/>
        <v>42.1</v>
      </c>
      <c r="Y144" s="37">
        <f t="shared" si="82"/>
        <v>60.1428571428571</v>
      </c>
    </row>
    <row r="145" ht="15.6" hidden="1" outlineLevel="2" spans="1:25">
      <c r="A145" s="6">
        <v>104</v>
      </c>
      <c r="B145" s="6">
        <v>3</v>
      </c>
      <c r="C145" s="29" t="s">
        <v>170</v>
      </c>
      <c r="D145" s="29" t="s">
        <v>11</v>
      </c>
      <c r="E145" s="6">
        <v>13</v>
      </c>
      <c r="F145" s="1">
        <f>LOOKUP(E145,{0,-4,-3,-2,-1,0,1,2.4,3.8,5.2,6.6,8,9.4,10.8,12.2,13.6,15,17.2,19.4,21.5,23.6},{0,10,20,30,40,50,60,62,64,66,68,70,72,74,76,78,80,85,90,95,100})</f>
        <v>76</v>
      </c>
      <c r="G145" s="6">
        <v>202</v>
      </c>
      <c r="H145" s="1">
        <f>LOOKUP(G145,{0,170,175,180,185,190,195,199,203,207,211,215,219,223,227,231,235,243,250,255,260},{0,10,20,30,40,50,60,62,64,66,68,70,72,74,76,78,80,85,90,95,100})</f>
        <v>62</v>
      </c>
      <c r="I145" s="6">
        <v>3</v>
      </c>
      <c r="J145" s="1">
        <f>LOOKUP(I145,{0,2,3,4,5,6,7,8,9,10,11,12,13,14,15,16},{0,10,20,30,40,50,60,64,68,72,76,80,85,90,95,100})</f>
        <v>20</v>
      </c>
      <c r="K145" s="7"/>
      <c r="L145" s="7"/>
      <c r="M145" s="21">
        <f t="shared" si="77"/>
        <v>20</v>
      </c>
      <c r="N145" s="6">
        <v>7.6</v>
      </c>
      <c r="O145" s="43">
        <f t="shared" si="78"/>
        <v>5.4</v>
      </c>
      <c r="P145" s="1">
        <f>LOOKUP(O145,{0,2.5,2.7,2.9,3.1,3.3,3.5,3.7,3.9,4.1,4.3,4.5,4.7,4.9,5.1,5.3,5.5,5.6,5.7,5.8,5.9},{0,10,20,30,40,50,60,62,64,66,68,70,72,74,76,78,80,85,90,95,100})</f>
        <v>78</v>
      </c>
      <c r="Q145" s="6">
        <v>3.4</v>
      </c>
      <c r="R145" s="6">
        <f t="shared" si="79"/>
        <v>6.6</v>
      </c>
      <c r="S145" s="1">
        <f>LOOKUP(R145,{0,3.75,3.95,4.55,4.75,4.95,5.55,5.6,5.65,5.7,5.75,5.8,5.85,5.9,5.95,6,6.45,6.53,6.6,6.65,6.7},{0,10,20,30,40,50,60,62,64,66,68,70,72,74,76,78,80,85,90,95,100})</f>
        <v>90</v>
      </c>
      <c r="T145" s="7"/>
      <c r="U145" s="7"/>
      <c r="V145" s="21">
        <f t="shared" si="80"/>
        <v>90</v>
      </c>
      <c r="X145" s="21">
        <f t="shared" si="81"/>
        <v>49.4</v>
      </c>
      <c r="Y145" s="37">
        <f t="shared" si="82"/>
        <v>70.5714285714286</v>
      </c>
    </row>
    <row r="146" ht="15.6" hidden="1" outlineLevel="2" spans="1:25">
      <c r="A146" s="6">
        <v>104</v>
      </c>
      <c r="B146" s="6">
        <v>4</v>
      </c>
      <c r="C146" s="29" t="s">
        <v>171</v>
      </c>
      <c r="D146" s="29" t="s">
        <v>11</v>
      </c>
      <c r="E146" s="6">
        <v>13.2</v>
      </c>
      <c r="F146" s="1">
        <f>LOOKUP(E146,{0,-4,-3,-2,-1,0,1,2.4,3.8,5.2,6.6,8,9.4,10.8,12.2,13.6,15,17.2,19.4,21.5,23.6},{0,10,20,30,40,50,60,62,64,66,68,70,72,74,76,78,80,85,90,95,100})</f>
        <v>76</v>
      </c>
      <c r="G146" s="6">
        <v>235</v>
      </c>
      <c r="H146" s="1">
        <f>LOOKUP(G146,{0,170,175,180,185,190,195,199,203,207,211,215,219,223,227,231,235,243,250,255,260},{0,10,20,30,40,50,60,62,64,66,68,70,72,74,76,78,80,85,90,95,100})</f>
        <v>80</v>
      </c>
      <c r="I146" s="6">
        <v>5</v>
      </c>
      <c r="J146" s="1">
        <f>LOOKUP(I146,{0,2,3,4,5,6,7,8,9,10,11,12,13,14,15,16},{0,10,20,30,40,50,60,64,68,72,76,80,85,90,95,100})</f>
        <v>40</v>
      </c>
      <c r="K146" s="7"/>
      <c r="L146" s="7"/>
      <c r="M146" s="21">
        <f t="shared" si="77"/>
        <v>40</v>
      </c>
      <c r="N146" s="6">
        <v>7.3</v>
      </c>
      <c r="O146" s="43">
        <f t="shared" si="78"/>
        <v>5.7</v>
      </c>
      <c r="P146" s="1">
        <f>LOOKUP(O146,{0,2.5,2.7,2.9,3.1,3.3,3.5,3.7,3.9,4.1,4.3,4.5,4.7,4.9,5.1,5.3,5.5,5.6,5.7,5.8,5.9},{0,10,20,30,40,50,60,62,64,66,68,70,72,74,76,78,80,85,90,95,100})</f>
        <v>90</v>
      </c>
      <c r="Q146" s="6">
        <v>4.02</v>
      </c>
      <c r="R146" s="6">
        <f t="shared" si="79"/>
        <v>5.98</v>
      </c>
      <c r="S146" s="1">
        <f>LOOKUP(R146,{0,3.75,3.95,4.55,4.75,4.95,5.55,5.6,5.65,5.7,5.75,5.8,5.85,5.9,5.95,6,6.45,6.53,6.6,6.65,6.7},{0,10,20,30,40,50,60,62,64,66,68,70,72,74,76,78,80,85,90,95,100})</f>
        <v>76</v>
      </c>
      <c r="T146" s="7"/>
      <c r="U146" s="7"/>
      <c r="V146" s="21">
        <f t="shared" si="80"/>
        <v>76</v>
      </c>
      <c r="X146" s="21">
        <f t="shared" si="81"/>
        <v>52.8</v>
      </c>
      <c r="Y146" s="37">
        <f t="shared" si="82"/>
        <v>75.4285714285714</v>
      </c>
    </row>
    <row r="147" ht="15.6" hidden="1" outlineLevel="2" spans="1:25">
      <c r="A147" s="6">
        <v>104</v>
      </c>
      <c r="B147" s="6">
        <v>5</v>
      </c>
      <c r="C147" s="29" t="s">
        <v>172</v>
      </c>
      <c r="D147" s="29" t="s">
        <v>11</v>
      </c>
      <c r="E147" s="6">
        <v>19.4</v>
      </c>
      <c r="F147" s="1">
        <f>LOOKUP(E147,{0,-4,-3,-2,-1,0,1,2.4,3.8,5.2,6.6,8,9.4,10.8,12.2,13.6,15,17.2,19.4,21.5,23.6},{0,10,20,30,40,50,60,62,64,66,68,70,72,74,76,78,80,85,90,95,100})</f>
        <v>90</v>
      </c>
      <c r="G147" s="6">
        <v>234</v>
      </c>
      <c r="H147" s="1">
        <f>LOOKUP(G147,{0,170,175,180,185,190,195,199,203,207,211,215,219,223,227,231,235,243,250,255,260},{0,10,20,30,40,50,60,62,64,66,68,70,72,74,76,78,80,85,90,95,100})</f>
        <v>78</v>
      </c>
      <c r="I147" s="6">
        <v>11</v>
      </c>
      <c r="J147" s="1">
        <f>LOOKUP(I147,{0,2,3,4,5,6,7,8,9,10,11,12,13,14,15,16},{0,10,20,30,40,50,60,64,68,72,76,80,85,90,95,100})</f>
        <v>76</v>
      </c>
      <c r="K147" s="7"/>
      <c r="L147" s="7"/>
      <c r="M147" s="21">
        <f t="shared" si="77"/>
        <v>76</v>
      </c>
      <c r="N147" s="6">
        <v>7.3</v>
      </c>
      <c r="O147" s="43">
        <f t="shared" si="78"/>
        <v>5.7</v>
      </c>
      <c r="P147" s="1">
        <f>LOOKUP(O147,{0,2.5,2.7,2.9,3.1,3.3,3.5,3.7,3.9,4.1,4.3,4.5,4.7,4.9,5.1,5.3,5.5,5.6,5.7,5.8,5.9},{0,10,20,30,40,50,60,62,64,66,68,70,72,74,76,78,80,85,90,95,100})</f>
        <v>90</v>
      </c>
      <c r="Q147" s="6">
        <v>4.16</v>
      </c>
      <c r="R147" s="6">
        <f t="shared" si="79"/>
        <v>5.84</v>
      </c>
      <c r="S147" s="1">
        <f>LOOKUP(R147,{0,3.75,3.95,4.55,4.75,4.95,5.55,5.6,5.65,5.7,5.75,5.8,5.85,5.9,5.95,6,6.45,6.53,6.6,6.65,6.7},{0,10,20,30,40,50,60,62,64,66,68,70,72,74,76,78,80,85,90,95,100})</f>
        <v>70</v>
      </c>
      <c r="T147" s="7"/>
      <c r="U147" s="7"/>
      <c r="V147" s="21">
        <f t="shared" si="80"/>
        <v>70</v>
      </c>
      <c r="X147" s="21">
        <f t="shared" si="81"/>
        <v>56.4</v>
      </c>
      <c r="Y147" s="37">
        <f t="shared" si="82"/>
        <v>80.5714285714286</v>
      </c>
    </row>
    <row r="148" ht="15.6" hidden="1" outlineLevel="2" spans="1:25">
      <c r="A148" s="6">
        <v>104</v>
      </c>
      <c r="B148" s="6">
        <v>6</v>
      </c>
      <c r="C148" s="29" t="s">
        <v>173</v>
      </c>
      <c r="D148" s="29" t="s">
        <v>11</v>
      </c>
      <c r="E148" s="6">
        <v>10.7</v>
      </c>
      <c r="F148" s="1">
        <f>LOOKUP(E148,{0,-4,-3,-2,-1,0,1,2.4,3.8,5.2,6.6,8,9.4,10.8,12.2,13.6,15,17.2,19.4,21.5,23.6},{0,10,20,30,40,50,60,62,64,66,68,70,72,74,76,78,80,85,90,95,100})</f>
        <v>72</v>
      </c>
      <c r="G148" s="6">
        <v>220</v>
      </c>
      <c r="H148" s="1">
        <f>LOOKUP(G148,{0,170,175,180,185,190,195,199,203,207,211,215,219,223,227,231,235,243,250,255,260},{0,10,20,30,40,50,60,62,64,66,68,70,72,74,76,78,80,85,90,95,100})</f>
        <v>72</v>
      </c>
      <c r="I148" s="6">
        <v>20</v>
      </c>
      <c r="J148" s="1">
        <f>LOOKUP(I148,{0,2,3,4,5,6,7,8,9,10,11,12,13,14,15,16},{0,10,20,30,40,50,60,64,68,72,76,80,85,90,95,100})</f>
        <v>100</v>
      </c>
      <c r="K148" s="7">
        <f>I148-16</f>
        <v>4</v>
      </c>
      <c r="L148" s="40">
        <f>LOOKUP(K148,{0,1,2,3,4,5,6,7,8,9,10},{0,1,2,3,4,5,6,7,8,9,10})</f>
        <v>4</v>
      </c>
      <c r="M148" s="21">
        <f t="shared" si="77"/>
        <v>104</v>
      </c>
      <c r="N148" s="6">
        <v>7.3</v>
      </c>
      <c r="O148" s="43">
        <f t="shared" si="78"/>
        <v>5.7</v>
      </c>
      <c r="P148" s="1">
        <f>LOOKUP(O148,{0,2.5,2.7,2.9,3.1,3.3,3.5,3.7,3.9,4.1,4.3,4.5,4.7,4.9,5.1,5.3,5.5,5.6,5.7,5.8,5.9},{0,10,20,30,40,50,60,62,64,66,68,70,72,74,76,78,80,85,90,95,100})</f>
        <v>90</v>
      </c>
      <c r="Q148" s="6">
        <v>4.09</v>
      </c>
      <c r="R148" s="6">
        <f t="shared" si="79"/>
        <v>5.91</v>
      </c>
      <c r="S148" s="1">
        <f>LOOKUP(R148,{0,3.75,3.95,4.55,4.75,4.95,5.55,5.6,5.65,5.7,5.75,5.8,5.85,5.9,5.95,6,6.45,6.53,6.6,6.65,6.7},{0,10,20,30,40,50,60,62,64,66,68,70,72,74,76,78,80,85,90,95,100})</f>
        <v>74</v>
      </c>
      <c r="T148" s="7"/>
      <c r="U148" s="7"/>
      <c r="V148" s="21">
        <f t="shared" si="80"/>
        <v>74</v>
      </c>
      <c r="X148" s="21">
        <f t="shared" si="81"/>
        <v>57.2</v>
      </c>
      <c r="Y148" s="37">
        <f t="shared" si="82"/>
        <v>85.7142857142857</v>
      </c>
    </row>
    <row r="149" ht="15.6" hidden="1" outlineLevel="2" spans="1:25">
      <c r="A149" s="6">
        <v>104</v>
      </c>
      <c r="B149" s="6">
        <v>7</v>
      </c>
      <c r="C149" s="29" t="s">
        <v>174</v>
      </c>
      <c r="D149" s="29" t="s">
        <v>11</v>
      </c>
      <c r="E149" s="6">
        <v>12</v>
      </c>
      <c r="F149" s="1">
        <f>LOOKUP(E149,{0,-4,-3,-2,-1,0,1,2.4,3.8,5.2,6.6,8,9.4,10.8,12.2,13.6,15,17.2,19.4,21.5,23.6},{0,10,20,30,40,50,60,62,64,66,68,70,72,74,76,78,80,85,90,95,100})</f>
        <v>74</v>
      </c>
      <c r="G149" s="6">
        <v>224</v>
      </c>
      <c r="H149" s="1">
        <f>LOOKUP(G149,{0,170,175,180,185,190,195,199,203,207,211,215,219,223,227,231,235,243,250,255,260},{0,10,20,30,40,50,60,62,64,66,68,70,72,74,76,78,80,85,90,95,100})</f>
        <v>74</v>
      </c>
      <c r="I149" s="6">
        <v>10</v>
      </c>
      <c r="J149" s="1">
        <f>LOOKUP(I149,{0,2,3,4,5,6,7,8,9,10,11,12,13,14,15,16},{0,10,20,30,40,50,60,64,68,72,76,80,85,90,95,100})</f>
        <v>72</v>
      </c>
      <c r="K149" s="7"/>
      <c r="L149" s="7"/>
      <c r="M149" s="21">
        <f t="shared" si="77"/>
        <v>72</v>
      </c>
      <c r="N149" s="6">
        <v>7.4</v>
      </c>
      <c r="O149" s="43">
        <f t="shared" si="78"/>
        <v>5.6</v>
      </c>
      <c r="P149" s="1">
        <f>LOOKUP(O149,{0,2.5,2.7,2.9,3.1,3.3,3.5,3.7,3.9,4.1,4.3,4.5,4.7,4.9,5.1,5.3,5.5,5.6,5.7,5.8,5.9},{0,10,20,30,40,50,60,62,64,66,68,70,72,74,76,78,80,85,90,95,100})</f>
        <v>85</v>
      </c>
      <c r="Q149" s="6">
        <v>3.58</v>
      </c>
      <c r="R149" s="6">
        <f t="shared" si="79"/>
        <v>6.42</v>
      </c>
      <c r="S149" s="1">
        <f>LOOKUP(R149,{0,3.75,3.95,4.55,4.75,4.95,5.55,5.6,5.65,5.7,5.75,5.8,5.85,5.9,5.95,6,6.45,6.53,6.6,6.65,6.7},{0,10,20,30,40,50,60,62,64,66,68,70,72,74,76,78,80,85,90,95,100})</f>
        <v>78</v>
      </c>
      <c r="T149" s="7"/>
      <c r="U149" s="7"/>
      <c r="V149" s="21">
        <f t="shared" si="80"/>
        <v>78</v>
      </c>
      <c r="X149" s="21">
        <f t="shared" si="81"/>
        <v>54.6</v>
      </c>
      <c r="Y149" s="37">
        <f t="shared" si="82"/>
        <v>78</v>
      </c>
    </row>
    <row r="150" ht="15.6" hidden="1" outlineLevel="2" spans="1:25">
      <c r="A150" s="6">
        <v>104</v>
      </c>
      <c r="B150" s="6">
        <v>8</v>
      </c>
      <c r="C150" s="29" t="s">
        <v>175</v>
      </c>
      <c r="D150" s="29" t="s">
        <v>11</v>
      </c>
      <c r="E150" s="6">
        <v>13</v>
      </c>
      <c r="F150" s="1">
        <f>LOOKUP(E150,{0,-4,-3,-2,-1,0,1,2.4,3.8,5.2,6.6,8,9.4,10.8,12.2,13.6,15,17.2,19.4,21.5,23.6},{0,10,20,30,40,50,60,62,64,66,68,70,72,74,76,78,80,85,90,95,100})</f>
        <v>76</v>
      </c>
      <c r="G150" s="6">
        <v>210</v>
      </c>
      <c r="H150" s="1">
        <f>LOOKUP(G150,{0,170,175,180,185,190,195,199,203,207,211,215,219,223,227,231,235,243,250,255,260},{0,10,20,30,40,50,60,62,64,66,68,70,72,74,76,78,80,85,90,95,100})</f>
        <v>66</v>
      </c>
      <c r="I150" s="6">
        <v>19</v>
      </c>
      <c r="J150" s="1">
        <f>LOOKUP(I150,{0,2,3,4,5,6,7,8,9,10,11,12,13,14,15,16},{0,10,20,30,40,50,60,64,68,72,76,80,85,90,95,100})</f>
        <v>100</v>
      </c>
      <c r="K150" s="7">
        <f>I150-16</f>
        <v>3</v>
      </c>
      <c r="L150" s="40">
        <f>LOOKUP(K150,{0,1,2,3,4,5,6,7,8,9,10},{0,1,2,3,4,5,6,7,8,9,10})</f>
        <v>3</v>
      </c>
      <c r="M150" s="21">
        <f t="shared" si="77"/>
        <v>103</v>
      </c>
      <c r="N150" s="6">
        <v>7.6</v>
      </c>
      <c r="O150" s="43">
        <f t="shared" si="78"/>
        <v>5.4</v>
      </c>
      <c r="P150" s="1">
        <f>LOOKUP(O150,{0,2.5,2.7,2.9,3.1,3.3,3.5,3.7,3.9,4.1,4.3,4.5,4.7,4.9,5.1,5.3,5.5,5.6,5.7,5.8,5.9},{0,10,20,30,40,50,60,62,64,66,68,70,72,74,76,78,80,85,90,95,100})</f>
        <v>78</v>
      </c>
      <c r="Q150" s="6">
        <v>3.49</v>
      </c>
      <c r="R150" s="6">
        <f t="shared" si="79"/>
        <v>6.51</v>
      </c>
      <c r="S150" s="1">
        <f>LOOKUP(R150,{0,3.75,3.95,4.55,4.75,4.95,5.55,5.6,5.65,5.7,5.75,5.8,5.85,5.9,5.95,6,6.45,6.53,6.6,6.65,6.7},{0,10,20,30,40,50,60,62,64,66,68,70,72,74,76,78,80,85,90,95,100})</f>
        <v>80</v>
      </c>
      <c r="T150" s="7"/>
      <c r="U150" s="7"/>
      <c r="V150" s="21">
        <f t="shared" si="80"/>
        <v>80</v>
      </c>
      <c r="X150" s="21">
        <f t="shared" si="81"/>
        <v>55.8</v>
      </c>
      <c r="Y150" s="37">
        <f t="shared" si="82"/>
        <v>82.7142857142857</v>
      </c>
    </row>
    <row r="151" ht="15.6" hidden="1" outlineLevel="2" spans="1:25">
      <c r="A151" s="6">
        <v>104</v>
      </c>
      <c r="B151" s="6">
        <v>9</v>
      </c>
      <c r="C151" s="29" t="s">
        <v>176</v>
      </c>
      <c r="D151" s="29" t="s">
        <v>11</v>
      </c>
      <c r="F151" s="1"/>
      <c r="H151" s="1"/>
      <c r="J151" s="1"/>
      <c r="K151" s="7"/>
      <c r="L151" s="7"/>
      <c r="M151" s="21"/>
      <c r="O151" s="43"/>
      <c r="P151" s="1"/>
      <c r="S151" s="1"/>
      <c r="T151" s="7"/>
      <c r="U151" s="40"/>
      <c r="V151" s="21"/>
      <c r="W151" s="6" t="s">
        <v>84</v>
      </c>
      <c r="X151" s="21">
        <f t="shared" si="81"/>
        <v>0</v>
      </c>
      <c r="Y151" s="37">
        <v>50</v>
      </c>
    </row>
    <row r="152" ht="15.6" hidden="1" outlineLevel="2" spans="1:25">
      <c r="A152" s="6">
        <v>104</v>
      </c>
      <c r="B152" s="6">
        <v>10</v>
      </c>
      <c r="C152" s="29" t="s">
        <v>177</v>
      </c>
      <c r="D152" s="29" t="s">
        <v>11</v>
      </c>
      <c r="E152" s="6">
        <v>14.2</v>
      </c>
      <c r="F152" s="1">
        <f>LOOKUP(E152,{0,-4,-3,-2,-1,0,1,2.4,3.8,5.2,6.6,8,9.4,10.8,12.2,13.6,15,17.2,19.4,21.5,23.6},{0,10,20,30,40,50,60,62,64,66,68,70,72,74,76,78,80,85,90,95,100})</f>
        <v>78</v>
      </c>
      <c r="G152" s="6">
        <v>263</v>
      </c>
      <c r="H152" s="1">
        <f>LOOKUP(G152,{0,170,175,180,185,190,195,199,203,207,211,215,219,223,227,231,235,243,250,255,260},{0,10,20,30,40,50,60,62,64,66,68,70,72,74,76,78,80,85,90,95,100})</f>
        <v>100</v>
      </c>
      <c r="I152" s="6">
        <v>2</v>
      </c>
      <c r="J152" s="1">
        <f>LOOKUP(I152,{0,2,3,4,5,6,7,8,9,10,11,12,13,14,15,16},{0,10,20,30,40,50,60,64,68,72,76,80,85,90,95,100})</f>
        <v>10</v>
      </c>
      <c r="K152" s="7"/>
      <c r="L152" s="7"/>
      <c r="M152" s="21">
        <f t="shared" ref="M152:M154" si="83">J152+L152</f>
        <v>10</v>
      </c>
      <c r="N152" s="6">
        <v>6.7</v>
      </c>
      <c r="O152" s="43">
        <f t="shared" ref="O152:O154" si="84">13-N152</f>
        <v>6.3</v>
      </c>
      <c r="P152" s="1">
        <f>LOOKUP(O152,{0,2.5,2.7,2.9,3.1,3.3,3.5,3.7,3.9,4.1,4.3,4.5,4.7,4.9,5.1,5.3,5.5,5.6,5.7,5.8,5.9},{0,10,20,30,40,50,60,62,64,66,68,70,72,74,76,78,80,85,90,95,100})</f>
        <v>100</v>
      </c>
      <c r="Q152" s="6">
        <v>3.25</v>
      </c>
      <c r="R152" s="6">
        <f t="shared" ref="R152:R154" si="85">10-Q152</f>
        <v>6.75</v>
      </c>
      <c r="S152" s="1">
        <f>LOOKUP(R152,{0,3.75,3.95,4.55,4.75,4.95,5.55,5.6,5.65,5.7,5.75,5.8,5.85,5.9,5.95,6,6.45,6.53,6.6,6.65,6.7},{0,10,20,30,40,50,60,62,64,66,68,70,72,74,76,78,80,85,90,95,100})</f>
        <v>100</v>
      </c>
      <c r="T152" s="7">
        <f t="shared" ref="T152:T154" si="86">3.3-Q152</f>
        <v>0.0499999999999998</v>
      </c>
      <c r="U152" s="40">
        <f>LOOKUP(T152,{0,0.04,0.08,0.12,0.16,0.2,0.23,0.26,0.29,0.32,0.35},{0,1,2,3,4,5,6,7,8,9,10})</f>
        <v>1</v>
      </c>
      <c r="V152" s="21">
        <f t="shared" ref="V152:V154" si="87">S152+U152</f>
        <v>101</v>
      </c>
      <c r="X152" s="21">
        <f t="shared" si="81"/>
        <v>58.8</v>
      </c>
      <c r="Y152" s="37">
        <f t="shared" ref="Y152:Y154" si="88">X152/0.7+L152+U152</f>
        <v>85</v>
      </c>
    </row>
    <row r="153" ht="15.6" hidden="1" outlineLevel="2" spans="1:25">
      <c r="A153" s="6">
        <v>104</v>
      </c>
      <c r="B153" s="6">
        <v>11</v>
      </c>
      <c r="C153" s="39" t="s">
        <v>179</v>
      </c>
      <c r="D153" s="29" t="s">
        <v>11</v>
      </c>
      <c r="E153" s="6">
        <v>5.1</v>
      </c>
      <c r="F153" s="1">
        <f>LOOKUP(E153,{0,-4,-3,-2,-1,0,1,2.4,3.8,5.2,6.6,8,9.4,10.8,12.2,13.6,15,17.2,19.4,21.5,23.6},{0,10,20,30,40,50,60,62,64,66,68,70,72,74,76,78,80,85,90,95,100})</f>
        <v>64</v>
      </c>
      <c r="G153" s="6">
        <v>248</v>
      </c>
      <c r="H153" s="1">
        <f>LOOKUP(G153,{0,170,175,180,185,190,195,199,203,207,211,215,219,223,227,231,235,243,250,255,260},{0,10,20,30,40,50,60,62,64,66,68,70,72,74,76,78,80,85,90,95,100})</f>
        <v>85</v>
      </c>
      <c r="I153" s="6">
        <v>13</v>
      </c>
      <c r="J153" s="1">
        <f>LOOKUP(I153,{0,2,3,4,5,6,7,8,9,10,11,12,13,14,15,16},{0,10,20,30,40,50,60,64,68,72,76,80,85,90,95,100})</f>
        <v>85</v>
      </c>
      <c r="K153" s="7"/>
      <c r="L153" s="7"/>
      <c r="M153" s="21">
        <f t="shared" si="83"/>
        <v>85</v>
      </c>
      <c r="N153" s="6">
        <v>6.7</v>
      </c>
      <c r="O153" s="43">
        <f t="shared" si="84"/>
        <v>6.3</v>
      </c>
      <c r="P153" s="1">
        <f>LOOKUP(O153,{0,2.5,2.7,2.9,3.1,3.3,3.5,3.7,3.9,4.1,4.3,4.5,4.7,4.9,5.1,5.3,5.5,5.6,5.7,5.8,5.9},{0,10,20,30,40,50,60,62,64,66,68,70,72,74,76,78,80,85,90,95,100})</f>
        <v>100</v>
      </c>
      <c r="Q153" s="6">
        <v>3.21</v>
      </c>
      <c r="R153" s="6">
        <f t="shared" si="85"/>
        <v>6.79</v>
      </c>
      <c r="S153" s="1">
        <f>LOOKUP(R153,{0,3.75,3.95,4.55,4.75,4.95,5.55,5.6,5.65,5.7,5.75,5.8,5.85,5.9,5.95,6,6.45,6.53,6.6,6.65,6.7},{0,10,20,30,40,50,60,62,64,66,68,70,72,74,76,78,80,85,90,95,100})</f>
        <v>100</v>
      </c>
      <c r="T153" s="7">
        <f t="shared" si="86"/>
        <v>0.0899999999999999</v>
      </c>
      <c r="U153" s="40">
        <f>LOOKUP(T153,{0,0.04,0.08,0.12,0.16,0.2,0.23,0.26,0.29,0.32,0.35},{0,1,2,3,4,5,6,7,8,9,10})</f>
        <v>2</v>
      </c>
      <c r="V153" s="21">
        <f t="shared" si="87"/>
        <v>102</v>
      </c>
      <c r="X153" s="21">
        <f t="shared" si="81"/>
        <v>63.4</v>
      </c>
      <c r="Y153" s="37">
        <f t="shared" si="88"/>
        <v>92.5714285714286</v>
      </c>
    </row>
    <row r="154" ht="15.6" hidden="1" outlineLevel="2" spans="1:25">
      <c r="A154" s="6">
        <v>104</v>
      </c>
      <c r="B154" s="6">
        <v>12</v>
      </c>
      <c r="C154" s="29" t="s">
        <v>180</v>
      </c>
      <c r="D154" s="29" t="s">
        <v>11</v>
      </c>
      <c r="E154" s="6">
        <v>10.2</v>
      </c>
      <c r="F154" s="1">
        <f>LOOKUP(E154,{0,-4,-3,-2,-1,0,1,2.4,3.8,5.2,6.6,8,9.4,10.8,12.2,13.6,15,17.2,19.4,21.5,23.6},{0,10,20,30,40,50,60,62,64,66,68,70,72,74,76,78,80,85,90,95,100})</f>
        <v>72</v>
      </c>
      <c r="G154" s="6">
        <v>243</v>
      </c>
      <c r="H154" s="1">
        <f>LOOKUP(G154,{0,170,175,180,185,190,195,199,203,207,211,215,219,223,227,231,235,243,250,255,260},{0,10,20,30,40,50,60,62,64,66,68,70,72,74,76,78,80,85,90,95,100})</f>
        <v>85</v>
      </c>
      <c r="I154" s="6">
        <v>18</v>
      </c>
      <c r="J154" s="1">
        <f>LOOKUP(I154,{0,2,3,4,5,6,7,8,9,10,11,12,13,14,15,16},{0,10,20,30,40,50,60,64,68,72,76,80,85,90,95,100})</f>
        <v>100</v>
      </c>
      <c r="K154" s="7">
        <f>I154-16</f>
        <v>2</v>
      </c>
      <c r="L154" s="40">
        <f>LOOKUP(K154,{0,1,2,3,4,5,6,7,8,9,10},{0,1,2,3,4,5,6,7,8,9,10})</f>
        <v>2</v>
      </c>
      <c r="M154" s="21">
        <f t="shared" si="83"/>
        <v>102</v>
      </c>
      <c r="N154" s="6">
        <v>6.8</v>
      </c>
      <c r="O154" s="43">
        <f t="shared" si="84"/>
        <v>6.2</v>
      </c>
      <c r="P154" s="1">
        <f>LOOKUP(O154,{0,2.5,2.7,2.9,3.1,3.3,3.5,3.7,3.9,4.1,4.3,4.5,4.7,4.9,5.1,5.3,5.5,5.6,5.7,5.8,5.9},{0,10,20,30,40,50,60,62,64,66,68,70,72,74,76,78,80,85,90,95,100})</f>
        <v>100</v>
      </c>
      <c r="Q154" s="6">
        <v>3.24</v>
      </c>
      <c r="R154" s="6">
        <f t="shared" si="85"/>
        <v>6.76</v>
      </c>
      <c r="S154" s="1">
        <f>LOOKUP(R154,{0,3.75,3.95,4.55,4.75,4.95,5.55,5.6,5.65,5.7,5.75,5.8,5.85,5.9,5.95,6,6.45,6.53,6.6,6.65,6.7},{0,10,20,30,40,50,60,62,64,66,68,70,72,74,76,78,80,85,90,95,100})</f>
        <v>100</v>
      </c>
      <c r="T154" s="7">
        <f t="shared" si="86"/>
        <v>0.0599999999999996</v>
      </c>
      <c r="U154" s="40">
        <f>LOOKUP(T154,{0,0.04,0.08,0.12,0.16,0.2,0.23,0.26,0.29,0.32,0.35},{0,1,2,3,4,5,6,7,8,9,10})</f>
        <v>1</v>
      </c>
      <c r="V154" s="21">
        <f t="shared" si="87"/>
        <v>101</v>
      </c>
      <c r="X154" s="21">
        <f t="shared" si="81"/>
        <v>65.7</v>
      </c>
      <c r="Y154" s="37">
        <f t="shared" si="88"/>
        <v>96.8571428571429</v>
      </c>
    </row>
    <row r="155" ht="15.6" hidden="1" outlineLevel="2" spans="1:25">
      <c r="A155" s="6">
        <v>104</v>
      </c>
      <c r="B155" s="6">
        <v>13</v>
      </c>
      <c r="C155" s="29" t="s">
        <v>181</v>
      </c>
      <c r="D155" s="29" t="s">
        <v>11</v>
      </c>
      <c r="F155" s="1"/>
      <c r="H155" s="1"/>
      <c r="J155" s="1"/>
      <c r="K155" s="7"/>
      <c r="L155" s="7"/>
      <c r="M155" s="21"/>
      <c r="O155" s="43"/>
      <c r="P155" s="1"/>
      <c r="S155" s="1"/>
      <c r="T155" s="7"/>
      <c r="U155" s="40"/>
      <c r="V155" s="21"/>
      <c r="X155" s="21">
        <f t="shared" si="81"/>
        <v>0</v>
      </c>
      <c r="Y155" s="51">
        <v>50</v>
      </c>
    </row>
    <row r="156" s="3" customFormat="1" ht="15.6" hidden="1" outlineLevel="2" spans="1:25">
      <c r="A156" s="6">
        <v>104</v>
      </c>
      <c r="B156" s="6">
        <v>14</v>
      </c>
      <c r="C156" s="29" t="s">
        <v>182</v>
      </c>
      <c r="D156" s="29" t="s">
        <v>11</v>
      </c>
      <c r="E156" s="6">
        <v>15</v>
      </c>
      <c r="F156" s="1">
        <f>LOOKUP(E156,{0,-4,-3,-2,-1,0,1,2.4,3.8,5.2,6.6,8,9.4,10.8,12.2,13.6,15,17.2,19.4,21.5,23.6},{0,10,20,30,40,50,60,62,64,66,68,70,72,74,76,78,80,85,90,95,100})</f>
        <v>80</v>
      </c>
      <c r="G156" s="6">
        <v>197</v>
      </c>
      <c r="H156" s="1">
        <f>LOOKUP(G156,{0,170,175,180,185,190,195,199,203,207,211,215,219,223,227,231,235,243,250,255,260},{0,10,20,30,40,50,60,62,64,66,68,70,72,74,76,78,80,85,90,95,100})</f>
        <v>60</v>
      </c>
      <c r="I156" s="6">
        <v>1</v>
      </c>
      <c r="J156" s="1">
        <f>LOOKUP(I156,{0,2,3,4,5,6,7,8,9,10,11,12,13,14,15,16},{0,10,20,30,40,50,60,64,68,72,76,80,85,90,95,100})</f>
        <v>0</v>
      </c>
      <c r="K156" s="7"/>
      <c r="L156" s="7"/>
      <c r="M156" s="21">
        <f t="shared" ref="M156:M160" si="89">J156+L156</f>
        <v>0</v>
      </c>
      <c r="N156" s="6">
        <v>7.8</v>
      </c>
      <c r="O156" s="43">
        <f t="shared" ref="O156:O162" si="90">13-N156</f>
        <v>5.2</v>
      </c>
      <c r="P156" s="1">
        <f>LOOKUP(O156,{0,2.5,2.7,2.9,3.1,3.3,3.5,3.7,3.9,4.1,4.3,4.5,4.7,4.9,5.1,5.3,5.5,5.6,5.7,5.8,5.9},{0,10,20,30,40,50,60,62,64,66,68,70,72,74,76,78,80,85,90,95,100})</f>
        <v>76</v>
      </c>
      <c r="Q156" s="6">
        <v>3.34</v>
      </c>
      <c r="R156" s="6">
        <f t="shared" ref="R156:R160" si="91">10-Q156</f>
        <v>6.66</v>
      </c>
      <c r="S156" s="1">
        <f>LOOKUP(R156,{0,3.75,3.95,4.55,4.75,4.95,5.55,5.6,5.65,5.7,5.75,5.8,5.85,5.9,5.95,6,6.45,6.53,6.6,6.65,6.7},{0,10,20,30,40,50,60,62,64,66,68,70,72,74,76,78,80,85,90,95,100})</f>
        <v>95</v>
      </c>
      <c r="T156" s="7"/>
      <c r="U156" s="7"/>
      <c r="V156" s="21">
        <f t="shared" ref="V156:V160" si="92">S156+U156</f>
        <v>95</v>
      </c>
      <c r="W156" s="6"/>
      <c r="X156" s="21">
        <f t="shared" si="81"/>
        <v>48.2</v>
      </c>
      <c r="Y156" s="37">
        <f t="shared" ref="Y156:Y160" si="93">X156/0.7+L156+U156</f>
        <v>68.8571428571429</v>
      </c>
    </row>
    <row r="157" ht="15.6" hidden="1" outlineLevel="2" spans="1:25">
      <c r="A157" s="6">
        <v>104</v>
      </c>
      <c r="B157" s="6">
        <v>15</v>
      </c>
      <c r="C157" s="29" t="s">
        <v>183</v>
      </c>
      <c r="D157" s="29" t="s">
        <v>11</v>
      </c>
      <c r="E157" s="6">
        <v>10.6</v>
      </c>
      <c r="F157" s="1">
        <f>LOOKUP(E157,{0,-4,-3,-2,-1,0,1,2.4,3.8,5.2,6.6,8,9.4,10.8,12.2,13.6,15,17.2,19.4,21.5,23.6},{0,10,20,30,40,50,60,62,64,66,68,70,72,74,76,78,80,85,90,95,100})</f>
        <v>72</v>
      </c>
      <c r="G157" s="6">
        <v>216</v>
      </c>
      <c r="H157" s="1">
        <f>LOOKUP(G157,{0,170,175,180,185,190,195,199,203,207,211,215,219,223,227,231,235,243,250,255,260},{0,10,20,30,40,50,60,62,64,66,68,70,72,74,76,78,80,85,90,95,100})</f>
        <v>70</v>
      </c>
      <c r="I157" s="6">
        <v>0</v>
      </c>
      <c r="J157" s="1">
        <f>LOOKUP(I157,{0,2,3,4,5,6,7,8,9,10,11,12,13,14,15,16},{0,10,20,30,40,50,60,64,68,72,76,80,85,90,95,100})</f>
        <v>0</v>
      </c>
      <c r="K157" s="7"/>
      <c r="L157" s="7"/>
      <c r="M157" s="21">
        <f t="shared" si="89"/>
        <v>0</v>
      </c>
      <c r="N157" s="6">
        <v>8.1</v>
      </c>
      <c r="O157" s="43">
        <f t="shared" si="90"/>
        <v>4.9</v>
      </c>
      <c r="P157" s="1">
        <f>LOOKUP(O157,{0,2.5,2.7,2.9,3.1,3.3,3.5,3.7,3.9,4.1,4.3,4.5,4.7,4.9,5.1,5.3,5.5,5.6,5.7,5.8,5.9},{0,10,20,30,40,50,60,62,64,66,68,70,72,74,76,78,80,85,90,95,100})</f>
        <v>74</v>
      </c>
      <c r="Q157" s="6">
        <v>4.1</v>
      </c>
      <c r="R157" s="6">
        <f t="shared" si="91"/>
        <v>5.9</v>
      </c>
      <c r="S157" s="1">
        <f>LOOKUP(R157,{0,3.75,3.95,4.55,4.75,4.95,5.55,5.6,5.65,5.7,5.75,5.8,5.85,5.9,5.95,6,6.45,6.53,6.6,6.65,6.7},{0,10,20,30,40,50,60,62,64,66,68,70,72,74,76,78,80,85,90,95,100})</f>
        <v>74</v>
      </c>
      <c r="T157" s="7"/>
      <c r="U157" s="7"/>
      <c r="V157" s="21">
        <f t="shared" si="92"/>
        <v>74</v>
      </c>
      <c r="X157" s="21">
        <f t="shared" si="81"/>
        <v>43.8</v>
      </c>
      <c r="Y157" s="37">
        <f t="shared" si="93"/>
        <v>62.5714285714286</v>
      </c>
    </row>
    <row r="158" ht="15.6" hidden="1" outlineLevel="2" spans="1:25">
      <c r="A158" s="6">
        <v>104</v>
      </c>
      <c r="B158" s="6">
        <v>16</v>
      </c>
      <c r="C158" s="29" t="s">
        <v>184</v>
      </c>
      <c r="D158" s="29" t="s">
        <v>11</v>
      </c>
      <c r="E158" s="6">
        <v>9</v>
      </c>
      <c r="F158" s="1">
        <f>LOOKUP(E158,{0,-4,-3,-2,-1,0,1,2.4,3.8,5.2,6.6,8,9.4,10.8,12.2,13.6,15,17.2,19.4,21.5,23.6},{0,10,20,30,40,50,60,62,64,66,68,70,72,74,76,78,80,85,90,95,100})</f>
        <v>70</v>
      </c>
      <c r="G158" s="6">
        <v>240</v>
      </c>
      <c r="H158" s="1">
        <f>LOOKUP(G158,{0,170,175,180,185,190,195,199,203,207,211,215,219,223,227,231,235,243,250,255,260},{0,10,20,30,40,50,60,62,64,66,68,70,72,74,76,78,80,85,90,95,100})</f>
        <v>80</v>
      </c>
      <c r="I158" s="6">
        <v>30</v>
      </c>
      <c r="J158" s="1">
        <f>LOOKUP(I158,{0,2,3,4,5,6,7,8,9,10,11,12,13,14,15,16},{0,10,20,30,40,50,60,64,68,72,76,80,85,90,95,100})</f>
        <v>100</v>
      </c>
      <c r="K158" s="7">
        <f>I158-16</f>
        <v>14</v>
      </c>
      <c r="L158" s="40">
        <f>LOOKUP(K158,{0,1,2,3,4,5,6,7,8,9,10},{0,1,2,3,4,5,6,7,8,9,10})</f>
        <v>10</v>
      </c>
      <c r="M158" s="21">
        <f t="shared" si="89"/>
        <v>110</v>
      </c>
      <c r="O158" s="43"/>
      <c r="P158" s="1"/>
      <c r="Q158" s="6">
        <v>3.28</v>
      </c>
      <c r="R158" s="6">
        <f t="shared" si="91"/>
        <v>6.72</v>
      </c>
      <c r="S158" s="1">
        <f>LOOKUP(R158,{0,3.75,3.95,4.55,4.75,4.95,5.55,5.6,5.65,5.7,5.75,5.8,5.85,5.9,5.95,6,6.45,6.53,6.6,6.65,6.7},{0,10,20,30,40,50,60,62,64,66,68,70,72,74,76,78,80,85,90,95,100})</f>
        <v>100</v>
      </c>
      <c r="T158" s="7">
        <f>3.3-Q158</f>
        <v>0.02</v>
      </c>
      <c r="U158" s="40">
        <f>LOOKUP(T158,{0,0.04,0.08,0.12,0.16,0.2,0.23,0.26,0.29,0.32,0.35},{0,1,2,3,4,5,6,7,8,9,10})</f>
        <v>0</v>
      </c>
      <c r="V158" s="21">
        <f t="shared" si="92"/>
        <v>100</v>
      </c>
      <c r="X158" s="21">
        <f t="shared" si="81"/>
        <v>45</v>
      </c>
      <c r="Y158" s="37">
        <f t="shared" si="93"/>
        <v>74.2857142857143</v>
      </c>
    </row>
    <row r="159" ht="15.6" hidden="1" outlineLevel="2" spans="1:25">
      <c r="A159" s="6">
        <v>104</v>
      </c>
      <c r="B159" s="6">
        <v>17</v>
      </c>
      <c r="C159" s="29" t="s">
        <v>185</v>
      </c>
      <c r="D159" s="29" t="s">
        <v>11</v>
      </c>
      <c r="E159" s="6">
        <v>-4.1</v>
      </c>
      <c r="F159" s="1">
        <v>0</v>
      </c>
      <c r="G159" s="6">
        <v>168</v>
      </c>
      <c r="H159" s="1">
        <f>LOOKUP(G159,{0,170,175,180,185,190,195,199,203,207,211,215,219,223,227,231,235,243,250,255,260},{0,10,20,30,40,50,60,62,64,66,68,70,72,74,76,78,80,85,90,95,100})</f>
        <v>0</v>
      </c>
      <c r="I159" s="6">
        <v>0</v>
      </c>
      <c r="J159" s="1">
        <f>LOOKUP(I159,{0,2,3,4,5,6,7,8,9,10,11,12,13,14,15,16},{0,10,20,30,40,50,60,64,68,72,76,80,85,90,95,100})</f>
        <v>0</v>
      </c>
      <c r="K159" s="7"/>
      <c r="L159" s="7"/>
      <c r="M159" s="21">
        <f t="shared" si="89"/>
        <v>0</v>
      </c>
      <c r="N159" s="6">
        <v>9.6</v>
      </c>
      <c r="O159" s="43">
        <f t="shared" si="90"/>
        <v>3.4</v>
      </c>
      <c r="P159" s="1">
        <f>LOOKUP(O159,{0,2.5,2.7,2.9,3.1,3.3,3.5,3.7,3.9,4.1,4.3,4.5,4.7,4.9,5.1,5.3,5.5,5.6,5.7,5.8,5.9},{0,10,20,30,40,50,60,62,64,66,68,70,72,74,76,78,80,85,90,95,100})</f>
        <v>50</v>
      </c>
      <c r="Q159" s="6">
        <v>5.23</v>
      </c>
      <c r="R159" s="6">
        <f t="shared" si="91"/>
        <v>4.77</v>
      </c>
      <c r="S159" s="1">
        <f>LOOKUP(R159,{0,3.75,3.95,4.55,4.75,4.95,5.55,5.6,5.65,5.7,5.75,5.8,5.85,5.9,5.95,6,6.45,6.53,6.6,6.65,6.7},{0,10,20,30,40,50,60,62,64,66,68,70,72,74,76,78,80,85,90,95,100})</f>
        <v>40</v>
      </c>
      <c r="T159" s="7"/>
      <c r="U159" s="7"/>
      <c r="V159" s="21">
        <f t="shared" si="92"/>
        <v>40</v>
      </c>
      <c r="X159" s="21">
        <f t="shared" si="81"/>
        <v>18</v>
      </c>
      <c r="Y159" s="37">
        <f t="shared" si="93"/>
        <v>25.7142857142857</v>
      </c>
    </row>
    <row r="160" ht="15.6" hidden="1" outlineLevel="2" spans="1:25">
      <c r="A160" s="6">
        <v>104</v>
      </c>
      <c r="B160" s="6">
        <v>18</v>
      </c>
      <c r="C160" s="29" t="s">
        <v>186</v>
      </c>
      <c r="D160" s="29" t="s">
        <v>11</v>
      </c>
      <c r="E160" s="6">
        <v>9.6</v>
      </c>
      <c r="F160" s="1">
        <f>LOOKUP(E160,{0,-4,-3,-2,-1,0,1,2.4,3.8,5.2,6.6,8,9.4,10.8,12.2,13.6,15,17.2,19.4,21.5,23.6},{0,10,20,30,40,50,60,62,64,66,68,70,72,74,76,78,80,85,90,95,100})</f>
        <v>72</v>
      </c>
      <c r="G160" s="6">
        <v>198</v>
      </c>
      <c r="H160" s="1">
        <f>LOOKUP(G160,{0,170,175,180,185,190,195,199,203,207,211,215,219,223,227,231,235,243,250,255,260},{0,10,20,30,40,50,60,62,64,66,68,70,72,74,76,78,80,85,90,95,100})</f>
        <v>60</v>
      </c>
      <c r="I160" s="6">
        <v>4</v>
      </c>
      <c r="J160" s="1">
        <f>LOOKUP(I160,{0,2,3,4,5,6,7,8,9,10,11,12,13,14,15,16},{0,10,20,30,40,50,60,64,68,72,76,80,85,90,95,100})</f>
        <v>30</v>
      </c>
      <c r="K160" s="7"/>
      <c r="L160" s="7"/>
      <c r="M160" s="21">
        <f t="shared" si="89"/>
        <v>30</v>
      </c>
      <c r="N160" s="6">
        <v>7.4</v>
      </c>
      <c r="O160" s="43">
        <f t="shared" si="90"/>
        <v>5.6</v>
      </c>
      <c r="P160" s="1">
        <f>LOOKUP(O160,{0,2.5,2.7,2.9,3.1,3.3,3.5,3.7,3.9,4.1,4.3,4.5,4.7,4.9,5.1,5.3,5.5,5.6,5.7,5.8,5.9},{0,10,20,30,40,50,60,62,64,66,68,70,72,74,76,78,80,85,90,95,100})</f>
        <v>85</v>
      </c>
      <c r="Q160" s="6">
        <v>3.31</v>
      </c>
      <c r="R160" s="6">
        <f t="shared" si="91"/>
        <v>6.69</v>
      </c>
      <c r="S160" s="1">
        <f>LOOKUP(R160,{0,3.75,3.95,4.55,4.75,4.95,5.55,5.6,5.65,5.7,5.75,5.8,5.85,5.9,5.95,6,6.45,6.53,6.6,6.65,6.7},{0,10,20,30,40,50,60,62,64,66,68,70,72,74,76,78,80,85,90,95,100})</f>
        <v>95</v>
      </c>
      <c r="T160" s="7"/>
      <c r="U160" s="7"/>
      <c r="V160" s="21">
        <f t="shared" si="92"/>
        <v>95</v>
      </c>
      <c r="X160" s="21">
        <f t="shared" si="81"/>
        <v>52.2</v>
      </c>
      <c r="Y160" s="37">
        <f t="shared" si="93"/>
        <v>74.5714285714286</v>
      </c>
    </row>
    <row r="161" ht="15.6" hidden="1" outlineLevel="2" spans="1:25">
      <c r="A161" s="6">
        <v>104</v>
      </c>
      <c r="B161" s="6">
        <v>19</v>
      </c>
      <c r="C161" s="29" t="s">
        <v>187</v>
      </c>
      <c r="D161" s="29" t="s">
        <v>11</v>
      </c>
      <c r="F161" s="1"/>
      <c r="H161" s="1"/>
      <c r="J161" s="1"/>
      <c r="K161" s="7"/>
      <c r="L161" s="7"/>
      <c r="M161" s="21"/>
      <c r="N161" s="6">
        <v>8</v>
      </c>
      <c r="O161" s="43">
        <f t="shared" si="90"/>
        <v>5</v>
      </c>
      <c r="P161" s="1">
        <f>LOOKUP(O161,{0,2.5,2.7,2.9,3.1,3.3,3.5,3.7,3.9,4.1,4.3,4.5,4.7,4.9,5.1,5.3,5.5,5.6,5.7,5.8,5.9},{0,10,20,30,40,50,60,62,64,66,68,70,72,74,76,78,80,85,90,95,100})</f>
        <v>74</v>
      </c>
      <c r="S161" s="1"/>
      <c r="T161" s="7"/>
      <c r="U161" s="40"/>
      <c r="V161" s="21"/>
      <c r="W161" s="6" t="s">
        <v>84</v>
      </c>
      <c r="X161" s="21">
        <f t="shared" si="81"/>
        <v>14.8</v>
      </c>
      <c r="Y161" s="37">
        <v>50</v>
      </c>
    </row>
    <row r="162" ht="15.6" hidden="1" outlineLevel="2" spans="1:25">
      <c r="A162" s="6">
        <v>104</v>
      </c>
      <c r="B162" s="6">
        <v>20</v>
      </c>
      <c r="C162" s="39" t="s">
        <v>189</v>
      </c>
      <c r="D162" s="29" t="s">
        <v>11</v>
      </c>
      <c r="E162" s="6">
        <v>5.5</v>
      </c>
      <c r="F162" s="1">
        <f>LOOKUP(E162,{0,-4,-3,-2,-1,0,1,2.4,3.8,5.2,6.6,8,9.4,10.8,12.2,13.6,15,17.2,19.4,21.5,23.6},{0,10,20,30,40,50,60,62,64,66,68,70,72,74,76,78,80,85,90,95,100})</f>
        <v>66</v>
      </c>
      <c r="G162" s="6">
        <v>218</v>
      </c>
      <c r="H162" s="1">
        <f>LOOKUP(G162,{0,170,175,180,185,190,195,199,203,207,211,215,219,223,227,231,235,243,250,255,260},{0,10,20,30,40,50,60,62,64,66,68,70,72,74,76,78,80,85,90,95,100})</f>
        <v>70</v>
      </c>
      <c r="I162" s="6">
        <v>21</v>
      </c>
      <c r="J162" s="1">
        <f>LOOKUP(I162,{0,2,3,4,5,6,7,8,9,10,11,12,13,14,15,16},{0,10,20,30,40,50,60,64,68,72,76,80,85,90,95,100})</f>
        <v>100</v>
      </c>
      <c r="K162" s="7">
        <f>I162-16</f>
        <v>5</v>
      </c>
      <c r="L162" s="40">
        <f>LOOKUP(K162,{0,1,2,3,4,5,6,7,8,9,10},{0,1,2,3,4,5,6,7,8,9,10})</f>
        <v>5</v>
      </c>
      <c r="M162" s="21">
        <f t="shared" ref="M162:M166" si="94">J162+L162</f>
        <v>105</v>
      </c>
      <c r="N162" s="6">
        <v>7.3</v>
      </c>
      <c r="O162" s="43">
        <f t="shared" si="90"/>
        <v>5.7</v>
      </c>
      <c r="P162" s="1">
        <f>LOOKUP(O162,{0,2.5,2.7,2.9,3.1,3.3,3.5,3.7,3.9,4.1,4.3,4.5,4.7,4.9,5.1,5.3,5.5,5.6,5.7,5.8,5.9},{0,10,20,30,40,50,60,62,64,66,68,70,72,74,76,78,80,85,90,95,100})</f>
        <v>90</v>
      </c>
      <c r="Q162" s="6">
        <v>3.42</v>
      </c>
      <c r="R162" s="6">
        <f t="shared" ref="R162:R166" si="95">10-Q162</f>
        <v>6.58</v>
      </c>
      <c r="S162" s="1">
        <f>LOOKUP(R162,{0,3.75,3.95,4.55,4.75,4.95,5.55,5.6,5.65,5.7,5.75,5.8,5.85,5.9,5.95,6,6.45,6.53,6.6,6.65,6.7},{0,10,20,30,40,50,60,62,64,66,68,70,72,74,76,78,80,85,90,95,100})</f>
        <v>85</v>
      </c>
      <c r="T162" s="7"/>
      <c r="U162" s="7"/>
      <c r="V162" s="21">
        <f t="shared" ref="V162:V166" si="96">S162+U162</f>
        <v>85</v>
      </c>
      <c r="X162" s="21">
        <f t="shared" si="81"/>
        <v>58.6</v>
      </c>
      <c r="Y162" s="37">
        <f t="shared" ref="Y162:Y166" si="97">X162/0.7+L162+U162</f>
        <v>88.7142857142857</v>
      </c>
    </row>
    <row r="163" ht="15.6" hidden="1" outlineLevel="2" spans="1:25">
      <c r="A163" s="6">
        <v>104</v>
      </c>
      <c r="B163" s="6">
        <v>21</v>
      </c>
      <c r="C163" s="29" t="s">
        <v>190</v>
      </c>
      <c r="D163" s="29" t="s">
        <v>11</v>
      </c>
      <c r="F163" s="1"/>
      <c r="H163" s="1"/>
      <c r="J163" s="1"/>
      <c r="K163" s="7"/>
      <c r="L163" s="7"/>
      <c r="M163" s="21"/>
      <c r="O163" s="43"/>
      <c r="P163" s="1"/>
      <c r="S163" s="1"/>
      <c r="T163" s="7"/>
      <c r="U163" s="40"/>
      <c r="V163" s="21"/>
      <c r="W163" s="6" t="s">
        <v>84</v>
      </c>
      <c r="X163" s="21">
        <f t="shared" si="81"/>
        <v>0</v>
      </c>
      <c r="Y163" s="37">
        <v>50</v>
      </c>
    </row>
    <row r="164" ht="15.6" hidden="1" outlineLevel="2" spans="1:25">
      <c r="A164" s="6">
        <v>104</v>
      </c>
      <c r="B164" s="6">
        <v>22</v>
      </c>
      <c r="C164" s="29" t="s">
        <v>191</v>
      </c>
      <c r="D164" s="29" t="s">
        <v>11</v>
      </c>
      <c r="E164" s="6">
        <v>6.5</v>
      </c>
      <c r="F164" s="1">
        <f>LOOKUP(E164,{0,-4,-3,-2,-1,0,1,2.4,3.8,5.2,6.6,8,9.4,10.8,12.2,13.6,15,17.2,19.4,21.5,23.6},{0,10,20,30,40,50,60,62,64,66,68,70,72,74,76,78,80,85,90,95,100})</f>
        <v>66</v>
      </c>
      <c r="G164" s="6">
        <v>213</v>
      </c>
      <c r="H164" s="1">
        <f>LOOKUP(G164,{0,170,175,180,185,190,195,199,203,207,211,215,219,223,227,231,235,243,250,255,260},{0,10,20,30,40,50,60,62,64,66,68,70,72,74,76,78,80,85,90,95,100})</f>
        <v>68</v>
      </c>
      <c r="I164" s="6">
        <v>2</v>
      </c>
      <c r="J164" s="1">
        <f>LOOKUP(I164,{0,2,3,4,5,6,7,8,9,10,11,12,13,14,15,16},{0,10,20,30,40,50,60,64,68,72,76,80,85,90,95,100})</f>
        <v>10</v>
      </c>
      <c r="K164" s="7"/>
      <c r="L164" s="7"/>
      <c r="M164" s="21">
        <f t="shared" si="94"/>
        <v>10</v>
      </c>
      <c r="N164" s="6">
        <v>7</v>
      </c>
      <c r="O164" s="43">
        <f t="shared" ref="O164:O166" si="98">13-N164</f>
        <v>6</v>
      </c>
      <c r="P164" s="1">
        <f>LOOKUP(O164,{0,2.5,2.7,2.9,3.1,3.3,3.5,3.7,3.9,4.1,4.3,4.5,4.7,4.9,5.1,5.3,5.5,5.6,5.7,5.8,5.9},{0,10,20,30,40,50,60,62,64,66,68,70,72,74,76,78,80,85,90,95,100})</f>
        <v>100</v>
      </c>
      <c r="Q164" s="6">
        <v>3.42</v>
      </c>
      <c r="R164" s="6">
        <f t="shared" si="95"/>
        <v>6.58</v>
      </c>
      <c r="S164" s="1">
        <f>LOOKUP(R164,{0,3.75,3.95,4.55,4.75,4.95,5.55,5.6,5.65,5.7,5.75,5.8,5.85,5.9,5.95,6,6.45,6.53,6.6,6.65,6.7},{0,10,20,30,40,50,60,62,64,66,68,70,72,74,76,78,80,85,90,95,100})</f>
        <v>85</v>
      </c>
      <c r="T164" s="7"/>
      <c r="U164" s="7"/>
      <c r="V164" s="21">
        <f t="shared" si="96"/>
        <v>85</v>
      </c>
      <c r="X164" s="21">
        <f t="shared" si="81"/>
        <v>51.4</v>
      </c>
      <c r="Y164" s="37">
        <f t="shared" si="97"/>
        <v>73.4285714285714</v>
      </c>
    </row>
    <row r="165" ht="15.6" hidden="1" outlineLevel="2" spans="1:25">
      <c r="A165" s="6">
        <v>104</v>
      </c>
      <c r="B165" s="6">
        <v>23</v>
      </c>
      <c r="C165" s="29" t="s">
        <v>192</v>
      </c>
      <c r="D165" s="29" t="s">
        <v>11</v>
      </c>
      <c r="E165" s="6">
        <v>14.5</v>
      </c>
      <c r="F165" s="1">
        <f>LOOKUP(E165,{0,-4,-3,-2,-1,0,1,2.4,3.8,5.2,6.6,8,9.4,10.8,12.2,13.6,15,17.2,19.4,21.5,23.6},{0,10,20,30,40,50,60,62,64,66,68,70,72,74,76,78,80,85,90,95,100})</f>
        <v>78</v>
      </c>
      <c r="G165" s="6">
        <v>238</v>
      </c>
      <c r="H165" s="1">
        <f>LOOKUP(G165,{0,170,175,180,185,190,195,199,203,207,211,215,219,223,227,231,235,243,250,255,260},{0,10,20,30,40,50,60,62,64,66,68,70,72,74,76,78,80,85,90,95,100})</f>
        <v>80</v>
      </c>
      <c r="I165" s="6">
        <v>2</v>
      </c>
      <c r="J165" s="1">
        <f>LOOKUP(I165,{0,2,3,4,5,6,7,8,9,10,11,12,13,14,15,16},{0,10,20,30,40,50,60,64,68,72,76,80,85,90,95,100})</f>
        <v>10</v>
      </c>
      <c r="K165" s="7"/>
      <c r="L165" s="7"/>
      <c r="M165" s="21">
        <f t="shared" si="94"/>
        <v>10</v>
      </c>
      <c r="N165" s="6">
        <v>6.8</v>
      </c>
      <c r="O165" s="43">
        <f t="shared" si="98"/>
        <v>6.2</v>
      </c>
      <c r="P165" s="1">
        <f>LOOKUP(O165,{0,2.5,2.7,2.9,3.1,3.3,3.5,3.7,3.9,4.1,4.3,4.5,4.7,4.9,5.1,5.3,5.5,5.6,5.7,5.8,5.9},{0,10,20,30,40,50,60,62,64,66,68,70,72,74,76,78,80,85,90,95,100})</f>
        <v>100</v>
      </c>
      <c r="Q165" s="6">
        <v>3.36</v>
      </c>
      <c r="R165" s="6">
        <f t="shared" si="95"/>
        <v>6.64</v>
      </c>
      <c r="S165" s="1">
        <f>LOOKUP(R165,{0,3.75,3.95,4.55,4.75,4.95,5.55,5.6,5.65,5.7,5.75,5.8,5.85,5.9,5.95,6,6.45,6.53,6.6,6.65,6.7},{0,10,20,30,40,50,60,62,64,66,68,70,72,74,76,78,80,85,90,95,100})</f>
        <v>90</v>
      </c>
      <c r="T165" s="7"/>
      <c r="U165" s="7"/>
      <c r="V165" s="21">
        <f t="shared" si="96"/>
        <v>90</v>
      </c>
      <c r="X165" s="21">
        <f t="shared" si="81"/>
        <v>54.8</v>
      </c>
      <c r="Y165" s="37">
        <f t="shared" si="97"/>
        <v>78.2857142857143</v>
      </c>
    </row>
    <row r="166" ht="15.6" hidden="1" outlineLevel="2" spans="1:25">
      <c r="A166" s="6">
        <v>104</v>
      </c>
      <c r="B166" s="6">
        <v>24</v>
      </c>
      <c r="C166" s="29" t="s">
        <v>193</v>
      </c>
      <c r="D166" s="29" t="s">
        <v>11</v>
      </c>
      <c r="E166" s="6">
        <v>13</v>
      </c>
      <c r="F166" s="1">
        <f>LOOKUP(E166,{0,-4,-3,-2,-1,0,1,2.4,3.8,5.2,6.6,8,9.4,10.8,12.2,13.6,15,17.2,19.4,21.5,23.6},{0,10,20,30,40,50,60,62,64,66,68,70,72,74,76,78,80,85,90,95,100})</f>
        <v>76</v>
      </c>
      <c r="G166" s="6">
        <v>220</v>
      </c>
      <c r="H166" s="1">
        <f>LOOKUP(G166,{0,170,175,180,185,190,195,199,203,207,211,215,219,223,227,231,235,243,250,255,260},{0,10,20,30,40,50,60,62,64,66,68,70,72,74,76,78,80,85,90,95,100})</f>
        <v>72</v>
      </c>
      <c r="I166" s="6">
        <v>15</v>
      </c>
      <c r="J166" s="1">
        <f>LOOKUP(I166,{0,2,3,4,5,6,7,8,9,10,11,12,13,14,15,16},{0,10,20,30,40,50,60,64,68,72,76,80,85,90,95,100})</f>
        <v>95</v>
      </c>
      <c r="K166" s="7"/>
      <c r="L166" s="7"/>
      <c r="M166" s="21">
        <f t="shared" si="94"/>
        <v>95</v>
      </c>
      <c r="N166" s="6">
        <v>7.3</v>
      </c>
      <c r="O166" s="43">
        <f t="shared" si="98"/>
        <v>5.7</v>
      </c>
      <c r="P166" s="1">
        <f>LOOKUP(O166,{0,2.5,2.7,2.9,3.1,3.3,3.5,3.7,3.9,4.1,4.3,4.5,4.7,4.9,5.1,5.3,5.5,5.6,5.7,5.8,5.9},{0,10,20,30,40,50,60,62,64,66,68,70,72,74,76,78,80,85,90,95,100})</f>
        <v>90</v>
      </c>
      <c r="Q166" s="6">
        <v>3.36</v>
      </c>
      <c r="R166" s="6">
        <f t="shared" si="95"/>
        <v>6.64</v>
      </c>
      <c r="S166" s="1">
        <f>LOOKUP(R166,{0,3.75,3.95,4.55,4.75,4.95,5.55,5.6,5.65,5.7,5.75,5.8,5.85,5.9,5.95,6,6.45,6.53,6.6,6.65,6.7},{0,10,20,30,40,50,60,62,64,66,68,70,72,74,76,78,80,85,90,95,100})</f>
        <v>90</v>
      </c>
      <c r="T166" s="7"/>
      <c r="U166" s="7"/>
      <c r="V166" s="21">
        <f t="shared" si="96"/>
        <v>90</v>
      </c>
      <c r="X166" s="21">
        <f t="shared" si="81"/>
        <v>60.3</v>
      </c>
      <c r="Y166" s="37">
        <f t="shared" si="97"/>
        <v>86.1428571428571</v>
      </c>
    </row>
    <row r="167" ht="15.6" hidden="1" outlineLevel="2" spans="1:25">
      <c r="A167" s="6">
        <v>104</v>
      </c>
      <c r="B167" s="6">
        <v>25</v>
      </c>
      <c r="C167" s="29" t="s">
        <v>194</v>
      </c>
      <c r="D167" s="29" t="s">
        <v>11</v>
      </c>
      <c r="F167" s="1"/>
      <c r="H167" s="1"/>
      <c r="J167" s="1"/>
      <c r="K167" s="7"/>
      <c r="L167" s="7"/>
      <c r="M167" s="21"/>
      <c r="O167" s="43"/>
      <c r="P167" s="1"/>
      <c r="S167" s="1"/>
      <c r="T167" s="7"/>
      <c r="U167" s="40"/>
      <c r="V167" s="21"/>
      <c r="W167" s="6" t="s">
        <v>84</v>
      </c>
      <c r="X167" s="21">
        <f t="shared" si="81"/>
        <v>0</v>
      </c>
      <c r="Y167" s="37">
        <v>50</v>
      </c>
    </row>
    <row r="168" s="3" customFormat="1" ht="15.6" hidden="1" outlineLevel="2" spans="1:25">
      <c r="A168" s="6">
        <v>104</v>
      </c>
      <c r="B168" s="6">
        <v>26</v>
      </c>
      <c r="C168" s="29" t="s">
        <v>195</v>
      </c>
      <c r="D168" s="29" t="s">
        <v>11</v>
      </c>
      <c r="E168" s="6">
        <v>11.5</v>
      </c>
      <c r="F168" s="1">
        <f>LOOKUP(E168,{0,-4,-3,-2,-1,0,1,2.4,3.8,5.2,6.6,8,9.4,10.8,12.2,13.6,15,17.2,19.4,21.5,23.6},{0,10,20,30,40,50,60,62,64,66,68,70,72,74,76,78,80,85,90,95,100})</f>
        <v>74</v>
      </c>
      <c r="G168" s="6">
        <v>247</v>
      </c>
      <c r="H168" s="1">
        <f>LOOKUP(G168,{0,170,175,180,185,190,195,199,203,207,211,215,219,223,227,231,235,243,250,255,260},{0,10,20,30,40,50,60,62,64,66,68,70,72,74,76,78,80,85,90,95,100})</f>
        <v>85</v>
      </c>
      <c r="I168" s="6">
        <v>19</v>
      </c>
      <c r="J168" s="1">
        <f>LOOKUP(I168,{0,2,3,4,5,6,7,8,9,10,11,12,13,14,15,16},{0,10,20,30,40,50,60,64,68,72,76,80,85,90,95,100})</f>
        <v>100</v>
      </c>
      <c r="K168" s="7">
        <f>I168-16</f>
        <v>3</v>
      </c>
      <c r="L168" s="40">
        <f>LOOKUP(K168,{0,1,2,3,4,5,6,7,8,9,10},{0,1,2,3,4,5,6,7,8,9,10})</f>
        <v>3</v>
      </c>
      <c r="M168" s="21">
        <f t="shared" ref="M168:M181" si="99">J168+L168</f>
        <v>103</v>
      </c>
      <c r="N168" s="6">
        <v>6.6</v>
      </c>
      <c r="O168" s="43">
        <f t="shared" ref="O168:O202" si="100">13-N168</f>
        <v>6.4</v>
      </c>
      <c r="P168" s="1">
        <f>LOOKUP(O168,{0,2.5,2.7,2.9,3.1,3.3,3.5,3.7,3.9,4.1,4.3,4.5,4.7,4.9,5.1,5.3,5.5,5.6,5.7,5.8,5.9},{0,10,20,30,40,50,60,62,64,66,68,70,72,74,76,78,80,85,90,95,100})</f>
        <v>100</v>
      </c>
      <c r="Q168" s="6">
        <v>3.35</v>
      </c>
      <c r="R168" s="6">
        <f t="shared" ref="R168:R181" si="101">10-Q168</f>
        <v>6.65</v>
      </c>
      <c r="S168" s="1">
        <f>LOOKUP(R168,{0,3.75,3.95,4.55,4.75,4.95,5.55,5.6,5.65,5.7,5.75,5.8,5.85,5.9,5.95,6,6.45,6.53,6.6,6.65,6.7},{0,10,20,30,40,50,60,62,64,66,68,70,72,74,76,78,80,85,90,95,100})</f>
        <v>95</v>
      </c>
      <c r="T168" s="7"/>
      <c r="U168" s="7"/>
      <c r="V168" s="21">
        <f t="shared" ref="V168:V181" si="102">S168+U168</f>
        <v>95</v>
      </c>
      <c r="W168" s="6"/>
      <c r="X168" s="21">
        <f t="shared" si="81"/>
        <v>64.9</v>
      </c>
      <c r="Y168" s="37">
        <f t="shared" ref="Y168:Y181" si="103">X168/0.7+L168+U168</f>
        <v>95.7142857142857</v>
      </c>
    </row>
    <row r="169" ht="15.6" hidden="1" outlineLevel="2" spans="1:25">
      <c r="A169" s="6">
        <v>104</v>
      </c>
      <c r="B169" s="6">
        <v>27</v>
      </c>
      <c r="C169" s="29" t="s">
        <v>196</v>
      </c>
      <c r="D169" s="29" t="s">
        <v>11</v>
      </c>
      <c r="E169" s="6">
        <v>14.5</v>
      </c>
      <c r="F169" s="1">
        <f>LOOKUP(E169,{0,-4,-3,-2,-1,0,1,2.4,3.8,5.2,6.6,8,9.4,10.8,12.2,13.6,15,17.2,19.4,21.5,23.6},{0,10,20,30,40,50,60,62,64,66,68,70,72,74,76,78,80,85,90,95,100})</f>
        <v>78</v>
      </c>
      <c r="G169" s="6">
        <v>234</v>
      </c>
      <c r="H169" s="1">
        <f>LOOKUP(G169,{0,170,175,180,185,190,195,199,203,207,211,215,219,223,227,231,235,243,250,255,260},{0,10,20,30,40,50,60,62,64,66,68,70,72,74,76,78,80,85,90,95,100})</f>
        <v>78</v>
      </c>
      <c r="I169" s="6">
        <v>8</v>
      </c>
      <c r="J169" s="1">
        <f>LOOKUP(I169,{0,2,3,4,5,6,7,8,9,10,11,12,13,14,15,16},{0,10,20,30,40,50,60,64,68,72,76,80,85,90,95,100})</f>
        <v>64</v>
      </c>
      <c r="K169" s="7"/>
      <c r="L169" s="7"/>
      <c r="M169" s="21">
        <f t="shared" si="99"/>
        <v>64</v>
      </c>
      <c r="N169" s="6">
        <v>7.5</v>
      </c>
      <c r="O169" s="43">
        <f t="shared" si="100"/>
        <v>5.5</v>
      </c>
      <c r="P169" s="1">
        <f>LOOKUP(O169,{0,2.5,2.7,2.9,3.1,3.3,3.5,3.7,3.9,4.1,4.3,4.5,4.7,4.9,5.1,5.3,5.5,5.6,5.7,5.8,5.9},{0,10,20,30,40,50,60,62,64,66,68,70,72,74,76,78,80,85,90,95,100})</f>
        <v>80</v>
      </c>
      <c r="Q169" s="6">
        <v>3.37</v>
      </c>
      <c r="R169" s="6">
        <f t="shared" si="101"/>
        <v>6.63</v>
      </c>
      <c r="S169" s="1">
        <f>LOOKUP(R169,{0,3.75,3.95,4.55,4.75,4.95,5.55,5.6,5.65,5.7,5.75,5.8,5.85,5.9,5.95,6,6.45,6.53,6.6,6.65,6.7},{0,10,20,30,40,50,60,62,64,66,68,70,72,74,76,78,80,85,90,95,100})</f>
        <v>90</v>
      </c>
      <c r="T169" s="7"/>
      <c r="U169" s="7"/>
      <c r="V169" s="21">
        <f t="shared" si="102"/>
        <v>90</v>
      </c>
      <c r="X169" s="21">
        <f t="shared" si="81"/>
        <v>56</v>
      </c>
      <c r="Y169" s="37">
        <f t="shared" si="103"/>
        <v>80</v>
      </c>
    </row>
    <row r="170" ht="15.6" hidden="1" outlineLevel="2" spans="1:25">
      <c r="A170" s="6">
        <v>104</v>
      </c>
      <c r="B170" s="6">
        <v>28</v>
      </c>
      <c r="C170" s="29" t="s">
        <v>197</v>
      </c>
      <c r="D170" s="29" t="s">
        <v>11</v>
      </c>
      <c r="E170" s="6">
        <v>14.5</v>
      </c>
      <c r="F170" s="1">
        <f>LOOKUP(E170,{0,-4,-3,-2,-1,0,1,2.4,3.8,5.2,6.6,8,9.4,10.8,12.2,13.6,15,17.2,19.4,21.5,23.6},{0,10,20,30,40,50,60,62,64,66,68,70,72,74,76,78,80,85,90,95,100})</f>
        <v>78</v>
      </c>
      <c r="G170" s="6">
        <v>207</v>
      </c>
      <c r="H170" s="1">
        <f>LOOKUP(G170,{0,170,175,180,185,190,195,199,203,207,211,215,219,223,227,231,235,243,250,255,260},{0,10,20,30,40,50,60,62,64,66,68,70,72,74,76,78,80,85,90,95,100})</f>
        <v>66</v>
      </c>
      <c r="I170" s="6">
        <v>26</v>
      </c>
      <c r="J170" s="1">
        <f>LOOKUP(I170,{0,2,3,4,5,6,7,8,9,10,11,12,13,14,15,16},{0,10,20,30,40,50,60,64,68,72,76,80,85,90,95,100})</f>
        <v>100</v>
      </c>
      <c r="K170" s="7">
        <f>I170-16</f>
        <v>10</v>
      </c>
      <c r="L170" s="40">
        <f>LOOKUP(K170,{0,1,2,3,4,5,6,7,8,9,10},{0,1,2,3,4,5,6,7,8,9,10})</f>
        <v>10</v>
      </c>
      <c r="M170" s="21">
        <f t="shared" si="99"/>
        <v>110</v>
      </c>
      <c r="N170" s="6">
        <v>7.1</v>
      </c>
      <c r="O170" s="43">
        <f t="shared" si="100"/>
        <v>5.9</v>
      </c>
      <c r="P170" s="1">
        <f>LOOKUP(O170,{0,2.5,2.7,2.9,3.1,3.3,3.5,3.7,3.9,4.1,4.3,4.5,4.7,4.9,5.1,5.3,5.5,5.6,5.7,5.8,5.9},{0,10,20,30,40,50,60,62,64,66,68,70,72,74,76,78,80,85,90,95,100})</f>
        <v>100</v>
      </c>
      <c r="Q170" s="6">
        <v>3.29</v>
      </c>
      <c r="R170" s="6">
        <f t="shared" si="101"/>
        <v>6.71</v>
      </c>
      <c r="S170" s="1">
        <f>LOOKUP(R170,{0,3.75,3.95,4.55,4.75,4.95,5.55,5.6,5.65,5.7,5.75,5.8,5.85,5.9,5.95,6,6.45,6.53,6.6,6.65,6.7},{0,10,20,30,40,50,60,62,64,66,68,70,72,74,76,78,80,85,90,95,100})</f>
        <v>100</v>
      </c>
      <c r="T170" s="7">
        <f>3.3-Q170</f>
        <v>0.00999999999999979</v>
      </c>
      <c r="U170" s="40">
        <f>LOOKUP(T170,{0,0.04,0.08,0.12,0.16,0.2,0.23,0.26,0.29,0.32,0.35},{0,1,2,3,4,5,6,7,8,9,10})</f>
        <v>0</v>
      </c>
      <c r="V170" s="21">
        <f t="shared" si="102"/>
        <v>100</v>
      </c>
      <c r="X170" s="21">
        <f t="shared" si="81"/>
        <v>64.4</v>
      </c>
      <c r="Y170" s="37">
        <f t="shared" si="103"/>
        <v>102</v>
      </c>
    </row>
    <row r="171" ht="15.6" hidden="1" outlineLevel="2" spans="1:25">
      <c r="A171" s="6">
        <v>104</v>
      </c>
      <c r="B171" s="6">
        <v>29</v>
      </c>
      <c r="C171" s="39" t="s">
        <v>199</v>
      </c>
      <c r="D171" s="29" t="s">
        <v>46</v>
      </c>
      <c r="E171" s="6">
        <v>24.5</v>
      </c>
      <c r="F171" s="1">
        <f>LOOKUP(E171,{0,0.4,1.2,2,2.8,3.6,4.4,5.7,7,8.3,9.6,10.9,12.2,13.5,14.8,16.1,17.4,19.1,20.8,22.5,24.2},{0,10,20,30,40,50,60,62,64,66,68,70,72,74,76,78,80,85,90,95,100})</f>
        <v>100</v>
      </c>
      <c r="G171" s="6">
        <v>205</v>
      </c>
      <c r="H171" s="1">
        <f>LOOKUP(G171,{0,123,128,133,138,143,148,151,154,157,160,163,166,169,172,175,178,185,192,198,204},{0,10,20,30,40,50,60,62,64,66,68,70,72,74,76,78,80,85,90,95,100})</f>
        <v>100</v>
      </c>
      <c r="I171" s="6">
        <v>47</v>
      </c>
      <c r="J171" s="1">
        <f>LOOKUP(I171,{0,13,15,17,19,21,23,25,27,29,31,33,35,37,39,41,43,46,49,51,53},{0,10,20,30,40,50,60,62,64,66,68,70,72,74,76,78,80,85,90,95,100})</f>
        <v>85</v>
      </c>
      <c r="K171" s="45"/>
      <c r="L171" s="45"/>
      <c r="M171" s="21">
        <f t="shared" si="99"/>
        <v>85</v>
      </c>
      <c r="N171" s="6">
        <v>7.8</v>
      </c>
      <c r="O171" s="43">
        <f t="shared" si="100"/>
        <v>5.2</v>
      </c>
      <c r="P171" s="1">
        <f>LOOKUP(O171,{0,1.4,1.6,1.8,2,2.2,2.4,2.6,2.8,3,3.2,3.4,3.6,3.8,4,4.2,4.4,4.7,5,5.1,5.2},{0,10,20,30,40,50,60,62,64,66,68,70,72,74,76,78,80,85,90,95,100})</f>
        <v>100</v>
      </c>
      <c r="Q171" s="6">
        <v>3.23</v>
      </c>
      <c r="R171" s="6">
        <f t="shared" si="101"/>
        <v>6.77</v>
      </c>
      <c r="S171" s="1">
        <f>LOOKUP(R171,{0,4.7,4.8,4.9,5,5.5,5.6,5.65,5.7,5.75,5.8,5.85,5.9,5.95,6,6.45,6.5,6.57,6.64,6.7,6.76},{0,10,20,30,40,50,60,62,64,66,68,70,72,74,76,78,80,85,90,95,100})</f>
        <v>100</v>
      </c>
      <c r="T171" s="48">
        <f>3.24-Q171</f>
        <v>0.0100000000000002</v>
      </c>
      <c r="U171" s="40">
        <f>LOOKUP(T171,{0,0.05,0.1,0.15,0.2,0.25,0.3,0.35,0.4,0.45,0.5},{0,1,2,3,4,5,6,7,8,9,10})</f>
        <v>0</v>
      </c>
      <c r="V171" s="21">
        <f t="shared" si="102"/>
        <v>100</v>
      </c>
      <c r="X171" s="21">
        <f t="shared" si="81"/>
        <v>68.5</v>
      </c>
      <c r="Y171" s="37">
        <f t="shared" si="103"/>
        <v>97.8571428571429</v>
      </c>
    </row>
    <row r="172" ht="15.6" hidden="1" outlineLevel="2" spans="1:25">
      <c r="A172" s="6">
        <v>104</v>
      </c>
      <c r="B172" s="6">
        <v>30</v>
      </c>
      <c r="C172" s="29" t="s">
        <v>200</v>
      </c>
      <c r="D172" s="29" t="s">
        <v>46</v>
      </c>
      <c r="E172" s="6">
        <v>22.2</v>
      </c>
      <c r="F172" s="1">
        <f>LOOKUP(E172,{0,0.4,1.2,2,2.8,3.6,4.4,5.7,7,8.3,9.6,10.9,12.2,13.5,14.8,16.1,17.4,19.1,20.8,22.5,24.2},{0,10,20,30,40,50,60,62,64,66,68,70,72,74,76,78,80,85,90,95,100})</f>
        <v>90</v>
      </c>
      <c r="G172" s="6">
        <v>170</v>
      </c>
      <c r="H172" s="1">
        <f>LOOKUP(G172,{0,123,128,133,138,143,148,151,154,157,160,163,166,169,172,175,178,185,192,198,204},{0,10,20,30,40,50,60,62,64,66,68,70,72,74,76,78,80,85,90,95,100})</f>
        <v>74</v>
      </c>
      <c r="I172" s="6">
        <v>54</v>
      </c>
      <c r="J172" s="1">
        <f>LOOKUP(I172,{0,13,15,17,19,21,23,25,27,29,31,33,35,37,39,41,43,46,49,51,53},{0,10,20,30,40,50,60,62,64,66,68,70,72,74,76,78,80,85,90,95,100})</f>
        <v>100</v>
      </c>
      <c r="K172" s="45">
        <f>I172-53</f>
        <v>1</v>
      </c>
      <c r="L172" s="40">
        <f>LOOKUP(K172,{0,2,4,6,7,8,9,10,11,12,13},{0,1,2,3,4,5,6,7,8,9,10})</f>
        <v>0</v>
      </c>
      <c r="M172" s="21">
        <f t="shared" si="99"/>
        <v>100</v>
      </c>
      <c r="N172" s="6">
        <v>8.8</v>
      </c>
      <c r="O172" s="43">
        <f t="shared" si="100"/>
        <v>4.2</v>
      </c>
      <c r="P172" s="1">
        <f>LOOKUP(O172,{0,1.4,1.6,1.8,2,2.2,2.4,2.6,2.8,3,3.2,3.4,3.6,3.8,4,4.2,4.4,4.7,5,5.1,5.2},{0,10,20,30,40,50,60,62,64,66,68,70,72,74,76,78,80,85,90,95,100})</f>
        <v>78</v>
      </c>
      <c r="Q172" s="6">
        <v>3.39</v>
      </c>
      <c r="R172" s="6">
        <f t="shared" si="101"/>
        <v>6.61</v>
      </c>
      <c r="S172" s="1">
        <f>LOOKUP(R172,{0,4.7,4.8,4.9,5,5.5,5.6,5.65,5.7,5.75,5.8,5.85,5.9,5.95,6,6.45,6.5,6.57,6.64,6.7,6.76},{0,10,20,30,40,50,60,62,64,66,68,70,72,74,76,78,80,85,90,95,100})</f>
        <v>85</v>
      </c>
      <c r="T172" s="45"/>
      <c r="U172" s="45"/>
      <c r="V172" s="21">
        <f t="shared" si="102"/>
        <v>85</v>
      </c>
      <c r="X172" s="21">
        <f t="shared" si="81"/>
        <v>59</v>
      </c>
      <c r="Y172" s="37">
        <f t="shared" si="103"/>
        <v>84.2857142857143</v>
      </c>
    </row>
    <row r="173" ht="15.6" hidden="1" outlineLevel="2" spans="1:25">
      <c r="A173" s="6">
        <v>104</v>
      </c>
      <c r="B173" s="6">
        <v>31</v>
      </c>
      <c r="C173" s="29" t="s">
        <v>201</v>
      </c>
      <c r="D173" s="29" t="s">
        <v>46</v>
      </c>
      <c r="E173" s="6">
        <v>25</v>
      </c>
      <c r="F173" s="1">
        <f>LOOKUP(E173,{0,0.4,1.2,2,2.8,3.6,4.4,5.7,7,8.3,9.6,10.9,12.2,13.5,14.8,16.1,17.4,19.1,20.8,22.5,24.2},{0,10,20,30,40,50,60,62,64,66,68,70,72,74,76,78,80,85,90,95,100})</f>
        <v>100</v>
      </c>
      <c r="G173" s="6">
        <v>165</v>
      </c>
      <c r="H173" s="1">
        <f>LOOKUP(G173,{0,123,128,133,138,143,148,151,154,157,160,163,166,169,172,175,178,185,192,198,204},{0,10,20,30,40,50,60,62,64,66,68,70,72,74,76,78,80,85,90,95,100})</f>
        <v>70</v>
      </c>
      <c r="I173" s="6">
        <v>49</v>
      </c>
      <c r="J173" s="1">
        <f>LOOKUP(I173,{0,13,15,17,19,21,23,25,27,29,31,33,35,37,39,41,43,46,49,51,53},{0,10,20,30,40,50,60,62,64,66,68,70,72,74,76,78,80,85,90,95,100})</f>
        <v>90</v>
      </c>
      <c r="K173" s="45"/>
      <c r="L173" s="45"/>
      <c r="M173" s="21">
        <f t="shared" si="99"/>
        <v>90</v>
      </c>
      <c r="N173" s="6">
        <v>9.7</v>
      </c>
      <c r="O173" s="43">
        <f t="shared" si="100"/>
        <v>3.3</v>
      </c>
      <c r="P173" s="1">
        <f>LOOKUP(O173,{0,1.4,1.6,1.8,2,2.2,2.4,2.6,2.8,3,3.2,3.4,3.6,3.8,4,4.2,4.4,4.7,5,5.1,5.2},{0,10,20,30,40,50,60,62,64,66,68,70,72,74,76,78,80,85,90,95,100})</f>
        <v>68</v>
      </c>
      <c r="Q173" s="6">
        <v>3.35</v>
      </c>
      <c r="R173" s="6">
        <f t="shared" si="101"/>
        <v>6.65</v>
      </c>
      <c r="S173" s="1">
        <f>LOOKUP(R173,{0,4.7,4.8,4.9,5,5.5,5.6,5.65,5.7,5.75,5.8,5.85,5.9,5.95,6,6.45,6.5,6.57,6.64,6.7,6.76},{0,10,20,30,40,50,60,62,64,66,68,70,72,74,76,78,80,85,90,95,100})</f>
        <v>90</v>
      </c>
      <c r="T173" s="45"/>
      <c r="U173" s="45"/>
      <c r="V173" s="21">
        <f t="shared" si="102"/>
        <v>90</v>
      </c>
      <c r="X173" s="21">
        <f t="shared" si="81"/>
        <v>57.6</v>
      </c>
      <c r="Y173" s="37">
        <f t="shared" si="103"/>
        <v>82.2857142857143</v>
      </c>
    </row>
    <row r="174" ht="15.6" hidden="1" outlineLevel="2" spans="1:25">
      <c r="A174" s="6">
        <v>104</v>
      </c>
      <c r="B174" s="6">
        <v>32</v>
      </c>
      <c r="C174" s="29" t="s">
        <v>202</v>
      </c>
      <c r="D174" s="29" t="s">
        <v>46</v>
      </c>
      <c r="E174" s="6">
        <v>22.1</v>
      </c>
      <c r="F174" s="1">
        <f>LOOKUP(E174,{0,0.4,1.2,2,2.8,3.6,4.4,5.7,7,8.3,9.6,10.9,12.2,13.5,14.8,16.1,17.4,19.1,20.8,22.5,24.2},{0,10,20,30,40,50,60,62,64,66,68,70,72,74,76,78,80,85,90,95,100})</f>
        <v>90</v>
      </c>
      <c r="G174" s="6">
        <v>196</v>
      </c>
      <c r="H174" s="1">
        <f>LOOKUP(G174,{0,123,128,133,138,143,148,151,154,157,160,163,166,169,172,175,178,185,192,198,204},{0,10,20,30,40,50,60,62,64,66,68,70,72,74,76,78,80,85,90,95,100})</f>
        <v>90</v>
      </c>
      <c r="I174" s="6">
        <v>51</v>
      </c>
      <c r="J174" s="1">
        <f>LOOKUP(I174,{0,13,15,17,19,21,23,25,27,29,31,33,35,37,39,41,43,46,49,51,53},{0,10,20,30,40,50,60,62,64,66,68,70,72,74,76,78,80,85,90,95,100})</f>
        <v>95</v>
      </c>
      <c r="K174" s="45"/>
      <c r="L174" s="45"/>
      <c r="M174" s="21">
        <f t="shared" si="99"/>
        <v>95</v>
      </c>
      <c r="N174" s="6">
        <v>8.6</v>
      </c>
      <c r="O174" s="43">
        <f t="shared" si="100"/>
        <v>4.4</v>
      </c>
      <c r="P174" s="1">
        <f>LOOKUP(O174,{0,1.4,1.6,1.8,2,2.2,2.4,2.6,2.8,3,3.2,3.4,3.6,3.8,4,4.2,4.4,4.7,5,5.1,5.2},{0,10,20,30,40,50,60,62,64,66,68,70,72,74,76,78,80,85,90,95,100})</f>
        <v>80</v>
      </c>
      <c r="Q174" s="6">
        <v>3.56</v>
      </c>
      <c r="R174" s="6">
        <f t="shared" si="101"/>
        <v>6.44</v>
      </c>
      <c r="S174" s="1">
        <f>LOOKUP(R174,{0,4.7,4.8,4.9,5,5.5,5.6,5.65,5.7,5.75,5.8,5.85,5.9,5.95,6,6.45,6.5,6.57,6.64,6.7,6.76},{0,10,20,30,40,50,60,62,64,66,68,70,72,74,76,78,80,85,90,95,100})</f>
        <v>76</v>
      </c>
      <c r="T174" s="45"/>
      <c r="U174" s="45"/>
      <c r="V174" s="21">
        <f t="shared" si="102"/>
        <v>76</v>
      </c>
      <c r="X174" s="21">
        <f t="shared" si="81"/>
        <v>58.7</v>
      </c>
      <c r="Y174" s="37">
        <f t="shared" si="103"/>
        <v>83.8571428571429</v>
      </c>
    </row>
    <row r="175" ht="15.6" hidden="1" outlineLevel="2" spans="1:25">
      <c r="A175" s="6">
        <v>104</v>
      </c>
      <c r="B175" s="6">
        <v>33</v>
      </c>
      <c r="C175" s="29" t="s">
        <v>203</v>
      </c>
      <c r="D175" s="29" t="s">
        <v>46</v>
      </c>
      <c r="E175" s="6">
        <v>25.5</v>
      </c>
      <c r="F175" s="1">
        <f>LOOKUP(E175,{0,0.4,1.2,2,2.8,3.6,4.4,5.7,7,8.3,9.6,10.9,12.2,13.5,14.8,16.1,17.4,19.1,20.8,22.5,24.2},{0,10,20,30,40,50,60,62,64,66,68,70,72,74,76,78,80,85,90,95,100})</f>
        <v>100</v>
      </c>
      <c r="G175" s="6">
        <v>190</v>
      </c>
      <c r="H175" s="1">
        <f>LOOKUP(G175,{0,123,128,133,138,143,148,151,154,157,160,163,166,169,172,175,178,185,192,198,204},{0,10,20,30,40,50,60,62,64,66,68,70,72,74,76,78,80,85,90,95,100})</f>
        <v>85</v>
      </c>
      <c r="I175" s="6">
        <v>51</v>
      </c>
      <c r="J175" s="1">
        <f>LOOKUP(I175,{0,13,15,17,19,21,23,25,27,29,31,33,35,37,39,41,43,46,49,51,53},{0,10,20,30,40,50,60,62,64,66,68,70,72,74,76,78,80,85,90,95,100})</f>
        <v>95</v>
      </c>
      <c r="K175" s="45"/>
      <c r="L175" s="45"/>
      <c r="M175" s="21">
        <f t="shared" si="99"/>
        <v>95</v>
      </c>
      <c r="N175" s="6">
        <v>8.1</v>
      </c>
      <c r="O175" s="43">
        <f t="shared" si="100"/>
        <v>4.9</v>
      </c>
      <c r="P175" s="1">
        <f>LOOKUP(O175,{0,1.4,1.6,1.8,2,2.2,2.4,2.6,2.8,3,3.2,3.4,3.6,3.8,4,4.2,4.4,4.7,5,5.1,5.2},{0,10,20,30,40,50,60,62,64,66,68,70,72,74,76,78,80,85,90,95,100})</f>
        <v>85</v>
      </c>
      <c r="Q175" s="6">
        <v>3.25</v>
      </c>
      <c r="R175" s="6">
        <f t="shared" si="101"/>
        <v>6.75</v>
      </c>
      <c r="S175" s="1">
        <f>LOOKUP(R175,{0,4.7,4.8,4.9,5,5.5,5.6,5.65,5.7,5.75,5.8,5.85,5.9,5.95,6,6.45,6.5,6.57,6.64,6.7,6.76},{0,10,20,30,40,50,60,62,64,66,68,70,72,74,76,78,80,85,90,95,100})</f>
        <v>95</v>
      </c>
      <c r="T175" s="45"/>
      <c r="U175" s="45"/>
      <c r="V175" s="21">
        <f t="shared" si="102"/>
        <v>95</v>
      </c>
      <c r="X175" s="21">
        <f t="shared" si="81"/>
        <v>64</v>
      </c>
      <c r="Y175" s="37">
        <f t="shared" si="103"/>
        <v>91.4285714285714</v>
      </c>
    </row>
    <row r="176" ht="15.6" hidden="1" outlineLevel="2" spans="1:25">
      <c r="A176" s="6">
        <v>104</v>
      </c>
      <c r="B176" s="6">
        <v>34</v>
      </c>
      <c r="C176" s="29" t="s">
        <v>204</v>
      </c>
      <c r="D176" s="29" t="s">
        <v>46</v>
      </c>
      <c r="E176" s="6">
        <v>17.7</v>
      </c>
      <c r="F176" s="1">
        <f>LOOKUP(E176,{0,0.4,1.2,2,2.8,3.6,4.4,5.7,7,8.3,9.6,10.9,12.2,13.5,14.8,16.1,17.4,19.1,20.8,22.5,24.2},{0,10,20,30,40,50,60,62,64,66,68,70,72,74,76,78,80,85,90,95,100})</f>
        <v>80</v>
      </c>
      <c r="G176" s="6">
        <v>173</v>
      </c>
      <c r="H176" s="1">
        <f>LOOKUP(G176,{0,123,128,133,138,143,148,151,154,157,160,163,166,169,172,175,178,185,192,198,204},{0,10,20,30,40,50,60,62,64,66,68,70,72,74,76,78,80,85,90,95,100})</f>
        <v>76</v>
      </c>
      <c r="I176" s="6">
        <v>51</v>
      </c>
      <c r="J176" s="1">
        <f>LOOKUP(I176,{0,13,15,17,19,21,23,25,27,29,31,33,35,37,39,41,43,46,49,51,53},{0,10,20,30,40,50,60,62,64,66,68,70,72,74,76,78,80,85,90,95,100})</f>
        <v>95</v>
      </c>
      <c r="K176" s="45"/>
      <c r="L176" s="45"/>
      <c r="M176" s="21">
        <f t="shared" si="99"/>
        <v>95</v>
      </c>
      <c r="N176" s="6">
        <v>8.1</v>
      </c>
      <c r="O176" s="43">
        <f t="shared" si="100"/>
        <v>4.9</v>
      </c>
      <c r="P176" s="1">
        <f>LOOKUP(O176,{0,1.4,1.6,1.8,2,2.2,2.4,2.6,2.8,3,3.2,3.4,3.6,3.8,4,4.2,4.4,4.7,5,5.1,5.2},{0,10,20,30,40,50,60,62,64,66,68,70,72,74,76,78,80,85,90,95,100})</f>
        <v>85</v>
      </c>
      <c r="Q176" s="6">
        <v>3.33</v>
      </c>
      <c r="R176" s="6">
        <f t="shared" si="101"/>
        <v>6.67</v>
      </c>
      <c r="S176" s="1">
        <f>LOOKUP(R176,{0,4.7,4.8,4.9,5,5.5,5.6,5.65,5.7,5.75,5.8,5.85,5.9,5.95,6,6.45,6.5,6.57,6.64,6.7,6.76},{0,10,20,30,40,50,60,62,64,66,68,70,72,74,76,78,80,85,90,95,100})</f>
        <v>90</v>
      </c>
      <c r="T176" s="45"/>
      <c r="U176" s="45"/>
      <c r="V176" s="21">
        <f t="shared" si="102"/>
        <v>90</v>
      </c>
      <c r="X176" s="21">
        <f t="shared" si="81"/>
        <v>60.1</v>
      </c>
      <c r="Y176" s="37">
        <f t="shared" si="103"/>
        <v>85.8571428571429</v>
      </c>
    </row>
    <row r="177" ht="15.6" hidden="1" outlineLevel="2" spans="1:25">
      <c r="A177" s="6">
        <v>104</v>
      </c>
      <c r="B177" s="6">
        <v>35</v>
      </c>
      <c r="C177" s="29" t="s">
        <v>205</v>
      </c>
      <c r="D177" s="29" t="s">
        <v>46</v>
      </c>
      <c r="E177" s="6">
        <v>26.2</v>
      </c>
      <c r="F177" s="1">
        <f>LOOKUP(E177,{0,0.4,1.2,2,2.8,3.6,4.4,5.7,7,8.3,9.6,10.9,12.2,13.5,14.8,16.1,17.4,19.1,20.8,22.5,24.2},{0,10,20,30,40,50,60,62,64,66,68,70,72,74,76,78,80,85,90,95,100})</f>
        <v>100</v>
      </c>
      <c r="G177" s="6">
        <v>180</v>
      </c>
      <c r="H177" s="1">
        <f>LOOKUP(G177,{0,123,128,133,138,143,148,151,154,157,160,163,166,169,172,175,178,185,192,198,204},{0,10,20,30,40,50,60,62,64,66,68,70,72,74,76,78,80,85,90,95,100})</f>
        <v>80</v>
      </c>
      <c r="I177" s="6">
        <v>53</v>
      </c>
      <c r="J177" s="1">
        <f>LOOKUP(I177,{0,13,15,17,19,21,23,25,27,29,31,33,35,37,39,41,43,46,49,51,53},{0,10,20,30,40,50,60,62,64,66,68,70,72,74,76,78,80,85,90,95,100})</f>
        <v>100</v>
      </c>
      <c r="K177" s="45">
        <f>I177-53</f>
        <v>0</v>
      </c>
      <c r="L177" s="40">
        <f>LOOKUP(K177,{0,2,4,6,7,8,9,10,11,12,13},{0,1,2,3,4,5,6,7,8,9,10})</f>
        <v>0</v>
      </c>
      <c r="M177" s="21">
        <f t="shared" si="99"/>
        <v>100</v>
      </c>
      <c r="N177" s="6">
        <v>8.7</v>
      </c>
      <c r="O177" s="43">
        <f t="shared" si="100"/>
        <v>4.3</v>
      </c>
      <c r="P177" s="1">
        <f>LOOKUP(O177,{0,1.4,1.6,1.8,2,2.2,2.4,2.6,2.8,3,3.2,3.4,3.6,3.8,4,4.2,4.4,4.7,5,5.1,5.2},{0,10,20,30,40,50,60,62,64,66,68,70,72,74,76,78,80,85,90,95,100})</f>
        <v>78</v>
      </c>
      <c r="Q177" s="6">
        <v>3.24</v>
      </c>
      <c r="R177" s="6">
        <f t="shared" si="101"/>
        <v>6.76</v>
      </c>
      <c r="S177" s="1">
        <f>LOOKUP(R177,{0,4.7,4.8,4.9,5,5.5,5.6,5.65,5.7,5.75,5.8,5.85,5.9,5.95,6,6.45,6.5,6.57,6.64,6.7,6.76},{0,10,20,30,40,50,60,62,64,66,68,70,72,74,76,78,80,85,90,95,100})</f>
        <v>100</v>
      </c>
      <c r="T177" s="48">
        <f>3.24-Q177</f>
        <v>0</v>
      </c>
      <c r="U177" s="40">
        <f>LOOKUP(T177,{0,0.05,0.1,0.15,0.2,0.25,0.3,0.35,0.4,0.45,0.5},{0,1,2,3,4,5,6,7,8,9,10})</f>
        <v>0</v>
      </c>
      <c r="V177" s="21">
        <f t="shared" si="102"/>
        <v>100</v>
      </c>
      <c r="X177" s="21">
        <f t="shared" si="81"/>
        <v>63.6</v>
      </c>
      <c r="Y177" s="37">
        <f t="shared" si="103"/>
        <v>90.8571428571429</v>
      </c>
    </row>
    <row r="178" ht="15.6" hidden="1" outlineLevel="2" spans="1:25">
      <c r="A178" s="6">
        <v>104</v>
      </c>
      <c r="B178" s="6">
        <v>36</v>
      </c>
      <c r="C178" s="29" t="s">
        <v>206</v>
      </c>
      <c r="D178" s="29" t="s">
        <v>46</v>
      </c>
      <c r="E178" s="6">
        <v>25.4</v>
      </c>
      <c r="F178" s="1">
        <f>LOOKUP(E178,{0,0.4,1.2,2,2.8,3.6,4.4,5.7,7,8.3,9.6,10.9,12.2,13.5,14.8,16.1,17.4,19.1,20.8,22.5,24.2},{0,10,20,30,40,50,60,62,64,66,68,70,72,74,76,78,80,85,90,95,100})</f>
        <v>100</v>
      </c>
      <c r="G178" s="6">
        <v>213</v>
      </c>
      <c r="H178" s="1">
        <f>LOOKUP(G178,{0,123,128,133,138,143,148,151,154,157,160,163,166,169,172,175,178,185,192,198,204},{0,10,20,30,40,50,60,62,64,66,68,70,72,74,76,78,80,85,90,95,100})</f>
        <v>100</v>
      </c>
      <c r="I178" s="6">
        <v>45</v>
      </c>
      <c r="J178" s="1">
        <f>LOOKUP(I178,{0,13,15,17,19,21,23,25,27,29,31,33,35,37,39,41,43,46,49,51,53},{0,10,20,30,40,50,60,62,64,66,68,70,72,74,76,78,80,85,90,95,100})</f>
        <v>80</v>
      </c>
      <c r="K178" s="45"/>
      <c r="L178" s="45"/>
      <c r="M178" s="21">
        <f t="shared" si="99"/>
        <v>80</v>
      </c>
      <c r="N178" s="6">
        <v>8.1</v>
      </c>
      <c r="O178" s="43">
        <f t="shared" si="100"/>
        <v>4.9</v>
      </c>
      <c r="P178" s="1">
        <f>LOOKUP(O178,{0,1.4,1.6,1.8,2,2.2,2.4,2.6,2.8,3,3.2,3.4,3.6,3.8,4,4.2,4.4,4.7,5,5.1,5.2},{0,10,20,30,40,50,60,62,64,66,68,70,72,74,76,78,80,85,90,95,100})</f>
        <v>85</v>
      </c>
      <c r="Q178" s="6">
        <v>3.45</v>
      </c>
      <c r="R178" s="6">
        <f t="shared" si="101"/>
        <v>6.55</v>
      </c>
      <c r="S178" s="1">
        <f>LOOKUP(R178,{0,4.7,4.8,4.9,5,5.5,5.6,5.65,5.7,5.75,5.8,5.85,5.9,5.95,6,6.45,6.5,6.57,6.64,6.7,6.76},{0,10,20,30,40,50,60,62,64,66,68,70,72,74,76,78,80,85,90,95,100})</f>
        <v>80</v>
      </c>
      <c r="T178" s="45"/>
      <c r="U178" s="45"/>
      <c r="V178" s="21">
        <f t="shared" si="102"/>
        <v>80</v>
      </c>
      <c r="X178" s="21">
        <f t="shared" si="81"/>
        <v>61</v>
      </c>
      <c r="Y178" s="37">
        <f t="shared" si="103"/>
        <v>87.1428571428572</v>
      </c>
    </row>
    <row r="179" s="3" customFormat="1" ht="15.6" hidden="1" outlineLevel="2" spans="1:25">
      <c r="A179" s="6">
        <v>104</v>
      </c>
      <c r="B179" s="6">
        <v>37</v>
      </c>
      <c r="C179" s="29" t="s">
        <v>207</v>
      </c>
      <c r="D179" s="29" t="s">
        <v>46</v>
      </c>
      <c r="E179" s="6">
        <v>25</v>
      </c>
      <c r="F179" s="1">
        <f>LOOKUP(E179,{0,0.4,1.2,2,2.8,3.6,4.4,5.7,7,8.3,9.6,10.9,12.2,13.5,14.8,16.1,17.4,19.1,20.8,22.5,24.2},{0,10,20,30,40,50,60,62,64,66,68,70,72,74,76,78,80,85,90,95,100})</f>
        <v>100</v>
      </c>
      <c r="G179" s="6">
        <v>202</v>
      </c>
      <c r="H179" s="1">
        <f>LOOKUP(G179,{0,123,128,133,138,143,148,151,154,157,160,163,166,169,172,175,178,185,192,198,204},{0,10,20,30,40,50,60,62,64,66,68,70,72,74,76,78,80,85,90,95,100})</f>
        <v>95</v>
      </c>
      <c r="I179" s="6">
        <v>60</v>
      </c>
      <c r="J179" s="1">
        <f>LOOKUP(I179,{0,13,15,17,19,21,23,25,27,29,31,33,35,37,39,41,43,46,49,51,53},{0,10,20,30,40,50,60,62,64,66,68,70,72,74,76,78,80,85,90,95,100})</f>
        <v>100</v>
      </c>
      <c r="K179" s="45">
        <f>I179-53</f>
        <v>7</v>
      </c>
      <c r="L179" s="40">
        <f>LOOKUP(K179,{0,2,4,6,7,8,9,10,11,12,13},{0,1,2,3,4,5,6,7,8,9,10})</f>
        <v>4</v>
      </c>
      <c r="M179" s="21">
        <f t="shared" si="99"/>
        <v>104</v>
      </c>
      <c r="N179" s="6">
        <v>8.5</v>
      </c>
      <c r="O179" s="43">
        <f t="shared" si="100"/>
        <v>4.5</v>
      </c>
      <c r="P179" s="1">
        <f>LOOKUP(O179,{0,1.4,1.6,1.8,2,2.2,2.4,2.6,2.8,3,3.2,3.4,3.6,3.8,4,4.2,4.4,4.7,5,5.1,5.2},{0,10,20,30,40,50,60,62,64,66,68,70,72,74,76,78,80,85,90,95,100})</f>
        <v>80</v>
      </c>
      <c r="Q179" s="6">
        <v>3.09</v>
      </c>
      <c r="R179" s="6">
        <f t="shared" si="101"/>
        <v>6.91</v>
      </c>
      <c r="S179" s="1">
        <f>LOOKUP(R179,{0,4.7,4.8,4.9,5,5.5,5.6,5.65,5.7,5.75,5.8,5.85,5.9,5.95,6,6.45,6.5,6.57,6.64,6.7,6.76},{0,10,20,30,40,50,60,62,64,66,68,70,72,74,76,78,80,85,90,95,100})</f>
        <v>100</v>
      </c>
      <c r="T179" s="48">
        <f>3.24-Q179</f>
        <v>0.15</v>
      </c>
      <c r="U179" s="40">
        <f>LOOKUP(T179,{0,0.05,0.1,0.15,0.2,0.25,0.3,0.35,0.4,0.45,0.5},{0,1,2,3,4,5,6,7,8,9,10})</f>
        <v>3</v>
      </c>
      <c r="V179" s="21">
        <f t="shared" si="102"/>
        <v>103</v>
      </c>
      <c r="W179" s="6"/>
      <c r="X179" s="21">
        <f t="shared" si="81"/>
        <v>65.5</v>
      </c>
      <c r="Y179" s="37">
        <f t="shared" si="103"/>
        <v>100.571428571429</v>
      </c>
    </row>
    <row r="180" ht="15.6" hidden="1" outlineLevel="2" spans="1:25">
      <c r="A180" s="6">
        <v>104</v>
      </c>
      <c r="B180" s="6">
        <v>38</v>
      </c>
      <c r="C180" s="39" t="s">
        <v>209</v>
      </c>
      <c r="D180" s="29" t="s">
        <v>46</v>
      </c>
      <c r="E180" s="6">
        <v>6</v>
      </c>
      <c r="F180" s="1">
        <f>LOOKUP(E180,{0,0.4,1.2,2,2.8,3.6,4.4,5.7,7,8.3,9.6,10.9,12.2,13.5,14.8,16.1,17.4,19.1,20.8,22.5,24.2},{0,10,20,30,40,50,60,62,64,66,68,70,72,74,76,78,80,85,90,95,100})</f>
        <v>62</v>
      </c>
      <c r="G180" s="6">
        <v>158</v>
      </c>
      <c r="H180" s="1">
        <f>LOOKUP(G180,{0,123,128,133,138,143,148,151,154,157,160,163,166,169,172,175,178,185,192,198,204},{0,10,20,30,40,50,60,62,64,66,68,70,72,74,76,78,80,85,90,95,100})</f>
        <v>66</v>
      </c>
      <c r="I180" s="6">
        <v>43</v>
      </c>
      <c r="J180" s="1">
        <f>LOOKUP(I180,{0,13,15,17,19,21,23,25,27,29,31,33,35,37,39,41,43,46,49,51,53},{0,10,20,30,40,50,60,62,64,66,68,70,72,74,76,78,80,85,90,95,100})</f>
        <v>80</v>
      </c>
      <c r="K180" s="45"/>
      <c r="L180" s="45"/>
      <c r="M180" s="21">
        <f t="shared" si="99"/>
        <v>80</v>
      </c>
      <c r="N180" s="6">
        <v>9.2</v>
      </c>
      <c r="O180" s="43">
        <f t="shared" si="100"/>
        <v>3.8</v>
      </c>
      <c r="P180" s="1">
        <f>LOOKUP(O180,{0,1.4,1.6,1.8,2,2.2,2.4,2.6,2.8,3,3.2,3.4,3.6,3.8,4,4.2,4.4,4.7,5,5.1,5.2},{0,10,20,30,40,50,60,62,64,66,68,70,72,74,76,78,80,85,90,95,100})</f>
        <v>74</v>
      </c>
      <c r="Q180" s="6">
        <v>3.35</v>
      </c>
      <c r="R180" s="6">
        <f t="shared" si="101"/>
        <v>6.65</v>
      </c>
      <c r="S180" s="1">
        <f>LOOKUP(R180,{0,4.7,4.8,4.9,5,5.5,5.6,5.65,5.7,5.75,5.8,5.85,5.9,5.95,6,6.45,6.5,6.57,6.64,6.7,6.76},{0,10,20,30,40,50,60,62,64,66,68,70,72,74,76,78,80,85,90,95,100})</f>
        <v>90</v>
      </c>
      <c r="T180" s="45"/>
      <c r="U180" s="45"/>
      <c r="V180" s="21">
        <f t="shared" si="102"/>
        <v>90</v>
      </c>
      <c r="X180" s="21">
        <f t="shared" si="81"/>
        <v>53.6</v>
      </c>
      <c r="Y180" s="37">
        <f t="shared" si="103"/>
        <v>76.5714285714286</v>
      </c>
    </row>
    <row r="181" ht="15.6" hidden="1" outlineLevel="2" spans="1:25">
      <c r="A181" s="6">
        <v>104</v>
      </c>
      <c r="B181" s="6">
        <v>39</v>
      </c>
      <c r="C181" s="29" t="s">
        <v>210</v>
      </c>
      <c r="D181" s="29" t="s">
        <v>46</v>
      </c>
      <c r="E181" s="6">
        <v>28.3</v>
      </c>
      <c r="F181" s="1">
        <f>LOOKUP(E181,{0,0.4,1.2,2,2.8,3.6,4.4,5.7,7,8.3,9.6,10.9,12.2,13.5,14.8,16.1,17.4,19.1,20.8,22.5,24.2},{0,10,20,30,40,50,60,62,64,66,68,70,72,74,76,78,80,85,90,95,100})</f>
        <v>100</v>
      </c>
      <c r="G181" s="6">
        <v>192</v>
      </c>
      <c r="H181" s="1">
        <f>LOOKUP(G181,{0,123,128,133,138,143,148,151,154,157,160,163,166,169,172,175,178,185,192,198,204},{0,10,20,30,40,50,60,62,64,66,68,70,72,74,76,78,80,85,90,95,100})</f>
        <v>90</v>
      </c>
      <c r="I181" s="6">
        <v>46</v>
      </c>
      <c r="J181" s="1">
        <f>LOOKUP(I181,{0,13,15,17,19,21,23,25,27,29,31,33,35,37,39,41,43,46,49,51,53},{0,10,20,30,40,50,60,62,64,66,68,70,72,74,76,78,80,85,90,95,100})</f>
        <v>85</v>
      </c>
      <c r="K181" s="45"/>
      <c r="L181" s="45"/>
      <c r="M181" s="21">
        <f t="shared" si="99"/>
        <v>85</v>
      </c>
      <c r="N181" s="6">
        <v>8.1</v>
      </c>
      <c r="O181" s="43">
        <f t="shared" si="100"/>
        <v>4.9</v>
      </c>
      <c r="P181" s="1">
        <f>LOOKUP(O181,{0,1.4,1.6,1.8,2,2.2,2.4,2.6,2.8,3,3.2,3.4,3.6,3.8,4,4.2,4.4,4.7,5,5.1,5.2},{0,10,20,30,40,50,60,62,64,66,68,70,72,74,76,78,80,85,90,95,100})</f>
        <v>85</v>
      </c>
      <c r="Q181" s="6">
        <v>3.36</v>
      </c>
      <c r="R181" s="6">
        <f t="shared" si="101"/>
        <v>6.64</v>
      </c>
      <c r="S181" s="1">
        <f>LOOKUP(R181,{0,4.7,4.8,4.9,5,5.5,5.6,5.65,5.7,5.75,5.8,5.85,5.9,5.95,6,6.45,6.5,6.57,6.64,6.7,6.76},{0,10,20,30,40,50,60,62,64,66,68,70,72,74,76,78,80,85,90,95,100})</f>
        <v>90</v>
      </c>
      <c r="T181" s="45"/>
      <c r="U181" s="45"/>
      <c r="V181" s="21">
        <f t="shared" si="102"/>
        <v>90</v>
      </c>
      <c r="X181" s="21">
        <f t="shared" si="81"/>
        <v>62.5</v>
      </c>
      <c r="Y181" s="37">
        <f t="shared" si="103"/>
        <v>89.2857142857143</v>
      </c>
    </row>
    <row r="182" ht="15.6" hidden="1" outlineLevel="2" spans="1:25">
      <c r="A182" s="6">
        <v>104</v>
      </c>
      <c r="B182" s="6">
        <v>40</v>
      </c>
      <c r="C182" s="29" t="s">
        <v>211</v>
      </c>
      <c r="D182" s="29" t="s">
        <v>46</v>
      </c>
      <c r="F182" s="1"/>
      <c r="H182" s="1"/>
      <c r="J182" s="1"/>
      <c r="K182" s="45"/>
      <c r="L182" s="45"/>
      <c r="M182" s="21"/>
      <c r="N182" s="6">
        <v>8</v>
      </c>
      <c r="O182" s="43">
        <f t="shared" si="100"/>
        <v>5</v>
      </c>
      <c r="P182" s="1">
        <f>LOOKUP(O182,{0,1.4,1.6,1.8,2,2.2,2.4,2.6,2.8,3,3.2,3.4,3.6,3.8,4,4.2,4.4,4.7,5,5.1,5.2},{0,10,20,30,40,50,60,62,64,66,68,70,72,74,76,78,80,85,90,95,100})</f>
        <v>90</v>
      </c>
      <c r="S182" s="1"/>
      <c r="T182" s="48"/>
      <c r="U182" s="40"/>
      <c r="V182" s="21"/>
      <c r="W182" s="6" t="s">
        <v>84</v>
      </c>
      <c r="X182" s="21">
        <f t="shared" si="81"/>
        <v>18</v>
      </c>
      <c r="Y182" s="37">
        <v>50</v>
      </c>
    </row>
    <row r="183" ht="15.6" hidden="1" outlineLevel="2" spans="1:25">
      <c r="A183" s="6">
        <v>104</v>
      </c>
      <c r="B183" s="6">
        <v>41</v>
      </c>
      <c r="C183" s="29" t="s">
        <v>212</v>
      </c>
      <c r="D183" s="29" t="s">
        <v>46</v>
      </c>
      <c r="E183" s="6">
        <v>21.1</v>
      </c>
      <c r="F183" s="1">
        <f>LOOKUP(E183,{0,0.4,1.2,2,2.8,3.6,4.4,5.7,7,8.3,9.6,10.9,12.2,13.5,14.8,16.1,17.4,19.1,20.8,22.5,24.2},{0,10,20,30,40,50,60,62,64,66,68,70,72,74,76,78,80,85,90,95,100})</f>
        <v>90</v>
      </c>
      <c r="G183" s="6">
        <v>198</v>
      </c>
      <c r="H183" s="1">
        <f>LOOKUP(G183,{0,123,128,133,138,143,148,151,154,157,160,163,166,169,172,175,178,185,192,198,204},{0,10,20,30,40,50,60,62,64,66,68,70,72,74,76,78,80,85,90,95,100})</f>
        <v>95</v>
      </c>
      <c r="I183" s="6">
        <v>49</v>
      </c>
      <c r="J183" s="1">
        <f>LOOKUP(I183,{0,13,15,17,19,21,23,25,27,29,31,33,35,37,39,41,43,46,49,51,53},{0,10,20,30,40,50,60,62,64,66,68,70,72,74,76,78,80,85,90,95,100})</f>
        <v>90</v>
      </c>
      <c r="K183" s="45"/>
      <c r="L183" s="45"/>
      <c r="M183" s="21">
        <f>J183+L183</f>
        <v>90</v>
      </c>
      <c r="N183" s="6">
        <v>9.1</v>
      </c>
      <c r="O183" s="43">
        <f t="shared" si="100"/>
        <v>3.9</v>
      </c>
      <c r="P183" s="1">
        <f>LOOKUP(O183,{0,1.4,1.6,1.8,2,2.2,2.4,2.6,2.8,3,3.2,3.4,3.6,3.8,4,4.2,4.4,4.7,5,5.1,5.2},{0,10,20,30,40,50,60,62,64,66,68,70,72,74,76,78,80,85,90,95,100})</f>
        <v>74</v>
      </c>
      <c r="Q183" s="6">
        <v>3.41</v>
      </c>
      <c r="R183" s="6">
        <f>10-Q183</f>
        <v>6.59</v>
      </c>
      <c r="S183" s="1">
        <f>LOOKUP(R183,{0,4.7,4.8,4.9,5,5.5,5.6,5.65,5.7,5.75,5.8,5.85,5.9,5.95,6,6.45,6.5,6.57,6.64,6.7,6.76},{0,10,20,30,40,50,60,62,64,66,68,70,72,74,76,78,80,85,90,95,100})</f>
        <v>85</v>
      </c>
      <c r="T183" s="45"/>
      <c r="U183" s="45"/>
      <c r="V183" s="21">
        <f>S183+U183</f>
        <v>85</v>
      </c>
      <c r="X183" s="21">
        <f t="shared" si="81"/>
        <v>59.3</v>
      </c>
      <c r="Y183" s="37">
        <f>X183/0.7+L183+U183</f>
        <v>84.7142857142857</v>
      </c>
    </row>
    <row r="184" ht="15.6" hidden="1" outlineLevel="2" spans="1:25">
      <c r="A184" s="6">
        <v>104</v>
      </c>
      <c r="B184" s="6">
        <v>42</v>
      </c>
      <c r="C184" s="29" t="s">
        <v>213</v>
      </c>
      <c r="D184" s="29" t="s">
        <v>46</v>
      </c>
      <c r="E184" s="6">
        <v>27</v>
      </c>
      <c r="F184" s="1">
        <f>LOOKUP(E184,{0,0.4,1.2,2,2.8,3.6,4.4,5.7,7,8.3,9.6,10.9,12.2,13.5,14.8,16.1,17.4,19.1,20.8,22.5,24.2},{0,10,20,30,40,50,60,62,64,66,68,70,72,74,76,78,80,85,90,95,100})</f>
        <v>100</v>
      </c>
      <c r="G184" s="6">
        <v>185</v>
      </c>
      <c r="H184" s="1">
        <f>LOOKUP(G184,{0,123,128,133,138,143,148,151,154,157,160,163,166,169,172,175,178,185,192,198,204},{0,10,20,30,40,50,60,62,64,66,68,70,72,74,76,78,80,85,90,95,100})</f>
        <v>85</v>
      </c>
      <c r="I184" s="6">
        <v>53</v>
      </c>
      <c r="J184" s="1">
        <f>LOOKUP(I184,{0,13,15,17,19,21,23,25,27,29,31,33,35,37,39,41,43,46,49,51,53},{0,10,20,30,40,50,60,62,64,66,68,70,72,74,76,78,80,85,90,95,100})</f>
        <v>100</v>
      </c>
      <c r="K184" s="45">
        <f>I184-53</f>
        <v>0</v>
      </c>
      <c r="L184" s="40">
        <f>LOOKUP(K184,{0,2,4,6,7,8,9,10,11,12,13},{0,1,2,3,4,5,6,7,8,9,10})</f>
        <v>0</v>
      </c>
      <c r="M184" s="21">
        <f>J184+L184</f>
        <v>100</v>
      </c>
      <c r="N184" s="6">
        <v>8.9</v>
      </c>
      <c r="O184" s="43">
        <f t="shared" si="100"/>
        <v>4.1</v>
      </c>
      <c r="P184" s="1">
        <f>LOOKUP(O184,{0,1.4,1.6,1.8,2,2.2,2.4,2.6,2.8,3,3.2,3.4,3.6,3.8,4,4.2,4.4,4.7,5,5.1,5.2},{0,10,20,30,40,50,60,62,64,66,68,70,72,74,76,78,80,85,90,95,100})</f>
        <v>76</v>
      </c>
      <c r="Q184" s="6">
        <v>3.42</v>
      </c>
      <c r="R184" s="6">
        <f>10-Q184</f>
        <v>6.58</v>
      </c>
      <c r="S184" s="1">
        <f>LOOKUP(R184,{0,4.7,4.8,4.9,5,5.5,5.6,5.65,5.7,5.75,5.8,5.85,5.9,5.95,6,6.45,6.5,6.57,6.64,6.7,6.76},{0,10,20,30,40,50,60,62,64,66,68,70,72,74,76,78,80,85,90,95,100})</f>
        <v>85</v>
      </c>
      <c r="T184" s="45"/>
      <c r="U184" s="45"/>
      <c r="V184" s="21">
        <f>S184+U184</f>
        <v>85</v>
      </c>
      <c r="X184" s="21">
        <f t="shared" si="81"/>
        <v>60.7</v>
      </c>
      <c r="Y184" s="37">
        <f>X184/0.7+L184+U184</f>
        <v>86.7142857142857</v>
      </c>
    </row>
    <row r="185" ht="15.6" hidden="1" outlineLevel="2" spans="1:25">
      <c r="A185" s="6">
        <v>104</v>
      </c>
      <c r="B185" s="6">
        <v>43</v>
      </c>
      <c r="C185" s="29" t="s">
        <v>214</v>
      </c>
      <c r="D185" s="29" t="s">
        <v>46</v>
      </c>
      <c r="E185" s="6">
        <v>19</v>
      </c>
      <c r="F185" s="1">
        <f>LOOKUP(E185,{0,0.4,1.2,2,2.8,3.6,4.4,5.7,7,8.3,9.6,10.9,12.2,13.5,14.8,16.1,17.4,19.1,20.8,22.5,24.2},{0,10,20,30,40,50,60,62,64,66,68,70,72,74,76,78,80,85,90,95,100})</f>
        <v>80</v>
      </c>
      <c r="G185" s="6">
        <v>175</v>
      </c>
      <c r="H185" s="1">
        <f>LOOKUP(G185,{0,123,128,133,138,143,148,151,154,157,160,163,166,169,172,175,178,185,192,198,204},{0,10,20,30,40,50,60,62,64,66,68,70,72,74,76,78,80,85,90,95,100})</f>
        <v>78</v>
      </c>
      <c r="I185" s="6">
        <v>40</v>
      </c>
      <c r="J185" s="1">
        <f>LOOKUP(I185,{0,13,15,17,19,21,23,25,27,29,31,33,35,37,39,41,43,46,49,51,53},{0,10,20,30,40,50,60,62,64,66,68,70,72,74,76,78,80,85,90,95,100})</f>
        <v>76</v>
      </c>
      <c r="K185" s="45"/>
      <c r="L185" s="45"/>
      <c r="M185" s="21">
        <f>J185+L185</f>
        <v>76</v>
      </c>
      <c r="N185" s="6">
        <v>8.1</v>
      </c>
      <c r="O185" s="43">
        <f t="shared" si="100"/>
        <v>4.9</v>
      </c>
      <c r="P185" s="1">
        <f>LOOKUP(O185,{0,1.4,1.6,1.8,2,2.2,2.4,2.6,2.8,3,3.2,3.4,3.6,3.8,4,4.2,4.4,4.7,5,5.1,5.2},{0,10,20,30,40,50,60,62,64,66,68,70,72,74,76,78,80,85,90,95,100})</f>
        <v>85</v>
      </c>
      <c r="Q185" s="6">
        <v>3.29</v>
      </c>
      <c r="R185" s="6">
        <f>10-Q185</f>
        <v>6.71</v>
      </c>
      <c r="S185" s="1">
        <f>LOOKUP(R185,{0,4.7,4.8,4.9,5,5.5,5.6,5.65,5.7,5.75,5.8,5.85,5.9,5.95,6,6.45,6.5,6.57,6.64,6.7,6.76},{0,10,20,30,40,50,60,62,64,66,68,70,72,74,76,78,80,85,90,95,100})</f>
        <v>95</v>
      </c>
      <c r="T185" s="45"/>
      <c r="U185" s="45"/>
      <c r="V185" s="21">
        <f>S185+U185</f>
        <v>95</v>
      </c>
      <c r="X185" s="21">
        <f t="shared" si="81"/>
        <v>59.4</v>
      </c>
      <c r="Y185" s="37">
        <f>X185/0.7+L185+U185</f>
        <v>84.8571428571429</v>
      </c>
    </row>
    <row r="186" ht="15.6" hidden="1" outlineLevel="2" spans="1:25">
      <c r="A186" s="6">
        <v>104</v>
      </c>
      <c r="B186" s="6">
        <v>44</v>
      </c>
      <c r="C186" s="29" t="s">
        <v>215</v>
      </c>
      <c r="D186" s="29" t="s">
        <v>46</v>
      </c>
      <c r="E186" s="6">
        <v>14.8</v>
      </c>
      <c r="F186" s="1">
        <f>LOOKUP(E186,{0,0.4,1.2,2,2.8,3.6,4.4,5.7,7,8.3,9.6,10.9,12.2,13.5,14.8,16.1,17.4,19.1,20.8,22.5,24.2},{0,10,20,30,40,50,60,62,64,66,68,70,72,74,76,78,80,85,90,95,100})</f>
        <v>76</v>
      </c>
      <c r="G186" s="6">
        <v>187</v>
      </c>
      <c r="H186" s="1">
        <f>LOOKUP(G186,{0,123,128,133,138,143,148,151,154,157,160,163,166,169,172,175,178,185,192,198,204},{0,10,20,30,40,50,60,62,64,66,68,70,72,74,76,78,80,85,90,95,100})</f>
        <v>85</v>
      </c>
      <c r="I186" s="6">
        <v>44</v>
      </c>
      <c r="J186" s="1">
        <f>LOOKUP(I186,{0,13,15,17,19,21,23,25,27,29,31,33,35,37,39,41,43,46,49,51,53},{0,10,20,30,40,50,60,62,64,66,68,70,72,74,76,78,80,85,90,95,100})</f>
        <v>80</v>
      </c>
      <c r="K186" s="45"/>
      <c r="L186" s="45"/>
      <c r="M186" s="21">
        <f>J186+L186</f>
        <v>80</v>
      </c>
      <c r="N186" s="6">
        <v>9.1</v>
      </c>
      <c r="O186" s="43">
        <f t="shared" si="100"/>
        <v>3.9</v>
      </c>
      <c r="P186" s="1">
        <f>LOOKUP(O186,{0,1.4,1.6,1.8,2,2.2,2.4,2.6,2.8,3,3.2,3.4,3.6,3.8,4,4.2,4.4,4.7,5,5.1,5.2},{0,10,20,30,40,50,60,62,64,66,68,70,72,74,76,78,80,85,90,95,100})</f>
        <v>74</v>
      </c>
      <c r="Q186" s="6">
        <v>4.07</v>
      </c>
      <c r="R186" s="6">
        <f>10-Q186</f>
        <v>5.93</v>
      </c>
      <c r="S186" s="1">
        <f>LOOKUP(R186,{0,4.7,4.8,4.9,5,5.5,5.6,5.65,5.7,5.75,5.8,5.85,5.9,5.95,6,6.45,6.5,6.57,6.64,6.7,6.76},{0,10,20,30,40,50,60,62,64,66,68,70,72,74,76,78,80,85,90,95,100})</f>
        <v>72</v>
      </c>
      <c r="T186" s="45"/>
      <c r="U186" s="45"/>
      <c r="V186" s="21">
        <f>S186+U186</f>
        <v>72</v>
      </c>
      <c r="X186" s="21">
        <f t="shared" si="81"/>
        <v>53.3</v>
      </c>
      <c r="Y186" s="37">
        <f>X186/0.7+L186+U186</f>
        <v>76.1428571428572</v>
      </c>
    </row>
    <row r="187" ht="15.6" hidden="1" outlineLevel="2" spans="1:25">
      <c r="A187" s="6">
        <v>104</v>
      </c>
      <c r="B187" s="6">
        <v>45</v>
      </c>
      <c r="C187" s="29" t="s">
        <v>216</v>
      </c>
      <c r="D187" s="29" t="s">
        <v>46</v>
      </c>
      <c r="E187" s="6">
        <v>8</v>
      </c>
      <c r="F187" s="1">
        <f>LOOKUP(E187,{0,0.4,1.2,2,2.8,3.6,4.4,5.7,7,8.3,9.6,10.9,12.2,13.5,14.8,16.1,17.4,19.1,20.8,22.5,24.2},{0,10,20,30,40,50,60,62,64,66,68,70,72,74,76,78,80,85,90,95,100})</f>
        <v>64</v>
      </c>
      <c r="G187" s="6">
        <v>195</v>
      </c>
      <c r="H187" s="1">
        <f>LOOKUP(G187,{0,123,128,133,138,143,148,151,154,157,160,163,166,169,172,175,178,185,192,198,204},{0,10,20,30,40,50,60,62,64,66,68,70,72,74,76,78,80,85,90,95,100})</f>
        <v>90</v>
      </c>
      <c r="I187" s="6">
        <v>61</v>
      </c>
      <c r="J187" s="1">
        <f>LOOKUP(I187,{0,13,15,17,19,21,23,25,27,29,31,33,35,37,39,41,43,46,49,51,53},{0,10,20,30,40,50,60,62,64,66,68,70,72,74,76,78,80,85,90,95,100})</f>
        <v>100</v>
      </c>
      <c r="K187" s="45">
        <f>I187-53</f>
        <v>8</v>
      </c>
      <c r="L187" s="40">
        <f>LOOKUP(K187,{0,2,4,6,7,8,9,10,11,12,13},{0,1,2,3,4,5,6,7,8,9,10})</f>
        <v>5</v>
      </c>
      <c r="M187" s="21">
        <f>J187+L187</f>
        <v>105</v>
      </c>
      <c r="N187" s="6">
        <v>8.1</v>
      </c>
      <c r="O187" s="43">
        <f t="shared" si="100"/>
        <v>4.9</v>
      </c>
      <c r="P187" s="1">
        <f>LOOKUP(O187,{0,1.4,1.6,1.8,2,2.2,2.4,2.6,2.8,3,3.2,3.4,3.6,3.8,4,4.2,4.4,4.7,5,5.1,5.2},{0,10,20,30,40,50,60,62,64,66,68,70,72,74,76,78,80,85,90,95,100})</f>
        <v>85</v>
      </c>
      <c r="Q187" s="6">
        <v>3.12</v>
      </c>
      <c r="R187" s="6">
        <f>10-Q187</f>
        <v>6.88</v>
      </c>
      <c r="S187" s="1">
        <f>LOOKUP(R187,{0,4.7,4.8,4.9,5,5.5,5.6,5.65,5.7,5.75,5.8,5.85,5.9,5.95,6,6.45,6.5,6.57,6.64,6.7,6.76},{0,10,20,30,40,50,60,62,64,66,68,70,72,74,76,78,80,85,90,95,100})</f>
        <v>100</v>
      </c>
      <c r="T187" s="48">
        <f>3.24-Q187</f>
        <v>0.12</v>
      </c>
      <c r="U187" s="40">
        <f>LOOKUP(T187,{0,0.05,0.1,0.15,0.2,0.25,0.3,0.35,0.4,0.45,0.5},{0,1,2,3,4,5,6,7,8,9,10})</f>
        <v>2</v>
      </c>
      <c r="V187" s="21">
        <f>S187+U187</f>
        <v>102</v>
      </c>
      <c r="X187" s="21">
        <f t="shared" si="81"/>
        <v>62.4</v>
      </c>
      <c r="Y187" s="37">
        <f>X187/0.7+L187+U187</f>
        <v>96.1428571428572</v>
      </c>
    </row>
    <row r="188" ht="15.6" outlineLevel="1" collapsed="1" spans="1:25">
      <c r="A188" s="42" t="s">
        <v>845</v>
      </c>
      <c r="C188" s="29"/>
      <c r="D188" s="29"/>
      <c r="F188" s="1">
        <f>SUBTOTAL(1,F143:F187)</f>
        <v>79</v>
      </c>
      <c r="H188" s="1">
        <f>SUBTOTAL(1,H143:H187)</f>
        <v>76.3589743589744</v>
      </c>
      <c r="J188" s="1">
        <f>SUBTOTAL(1,J143:J187)</f>
        <v>68.2820512820513</v>
      </c>
      <c r="K188" s="45"/>
      <c r="L188" s="40"/>
      <c r="M188" s="21">
        <f>SUBTOTAL(1,M143:M187)</f>
        <v>69.4615384615385</v>
      </c>
      <c r="O188" s="43"/>
      <c r="P188" s="1">
        <f>SUBTOTAL(1,P143:P187)</f>
        <v>84.45</v>
      </c>
      <c r="S188" s="1">
        <f>SUBTOTAL(1,S143:S187)</f>
        <v>86.5128205128205</v>
      </c>
      <c r="T188" s="48"/>
      <c r="U188" s="40"/>
      <c r="V188" s="21">
        <f>SUBTOTAL(1,V143:V187)</f>
        <v>86.7435897435897</v>
      </c>
      <c r="X188" s="21">
        <f>SUBTOTAL(1,X143:X187)</f>
        <v>49.3911111111111</v>
      </c>
      <c r="Y188" s="37">
        <f>SUBTOTAL(1,Y143:Y187)</f>
        <v>77.4063492063492</v>
      </c>
    </row>
    <row r="189" ht="15.6" hidden="1" outlineLevel="2" spans="1:25">
      <c r="A189" s="6">
        <v>105</v>
      </c>
      <c r="B189" s="6">
        <v>1</v>
      </c>
      <c r="C189" s="39" t="s">
        <v>218</v>
      </c>
      <c r="D189" s="29" t="s">
        <v>11</v>
      </c>
      <c r="E189" s="6">
        <v>9.7</v>
      </c>
      <c r="F189" s="1">
        <f>LOOKUP(E189,{0,-4,-3,-2,-1,0,1,2.4,3.8,5.2,6.6,8,9.4,10.8,12.2,13.6,15,17.2,19.4,21.5,23.6},{0,10,20,30,40,50,60,62,64,66,68,70,72,74,76,78,80,85,90,95,100})</f>
        <v>72</v>
      </c>
      <c r="G189" s="6">
        <v>233</v>
      </c>
      <c r="H189" s="1">
        <f>LOOKUP(G189,{0,170,175,180,185,190,195,199,203,207,211,215,219,223,227,231,235,243,250,255,260},{0,10,20,30,40,50,60,62,64,66,68,70,72,74,76,78,80,85,90,95,100})</f>
        <v>78</v>
      </c>
      <c r="I189" s="6">
        <v>0</v>
      </c>
      <c r="J189" s="1">
        <f>LOOKUP(I189,{0,2,3,4,5,6,7,8,9,10,11,12,13,14,15,16},{0,10,20,30,40,50,60,64,68,72,76,80,85,90,95,100})</f>
        <v>0</v>
      </c>
      <c r="K189" s="7"/>
      <c r="L189" s="7"/>
      <c r="M189" s="21">
        <f>J189+L189</f>
        <v>0</v>
      </c>
      <c r="N189" s="6">
        <v>7.7</v>
      </c>
      <c r="O189" s="43">
        <f t="shared" ref="O189:O203" si="104">13-N189</f>
        <v>5.3</v>
      </c>
      <c r="P189" s="1">
        <f>LOOKUP(O189,{0,2.5,2.7,2.9,3.1,3.3,3.5,3.7,3.9,4.1,4.3,4.5,4.7,4.9,5.1,5.3,5.5,5.6,5.7,5.8,5.9},{0,10,20,30,40,50,60,62,64,66,68,70,72,74,76,78,80,85,90,95,100})</f>
        <v>78</v>
      </c>
      <c r="Q189" s="6">
        <v>3.49</v>
      </c>
      <c r="R189" s="6">
        <f>10-Q189</f>
        <v>6.51</v>
      </c>
      <c r="S189" s="1">
        <f>LOOKUP(R189,{0,3.75,3.95,4.55,4.75,4.95,5.55,5.6,5.65,5.7,5.75,5.8,5.85,5.9,5.95,6,6.45,6.53,6.6,6.65,6.7},{0,10,20,30,40,50,60,62,64,66,68,70,72,74,76,78,80,85,90,95,100})</f>
        <v>80</v>
      </c>
      <c r="T189" s="7"/>
      <c r="U189" s="7"/>
      <c r="V189" s="21">
        <f>S189+U189</f>
        <v>80</v>
      </c>
      <c r="X189" s="21">
        <f t="shared" ref="X189:X211" si="105">F189*0.1+H189*0.1+J189*0.1+P189*0.2+S189*0.2</f>
        <v>46.6</v>
      </c>
      <c r="Y189" s="37">
        <f>X189/0.7+L189+U189</f>
        <v>66.5714285714286</v>
      </c>
    </row>
    <row r="190" ht="15.6" hidden="1" outlineLevel="2" spans="1:25">
      <c r="A190" s="6">
        <v>105</v>
      </c>
      <c r="B190" s="6">
        <v>2</v>
      </c>
      <c r="C190" s="29" t="s">
        <v>219</v>
      </c>
      <c r="D190" s="29" t="s">
        <v>11</v>
      </c>
      <c r="E190" s="6">
        <v>10</v>
      </c>
      <c r="F190" s="1">
        <f>LOOKUP(E190,{0,-4,-3,-2,-1,0,1,2.4,3.8,5.2,6.6,8,9.4,10.8,12.2,13.6,15,17.2,19.4,21.5,23.6},{0,10,20,30,40,50,60,62,64,66,68,70,72,74,76,78,80,85,90,95,100})</f>
        <v>72</v>
      </c>
      <c r="G190" s="6">
        <v>217</v>
      </c>
      <c r="H190" s="1">
        <f>LOOKUP(G190,{0,170,175,180,185,190,195,199,203,207,211,215,219,223,227,231,235,243,250,255,260},{0,10,20,30,40,50,60,62,64,66,68,70,72,74,76,78,80,85,90,95,100})</f>
        <v>70</v>
      </c>
      <c r="I190" s="6">
        <v>29</v>
      </c>
      <c r="J190" s="1">
        <f>LOOKUP(I190,{0,2,3,4,5,6,7,8,9,10,11,12,13,14,15,16},{0,10,20,30,40,50,60,64,68,72,76,80,85,90,95,100})</f>
        <v>100</v>
      </c>
      <c r="K190" s="7">
        <f>I190-16</f>
        <v>13</v>
      </c>
      <c r="L190" s="40">
        <f>LOOKUP(K190,{0,1,2,3,4,5,6,7,8,9,10},{0,1,2,3,4,5,6,7,8,9,10})</f>
        <v>10</v>
      </c>
      <c r="M190" s="21">
        <f>J190+L190</f>
        <v>110</v>
      </c>
      <c r="N190" s="6">
        <v>7.5</v>
      </c>
      <c r="O190" s="43">
        <f t="shared" si="104"/>
        <v>5.5</v>
      </c>
      <c r="P190" s="1">
        <f>LOOKUP(O190,{0,2.5,2.7,2.9,3.1,3.3,3.5,3.7,3.9,4.1,4.3,4.5,4.7,4.9,5.1,5.3,5.5,5.6,5.7,5.8,5.9},{0,10,20,30,40,50,60,62,64,66,68,70,72,74,76,78,80,85,90,95,100})</f>
        <v>80</v>
      </c>
      <c r="Q190" s="6">
        <v>4.03</v>
      </c>
      <c r="R190" s="6">
        <f>10-Q190</f>
        <v>5.97</v>
      </c>
      <c r="S190" s="1">
        <f>LOOKUP(R190,{0,3.75,3.95,4.55,4.75,4.95,5.55,5.6,5.65,5.7,5.75,5.8,5.85,5.9,5.95,6,6.45,6.53,6.6,6.65,6.7},{0,10,20,30,40,50,60,62,64,66,68,70,72,74,76,78,80,85,90,95,100})</f>
        <v>76</v>
      </c>
      <c r="T190" s="7"/>
      <c r="U190" s="7"/>
      <c r="V190" s="21">
        <f>S190+U190</f>
        <v>76</v>
      </c>
      <c r="X190" s="21">
        <f t="shared" si="105"/>
        <v>55.4</v>
      </c>
      <c r="Y190" s="37">
        <f>X190/0.7+L190+U190</f>
        <v>89.1428571428572</v>
      </c>
    </row>
    <row r="191" ht="15.6" hidden="1" outlineLevel="2" spans="1:25">
      <c r="A191" s="6">
        <v>105</v>
      </c>
      <c r="B191" s="6">
        <v>3</v>
      </c>
      <c r="C191" s="29" t="s">
        <v>220</v>
      </c>
      <c r="D191" s="29" t="s">
        <v>11</v>
      </c>
      <c r="E191" s="6">
        <v>8.9</v>
      </c>
      <c r="F191" s="1">
        <f>LOOKUP(E191,{0,-4,-3,-2,-1,0,1,2.4,3.8,5.2,6.6,8,9.4,10.8,12.2,13.6,15,17.2,19.4,21.5,23.6},{0,10,20,30,40,50,60,62,64,66,68,70,72,74,76,78,80,85,90,95,100})</f>
        <v>70</v>
      </c>
      <c r="G191" s="6">
        <v>232</v>
      </c>
      <c r="H191" s="1">
        <f>LOOKUP(G191,{0,170,175,180,185,190,195,199,203,207,211,215,219,223,227,231,235,243,250,255,260},{0,10,20,30,40,50,60,62,64,66,68,70,72,74,76,78,80,85,90,95,100})</f>
        <v>78</v>
      </c>
      <c r="I191" s="6">
        <v>0</v>
      </c>
      <c r="J191" s="1">
        <f>LOOKUP(I191,{0,2,3,4,5,6,7,8,9,10,11,12,13,14,15,16},{0,10,20,30,40,50,60,64,68,72,76,80,85,90,95,100})</f>
        <v>0</v>
      </c>
      <c r="K191" s="7"/>
      <c r="L191" s="7"/>
      <c r="M191" s="21">
        <f>J191+L191</f>
        <v>0</v>
      </c>
      <c r="N191" s="6">
        <v>7.2</v>
      </c>
      <c r="O191" s="43">
        <f t="shared" si="104"/>
        <v>5.8</v>
      </c>
      <c r="P191" s="1">
        <f>LOOKUP(O191,{0,2.5,2.7,2.9,3.1,3.3,3.5,3.7,3.9,4.1,4.3,4.5,4.7,4.9,5.1,5.3,5.5,5.6,5.7,5.8,5.9},{0,10,20,30,40,50,60,62,64,66,68,70,72,74,76,78,80,85,90,95,100})</f>
        <v>95</v>
      </c>
      <c r="Q191" s="6">
        <v>3.43</v>
      </c>
      <c r="R191" s="6">
        <f>10-Q191</f>
        <v>6.57</v>
      </c>
      <c r="S191" s="1">
        <f>LOOKUP(R191,{0,3.75,3.95,4.55,4.75,4.95,5.55,5.6,5.65,5.7,5.75,5.8,5.85,5.9,5.95,6,6.45,6.53,6.6,6.65,6.7},{0,10,20,30,40,50,60,62,64,66,68,70,72,74,76,78,80,85,90,95,100})</f>
        <v>85</v>
      </c>
      <c r="T191" s="7"/>
      <c r="U191" s="7"/>
      <c r="V191" s="21">
        <f>S191+U191</f>
        <v>85</v>
      </c>
      <c r="X191" s="21">
        <f t="shared" si="105"/>
        <v>50.8</v>
      </c>
      <c r="Y191" s="37">
        <f>X191/0.7+L191+U191</f>
        <v>72.5714285714286</v>
      </c>
    </row>
    <row r="192" s="3" customFormat="1" ht="15.6" hidden="1" outlineLevel="2" spans="1:25">
      <c r="A192" s="6">
        <v>105</v>
      </c>
      <c r="B192" s="6">
        <v>4</v>
      </c>
      <c r="C192" s="29" t="s">
        <v>221</v>
      </c>
      <c r="D192" s="29" t="s">
        <v>11</v>
      </c>
      <c r="E192" s="6"/>
      <c r="F192" s="1"/>
      <c r="G192" s="6"/>
      <c r="H192" s="1"/>
      <c r="I192" s="6"/>
      <c r="J192" s="1"/>
      <c r="K192" s="7"/>
      <c r="L192" s="7"/>
      <c r="M192" s="21"/>
      <c r="N192" s="6">
        <v>7</v>
      </c>
      <c r="O192" s="43">
        <f t="shared" si="104"/>
        <v>6</v>
      </c>
      <c r="P192" s="1">
        <f>LOOKUP(O192,{0,2.5,2.7,2.9,3.1,3.3,3.5,3.7,3.9,4.1,4.3,4.5,4.7,4.9,5.1,5.3,5.5,5.6,5.7,5.8,5.9},{0,10,20,30,40,50,60,62,64,66,68,70,72,74,76,78,80,85,90,95,100})</f>
        <v>100</v>
      </c>
      <c r="Q192" s="6"/>
      <c r="R192" s="6"/>
      <c r="S192" s="1"/>
      <c r="T192" s="7"/>
      <c r="U192" s="40"/>
      <c r="V192" s="21"/>
      <c r="W192" s="6" t="s">
        <v>222</v>
      </c>
      <c r="X192" s="21">
        <f t="shared" si="105"/>
        <v>20</v>
      </c>
      <c r="Y192" s="37">
        <v>50</v>
      </c>
    </row>
    <row r="193" ht="15.6" hidden="1" outlineLevel="2" spans="1:25">
      <c r="A193" s="6">
        <v>105</v>
      </c>
      <c r="B193" s="6">
        <v>5</v>
      </c>
      <c r="C193" s="29" t="s">
        <v>223</v>
      </c>
      <c r="D193" s="29" t="s">
        <v>11</v>
      </c>
      <c r="E193" s="6">
        <v>9.6</v>
      </c>
      <c r="F193" s="1">
        <f>LOOKUP(E193,{0,-4,-3,-2,-1,0,1,2.4,3.8,5.2,6.6,8,9.4,10.8,12.2,13.6,15,17.2,19.4,21.5,23.6},{0,10,20,30,40,50,60,62,64,66,68,70,72,74,76,78,80,85,90,95,100})</f>
        <v>72</v>
      </c>
      <c r="G193" s="6">
        <v>208</v>
      </c>
      <c r="H193" s="1">
        <f>LOOKUP(G193,{0,170,175,180,185,190,195,199,203,207,211,215,219,223,227,231,235,243,250,255,260},{0,10,20,30,40,50,60,62,64,66,68,70,72,74,76,78,80,85,90,95,100})</f>
        <v>66</v>
      </c>
      <c r="I193" s="6">
        <v>2</v>
      </c>
      <c r="J193" s="1">
        <f>LOOKUP(I193,{0,2,3,4,5,6,7,8,9,10,11,12,13,14,15,16},{0,10,20,30,40,50,60,64,68,72,76,80,85,90,95,100})</f>
        <v>10</v>
      </c>
      <c r="K193" s="7"/>
      <c r="L193" s="7"/>
      <c r="M193" s="21">
        <f t="shared" ref="M193:M198" si="106">J193+L193</f>
        <v>10</v>
      </c>
      <c r="N193" s="6">
        <v>7.5</v>
      </c>
      <c r="O193" s="43">
        <f t="shared" si="104"/>
        <v>5.5</v>
      </c>
      <c r="P193" s="1">
        <f>LOOKUP(O193,{0,2.5,2.7,2.9,3.1,3.3,3.5,3.7,3.9,4.1,4.3,4.5,4.7,4.9,5.1,5.3,5.5,5.6,5.7,5.8,5.9},{0,10,20,30,40,50,60,62,64,66,68,70,72,74,76,78,80,85,90,95,100})</f>
        <v>80</v>
      </c>
      <c r="Q193" s="6">
        <v>4.12</v>
      </c>
      <c r="R193" s="6">
        <f t="shared" ref="R193:R198" si="107">10-Q193</f>
        <v>5.88</v>
      </c>
      <c r="S193" s="1">
        <f>LOOKUP(R193,{0,3.75,3.95,4.55,4.75,4.95,5.55,5.6,5.65,5.7,5.75,5.8,5.85,5.9,5.95,6,6.45,6.53,6.6,6.65,6.7},{0,10,20,30,40,50,60,62,64,66,68,70,72,74,76,78,80,85,90,95,100})</f>
        <v>72</v>
      </c>
      <c r="T193" s="7"/>
      <c r="U193" s="7"/>
      <c r="V193" s="21">
        <f t="shared" ref="V193:V198" si="108">S193+U193</f>
        <v>72</v>
      </c>
      <c r="X193" s="21">
        <f t="shared" si="105"/>
        <v>45.2</v>
      </c>
      <c r="Y193" s="37">
        <f t="shared" ref="Y193:Y198" si="109">X193/0.7+L193+U193</f>
        <v>64.5714285714286</v>
      </c>
    </row>
    <row r="194" ht="15.6" hidden="1" outlineLevel="2" spans="1:25">
      <c r="A194" s="6">
        <v>105</v>
      </c>
      <c r="B194" s="6">
        <v>6</v>
      </c>
      <c r="C194" s="29" t="s">
        <v>224</v>
      </c>
      <c r="D194" s="29" t="s">
        <v>11</v>
      </c>
      <c r="E194" s="6">
        <v>1.5</v>
      </c>
      <c r="F194" s="1">
        <f>LOOKUP(E194,{0,-4,-3,-2,-1,0,1,2.4,3.8,5.2,6.6,8,9.4,10.8,12.2,13.6,15,17.2,19.4,21.5,23.6},{0,10,20,30,40,50,60,62,64,66,68,70,72,74,76,78,80,85,90,95,100})</f>
        <v>60</v>
      </c>
      <c r="G194" s="6">
        <v>216</v>
      </c>
      <c r="H194" s="1">
        <f>LOOKUP(G194,{0,170,175,180,185,190,195,199,203,207,211,215,219,223,227,231,235,243,250,255,260},{0,10,20,30,40,50,60,62,64,66,68,70,72,74,76,78,80,85,90,95,100})</f>
        <v>70</v>
      </c>
      <c r="I194" s="6">
        <v>0</v>
      </c>
      <c r="J194" s="1">
        <f>LOOKUP(I194,{0,2,3,4,5,6,7,8,9,10,11,12,13,14,15,16},{0,10,20,30,40,50,60,64,68,72,76,80,85,90,95,100})</f>
        <v>0</v>
      </c>
      <c r="K194" s="7"/>
      <c r="L194" s="7"/>
      <c r="M194" s="21">
        <f t="shared" si="106"/>
        <v>0</v>
      </c>
      <c r="N194" s="6">
        <v>7.5</v>
      </c>
      <c r="O194" s="43">
        <f t="shared" si="104"/>
        <v>5.5</v>
      </c>
      <c r="P194" s="1">
        <f>LOOKUP(O194,{0,2.5,2.7,2.9,3.1,3.3,3.5,3.7,3.9,4.1,4.3,4.5,4.7,4.9,5.1,5.3,5.5,5.6,5.7,5.8,5.9},{0,10,20,30,40,50,60,62,64,66,68,70,72,74,76,78,80,85,90,95,100})</f>
        <v>80</v>
      </c>
      <c r="Q194" s="6">
        <v>3.52</v>
      </c>
      <c r="R194" s="6">
        <f t="shared" si="107"/>
        <v>6.48</v>
      </c>
      <c r="S194" s="1">
        <f>LOOKUP(R194,{0,3.75,3.95,4.55,4.75,4.95,5.55,5.6,5.65,5.7,5.75,5.8,5.85,5.9,5.95,6,6.45,6.53,6.6,6.65,6.7},{0,10,20,30,40,50,60,62,64,66,68,70,72,74,76,78,80,85,90,95,100})</f>
        <v>80</v>
      </c>
      <c r="T194" s="7"/>
      <c r="U194" s="7"/>
      <c r="V194" s="21">
        <f t="shared" si="108"/>
        <v>80</v>
      </c>
      <c r="X194" s="21">
        <f t="shared" si="105"/>
        <v>45</v>
      </c>
      <c r="Y194" s="37">
        <f t="shared" si="109"/>
        <v>64.2857142857143</v>
      </c>
    </row>
    <row r="195" ht="15.6" hidden="1" outlineLevel="2" spans="1:25">
      <c r="A195" s="6">
        <v>105</v>
      </c>
      <c r="B195" s="6">
        <v>7</v>
      </c>
      <c r="C195" s="29" t="s">
        <v>225</v>
      </c>
      <c r="D195" s="29" t="s">
        <v>11</v>
      </c>
      <c r="E195" s="6">
        <v>8.8</v>
      </c>
      <c r="F195" s="1">
        <f>LOOKUP(E195,{0,-4,-3,-2,-1,0,1,2.4,3.8,5.2,6.6,8,9.4,10.8,12.2,13.6,15,17.2,19.4,21.5,23.6},{0,10,20,30,40,50,60,62,64,66,68,70,72,74,76,78,80,85,90,95,100})</f>
        <v>70</v>
      </c>
      <c r="G195" s="6">
        <v>215</v>
      </c>
      <c r="H195" s="1">
        <f>LOOKUP(G195,{0,170,175,180,185,190,195,199,203,207,211,215,219,223,227,231,235,243,250,255,260},{0,10,20,30,40,50,60,62,64,66,68,70,72,74,76,78,80,85,90,95,100})</f>
        <v>70</v>
      </c>
      <c r="I195" s="6">
        <v>0</v>
      </c>
      <c r="J195" s="1">
        <f>LOOKUP(I195,{0,2,3,4,5,6,7,8,9,10,11,12,13,14,15,16},{0,10,20,30,40,50,60,64,68,72,76,80,85,90,95,100})</f>
        <v>0</v>
      </c>
      <c r="K195" s="7"/>
      <c r="L195" s="7"/>
      <c r="M195" s="21">
        <f t="shared" si="106"/>
        <v>0</v>
      </c>
      <c r="N195" s="6">
        <v>7.9</v>
      </c>
      <c r="O195" s="43">
        <f t="shared" si="104"/>
        <v>5.1</v>
      </c>
      <c r="P195" s="1">
        <f>LOOKUP(O195,{0,2.5,2.7,2.9,3.1,3.3,3.5,3.7,3.9,4.1,4.3,4.5,4.7,4.9,5.1,5.3,5.5,5.6,5.7,5.8,5.9},{0,10,20,30,40,50,60,62,64,66,68,70,72,74,76,78,80,85,90,95,100})</f>
        <v>76</v>
      </c>
      <c r="Q195" s="6">
        <v>4.18</v>
      </c>
      <c r="R195" s="6">
        <f t="shared" si="107"/>
        <v>5.82</v>
      </c>
      <c r="S195" s="1">
        <f>LOOKUP(R195,{0,3.75,3.95,4.55,4.75,4.95,5.55,5.6,5.65,5.7,5.75,5.8,5.85,5.9,5.95,6,6.45,6.53,6.6,6.65,6.7},{0,10,20,30,40,50,60,62,64,66,68,70,72,74,76,78,80,85,90,95,100})</f>
        <v>70</v>
      </c>
      <c r="T195" s="7"/>
      <c r="U195" s="7"/>
      <c r="V195" s="21">
        <f t="shared" si="108"/>
        <v>70</v>
      </c>
      <c r="X195" s="21">
        <f t="shared" si="105"/>
        <v>43.2</v>
      </c>
      <c r="Y195" s="37">
        <f t="shared" si="109"/>
        <v>61.7142857142857</v>
      </c>
    </row>
    <row r="196" ht="15.6" hidden="1" outlineLevel="2" spans="1:25">
      <c r="A196" s="6">
        <v>105</v>
      </c>
      <c r="B196" s="6">
        <v>8</v>
      </c>
      <c r="C196" s="29" t="s">
        <v>226</v>
      </c>
      <c r="D196" s="29" t="s">
        <v>11</v>
      </c>
      <c r="E196" s="6">
        <v>12.3</v>
      </c>
      <c r="F196" s="1">
        <f>LOOKUP(E196,{0,-4,-3,-2,-1,0,1,2.4,3.8,5.2,6.6,8,9.4,10.8,12.2,13.6,15,17.2,19.4,21.5,23.6},{0,10,20,30,40,50,60,62,64,66,68,70,72,74,76,78,80,85,90,95,100})</f>
        <v>76</v>
      </c>
      <c r="G196" s="6">
        <v>234</v>
      </c>
      <c r="H196" s="1">
        <f>LOOKUP(G196,{0,170,175,180,185,190,195,199,203,207,211,215,219,223,227,231,235,243,250,255,260},{0,10,20,30,40,50,60,62,64,66,68,70,72,74,76,78,80,85,90,95,100})</f>
        <v>78</v>
      </c>
      <c r="I196" s="6">
        <v>10</v>
      </c>
      <c r="J196" s="1">
        <f>LOOKUP(I196,{0,2,3,4,5,6,7,8,9,10,11,12,13,14,15,16},{0,10,20,30,40,50,60,64,68,72,76,80,85,90,95,100})</f>
        <v>72</v>
      </c>
      <c r="K196" s="7"/>
      <c r="L196" s="7"/>
      <c r="M196" s="21">
        <f t="shared" si="106"/>
        <v>72</v>
      </c>
      <c r="N196" s="6">
        <v>6.9</v>
      </c>
      <c r="O196" s="43">
        <f t="shared" si="104"/>
        <v>6.1</v>
      </c>
      <c r="P196" s="1">
        <f>LOOKUP(O196,{0,2.5,2.7,2.9,3.1,3.3,3.5,3.7,3.9,4.1,4.3,4.5,4.7,4.9,5.1,5.3,5.5,5.6,5.7,5.8,5.9},{0,10,20,30,40,50,60,62,64,66,68,70,72,74,76,78,80,85,90,95,100})</f>
        <v>100</v>
      </c>
      <c r="Q196" s="6">
        <v>3.45</v>
      </c>
      <c r="R196" s="6">
        <f t="shared" si="107"/>
        <v>6.55</v>
      </c>
      <c r="S196" s="1">
        <f>LOOKUP(R196,{0,3.75,3.95,4.55,4.75,4.95,5.55,5.6,5.65,5.7,5.75,5.8,5.85,5.9,5.95,6,6.45,6.53,6.6,6.65,6.7},{0,10,20,30,40,50,60,62,64,66,68,70,72,74,76,78,80,85,90,95,100})</f>
        <v>85</v>
      </c>
      <c r="T196" s="7"/>
      <c r="U196" s="7"/>
      <c r="V196" s="21">
        <f t="shared" si="108"/>
        <v>85</v>
      </c>
      <c r="X196" s="21">
        <f t="shared" si="105"/>
        <v>59.6</v>
      </c>
      <c r="Y196" s="37">
        <f t="shared" si="109"/>
        <v>85.1428571428572</v>
      </c>
    </row>
    <row r="197" ht="15.6" hidden="1" outlineLevel="2" spans="1:25">
      <c r="A197" s="6">
        <v>105</v>
      </c>
      <c r="B197" s="6">
        <v>9</v>
      </c>
      <c r="C197" s="29" t="s">
        <v>227</v>
      </c>
      <c r="D197" s="29" t="s">
        <v>11</v>
      </c>
      <c r="E197" s="6">
        <v>9.5</v>
      </c>
      <c r="F197" s="1">
        <f>LOOKUP(E197,{0,-4,-3,-2,-1,0,1,2.4,3.8,5.2,6.6,8,9.4,10.8,12.2,13.6,15,17.2,19.4,21.5,23.6},{0,10,20,30,40,50,60,62,64,66,68,70,72,74,76,78,80,85,90,95,100})</f>
        <v>72</v>
      </c>
      <c r="G197" s="6">
        <v>223</v>
      </c>
      <c r="H197" s="1">
        <f>LOOKUP(G197,{0,170,175,180,185,190,195,199,203,207,211,215,219,223,227,231,235,243,250,255,260},{0,10,20,30,40,50,60,62,64,66,68,70,72,74,76,78,80,85,90,95,100})</f>
        <v>74</v>
      </c>
      <c r="I197" s="6">
        <v>1</v>
      </c>
      <c r="J197" s="1">
        <f>LOOKUP(I197,{0,2,3,4,5,6,7,8,9,10,11,12,13,14,15,16},{0,10,20,30,40,50,60,64,68,72,76,80,85,90,95,100})</f>
        <v>0</v>
      </c>
      <c r="K197" s="7"/>
      <c r="L197" s="7"/>
      <c r="M197" s="21">
        <f t="shared" si="106"/>
        <v>0</v>
      </c>
      <c r="N197" s="6">
        <v>7.5</v>
      </c>
      <c r="O197" s="43">
        <f t="shared" si="104"/>
        <v>5.5</v>
      </c>
      <c r="P197" s="1">
        <f>LOOKUP(O197,{0,2.5,2.7,2.9,3.1,3.3,3.5,3.7,3.9,4.1,4.3,4.5,4.7,4.9,5.1,5.3,5.5,5.6,5.7,5.8,5.9},{0,10,20,30,40,50,60,62,64,66,68,70,72,74,76,78,80,85,90,95,100})</f>
        <v>80</v>
      </c>
      <c r="Q197" s="6">
        <v>3.44</v>
      </c>
      <c r="R197" s="6">
        <f t="shared" si="107"/>
        <v>6.56</v>
      </c>
      <c r="S197" s="1">
        <f>LOOKUP(R197,{0,3.75,3.95,4.55,4.75,4.95,5.55,5.6,5.65,5.7,5.75,5.8,5.85,5.9,5.95,6,6.45,6.53,6.6,6.65,6.7},{0,10,20,30,40,50,60,62,64,66,68,70,72,74,76,78,80,85,90,95,100})</f>
        <v>85</v>
      </c>
      <c r="T197" s="7"/>
      <c r="U197" s="7"/>
      <c r="V197" s="21">
        <f t="shared" si="108"/>
        <v>85</v>
      </c>
      <c r="X197" s="21">
        <f t="shared" si="105"/>
        <v>47.6</v>
      </c>
      <c r="Y197" s="37">
        <f t="shared" si="109"/>
        <v>68</v>
      </c>
    </row>
    <row r="198" ht="15.6" hidden="1" outlineLevel="2" spans="1:25">
      <c r="A198" s="6">
        <v>105</v>
      </c>
      <c r="B198" s="6">
        <v>10</v>
      </c>
      <c r="C198" s="29" t="s">
        <v>228</v>
      </c>
      <c r="D198" s="29" t="s">
        <v>11</v>
      </c>
      <c r="E198" s="6">
        <v>4.6</v>
      </c>
      <c r="F198" s="1">
        <f>LOOKUP(E198,{0,-4,-3,-2,-1,0,1,2.4,3.8,5.2,6.6,8,9.4,10.8,12.2,13.6,15,17.2,19.4,21.5,23.6},{0,10,20,30,40,50,60,62,64,66,68,70,72,74,76,78,80,85,90,95,100})</f>
        <v>64</v>
      </c>
      <c r="G198" s="6">
        <v>155</v>
      </c>
      <c r="H198" s="1">
        <f>LOOKUP(G198,{0,170,175,180,185,190,195,199,203,207,211,215,219,223,227,231,235,243,250,255,260},{0,10,20,30,40,50,60,62,64,66,68,70,72,74,76,78,80,85,90,95,100})</f>
        <v>0</v>
      </c>
      <c r="I198" s="6">
        <v>0</v>
      </c>
      <c r="J198" s="1">
        <f>LOOKUP(I198,{0,2,3,4,5,6,7,8,9,10,11,12,13,14,15,16},{0,10,20,30,40,50,60,64,68,72,76,80,85,90,95,100})</f>
        <v>0</v>
      </c>
      <c r="K198" s="7"/>
      <c r="L198" s="7"/>
      <c r="M198" s="21">
        <f t="shared" si="106"/>
        <v>0</v>
      </c>
      <c r="N198" s="6">
        <v>9.4</v>
      </c>
      <c r="O198" s="43">
        <f t="shared" si="104"/>
        <v>3.6</v>
      </c>
      <c r="P198" s="1">
        <f>LOOKUP(O198,{0,2.5,2.7,2.9,3.1,3.3,3.5,3.7,3.9,4.1,4.3,4.5,4.7,4.9,5.1,5.3,5.5,5.6,5.7,5.8,5.9},{0,10,20,30,40,50,60,62,64,66,68,70,72,74,76,78,80,85,90,95,100})</f>
        <v>60</v>
      </c>
      <c r="Q198" s="6">
        <v>4.55</v>
      </c>
      <c r="R198" s="6">
        <f t="shared" si="107"/>
        <v>5.45</v>
      </c>
      <c r="S198" s="1">
        <f>LOOKUP(R198,{0,3.75,3.95,4.55,4.75,4.95,5.55,5.6,5.65,5.7,5.75,5.8,5.85,5.9,5.95,6,6.45,6.53,6.6,6.65,6.7},{0,10,20,30,40,50,60,62,64,66,68,70,72,74,76,78,80,85,90,95,100})</f>
        <v>50</v>
      </c>
      <c r="T198" s="7"/>
      <c r="U198" s="7"/>
      <c r="V198" s="21">
        <f t="shared" si="108"/>
        <v>50</v>
      </c>
      <c r="X198" s="21">
        <f t="shared" si="105"/>
        <v>28.4</v>
      </c>
      <c r="Y198" s="37">
        <f t="shared" si="109"/>
        <v>40.5714285714286</v>
      </c>
    </row>
    <row r="199" ht="15.6" hidden="1" outlineLevel="2" spans="1:25">
      <c r="A199" s="6">
        <v>105</v>
      </c>
      <c r="B199" s="6">
        <v>11</v>
      </c>
      <c r="C199" s="29" t="s">
        <v>229</v>
      </c>
      <c r="D199" s="29" t="s">
        <v>11</v>
      </c>
      <c r="F199" s="1"/>
      <c r="H199" s="1"/>
      <c r="J199" s="1"/>
      <c r="K199" s="7"/>
      <c r="L199" s="7"/>
      <c r="M199" s="21"/>
      <c r="N199" s="6">
        <v>8.3</v>
      </c>
      <c r="O199" s="43">
        <f t="shared" si="104"/>
        <v>4.7</v>
      </c>
      <c r="P199" s="1">
        <f>LOOKUP(O199,{0,2.5,2.7,2.9,3.1,3.3,3.5,3.7,3.9,4.1,4.3,4.5,4.7,4.9,5.1,5.3,5.5,5.6,5.7,5.8,5.9},{0,10,20,30,40,50,60,62,64,66,68,70,72,74,76,78,80,85,90,95,100})</f>
        <v>72</v>
      </c>
      <c r="S199" s="1"/>
      <c r="T199" s="7"/>
      <c r="U199" s="40"/>
      <c r="V199" s="21"/>
      <c r="W199" s="6" t="s">
        <v>222</v>
      </c>
      <c r="X199" s="21">
        <f t="shared" si="105"/>
        <v>14.4</v>
      </c>
      <c r="Y199" s="37">
        <v>50</v>
      </c>
    </row>
    <row r="200" ht="15.6" hidden="1" outlineLevel="2" spans="1:25">
      <c r="A200" s="6">
        <v>105</v>
      </c>
      <c r="B200" s="6">
        <v>12</v>
      </c>
      <c r="C200" s="29" t="s">
        <v>230</v>
      </c>
      <c r="D200" s="29" t="s">
        <v>11</v>
      </c>
      <c r="F200" s="1"/>
      <c r="H200" s="1"/>
      <c r="J200" s="1"/>
      <c r="K200" s="7"/>
      <c r="L200" s="7"/>
      <c r="M200" s="21"/>
      <c r="N200" s="6">
        <v>8.3</v>
      </c>
      <c r="O200" s="43">
        <f t="shared" si="104"/>
        <v>4.7</v>
      </c>
      <c r="P200" s="1">
        <f>LOOKUP(O200,{0,2.5,2.7,2.9,3.1,3.3,3.5,3.7,3.9,4.1,4.3,4.5,4.7,4.9,5.1,5.3,5.5,5.6,5.7,5.8,5.9},{0,10,20,30,40,50,60,62,64,66,68,70,72,74,76,78,80,85,90,95,100})</f>
        <v>72</v>
      </c>
      <c r="S200" s="1"/>
      <c r="T200" s="7"/>
      <c r="U200" s="40"/>
      <c r="V200" s="21"/>
      <c r="W200" s="6" t="s">
        <v>222</v>
      </c>
      <c r="X200" s="21">
        <f t="shared" si="105"/>
        <v>14.4</v>
      </c>
      <c r="Y200" s="37">
        <v>50</v>
      </c>
    </row>
    <row r="201" ht="15.6" hidden="1" outlineLevel="2" spans="1:25">
      <c r="A201" s="6">
        <v>105</v>
      </c>
      <c r="B201" s="6">
        <v>13</v>
      </c>
      <c r="C201" s="39" t="s">
        <v>232</v>
      </c>
      <c r="D201" s="29" t="s">
        <v>11</v>
      </c>
      <c r="F201" s="1"/>
      <c r="H201" s="1"/>
      <c r="J201" s="1"/>
      <c r="K201" s="7"/>
      <c r="L201" s="7"/>
      <c r="M201" s="21"/>
      <c r="N201" s="6">
        <v>7.1</v>
      </c>
      <c r="O201" s="43">
        <f t="shared" si="104"/>
        <v>5.9</v>
      </c>
      <c r="P201" s="1">
        <f>LOOKUP(O201,{0,2.5,2.7,2.9,3.1,3.3,3.5,3.7,3.9,4.1,4.3,4.5,4.7,4.9,5.1,5.3,5.5,5.6,5.7,5.8,5.9},{0,10,20,30,40,50,60,62,64,66,68,70,72,74,76,78,80,85,90,95,100})</f>
        <v>100</v>
      </c>
      <c r="S201" s="1"/>
      <c r="T201" s="7"/>
      <c r="U201" s="40"/>
      <c r="V201" s="21"/>
      <c r="W201" s="6" t="s">
        <v>222</v>
      </c>
      <c r="X201" s="21">
        <f t="shared" si="105"/>
        <v>20</v>
      </c>
      <c r="Y201" s="37">
        <v>50</v>
      </c>
    </row>
    <row r="202" ht="15.6" hidden="1" outlineLevel="2" spans="1:25">
      <c r="A202" s="6">
        <v>105</v>
      </c>
      <c r="B202" s="6">
        <v>14</v>
      </c>
      <c r="C202" s="29" t="s">
        <v>233</v>
      </c>
      <c r="D202" s="29" t="s">
        <v>11</v>
      </c>
      <c r="E202" s="6">
        <v>-1.5</v>
      </c>
      <c r="F202" s="1">
        <f>LOOKUP(E202,{0,-4,-3,-2,-1,0,1,2.4,3.8,5.2,6.6,8,9.4,10.8,12.2,13.6,15,17.2,19.4,21.5,23.6},{0,10,20,30,40,50,60,62,64,66,68,70,72,74,76,78,80,85,90,95,100})</f>
        <v>30</v>
      </c>
      <c r="G202" s="6">
        <v>235</v>
      </c>
      <c r="H202" s="1">
        <f>LOOKUP(G202,{0,170,175,180,185,190,195,199,203,207,211,215,219,223,227,231,235,243,250,255,260},{0,10,20,30,40,50,60,62,64,66,68,70,72,74,76,78,80,85,90,95,100})</f>
        <v>80</v>
      </c>
      <c r="I202" s="6">
        <v>0</v>
      </c>
      <c r="J202" s="1">
        <f>LOOKUP(I202,{0,2,3,4,5,6,7,8,9,10,11,12,13,14,15,16},{0,10,20,30,40,50,60,64,68,72,76,80,85,90,95,100})</f>
        <v>0</v>
      </c>
      <c r="K202" s="7"/>
      <c r="L202" s="7"/>
      <c r="M202" s="21">
        <f t="shared" ref="M202:M210" si="110">J202+L202</f>
        <v>0</v>
      </c>
      <c r="N202" s="6">
        <v>8</v>
      </c>
      <c r="O202" s="43">
        <f t="shared" si="104"/>
        <v>5</v>
      </c>
      <c r="P202" s="1">
        <f>LOOKUP(O202,{0,2.5,2.7,2.9,3.1,3.3,3.5,3.7,3.9,4.1,4.3,4.5,4.7,4.9,5.1,5.3,5.5,5.6,5.7,5.8,5.9},{0,10,20,30,40,50,60,62,64,66,68,70,72,74,76,78,80,85,90,95,100})</f>
        <v>74</v>
      </c>
      <c r="Q202" s="6">
        <v>4.03</v>
      </c>
      <c r="R202" s="6">
        <f t="shared" ref="R202:R210" si="111">10-Q202</f>
        <v>5.97</v>
      </c>
      <c r="S202" s="1">
        <f>LOOKUP(R202,{0,3.75,3.95,4.55,4.75,4.95,5.55,5.6,5.65,5.7,5.75,5.8,5.85,5.9,5.95,6,6.45,6.53,6.6,6.65,6.7},{0,10,20,30,40,50,60,62,64,66,68,70,72,74,76,78,80,85,90,95,100})</f>
        <v>76</v>
      </c>
      <c r="T202" s="7"/>
      <c r="U202" s="7"/>
      <c r="V202" s="21">
        <f t="shared" ref="V202:V210" si="112">S202+U202</f>
        <v>76</v>
      </c>
      <c r="X202" s="21">
        <f t="shared" si="105"/>
        <v>41</v>
      </c>
      <c r="Y202" s="37">
        <f t="shared" ref="Y202:Y210" si="113">X202/0.7+L202+U202</f>
        <v>58.5714285714286</v>
      </c>
    </row>
    <row r="203" s="3" customFormat="1" ht="15.6" hidden="1" outlineLevel="2" spans="1:25">
      <c r="A203" s="6">
        <v>105</v>
      </c>
      <c r="B203" s="6">
        <v>15</v>
      </c>
      <c r="C203" s="29" t="s">
        <v>234</v>
      </c>
      <c r="D203" s="29" t="s">
        <v>11</v>
      </c>
      <c r="E203" s="6">
        <v>5.5</v>
      </c>
      <c r="F203" s="1">
        <f>LOOKUP(E203,{0,-4,-3,-2,-1,0,1,2.4,3.8,5.2,6.6,8,9.4,10.8,12.2,13.6,15,17.2,19.4,21.5,23.6},{0,10,20,30,40,50,60,62,64,66,68,70,72,74,76,78,80,85,90,95,100})</f>
        <v>66</v>
      </c>
      <c r="G203" s="6">
        <v>210</v>
      </c>
      <c r="H203" s="1">
        <f>LOOKUP(G203,{0,170,175,180,185,190,195,199,203,207,211,215,219,223,227,231,235,243,250,255,260},{0,10,20,30,40,50,60,62,64,66,68,70,72,74,76,78,80,85,90,95,100})</f>
        <v>66</v>
      </c>
      <c r="I203" s="6">
        <v>1</v>
      </c>
      <c r="J203" s="1">
        <f>LOOKUP(I203,{0,2,3,4,5,6,7,8,9,10,11,12,13,14,15,16},{0,10,20,30,40,50,60,64,68,72,76,80,85,90,95,100})</f>
        <v>0</v>
      </c>
      <c r="K203" s="7"/>
      <c r="L203" s="7"/>
      <c r="M203" s="21">
        <f t="shared" si="110"/>
        <v>0</v>
      </c>
      <c r="N203" s="6">
        <v>7.7</v>
      </c>
      <c r="O203" s="43">
        <f t="shared" si="104"/>
        <v>5.3</v>
      </c>
      <c r="P203" s="1">
        <f>LOOKUP(O203,{0,2.5,2.7,2.9,3.1,3.3,3.5,3.7,3.9,4.1,4.3,4.5,4.7,4.9,5.1,5.3,5.5,5.6,5.7,5.8,5.9},{0,10,20,30,40,50,60,62,64,66,68,70,72,74,76,78,80,85,90,95,100})</f>
        <v>78</v>
      </c>
      <c r="Q203" s="6">
        <v>4.35</v>
      </c>
      <c r="R203" s="6">
        <f t="shared" si="111"/>
        <v>5.65</v>
      </c>
      <c r="S203" s="1">
        <f>LOOKUP(R203,{0,3.75,3.95,4.55,4.75,4.95,5.55,5.6,5.65,5.7,5.75,5.8,5.85,5.9,5.95,6,6.45,6.53,6.6,6.65,6.7},{0,10,20,30,40,50,60,62,64,66,68,70,72,74,76,78,80,85,90,95,100})</f>
        <v>64</v>
      </c>
      <c r="T203" s="7"/>
      <c r="U203" s="7"/>
      <c r="V203" s="21">
        <f t="shared" si="112"/>
        <v>64</v>
      </c>
      <c r="W203" s="6"/>
      <c r="X203" s="21">
        <f t="shared" si="105"/>
        <v>41.6</v>
      </c>
      <c r="Y203" s="37">
        <f t="shared" si="113"/>
        <v>59.4285714285714</v>
      </c>
    </row>
    <row r="204" ht="15.6" hidden="1" outlineLevel="2" spans="1:25">
      <c r="A204" s="6">
        <v>105</v>
      </c>
      <c r="B204" s="6">
        <v>16</v>
      </c>
      <c r="C204" s="6" t="s">
        <v>235</v>
      </c>
      <c r="D204" s="52" t="s">
        <v>11</v>
      </c>
      <c r="F204" s="1"/>
      <c r="H204" s="1"/>
      <c r="J204" s="1"/>
      <c r="K204" s="7"/>
      <c r="L204" s="7"/>
      <c r="M204" s="21"/>
      <c r="O204" s="43"/>
      <c r="P204" s="1"/>
      <c r="S204" s="1"/>
      <c r="T204" s="7"/>
      <c r="U204" s="40"/>
      <c r="V204" s="21"/>
      <c r="W204" s="6" t="s">
        <v>222</v>
      </c>
      <c r="X204" s="21">
        <f t="shared" si="105"/>
        <v>0</v>
      </c>
      <c r="Y204" s="37">
        <v>50</v>
      </c>
    </row>
    <row r="205" ht="15.6" hidden="1" outlineLevel="2" spans="1:25">
      <c r="A205" s="6">
        <v>105</v>
      </c>
      <c r="B205" s="6">
        <v>17</v>
      </c>
      <c r="C205" s="52" t="s">
        <v>236</v>
      </c>
      <c r="D205" s="52" t="s">
        <v>11</v>
      </c>
      <c r="E205" s="6">
        <v>16</v>
      </c>
      <c r="F205" s="1">
        <f>LOOKUP(E205,{0,-4,-3,-2,-1,0,1,2.4,3.8,5.2,6.6,8,9.4,10.8,12.2,13.6,15,17.2,19.4,21.5,23.6},{0,10,20,30,40,50,60,62,64,66,68,70,72,74,76,78,80,85,90,95,100})</f>
        <v>80</v>
      </c>
      <c r="G205" s="6">
        <v>185</v>
      </c>
      <c r="H205" s="1">
        <f>LOOKUP(G205,{0,170,175,180,185,190,195,199,203,207,211,215,219,223,227,231,235,243,250,255,260},{0,10,20,30,40,50,60,62,64,66,68,70,72,74,76,78,80,85,90,95,100})</f>
        <v>40</v>
      </c>
      <c r="I205" s="6">
        <v>5</v>
      </c>
      <c r="J205" s="1">
        <f>LOOKUP(I205,{0,2,3,4,5,6,7,8,9,10,11,12,13,14,15,16},{0,10,20,30,40,50,60,64,68,72,76,80,85,90,95,100})</f>
        <v>40</v>
      </c>
      <c r="K205" s="7"/>
      <c r="L205" s="7"/>
      <c r="M205" s="21">
        <f t="shared" si="110"/>
        <v>40</v>
      </c>
      <c r="N205" s="6">
        <v>7.8</v>
      </c>
      <c r="O205" s="43">
        <f t="shared" ref="O205:O217" si="114">13-N205</f>
        <v>5.2</v>
      </c>
      <c r="P205" s="1">
        <f>LOOKUP(O205,{0,2.5,2.7,2.9,3.1,3.3,3.5,3.7,3.9,4.1,4.3,4.5,4.7,4.9,5.1,5.3,5.5,5.6,5.7,5.8,5.9},{0,10,20,30,40,50,60,62,64,66,68,70,72,74,76,78,80,85,90,95,100})</f>
        <v>76</v>
      </c>
      <c r="Q205" s="6">
        <v>3.4</v>
      </c>
      <c r="R205" s="6">
        <f t="shared" si="111"/>
        <v>6.6</v>
      </c>
      <c r="S205" s="1">
        <f>LOOKUP(R205,{0,3.75,3.95,4.55,4.75,4.95,5.55,5.6,5.65,5.7,5.75,5.8,5.85,5.9,5.95,6,6.45,6.53,6.6,6.65,6.7},{0,10,20,30,40,50,60,62,64,66,68,70,72,74,76,78,80,85,90,95,100})</f>
        <v>90</v>
      </c>
      <c r="T205" s="7"/>
      <c r="U205" s="7"/>
      <c r="V205" s="21">
        <f t="shared" si="112"/>
        <v>90</v>
      </c>
      <c r="X205" s="21">
        <f t="shared" si="105"/>
        <v>49.2</v>
      </c>
      <c r="Y205" s="37">
        <f t="shared" si="113"/>
        <v>70.2857142857143</v>
      </c>
    </row>
    <row r="206" ht="15.6" hidden="1" outlineLevel="2" spans="1:25">
      <c r="A206" s="6">
        <v>105</v>
      </c>
      <c r="B206" s="6">
        <v>18</v>
      </c>
      <c r="C206" s="52" t="s">
        <v>237</v>
      </c>
      <c r="D206" s="52" t="s">
        <v>11</v>
      </c>
      <c r="E206" s="6">
        <v>12</v>
      </c>
      <c r="F206" s="1">
        <f>LOOKUP(E206,{0,-4,-3,-2,-1,0,1,2.4,3.8,5.2,6.6,8,9.4,10.8,12.2,13.6,15,17.2,19.4,21.5,23.6},{0,10,20,30,40,50,60,62,64,66,68,70,72,74,76,78,80,85,90,95,100})</f>
        <v>74</v>
      </c>
      <c r="G206" s="6">
        <v>190</v>
      </c>
      <c r="H206" s="1">
        <f>LOOKUP(G206,{0,170,175,180,185,190,195,199,203,207,211,215,219,223,227,231,235,243,250,255,260},{0,10,20,30,40,50,60,62,64,66,68,70,72,74,76,78,80,85,90,95,100})</f>
        <v>50</v>
      </c>
      <c r="I206" s="6">
        <v>1</v>
      </c>
      <c r="J206" s="1">
        <f>LOOKUP(I206,{0,2,3,4,5,6,7,8,9,10,11,12,13,14,15,16},{0,10,20,30,40,50,60,64,68,72,76,80,85,90,95,100})</f>
        <v>0</v>
      </c>
      <c r="K206" s="7"/>
      <c r="L206" s="7"/>
      <c r="M206" s="21">
        <f t="shared" si="110"/>
        <v>0</v>
      </c>
      <c r="N206" s="6">
        <v>7.8</v>
      </c>
      <c r="O206" s="43">
        <f t="shared" si="114"/>
        <v>5.2</v>
      </c>
      <c r="P206" s="1">
        <f>LOOKUP(O206,{0,2.5,2.7,2.9,3.1,3.3,3.5,3.7,3.9,4.1,4.3,4.5,4.7,4.9,5.1,5.3,5.5,5.6,5.7,5.8,5.9},{0,10,20,30,40,50,60,62,64,66,68,70,72,74,76,78,80,85,90,95,100})</f>
        <v>76</v>
      </c>
      <c r="Q206" s="6">
        <v>3.35</v>
      </c>
      <c r="R206" s="6">
        <f t="shared" si="111"/>
        <v>6.65</v>
      </c>
      <c r="S206" s="1">
        <f>LOOKUP(R206,{0,3.75,3.95,4.55,4.75,4.95,5.55,5.6,5.65,5.7,5.75,5.8,5.85,5.9,5.95,6,6.45,6.53,6.6,6.65,6.7},{0,10,20,30,40,50,60,62,64,66,68,70,72,74,76,78,80,85,90,95,100})</f>
        <v>95</v>
      </c>
      <c r="T206" s="7"/>
      <c r="U206" s="7"/>
      <c r="V206" s="21">
        <f t="shared" si="112"/>
        <v>95</v>
      </c>
      <c r="X206" s="21">
        <f t="shared" si="105"/>
        <v>46.6</v>
      </c>
      <c r="Y206" s="37">
        <f t="shared" si="113"/>
        <v>66.5714285714286</v>
      </c>
    </row>
    <row r="207" ht="15.6" hidden="1" outlineLevel="2" spans="1:25">
      <c r="A207" s="6">
        <v>105</v>
      </c>
      <c r="B207" s="6">
        <v>19</v>
      </c>
      <c r="C207" s="52" t="s">
        <v>238</v>
      </c>
      <c r="D207" s="52" t="s">
        <v>11</v>
      </c>
      <c r="E207" s="6">
        <v>-3</v>
      </c>
      <c r="F207" s="1">
        <f>LOOKUP(E207,{0,-4,-3,-2,-1,0,1,2.4,3.8,5.2,6.6,8,9.4,10.8,12.2,13.6,15,17.2,19.4,21.5,23.6},{0,10,20,30,40,50,60,62,64,66,68,70,72,74,76,78,80,85,90,95,100})</f>
        <v>20</v>
      </c>
      <c r="G207" s="6">
        <v>203</v>
      </c>
      <c r="H207" s="1">
        <f>LOOKUP(G207,{0,170,175,180,185,190,195,199,203,207,211,215,219,223,227,231,235,243,250,255,260},{0,10,20,30,40,50,60,62,64,66,68,70,72,74,76,78,80,85,90,95,100})</f>
        <v>64</v>
      </c>
      <c r="I207" s="6">
        <v>2</v>
      </c>
      <c r="J207" s="1">
        <f>LOOKUP(I207,{0,2,3,4,5,6,7,8,9,10,11,12,13,14,15,16},{0,10,20,30,40,50,60,64,68,72,76,80,85,90,95,100})</f>
        <v>10</v>
      </c>
      <c r="K207" s="7"/>
      <c r="L207" s="7"/>
      <c r="M207" s="21">
        <f t="shared" si="110"/>
        <v>10</v>
      </c>
      <c r="N207" s="6">
        <v>8.2</v>
      </c>
      <c r="O207" s="43">
        <f t="shared" si="114"/>
        <v>4.8</v>
      </c>
      <c r="P207" s="1">
        <f>LOOKUP(O207,{0,2.5,2.7,2.9,3.1,3.3,3.5,3.7,3.9,4.1,4.3,4.5,4.7,4.9,5.1,5.3,5.5,5.6,5.7,5.8,5.9},{0,10,20,30,40,50,60,62,64,66,68,70,72,74,76,78,80,85,90,95,100})</f>
        <v>72</v>
      </c>
      <c r="Q207" s="6">
        <v>4.04</v>
      </c>
      <c r="R207" s="6">
        <f t="shared" si="111"/>
        <v>5.96</v>
      </c>
      <c r="S207" s="1">
        <f>LOOKUP(R207,{0,3.75,3.95,4.55,4.75,4.95,5.55,5.6,5.65,5.7,5.75,5.8,5.85,5.9,5.95,6,6.45,6.53,6.6,6.65,6.7},{0,10,20,30,40,50,60,62,64,66,68,70,72,74,76,78,80,85,90,95,100})</f>
        <v>76</v>
      </c>
      <c r="T207" s="7"/>
      <c r="U207" s="7"/>
      <c r="V207" s="21">
        <f t="shared" si="112"/>
        <v>76</v>
      </c>
      <c r="X207" s="21">
        <f t="shared" si="105"/>
        <v>39</v>
      </c>
      <c r="Y207" s="37">
        <f t="shared" si="113"/>
        <v>55.7142857142857</v>
      </c>
    </row>
    <row r="208" ht="15.6" hidden="1" outlineLevel="2" spans="1:25">
      <c r="A208" s="6">
        <v>105</v>
      </c>
      <c r="B208" s="6">
        <v>20</v>
      </c>
      <c r="C208" s="52" t="s">
        <v>239</v>
      </c>
      <c r="D208" s="52" t="s">
        <v>11</v>
      </c>
      <c r="E208" s="6">
        <v>6.9</v>
      </c>
      <c r="F208" s="1">
        <f>LOOKUP(E208,{0,-4,-3,-2,-1,0,1,2.4,3.8,5.2,6.6,8,9.4,10.8,12.2,13.6,15,17.2,19.4,21.5,23.6},{0,10,20,30,40,50,60,62,64,66,68,70,72,74,76,78,80,85,90,95,100})</f>
        <v>68</v>
      </c>
      <c r="G208" s="6">
        <v>214</v>
      </c>
      <c r="H208" s="1">
        <f>LOOKUP(G208,{0,170,175,180,185,190,195,199,203,207,211,215,219,223,227,231,235,243,250,255,260},{0,10,20,30,40,50,60,62,64,66,68,70,72,74,76,78,80,85,90,95,100})</f>
        <v>68</v>
      </c>
      <c r="I208" s="6">
        <v>0</v>
      </c>
      <c r="J208" s="1">
        <f>LOOKUP(I208,{0,2,3,4,5,6,7,8,9,10,11,12,13,14,15,16},{0,10,20,30,40,50,60,64,68,72,76,80,85,90,95,100})</f>
        <v>0</v>
      </c>
      <c r="K208" s="7"/>
      <c r="L208" s="7"/>
      <c r="M208" s="21">
        <f t="shared" si="110"/>
        <v>0</v>
      </c>
      <c r="N208" s="6">
        <v>7.4</v>
      </c>
      <c r="O208" s="43">
        <f t="shared" si="114"/>
        <v>5.6</v>
      </c>
      <c r="P208" s="1">
        <f>LOOKUP(O208,{0,2.5,2.7,2.9,3.1,3.3,3.5,3.7,3.9,4.1,4.3,4.5,4.7,4.9,5.1,5.3,5.5,5.6,5.7,5.8,5.9},{0,10,20,30,40,50,60,62,64,66,68,70,72,74,76,78,80,85,90,95,100})</f>
        <v>85</v>
      </c>
      <c r="Q208" s="6">
        <v>3.42</v>
      </c>
      <c r="R208" s="6">
        <f t="shared" si="111"/>
        <v>6.58</v>
      </c>
      <c r="S208" s="1">
        <f>LOOKUP(R208,{0,3.75,3.95,4.55,4.75,4.95,5.55,5.6,5.65,5.7,5.75,5.8,5.85,5.9,5.95,6,6.45,6.53,6.6,6.65,6.7},{0,10,20,30,40,50,60,62,64,66,68,70,72,74,76,78,80,85,90,95,100})</f>
        <v>85</v>
      </c>
      <c r="T208" s="7"/>
      <c r="U208" s="7"/>
      <c r="V208" s="21">
        <f t="shared" si="112"/>
        <v>85</v>
      </c>
      <c r="X208" s="21">
        <f t="shared" si="105"/>
        <v>47.6</v>
      </c>
      <c r="Y208" s="37">
        <f t="shared" si="113"/>
        <v>68</v>
      </c>
    </row>
    <row r="209" ht="15.6" hidden="1" outlineLevel="2" spans="1:25">
      <c r="A209" s="6">
        <v>105</v>
      </c>
      <c r="B209" s="6">
        <v>21</v>
      </c>
      <c r="C209" s="52" t="s">
        <v>240</v>
      </c>
      <c r="D209" s="52" t="s">
        <v>11</v>
      </c>
      <c r="E209" s="6">
        <v>12</v>
      </c>
      <c r="F209" s="1">
        <f>LOOKUP(E209,{0,-4,-3,-2,-1,0,1,2.4,3.8,5.2,6.6,8,9.4,10.8,12.2,13.6,15,17.2,19.4,21.5,23.6},{0,10,20,30,40,50,60,62,64,66,68,70,72,74,76,78,80,85,90,95,100})</f>
        <v>74</v>
      </c>
      <c r="G209" s="6">
        <v>210</v>
      </c>
      <c r="H209" s="1">
        <f>LOOKUP(G209,{0,170,175,180,185,190,195,199,203,207,211,215,219,223,227,231,235,243,250,255,260},{0,10,20,30,40,50,60,62,64,66,68,70,72,74,76,78,80,85,90,95,100})</f>
        <v>66</v>
      </c>
      <c r="I209" s="6">
        <v>0</v>
      </c>
      <c r="J209" s="1">
        <f>LOOKUP(I209,{0,2,3,4,5,6,7,8,9,10,11,12,13,14,15,16},{0,10,20,30,40,50,60,64,68,72,76,80,85,90,95,100})</f>
        <v>0</v>
      </c>
      <c r="K209" s="7"/>
      <c r="L209" s="7"/>
      <c r="M209" s="21">
        <f t="shared" si="110"/>
        <v>0</v>
      </c>
      <c r="N209" s="6">
        <v>7.4</v>
      </c>
      <c r="O209" s="43">
        <f t="shared" si="114"/>
        <v>5.6</v>
      </c>
      <c r="P209" s="1">
        <f>LOOKUP(O209,{0,2.5,2.7,2.9,3.1,3.3,3.5,3.7,3.9,4.1,4.3,4.5,4.7,4.9,5.1,5.3,5.5,5.6,5.7,5.8,5.9},{0,10,20,30,40,50,60,62,64,66,68,70,72,74,76,78,80,85,90,95,100})</f>
        <v>85</v>
      </c>
      <c r="Q209" s="6">
        <v>4.02</v>
      </c>
      <c r="R209" s="6">
        <f t="shared" si="111"/>
        <v>5.98</v>
      </c>
      <c r="S209" s="1">
        <f>LOOKUP(R209,{0,3.75,3.95,4.55,4.75,4.95,5.55,5.6,5.65,5.7,5.75,5.8,5.85,5.9,5.95,6,6.45,6.53,6.6,6.65,6.7},{0,10,20,30,40,50,60,62,64,66,68,70,72,74,76,78,80,85,90,95,100})</f>
        <v>76</v>
      </c>
      <c r="T209" s="7"/>
      <c r="U209" s="7"/>
      <c r="V209" s="21">
        <f t="shared" si="112"/>
        <v>76</v>
      </c>
      <c r="X209" s="21">
        <f t="shared" si="105"/>
        <v>46.2</v>
      </c>
      <c r="Y209" s="37">
        <f t="shared" si="113"/>
        <v>66</v>
      </c>
    </row>
    <row r="210" ht="15.6" hidden="1" outlineLevel="2" spans="1:25">
      <c r="A210" s="6">
        <v>105</v>
      </c>
      <c r="B210" s="6">
        <v>22</v>
      </c>
      <c r="C210" s="52" t="s">
        <v>241</v>
      </c>
      <c r="D210" s="52" t="s">
        <v>11</v>
      </c>
      <c r="E210" s="6">
        <v>17.6</v>
      </c>
      <c r="F210" s="1">
        <f>LOOKUP(E210,{0,-4,-3,-2,-1,0,1,2.4,3.8,5.2,6.6,8,9.4,10.8,12.2,13.6,15,17.2,19.4,21.5,23.6},{0,10,20,30,40,50,60,62,64,66,68,70,72,74,76,78,80,85,90,95,100})</f>
        <v>85</v>
      </c>
      <c r="G210" s="6">
        <v>235</v>
      </c>
      <c r="H210" s="1">
        <f>LOOKUP(G210,{0,170,175,180,185,190,195,199,203,207,211,215,219,223,227,231,235,243,250,255,260},{0,10,20,30,40,50,60,62,64,66,68,70,72,74,76,78,80,85,90,95,100})</f>
        <v>80</v>
      </c>
      <c r="I210" s="6">
        <v>20</v>
      </c>
      <c r="J210" s="1">
        <f>LOOKUP(I210,{0,2,3,4,5,6,7,8,9,10,11,12,13,14,15,16},{0,10,20,30,40,50,60,64,68,72,76,80,85,90,95,100})</f>
        <v>100</v>
      </c>
      <c r="K210" s="7">
        <f>I210-16</f>
        <v>4</v>
      </c>
      <c r="L210" s="40">
        <f>LOOKUP(K210,{0,1,2,3,4,5,6,7,8,9,10},{0,1,2,3,4,5,6,7,8,9,10})</f>
        <v>4</v>
      </c>
      <c r="M210" s="21">
        <f t="shared" si="110"/>
        <v>104</v>
      </c>
      <c r="N210" s="6">
        <v>6.8</v>
      </c>
      <c r="O210" s="43">
        <f t="shared" si="114"/>
        <v>6.2</v>
      </c>
      <c r="P210" s="1">
        <f>LOOKUP(O210,{0,2.5,2.7,2.9,3.1,3.3,3.5,3.7,3.9,4.1,4.3,4.5,4.7,4.9,5.1,5.3,5.5,5.6,5.7,5.8,5.9},{0,10,20,30,40,50,60,62,64,66,68,70,72,74,76,78,80,85,90,95,100})</f>
        <v>100</v>
      </c>
      <c r="Q210" s="6">
        <v>3.45</v>
      </c>
      <c r="R210" s="6">
        <f t="shared" si="111"/>
        <v>6.55</v>
      </c>
      <c r="S210" s="1">
        <f>LOOKUP(R210,{0,3.75,3.95,4.55,4.75,4.95,5.55,5.6,5.65,5.7,5.75,5.8,5.85,5.9,5.95,6,6.45,6.53,6.6,6.65,6.7},{0,10,20,30,40,50,60,62,64,66,68,70,72,74,76,78,80,85,90,95,100})</f>
        <v>85</v>
      </c>
      <c r="T210" s="7"/>
      <c r="U210" s="7"/>
      <c r="V210" s="21">
        <f t="shared" si="112"/>
        <v>85</v>
      </c>
      <c r="X210" s="21">
        <f t="shared" si="105"/>
        <v>63.5</v>
      </c>
      <c r="Y210" s="37">
        <f t="shared" si="113"/>
        <v>94.7142857142857</v>
      </c>
    </row>
    <row r="211" ht="15.6" hidden="1" outlineLevel="2" spans="1:25">
      <c r="A211" s="6">
        <v>105</v>
      </c>
      <c r="B211" s="6">
        <v>23</v>
      </c>
      <c r="C211" s="52" t="s">
        <v>242</v>
      </c>
      <c r="D211" s="52" t="s">
        <v>11</v>
      </c>
      <c r="F211" s="1"/>
      <c r="H211" s="1"/>
      <c r="J211" s="1"/>
      <c r="K211" s="7"/>
      <c r="L211" s="7"/>
      <c r="M211" s="21"/>
      <c r="N211" s="6">
        <v>7.3</v>
      </c>
      <c r="O211" s="43">
        <f t="shared" si="114"/>
        <v>5.7</v>
      </c>
      <c r="P211" s="1">
        <f>LOOKUP(O211,{0,2.5,2.7,2.9,3.1,3.3,3.5,3.7,3.9,4.1,4.3,4.5,4.7,4.9,5.1,5.3,5.5,5.6,5.7,5.8,5.9},{0,10,20,30,40,50,60,62,64,66,68,70,72,74,76,78,80,85,90,95,100})</f>
        <v>90</v>
      </c>
      <c r="S211" s="1"/>
      <c r="T211" s="7"/>
      <c r="U211" s="40"/>
      <c r="V211" s="21"/>
      <c r="W211" s="6" t="s">
        <v>222</v>
      </c>
      <c r="X211" s="21">
        <f t="shared" si="105"/>
        <v>18</v>
      </c>
      <c r="Y211" s="37">
        <v>50</v>
      </c>
    </row>
    <row r="212" ht="15.6" outlineLevel="1" collapsed="1" spans="1:25">
      <c r="A212" s="42" t="s">
        <v>846</v>
      </c>
      <c r="C212" s="52"/>
      <c r="D212" s="52"/>
      <c r="F212" s="1">
        <f>SUBTOTAL(1,F189:F211)</f>
        <v>66.1764705882353</v>
      </c>
      <c r="H212" s="1">
        <f>SUBTOTAL(1,H189:H211)</f>
        <v>64.5882352941177</v>
      </c>
      <c r="J212" s="1">
        <f>SUBTOTAL(1,J189:J211)</f>
        <v>19.5294117647059</v>
      </c>
      <c r="K212" s="7"/>
      <c r="L212" s="7"/>
      <c r="M212" s="21">
        <f>SUBTOTAL(1,M189:M211)</f>
        <v>20.3529411764706</v>
      </c>
      <c r="O212" s="43"/>
      <c r="P212" s="1">
        <f>SUBTOTAL(1,P189:P211)</f>
        <v>82.2272727272727</v>
      </c>
      <c r="S212" s="1">
        <f>SUBTOTAL(1,S189:S211)</f>
        <v>78.2352941176471</v>
      </c>
      <c r="T212" s="7"/>
      <c r="U212" s="40"/>
      <c r="V212" s="21">
        <f>SUBTOTAL(1,V189:V211)</f>
        <v>78.2352941176471</v>
      </c>
      <c r="X212" s="21">
        <f>SUBTOTAL(1,X189:X211)</f>
        <v>38.404347826087</v>
      </c>
      <c r="Y212" s="37">
        <f>SUBTOTAL(1,Y189:Y211)</f>
        <v>63.1242236024845</v>
      </c>
    </row>
    <row r="213" ht="15.6" hidden="1" outlineLevel="2" spans="1:25">
      <c r="A213" s="6">
        <v>106</v>
      </c>
      <c r="B213" s="6">
        <v>1</v>
      </c>
      <c r="C213" s="39" t="s">
        <v>244</v>
      </c>
      <c r="D213" s="29" t="s">
        <v>11</v>
      </c>
      <c r="E213" s="6">
        <v>5.5</v>
      </c>
      <c r="F213" s="1">
        <f>LOOKUP(E213,{0,-4,-3,-2,-1,0,1,2.4,3.8,5.2,6.6,8,9.4,10.8,12.2,13.6,15,17.2,19.4,21.5,23.6},{0,10,20,30,40,50,60,62,64,66,68,70,72,74,76,78,80,85,90,95,100})</f>
        <v>66</v>
      </c>
      <c r="G213" s="6">
        <v>220</v>
      </c>
      <c r="H213" s="1">
        <f>LOOKUP(G213,{0,170,175,180,185,190,195,199,203,207,211,215,219,223,227,231,235,243,250,255,260},{0,10,20,30,40,50,60,62,64,66,68,70,72,74,76,78,80,85,90,95,100})</f>
        <v>72</v>
      </c>
      <c r="I213" s="6">
        <v>3</v>
      </c>
      <c r="J213" s="1">
        <f>LOOKUP(I213,{0,2,3,4,5,6,7,8,9,10,11,12,13,14,15,16},{0,10,20,30,40,50,60,64,68,72,76,80,85,90,95,100})</f>
        <v>20</v>
      </c>
      <c r="K213" s="7"/>
      <c r="L213" s="7"/>
      <c r="M213" s="21">
        <f t="shared" ref="M213:M218" si="115">J213+L213</f>
        <v>20</v>
      </c>
      <c r="N213" s="6">
        <v>7</v>
      </c>
      <c r="O213" s="43">
        <f t="shared" ref="O213:O218" si="116">13-N213</f>
        <v>6</v>
      </c>
      <c r="P213" s="1">
        <f>LOOKUP(O213,{0,2.5,2.7,2.9,3.1,3.3,3.5,3.7,3.9,4.1,4.3,4.5,4.7,4.9,5.1,5.3,5.5,5.6,5.7,5.8,5.9},{0,10,20,30,40,50,60,62,64,66,68,70,72,74,76,78,80,85,90,95,100})</f>
        <v>100</v>
      </c>
      <c r="Q213" s="6">
        <v>3.34</v>
      </c>
      <c r="R213" s="6">
        <f t="shared" ref="R213:R218" si="117">10-Q213</f>
        <v>6.66</v>
      </c>
      <c r="S213" s="1">
        <f>LOOKUP(R213,{0,3.75,3.95,4.55,4.75,4.95,5.55,5.6,5.65,5.7,5.75,5.8,5.85,5.9,5.95,6,6.45,6.53,6.6,6.65,6.7},{0,10,20,30,40,50,60,62,64,66,68,70,72,74,76,78,80,85,90,95,100})</f>
        <v>95</v>
      </c>
      <c r="T213" s="7"/>
      <c r="U213" s="7"/>
      <c r="V213" s="21">
        <f t="shared" ref="V213:V218" si="118">S213+U213</f>
        <v>95</v>
      </c>
      <c r="X213" s="21">
        <f t="shared" ref="X213:X218" si="119">F213*0.1+H213*0.1+J213*0.1+P213*0.2+S213*0.2</f>
        <v>54.8</v>
      </c>
      <c r="Y213" s="37">
        <f t="shared" ref="Y213:Y218" si="120">X213/0.7+L213+U213</f>
        <v>78.2857142857143</v>
      </c>
    </row>
    <row r="214" ht="15.6" hidden="1" outlineLevel="2" spans="1:25">
      <c r="A214" s="6">
        <v>106</v>
      </c>
      <c r="B214" s="6">
        <v>2</v>
      </c>
      <c r="C214" s="29" t="s">
        <v>245</v>
      </c>
      <c r="D214" s="29" t="s">
        <v>11</v>
      </c>
      <c r="E214" s="6">
        <v>9.2</v>
      </c>
      <c r="F214" s="1">
        <f>LOOKUP(E214,{0,-4,-3,-2,-1,0,1,2.4,3.8,5.2,6.6,8,9.4,10.8,12.2,13.6,15,17.2,19.4,21.5,23.6},{0,10,20,30,40,50,60,62,64,66,68,70,72,74,76,78,80,85,90,95,100})</f>
        <v>70</v>
      </c>
      <c r="G214" s="6">
        <v>220</v>
      </c>
      <c r="H214" s="1">
        <f>LOOKUP(G214,{0,170,175,180,185,190,195,199,203,207,211,215,219,223,227,231,235,243,250,255,260},{0,10,20,30,40,50,60,62,64,66,68,70,72,74,76,78,80,85,90,95,100})</f>
        <v>72</v>
      </c>
      <c r="I214" s="6">
        <v>17</v>
      </c>
      <c r="J214" s="1">
        <f>LOOKUP(I214,{0,2,3,4,5,6,7,8,9,10,11,12,13,14,15,16},{0,10,20,30,40,50,60,64,68,72,76,80,85,90,95,100})</f>
        <v>100</v>
      </c>
      <c r="K214" s="7">
        <f>I214-16</f>
        <v>1</v>
      </c>
      <c r="L214" s="40">
        <f>LOOKUP(K214,{0,1,2,3,4,5,6,7,8,9,10},{0,1,2,3,4,5,6,7,8,9,10})</f>
        <v>1</v>
      </c>
      <c r="M214" s="21">
        <f t="shared" si="115"/>
        <v>101</v>
      </c>
      <c r="N214" s="6">
        <v>7</v>
      </c>
      <c r="O214" s="43">
        <f t="shared" si="116"/>
        <v>6</v>
      </c>
      <c r="P214" s="1">
        <f>LOOKUP(O214,{0,2.5,2.7,2.9,3.1,3.3,3.5,3.7,3.9,4.1,4.3,4.5,4.7,4.9,5.1,5.3,5.5,5.6,5.7,5.8,5.9},{0,10,20,30,40,50,60,62,64,66,68,70,72,74,76,78,80,85,90,95,100})</f>
        <v>100</v>
      </c>
      <c r="Q214" s="6">
        <v>3.37</v>
      </c>
      <c r="R214" s="6">
        <f t="shared" si="117"/>
        <v>6.63</v>
      </c>
      <c r="S214" s="1">
        <f>LOOKUP(R214,{0,3.75,3.95,4.55,4.75,4.95,5.55,5.6,5.65,5.7,5.75,5.8,5.85,5.9,5.95,6,6.45,6.53,6.6,6.65,6.7},{0,10,20,30,40,50,60,62,64,66,68,70,72,74,76,78,80,85,90,95,100})</f>
        <v>90</v>
      </c>
      <c r="T214" s="7"/>
      <c r="U214" s="7"/>
      <c r="V214" s="21">
        <f t="shared" si="118"/>
        <v>90</v>
      </c>
      <c r="X214" s="21">
        <f t="shared" si="119"/>
        <v>62.2</v>
      </c>
      <c r="Y214" s="37">
        <f t="shared" si="120"/>
        <v>89.8571428571429</v>
      </c>
    </row>
    <row r="215" ht="15.6" hidden="1" outlineLevel="2" spans="1:25">
      <c r="A215" s="6">
        <v>106</v>
      </c>
      <c r="B215" s="6">
        <v>3</v>
      </c>
      <c r="C215" s="29" t="s">
        <v>246</v>
      </c>
      <c r="D215" s="29" t="s">
        <v>11</v>
      </c>
      <c r="E215" s="6">
        <v>5.2</v>
      </c>
      <c r="F215" s="1">
        <f>LOOKUP(E215,{0,-4,-3,-2,-1,0,1,2.4,3.8,5.2,6.6,8,9.4,10.8,12.2,13.6,15,17.2,19.4,21.5,23.6},{0,10,20,30,40,50,60,62,64,66,68,70,72,74,76,78,80,85,90,95,100})</f>
        <v>66</v>
      </c>
      <c r="G215" s="6">
        <v>215</v>
      </c>
      <c r="H215" s="1">
        <f>LOOKUP(G215,{0,170,175,180,185,190,195,199,203,207,211,215,219,223,227,231,235,243,250,255,260},{0,10,20,30,40,50,60,62,64,66,68,70,72,74,76,78,80,85,90,95,100})</f>
        <v>70</v>
      </c>
      <c r="I215" s="6">
        <v>2</v>
      </c>
      <c r="J215" s="1">
        <f>LOOKUP(I215,{0,2,3,4,5,6,7,8,9,10,11,12,13,14,15,16},{0,10,20,30,40,50,60,64,68,72,76,80,85,90,95,100})</f>
        <v>10</v>
      </c>
      <c r="K215" s="7"/>
      <c r="L215" s="7"/>
      <c r="M215" s="21">
        <f t="shared" si="115"/>
        <v>10</v>
      </c>
      <c r="N215" s="6">
        <v>7.8</v>
      </c>
      <c r="O215" s="43">
        <f t="shared" si="116"/>
        <v>5.2</v>
      </c>
      <c r="P215" s="1">
        <f>LOOKUP(O215,{0,2.5,2.7,2.9,3.1,3.3,3.5,3.7,3.9,4.1,4.3,4.5,4.7,4.9,5.1,5.3,5.5,5.6,5.7,5.8,5.9},{0,10,20,30,40,50,60,62,64,66,68,70,72,74,76,78,80,85,90,95,100})</f>
        <v>76</v>
      </c>
      <c r="Q215" s="6">
        <v>3.57</v>
      </c>
      <c r="R215" s="6">
        <f t="shared" si="117"/>
        <v>6.43</v>
      </c>
      <c r="S215" s="1">
        <f>LOOKUP(R215,{0,3.75,3.95,4.55,4.75,4.95,5.55,5.6,5.65,5.7,5.75,5.8,5.85,5.9,5.95,6,6.45,6.53,6.6,6.65,6.7},{0,10,20,30,40,50,60,62,64,66,68,70,72,74,76,78,80,85,90,95,100})</f>
        <v>78</v>
      </c>
      <c r="T215" s="7"/>
      <c r="U215" s="7"/>
      <c r="V215" s="21">
        <f t="shared" si="118"/>
        <v>78</v>
      </c>
      <c r="X215" s="21">
        <f t="shared" si="119"/>
        <v>45.4</v>
      </c>
      <c r="Y215" s="37">
        <f t="shared" si="120"/>
        <v>64.8571428571429</v>
      </c>
    </row>
    <row r="216" s="3" customFormat="1" ht="15.6" hidden="1" outlineLevel="2" spans="1:25">
      <c r="A216" s="6">
        <v>106</v>
      </c>
      <c r="B216" s="6">
        <v>4</v>
      </c>
      <c r="C216" s="29" t="s">
        <v>247</v>
      </c>
      <c r="D216" s="29" t="s">
        <v>11</v>
      </c>
      <c r="E216" s="6">
        <v>6.9</v>
      </c>
      <c r="F216" s="1">
        <f>LOOKUP(E216,{0,-4,-3,-2,-1,0,1,2.4,3.8,5.2,6.6,8,9.4,10.8,12.2,13.6,15,17.2,19.4,21.5,23.6},{0,10,20,30,40,50,60,62,64,66,68,70,72,74,76,78,80,85,90,95,100})</f>
        <v>68</v>
      </c>
      <c r="G216" s="6">
        <v>200</v>
      </c>
      <c r="H216" s="1">
        <f>LOOKUP(G216,{0,170,175,180,185,190,195,199,203,207,211,215,219,223,227,231,235,243,250,255,260},{0,10,20,30,40,50,60,62,64,66,68,70,72,74,76,78,80,85,90,95,100})</f>
        <v>62</v>
      </c>
      <c r="I216" s="6">
        <v>4</v>
      </c>
      <c r="J216" s="1">
        <f>LOOKUP(I216,{0,2,3,4,5,6,7,8,9,10,11,12,13,14,15,16},{0,10,20,30,40,50,60,64,68,72,76,80,85,90,95,100})</f>
        <v>30</v>
      </c>
      <c r="K216" s="7"/>
      <c r="L216" s="7"/>
      <c r="M216" s="21">
        <f t="shared" si="115"/>
        <v>30</v>
      </c>
      <c r="N216" s="6">
        <v>7</v>
      </c>
      <c r="O216" s="43">
        <f t="shared" si="116"/>
        <v>6</v>
      </c>
      <c r="P216" s="1">
        <f>LOOKUP(O216,{0,2.5,2.7,2.9,3.1,3.3,3.5,3.7,3.9,4.1,4.3,4.5,4.7,4.9,5.1,5.3,5.5,5.6,5.7,5.8,5.9},{0,10,20,30,40,50,60,62,64,66,68,70,72,74,76,78,80,85,90,95,100})</f>
        <v>100</v>
      </c>
      <c r="Q216" s="6">
        <v>3.4</v>
      </c>
      <c r="R216" s="6">
        <f t="shared" si="117"/>
        <v>6.6</v>
      </c>
      <c r="S216" s="1">
        <f>LOOKUP(R216,{0,3.75,3.95,4.55,4.75,4.95,5.55,5.6,5.65,5.7,5.75,5.8,5.85,5.9,5.95,6,6.45,6.53,6.6,6.65,6.7},{0,10,20,30,40,50,60,62,64,66,68,70,72,74,76,78,80,85,90,95,100})</f>
        <v>90</v>
      </c>
      <c r="T216" s="7"/>
      <c r="U216" s="7"/>
      <c r="V216" s="21">
        <f t="shared" si="118"/>
        <v>90</v>
      </c>
      <c r="W216" s="6"/>
      <c r="X216" s="21">
        <f t="shared" si="119"/>
        <v>54</v>
      </c>
      <c r="Y216" s="37">
        <f t="shared" si="120"/>
        <v>77.1428571428572</v>
      </c>
    </row>
    <row r="217" ht="15.6" hidden="1" outlineLevel="2" spans="1:25">
      <c r="A217" s="6">
        <v>106</v>
      </c>
      <c r="B217" s="6">
        <v>5</v>
      </c>
      <c r="C217" s="29" t="s">
        <v>248</v>
      </c>
      <c r="D217" s="29" t="s">
        <v>11</v>
      </c>
      <c r="E217" s="6">
        <v>8.5</v>
      </c>
      <c r="F217" s="1">
        <f>LOOKUP(E217,{0,-4,-3,-2,-1,0,1,2.4,3.8,5.2,6.6,8,9.4,10.8,12.2,13.6,15,17.2,19.4,21.5,23.6},{0,10,20,30,40,50,60,62,64,66,68,70,72,74,76,78,80,85,90,95,100})</f>
        <v>70</v>
      </c>
      <c r="G217" s="6">
        <v>213</v>
      </c>
      <c r="H217" s="1">
        <f>LOOKUP(G217,{0,170,175,180,185,190,195,199,203,207,211,215,219,223,227,231,235,243,250,255,260},{0,10,20,30,40,50,60,62,64,66,68,70,72,74,76,78,80,85,90,95,100})</f>
        <v>68</v>
      </c>
      <c r="I217" s="6">
        <v>0</v>
      </c>
      <c r="J217" s="1">
        <f>LOOKUP(I217,{0,2,3,4,5,6,7,8,9,10,11,12,13,14,15,16},{0,10,20,30,40,50,60,64,68,72,76,80,85,90,95,100})</f>
        <v>0</v>
      </c>
      <c r="K217" s="7"/>
      <c r="L217" s="7"/>
      <c r="M217" s="21">
        <f t="shared" si="115"/>
        <v>0</v>
      </c>
      <c r="N217" s="6">
        <v>8</v>
      </c>
      <c r="O217" s="43">
        <f t="shared" si="116"/>
        <v>5</v>
      </c>
      <c r="P217" s="1">
        <f>LOOKUP(O217,{0,2.5,2.7,2.9,3.1,3.3,3.5,3.7,3.9,4.1,4.3,4.5,4.7,4.9,5.1,5.3,5.5,5.6,5.7,5.8,5.9},{0,10,20,30,40,50,60,62,64,66,68,70,72,74,76,78,80,85,90,95,100})</f>
        <v>74</v>
      </c>
      <c r="Q217" s="6">
        <v>4.17</v>
      </c>
      <c r="R217" s="6">
        <f t="shared" si="117"/>
        <v>5.83</v>
      </c>
      <c r="S217" s="1">
        <f>LOOKUP(R217,{0,3.75,3.95,4.55,4.75,4.95,5.55,5.6,5.65,5.7,5.75,5.8,5.85,5.9,5.95,6,6.45,6.53,6.6,6.65,6.7},{0,10,20,30,40,50,60,62,64,66,68,70,72,74,76,78,80,85,90,95,100})</f>
        <v>70</v>
      </c>
      <c r="T217" s="7"/>
      <c r="U217" s="7"/>
      <c r="V217" s="21">
        <f t="shared" si="118"/>
        <v>70</v>
      </c>
      <c r="X217" s="21">
        <f t="shared" si="119"/>
        <v>42.6</v>
      </c>
      <c r="Y217" s="37">
        <f t="shared" si="120"/>
        <v>60.8571428571429</v>
      </c>
    </row>
    <row r="218" ht="15.6" hidden="1" outlineLevel="2" spans="1:25">
      <c r="A218" s="6">
        <v>106</v>
      </c>
      <c r="B218" s="6">
        <v>6</v>
      </c>
      <c r="C218" s="29" t="s">
        <v>249</v>
      </c>
      <c r="D218" s="29" t="s">
        <v>11</v>
      </c>
      <c r="E218" s="6">
        <v>16.1</v>
      </c>
      <c r="F218" s="1">
        <f>LOOKUP(E218,{0,-4,-3,-2,-1,0,1,2.4,3.8,5.2,6.6,8,9.4,10.8,12.2,13.6,15,17.2,19.4,21.5,23.6},{0,10,20,30,40,50,60,62,64,66,68,70,72,74,76,78,80,85,90,95,100})</f>
        <v>80</v>
      </c>
      <c r="G218" s="6">
        <v>250</v>
      </c>
      <c r="H218" s="1">
        <f>LOOKUP(G218,{0,170,175,180,185,190,195,199,203,207,211,215,219,223,227,231,235,243,250,255,260},{0,10,20,30,40,50,60,62,64,66,68,70,72,74,76,78,80,85,90,95,100})</f>
        <v>90</v>
      </c>
      <c r="I218" s="6">
        <v>6</v>
      </c>
      <c r="J218" s="1">
        <f>LOOKUP(I218,{0,2,3,4,5,6,7,8,9,10,11,12,13,14,15,16},{0,10,20,30,40,50,60,64,68,72,76,80,85,90,95,100})</f>
        <v>50</v>
      </c>
      <c r="K218" s="7"/>
      <c r="L218" s="7"/>
      <c r="M218" s="21">
        <f t="shared" si="115"/>
        <v>50</v>
      </c>
      <c r="N218" s="6">
        <v>7.2</v>
      </c>
      <c r="O218" s="43">
        <f t="shared" si="116"/>
        <v>5.8</v>
      </c>
      <c r="P218" s="1">
        <f>LOOKUP(O218,{0,2.5,2.7,2.9,3.1,3.3,3.5,3.7,3.9,4.1,4.3,4.5,4.7,4.9,5.1,5.3,5.5,5.6,5.7,5.8,5.9},{0,10,20,30,40,50,60,62,64,66,68,70,72,74,76,78,80,85,90,95,100})</f>
        <v>95</v>
      </c>
      <c r="Q218" s="6">
        <v>4.03</v>
      </c>
      <c r="R218" s="6">
        <f t="shared" si="117"/>
        <v>5.97</v>
      </c>
      <c r="S218" s="1">
        <f>LOOKUP(R218,{0,3.75,3.95,4.55,4.75,4.95,5.55,5.6,5.65,5.7,5.75,5.8,5.85,5.9,5.95,6,6.45,6.53,6.6,6.65,6.7},{0,10,20,30,40,50,60,62,64,66,68,70,72,74,76,78,80,85,90,95,100})</f>
        <v>76</v>
      </c>
      <c r="T218" s="7"/>
      <c r="U218" s="7"/>
      <c r="V218" s="21">
        <f t="shared" si="118"/>
        <v>76</v>
      </c>
      <c r="X218" s="21">
        <f t="shared" si="119"/>
        <v>56.2</v>
      </c>
      <c r="Y218" s="37">
        <f t="shared" si="120"/>
        <v>80.2857142857143</v>
      </c>
    </row>
    <row r="219" ht="15.6" hidden="1" outlineLevel="2" spans="1:25">
      <c r="A219" s="6">
        <v>106</v>
      </c>
      <c r="B219" s="6">
        <v>8</v>
      </c>
      <c r="C219" s="29" t="s">
        <v>252</v>
      </c>
      <c r="D219" s="29" t="s">
        <v>11</v>
      </c>
      <c r="E219" s="6">
        <v>0.2</v>
      </c>
      <c r="F219" s="1">
        <f>LOOKUP(E219,{0,-4,-3,-2,-1,0,1,2.4,3.8,5.2,6.6,8,9.4,10.8,12.2,13.6,15,17.2,19.4,21.5,23.6},{0,10,20,30,40,50,60,62,64,66,68,70,72,74,76,78,80,85,90,95,100})</f>
        <v>50</v>
      </c>
      <c r="G219" s="6">
        <v>250</v>
      </c>
      <c r="H219" s="1">
        <f>LOOKUP(G219,{0,170,175,180,185,190,195,199,203,207,211,215,219,223,227,231,235,243,250,255,260},{0,10,20,30,40,50,60,62,64,66,68,70,72,74,76,78,80,85,90,95,100})</f>
        <v>90</v>
      </c>
      <c r="I219" s="6">
        <v>26</v>
      </c>
      <c r="J219" s="1">
        <f>LOOKUP(I219,{0,2,3,4,5,6,7,8,9,10,11,12,13,14,15,16},{0,10,20,30,40,50,60,64,68,72,76,80,85,90,95,100})</f>
        <v>100</v>
      </c>
      <c r="K219" s="7">
        <f t="shared" ref="K219:K222" si="121">I219-16</f>
        <v>10</v>
      </c>
      <c r="L219" s="40">
        <f>LOOKUP(K219,{0,1,2,3,4,5,6,7,8,9,10},{0,1,2,3,4,5,6,7,8,9,10})</f>
        <v>10</v>
      </c>
      <c r="M219" s="21">
        <f t="shared" ref="M219:M222" si="122">J219+L219</f>
        <v>110</v>
      </c>
      <c r="N219" s="6">
        <v>6.6</v>
      </c>
      <c r="O219" s="43">
        <f t="shared" ref="O219:O233" si="123">13-N219</f>
        <v>6.4</v>
      </c>
      <c r="P219" s="1">
        <f>LOOKUP(O219,{0,2.5,2.7,2.9,3.1,3.3,3.5,3.7,3.9,4.1,4.3,4.5,4.7,4.9,5.1,5.3,5.5,5.6,5.7,5.8,5.9},{0,10,20,30,40,50,60,62,64,66,68,70,72,74,76,78,80,85,90,95,100})</f>
        <v>100</v>
      </c>
      <c r="Q219" s="6">
        <v>3.04</v>
      </c>
      <c r="R219" s="6">
        <f t="shared" ref="R219:R221" si="124">10-Q219</f>
        <v>6.96</v>
      </c>
      <c r="S219" s="1">
        <f>LOOKUP(R219,{0,3.75,3.95,4.55,4.75,4.95,5.55,5.6,5.65,5.7,5.75,5.8,5.85,5.9,5.95,6,6.45,6.53,6.6,6.65,6.7},{0,10,20,30,40,50,60,62,64,66,68,70,72,74,76,78,80,85,90,95,100})</f>
        <v>100</v>
      </c>
      <c r="T219" s="7">
        <f>3.3-Q219</f>
        <v>0.26</v>
      </c>
      <c r="U219" s="40">
        <f>LOOKUP(T219,{0,0.04,0.08,0.12,0.16,0.2,0.23,0.26,0.29,0.32,0.35},{0,1,2,3,4,5,6,7,8,9,10})</f>
        <v>7</v>
      </c>
      <c r="V219" s="21">
        <f t="shared" ref="V219:V221" si="125">S219+U219</f>
        <v>107</v>
      </c>
      <c r="X219" s="21">
        <f t="shared" ref="X219:X261" si="126">F219*0.1+H219*0.1+J219*0.1+P219*0.2+S219*0.2</f>
        <v>64</v>
      </c>
      <c r="Y219" s="37">
        <f t="shared" ref="Y219:Y222" si="127">X219/0.7+L219+U219</f>
        <v>108.428571428571</v>
      </c>
    </row>
    <row r="220" ht="15.6" hidden="1" outlineLevel="2" spans="1:25">
      <c r="A220" s="6">
        <v>106</v>
      </c>
      <c r="B220" s="6">
        <v>9</v>
      </c>
      <c r="C220" s="29" t="s">
        <v>253</v>
      </c>
      <c r="D220" s="29" t="s">
        <v>11</v>
      </c>
      <c r="E220" s="6">
        <v>9</v>
      </c>
      <c r="F220" s="1">
        <f>LOOKUP(E220,{0,-4,-3,-2,-1,0,1,2.4,3.8,5.2,6.6,8,9.4,10.8,12.2,13.6,15,17.2,19.4,21.5,23.6},{0,10,20,30,40,50,60,62,64,66,68,70,72,74,76,78,80,85,90,95,100})</f>
        <v>70</v>
      </c>
      <c r="G220" s="6">
        <v>205</v>
      </c>
      <c r="H220" s="1">
        <f>LOOKUP(G220,{0,170,175,180,185,190,195,199,203,207,211,215,219,223,227,231,235,243,250,255,260},{0,10,20,30,40,50,60,62,64,66,68,70,72,74,76,78,80,85,90,95,100})</f>
        <v>64</v>
      </c>
      <c r="I220" s="6">
        <v>0</v>
      </c>
      <c r="J220" s="1">
        <f>LOOKUP(I220,{0,2,3,4,5,6,7,8,9,10,11,12,13,14,15,16},{0,10,20,30,40,50,60,64,68,72,76,80,85,90,95,100})</f>
        <v>0</v>
      </c>
      <c r="K220" s="7"/>
      <c r="L220" s="7"/>
      <c r="M220" s="21">
        <f t="shared" si="122"/>
        <v>0</v>
      </c>
      <c r="N220" s="6">
        <v>7.9</v>
      </c>
      <c r="O220" s="43">
        <f t="shared" si="123"/>
        <v>5.1</v>
      </c>
      <c r="P220" s="1">
        <f>LOOKUP(O220,{0,2.5,2.7,2.9,3.1,3.3,3.5,3.7,3.9,4.1,4.3,4.5,4.7,4.9,5.1,5.3,5.5,5.6,5.7,5.8,5.9},{0,10,20,30,40,50,60,62,64,66,68,70,72,74,76,78,80,85,90,95,100})</f>
        <v>76</v>
      </c>
      <c r="Q220" s="6">
        <v>3.52</v>
      </c>
      <c r="R220" s="6">
        <f t="shared" si="124"/>
        <v>6.48</v>
      </c>
      <c r="S220" s="1">
        <f>LOOKUP(R220,{0,3.75,3.95,4.55,4.75,4.95,5.55,5.6,5.65,5.7,5.75,5.8,5.85,5.9,5.95,6,6.45,6.53,6.6,6.65,6.7},{0,10,20,30,40,50,60,62,64,66,68,70,72,74,76,78,80,85,90,95,100})</f>
        <v>80</v>
      </c>
      <c r="T220" s="7"/>
      <c r="U220" s="7"/>
      <c r="V220" s="21">
        <f t="shared" si="125"/>
        <v>80</v>
      </c>
      <c r="X220" s="21">
        <f t="shared" si="126"/>
        <v>44.6</v>
      </c>
      <c r="Y220" s="37">
        <f t="shared" si="127"/>
        <v>63.7142857142857</v>
      </c>
    </row>
    <row r="221" ht="15.6" hidden="1" outlineLevel="2" spans="1:25">
      <c r="A221" s="6">
        <v>106</v>
      </c>
      <c r="B221" s="6">
        <v>10</v>
      </c>
      <c r="C221" s="29" t="s">
        <v>254</v>
      </c>
      <c r="D221" s="29" t="s">
        <v>11</v>
      </c>
      <c r="E221" s="6">
        <v>6.2</v>
      </c>
      <c r="F221" s="1">
        <f>LOOKUP(E221,{0,-4,-3,-2,-1,0,1,2.4,3.8,5.2,6.6,8,9.4,10.8,12.2,13.6,15,17.2,19.4,21.5,23.6},{0,10,20,30,40,50,60,62,64,66,68,70,72,74,76,78,80,85,90,95,100})</f>
        <v>66</v>
      </c>
      <c r="G221" s="6">
        <v>255</v>
      </c>
      <c r="H221" s="1">
        <f>LOOKUP(G221,{0,170,175,180,185,190,195,199,203,207,211,215,219,223,227,231,235,243,250,255,260},{0,10,20,30,40,50,60,62,64,66,68,70,72,74,76,78,80,85,90,95,100})</f>
        <v>95</v>
      </c>
      <c r="I221" s="6">
        <v>20</v>
      </c>
      <c r="J221" s="1">
        <f>LOOKUP(I221,{0,2,3,4,5,6,7,8,9,10,11,12,13,14,15,16},{0,10,20,30,40,50,60,64,68,72,76,80,85,90,95,100})</f>
        <v>100</v>
      </c>
      <c r="K221" s="7">
        <f t="shared" si="121"/>
        <v>4</v>
      </c>
      <c r="L221" s="40">
        <f>LOOKUP(K221,{0,1,2,3,4,5,6,7,8,9,10},{0,1,2,3,4,5,6,7,8,9,10})</f>
        <v>4</v>
      </c>
      <c r="M221" s="21">
        <f t="shared" si="122"/>
        <v>104</v>
      </c>
      <c r="N221" s="6">
        <v>7.1</v>
      </c>
      <c r="O221" s="43">
        <f t="shared" si="123"/>
        <v>5.9</v>
      </c>
      <c r="P221" s="1">
        <f>LOOKUP(O221,{0,2.5,2.7,2.9,3.1,3.3,3.5,3.7,3.9,4.1,4.3,4.5,4.7,4.9,5.1,5.3,5.5,5.6,5.7,5.8,5.9},{0,10,20,30,40,50,60,62,64,66,68,70,72,74,76,78,80,85,90,95,100})</f>
        <v>100</v>
      </c>
      <c r="Q221" s="6">
        <v>4.01</v>
      </c>
      <c r="R221" s="6">
        <f t="shared" si="124"/>
        <v>5.99</v>
      </c>
      <c r="S221" s="1">
        <f>LOOKUP(R221,{0,3.75,3.95,4.55,4.75,4.95,5.55,5.6,5.65,5.7,5.75,5.8,5.85,5.9,5.95,6,6.45,6.53,6.6,6.65,6.7},{0,10,20,30,40,50,60,62,64,66,68,70,72,74,76,78,80,85,90,95,100})</f>
        <v>76</v>
      </c>
      <c r="T221" s="7"/>
      <c r="U221" s="7"/>
      <c r="V221" s="21">
        <f t="shared" si="125"/>
        <v>76</v>
      </c>
      <c r="X221" s="21">
        <f t="shared" si="126"/>
        <v>61.3</v>
      </c>
      <c r="Y221" s="37">
        <f t="shared" si="127"/>
        <v>91.5714285714286</v>
      </c>
    </row>
    <row r="222" ht="15.6" hidden="1" outlineLevel="2" spans="1:25">
      <c r="A222" s="6">
        <v>106</v>
      </c>
      <c r="B222" s="6">
        <v>11</v>
      </c>
      <c r="C222" s="39" t="s">
        <v>256</v>
      </c>
      <c r="D222" s="29" t="s">
        <v>11</v>
      </c>
      <c r="E222" s="6">
        <v>-2.8</v>
      </c>
      <c r="F222" s="1">
        <f>LOOKUP(E222,{0,-4,-3,-2,-1,0,1,2.4,3.8,5.2,6.6,8,9.4,10.8,12.2,13.6,15,17.2,19.4,21.5,23.6},{0,10,20,30,40,50,60,62,64,66,68,70,72,74,76,78,80,85,90,95,100})</f>
        <v>20</v>
      </c>
      <c r="G222" s="6">
        <v>220</v>
      </c>
      <c r="H222" s="1">
        <f>LOOKUP(G222,{0,170,175,180,185,190,195,199,203,207,211,215,219,223,227,231,235,243,250,255,260},{0,10,20,30,40,50,60,62,64,66,68,70,72,74,76,78,80,85,90,95,100})</f>
        <v>72</v>
      </c>
      <c r="I222" s="6">
        <v>23</v>
      </c>
      <c r="J222" s="1">
        <f>LOOKUP(I222,{0,2,3,4,5,6,7,8,9,10,11,12,13,14,15,16},{0,10,20,30,40,50,60,64,68,72,76,80,85,90,95,100})</f>
        <v>100</v>
      </c>
      <c r="K222" s="7">
        <f t="shared" si="121"/>
        <v>7</v>
      </c>
      <c r="L222" s="40">
        <f>LOOKUP(K222,{0,1,2,3,4,5,6,7,8,9,10},{0,1,2,3,4,5,6,7,8,9,10})</f>
        <v>7</v>
      </c>
      <c r="M222" s="21">
        <f t="shared" si="122"/>
        <v>107</v>
      </c>
      <c r="N222" s="6">
        <v>7.3</v>
      </c>
      <c r="O222" s="43">
        <f t="shared" si="123"/>
        <v>5.7</v>
      </c>
      <c r="P222" s="1">
        <f>LOOKUP(O222,{0,2.5,2.7,2.9,3.1,3.3,3.5,3.7,3.9,4.1,4.3,4.5,4.7,4.9,5.1,5.3,5.5,5.6,5.7,5.8,5.9},{0,10,20,30,40,50,60,62,64,66,68,70,72,74,76,78,80,85,90,95,100})</f>
        <v>90</v>
      </c>
      <c r="S222" s="1"/>
      <c r="T222" s="7"/>
      <c r="U222" s="40"/>
      <c r="V222" s="21"/>
      <c r="W222" s="6" t="s">
        <v>26</v>
      </c>
      <c r="X222" s="21">
        <f t="shared" si="126"/>
        <v>37.2</v>
      </c>
      <c r="Y222" s="37">
        <f t="shared" si="127"/>
        <v>60.1428571428572</v>
      </c>
    </row>
    <row r="223" ht="15.6" hidden="1" outlineLevel="2" spans="1:25">
      <c r="A223" s="6">
        <v>106</v>
      </c>
      <c r="B223" s="6">
        <v>12</v>
      </c>
      <c r="C223" s="29" t="s">
        <v>257</v>
      </c>
      <c r="D223" s="29" t="s">
        <v>11</v>
      </c>
      <c r="F223" s="1"/>
      <c r="H223" s="1"/>
      <c r="J223" s="1"/>
      <c r="K223" s="7"/>
      <c r="L223" s="7"/>
      <c r="M223" s="21"/>
      <c r="N223" s="6">
        <v>8</v>
      </c>
      <c r="O223" s="43">
        <f t="shared" si="123"/>
        <v>5</v>
      </c>
      <c r="P223" s="1">
        <f>LOOKUP(O223,{0,2.5,2.7,2.9,3.1,3.3,3.5,3.7,3.9,4.1,4.3,4.5,4.7,4.9,5.1,5.3,5.5,5.6,5.7,5.8,5.9},{0,10,20,30,40,50,60,62,64,66,68,70,72,74,76,78,80,85,90,95,100})</f>
        <v>74</v>
      </c>
      <c r="S223" s="1"/>
      <c r="T223" s="7"/>
      <c r="U223" s="40"/>
      <c r="V223" s="21"/>
      <c r="W223" s="6" t="s">
        <v>84</v>
      </c>
      <c r="X223" s="21">
        <f t="shared" si="126"/>
        <v>14.8</v>
      </c>
      <c r="Y223" s="37">
        <v>50</v>
      </c>
    </row>
    <row r="224" ht="15.6" hidden="1" outlineLevel="2" spans="1:25">
      <c r="A224" s="6">
        <v>106</v>
      </c>
      <c r="B224" s="6">
        <v>13</v>
      </c>
      <c r="C224" s="29" t="s">
        <v>258</v>
      </c>
      <c r="D224" s="29" t="s">
        <v>11</v>
      </c>
      <c r="F224" s="1"/>
      <c r="H224" s="1"/>
      <c r="J224" s="1"/>
      <c r="K224" s="7"/>
      <c r="L224" s="7"/>
      <c r="M224" s="21"/>
      <c r="N224" s="6">
        <v>7.2</v>
      </c>
      <c r="O224" s="43">
        <f t="shared" si="123"/>
        <v>5.8</v>
      </c>
      <c r="P224" s="1">
        <f>LOOKUP(O224,{0,2.5,2.7,2.9,3.1,3.3,3.5,3.7,3.9,4.1,4.3,4.5,4.7,4.9,5.1,5.3,5.5,5.6,5.7,5.8,5.9},{0,10,20,30,40,50,60,62,64,66,68,70,72,74,76,78,80,85,90,95,100})</f>
        <v>95</v>
      </c>
      <c r="S224" s="1"/>
      <c r="T224" s="7"/>
      <c r="U224" s="40"/>
      <c r="V224" s="21"/>
      <c r="W224" s="6" t="s">
        <v>84</v>
      </c>
      <c r="X224" s="21">
        <f t="shared" si="126"/>
        <v>19</v>
      </c>
      <c r="Y224" s="37">
        <v>50</v>
      </c>
    </row>
    <row r="225" ht="15.6" hidden="1" outlineLevel="2" spans="1:25">
      <c r="A225" s="6">
        <v>106</v>
      </c>
      <c r="B225" s="6">
        <v>14</v>
      </c>
      <c r="C225" s="29" t="s">
        <v>259</v>
      </c>
      <c r="D225" s="29" t="s">
        <v>11</v>
      </c>
      <c r="E225" s="6">
        <v>-8.8</v>
      </c>
      <c r="F225" s="1">
        <v>0</v>
      </c>
      <c r="G225" s="6">
        <v>195</v>
      </c>
      <c r="H225" s="1">
        <f>LOOKUP(G225,{0,170,175,180,185,190,195,199,203,207,211,215,219,223,227,231,235,243,250,255,260},{0,10,20,30,40,50,60,62,64,66,68,70,72,74,76,78,80,85,90,95,100})</f>
        <v>60</v>
      </c>
      <c r="I225" s="6">
        <v>1</v>
      </c>
      <c r="J225" s="1">
        <f>LOOKUP(I225,{0,2,3,4,5,6,7,8,9,10,11,12,13,14,15,16},{0,10,20,30,40,50,60,64,68,72,76,80,85,90,95,100})</f>
        <v>0</v>
      </c>
      <c r="K225" s="7"/>
      <c r="L225" s="7"/>
      <c r="M225" s="21">
        <f t="shared" ref="M225:M233" si="128">J225+L225</f>
        <v>0</v>
      </c>
      <c r="N225" s="6">
        <v>7.4</v>
      </c>
      <c r="O225" s="43">
        <f t="shared" si="123"/>
        <v>5.6</v>
      </c>
      <c r="P225" s="1">
        <f>LOOKUP(O225,{0,2.5,2.7,2.9,3.1,3.3,3.5,3.7,3.9,4.1,4.3,4.5,4.7,4.9,5.1,5.3,5.5,5.6,5.7,5.8,5.9},{0,10,20,30,40,50,60,62,64,66,68,70,72,74,76,78,80,85,90,95,100})</f>
        <v>85</v>
      </c>
      <c r="Q225" s="6">
        <v>4.05</v>
      </c>
      <c r="R225" s="6">
        <f t="shared" ref="R225:R233" si="129">10-Q225</f>
        <v>5.95</v>
      </c>
      <c r="S225" s="1">
        <f>LOOKUP(R225,{0,3.75,3.95,4.55,4.75,4.95,5.55,5.6,5.65,5.7,5.75,5.8,5.85,5.9,5.95,6,6.45,6.53,6.6,6.65,6.7},{0,10,20,30,40,50,60,62,64,66,68,70,72,74,76,78,80,85,90,95,100})</f>
        <v>76</v>
      </c>
      <c r="T225" s="7"/>
      <c r="U225" s="7"/>
      <c r="V225" s="21">
        <f t="shared" ref="V225:V233" si="130">S225+U225</f>
        <v>76</v>
      </c>
      <c r="X225" s="21">
        <f t="shared" si="126"/>
        <v>38.2</v>
      </c>
      <c r="Y225" s="37">
        <f t="shared" ref="Y225:Y233" si="131">X225/0.7+L225+U225</f>
        <v>54.5714285714286</v>
      </c>
    </row>
    <row r="226" s="3" customFormat="1" ht="15.6" hidden="1" outlineLevel="2" spans="1:25">
      <c r="A226" s="6">
        <v>106</v>
      </c>
      <c r="B226" s="6">
        <v>15</v>
      </c>
      <c r="C226" s="29" t="s">
        <v>260</v>
      </c>
      <c r="D226" s="29" t="s">
        <v>11</v>
      </c>
      <c r="E226" s="6">
        <v>12</v>
      </c>
      <c r="F226" s="1">
        <f>LOOKUP(E226,{0,-4,-3,-2,-1,0,1,2.4,3.8,5.2,6.6,8,9.4,10.8,12.2,13.6,15,17.2,19.4,21.5,23.6},{0,10,20,30,40,50,60,62,64,66,68,70,72,74,76,78,80,85,90,95,100})</f>
        <v>74</v>
      </c>
      <c r="G226" s="6">
        <v>230</v>
      </c>
      <c r="H226" s="1">
        <f>LOOKUP(G226,{0,170,175,180,185,190,195,199,203,207,211,215,219,223,227,231,235,243,250,255,260},{0,10,20,30,40,50,60,62,64,66,68,70,72,74,76,78,80,85,90,95,100})</f>
        <v>76</v>
      </c>
      <c r="I226" s="6">
        <v>20</v>
      </c>
      <c r="J226" s="1">
        <f>LOOKUP(I226,{0,2,3,4,5,6,7,8,9,10,11,12,13,14,15,16},{0,10,20,30,40,50,60,64,68,72,76,80,85,90,95,100})</f>
        <v>100</v>
      </c>
      <c r="K226" s="7">
        <f>I226-16</f>
        <v>4</v>
      </c>
      <c r="L226" s="40">
        <f>LOOKUP(K226,{0,1,2,3,4,5,6,7,8,9,10},{0,1,2,3,4,5,6,7,8,9,10})</f>
        <v>4</v>
      </c>
      <c r="M226" s="21">
        <f t="shared" si="128"/>
        <v>104</v>
      </c>
      <c r="N226" s="6">
        <v>7</v>
      </c>
      <c r="O226" s="43">
        <f t="shared" si="123"/>
        <v>6</v>
      </c>
      <c r="P226" s="1">
        <f>LOOKUP(O226,{0,2.5,2.7,2.9,3.1,3.3,3.5,3.7,3.9,4.1,4.3,4.5,4.7,4.9,5.1,5.3,5.5,5.6,5.7,5.8,5.9},{0,10,20,30,40,50,60,62,64,66,68,70,72,74,76,78,80,85,90,95,100})</f>
        <v>100</v>
      </c>
      <c r="Q226" s="6">
        <v>3.33</v>
      </c>
      <c r="R226" s="6">
        <f t="shared" si="129"/>
        <v>6.67</v>
      </c>
      <c r="S226" s="1">
        <f>LOOKUP(R226,{0,3.75,3.95,4.55,4.75,4.95,5.55,5.6,5.65,5.7,5.75,5.8,5.85,5.9,5.95,6,6.45,6.53,6.6,6.65,6.7},{0,10,20,30,40,50,60,62,64,66,68,70,72,74,76,78,80,85,90,95,100})</f>
        <v>95</v>
      </c>
      <c r="T226" s="7"/>
      <c r="U226" s="7"/>
      <c r="V226" s="21">
        <f t="shared" si="130"/>
        <v>95</v>
      </c>
      <c r="W226" s="6"/>
      <c r="X226" s="21">
        <f t="shared" si="126"/>
        <v>64</v>
      </c>
      <c r="Y226" s="37">
        <f t="shared" si="131"/>
        <v>95.4285714285714</v>
      </c>
    </row>
    <row r="227" ht="15.6" hidden="1" outlineLevel="2" spans="1:25">
      <c r="A227" s="6">
        <v>106</v>
      </c>
      <c r="B227" s="6">
        <v>16</v>
      </c>
      <c r="C227" s="29" t="s">
        <v>261</v>
      </c>
      <c r="D227" s="29" t="s">
        <v>11</v>
      </c>
      <c r="E227" s="6">
        <v>13.7</v>
      </c>
      <c r="F227" s="1">
        <f>LOOKUP(E227,{0,-4,-3,-2,-1,0,1,2.4,3.8,5.2,6.6,8,9.4,10.8,12.2,13.6,15,17.2,19.4,21.5,23.6},{0,10,20,30,40,50,60,62,64,66,68,70,72,74,76,78,80,85,90,95,100})</f>
        <v>78</v>
      </c>
      <c r="G227" s="6">
        <v>192</v>
      </c>
      <c r="H227" s="1">
        <f>LOOKUP(G227,{0,170,175,180,185,190,195,199,203,207,211,215,219,223,227,231,235,243,250,255,260},{0,10,20,30,40,50,60,62,64,66,68,70,72,74,76,78,80,85,90,95,100})</f>
        <v>50</v>
      </c>
      <c r="I227" s="6">
        <v>9</v>
      </c>
      <c r="J227" s="1">
        <f>LOOKUP(I227,{0,2,3,4,5,6,7,8,9,10,11,12,13,14,15,16},{0,10,20,30,40,50,60,64,68,72,76,80,85,90,95,100})</f>
        <v>68</v>
      </c>
      <c r="K227" s="7"/>
      <c r="L227" s="7"/>
      <c r="M227" s="21">
        <f t="shared" si="128"/>
        <v>68</v>
      </c>
      <c r="N227" s="6">
        <v>7.8</v>
      </c>
      <c r="O227" s="43">
        <f t="shared" si="123"/>
        <v>5.2</v>
      </c>
      <c r="P227" s="1">
        <f>LOOKUP(O227,{0,2.5,2.7,2.9,3.1,3.3,3.5,3.7,3.9,4.1,4.3,4.5,4.7,4.9,5.1,5.3,5.5,5.6,5.7,5.8,5.9},{0,10,20,30,40,50,60,62,64,66,68,70,72,74,76,78,80,85,90,95,100})</f>
        <v>76</v>
      </c>
      <c r="Q227" s="6">
        <v>4.21</v>
      </c>
      <c r="R227" s="6">
        <f t="shared" si="129"/>
        <v>5.79</v>
      </c>
      <c r="S227" s="1">
        <f>LOOKUP(R227,{0,3.75,3.95,4.55,4.75,4.95,5.55,5.6,5.65,5.7,5.75,5.8,5.85,5.9,5.95,6,6.45,6.53,6.6,6.65,6.7},{0,10,20,30,40,50,60,62,64,66,68,70,72,74,76,78,80,85,90,95,100})</f>
        <v>68</v>
      </c>
      <c r="T227" s="7"/>
      <c r="U227" s="7"/>
      <c r="V227" s="21">
        <f t="shared" si="130"/>
        <v>68</v>
      </c>
      <c r="X227" s="21">
        <f t="shared" si="126"/>
        <v>48.4</v>
      </c>
      <c r="Y227" s="37">
        <f t="shared" si="131"/>
        <v>69.1428571428572</v>
      </c>
    </row>
    <row r="228" ht="15.6" hidden="1" outlineLevel="2" spans="1:25">
      <c r="A228" s="6">
        <v>106</v>
      </c>
      <c r="B228" s="6">
        <v>17</v>
      </c>
      <c r="C228" s="29" t="s">
        <v>262</v>
      </c>
      <c r="D228" s="29" t="s">
        <v>11</v>
      </c>
      <c r="E228" s="6">
        <v>17.7</v>
      </c>
      <c r="F228" s="1">
        <f>LOOKUP(E228,{0,-4,-3,-2,-1,0,1,2.4,3.8,5.2,6.6,8,9.4,10.8,12.2,13.6,15,17.2,19.4,21.5,23.6},{0,10,20,30,40,50,60,62,64,66,68,70,72,74,76,78,80,85,90,95,100})</f>
        <v>85</v>
      </c>
      <c r="G228" s="6">
        <v>274</v>
      </c>
      <c r="H228" s="1">
        <f>LOOKUP(G228,{0,170,175,180,185,190,195,199,203,207,211,215,219,223,227,231,235,243,250,255,260},{0,10,20,30,40,50,60,62,64,66,68,70,72,74,76,78,80,85,90,95,100})</f>
        <v>100</v>
      </c>
      <c r="I228" s="6">
        <v>5</v>
      </c>
      <c r="J228" s="1">
        <f>LOOKUP(I228,{0,2,3,4,5,6,7,8,9,10,11,12,13,14,15,16},{0,10,20,30,40,50,60,64,68,72,76,80,85,90,95,100})</f>
        <v>40</v>
      </c>
      <c r="K228" s="7"/>
      <c r="L228" s="7"/>
      <c r="M228" s="21">
        <f t="shared" si="128"/>
        <v>40</v>
      </c>
      <c r="N228" s="6">
        <v>7</v>
      </c>
      <c r="O228" s="43">
        <f t="shared" si="123"/>
        <v>6</v>
      </c>
      <c r="P228" s="1">
        <f>LOOKUP(O228,{0,2.5,2.7,2.9,3.1,3.3,3.5,3.7,3.9,4.1,4.3,4.5,4.7,4.9,5.1,5.3,5.5,5.6,5.7,5.8,5.9},{0,10,20,30,40,50,60,62,64,66,68,70,72,74,76,78,80,85,90,95,100})</f>
        <v>100</v>
      </c>
      <c r="Q228" s="6">
        <v>3.32</v>
      </c>
      <c r="R228" s="6">
        <f t="shared" si="129"/>
        <v>6.68</v>
      </c>
      <c r="S228" s="1">
        <f>LOOKUP(R228,{0,3.75,3.95,4.55,4.75,4.95,5.55,5.6,5.65,5.7,5.75,5.8,5.85,5.9,5.95,6,6.45,6.53,6.6,6.65,6.7},{0,10,20,30,40,50,60,62,64,66,68,70,72,74,76,78,80,85,90,95,100})</f>
        <v>95</v>
      </c>
      <c r="T228" s="7"/>
      <c r="U228" s="7"/>
      <c r="V228" s="21">
        <f t="shared" si="130"/>
        <v>95</v>
      </c>
      <c r="X228" s="21">
        <f t="shared" si="126"/>
        <v>61.5</v>
      </c>
      <c r="Y228" s="37">
        <f t="shared" si="131"/>
        <v>87.8571428571429</v>
      </c>
    </row>
    <row r="229" ht="15.6" hidden="1" outlineLevel="2" spans="1:25">
      <c r="A229" s="6">
        <v>106</v>
      </c>
      <c r="B229" s="6">
        <v>18</v>
      </c>
      <c r="C229" s="29" t="s">
        <v>263</v>
      </c>
      <c r="D229" s="29" t="s">
        <v>11</v>
      </c>
      <c r="E229" s="6">
        <v>11</v>
      </c>
      <c r="F229" s="1">
        <f>LOOKUP(E229,{0,-4,-3,-2,-1,0,1,2.4,3.8,5.2,6.6,8,9.4,10.8,12.2,13.6,15,17.2,19.4,21.5,23.6},{0,10,20,30,40,50,60,62,64,66,68,70,72,74,76,78,80,85,90,95,100})</f>
        <v>74</v>
      </c>
      <c r="G229" s="6">
        <v>255</v>
      </c>
      <c r="H229" s="1">
        <f>LOOKUP(G229,{0,170,175,180,185,190,195,199,203,207,211,215,219,223,227,231,235,243,250,255,260},{0,10,20,30,40,50,60,62,64,66,68,70,72,74,76,78,80,85,90,95,100})</f>
        <v>95</v>
      </c>
      <c r="I229" s="6">
        <v>14</v>
      </c>
      <c r="J229" s="1">
        <f>LOOKUP(I229,{0,2,3,4,5,6,7,8,9,10,11,12,13,14,15,16},{0,10,20,30,40,50,60,64,68,72,76,80,85,90,95,100})</f>
        <v>90</v>
      </c>
      <c r="K229" s="7"/>
      <c r="L229" s="7"/>
      <c r="M229" s="21">
        <f t="shared" si="128"/>
        <v>90</v>
      </c>
      <c r="N229" s="6">
        <v>6.9</v>
      </c>
      <c r="O229" s="43">
        <f t="shared" si="123"/>
        <v>6.1</v>
      </c>
      <c r="P229" s="1">
        <f>LOOKUP(O229,{0,2.5,2.7,2.9,3.1,3.3,3.5,3.7,3.9,4.1,4.3,4.5,4.7,4.9,5.1,5.3,5.5,5.6,5.7,5.8,5.9},{0,10,20,30,40,50,60,62,64,66,68,70,72,74,76,78,80,85,90,95,100})</f>
        <v>100</v>
      </c>
      <c r="Q229" s="6">
        <v>3.31</v>
      </c>
      <c r="R229" s="6">
        <f t="shared" si="129"/>
        <v>6.69</v>
      </c>
      <c r="S229" s="1">
        <f>LOOKUP(R229,{0,3.75,3.95,4.55,4.75,4.95,5.55,5.6,5.65,5.7,5.75,5.8,5.85,5.9,5.95,6,6.45,6.53,6.6,6.65,6.7},{0,10,20,30,40,50,60,62,64,66,68,70,72,74,76,78,80,85,90,95,100})</f>
        <v>95</v>
      </c>
      <c r="T229" s="7"/>
      <c r="U229" s="7"/>
      <c r="V229" s="21">
        <f t="shared" si="130"/>
        <v>95</v>
      </c>
      <c r="X229" s="21">
        <f t="shared" si="126"/>
        <v>64.9</v>
      </c>
      <c r="Y229" s="37">
        <f t="shared" si="131"/>
        <v>92.7142857142857</v>
      </c>
    </row>
    <row r="230" ht="15.6" hidden="1" outlineLevel="2" spans="1:25">
      <c r="A230" s="6">
        <v>106</v>
      </c>
      <c r="B230" s="6">
        <v>19</v>
      </c>
      <c r="C230" s="29" t="s">
        <v>264</v>
      </c>
      <c r="D230" s="29" t="s">
        <v>11</v>
      </c>
      <c r="E230" s="6">
        <v>17.2</v>
      </c>
      <c r="F230" s="1">
        <f>LOOKUP(E230,{0,-4,-3,-2,-1,0,1,2.4,3.8,5.2,6.6,8,9.4,10.8,12.2,13.6,15,17.2,19.4,21.5,23.6},{0,10,20,30,40,50,60,62,64,66,68,70,72,74,76,78,80,85,90,95,100})</f>
        <v>85</v>
      </c>
      <c r="G230" s="6">
        <v>220</v>
      </c>
      <c r="H230" s="1">
        <f>LOOKUP(G230,{0,170,175,180,185,190,195,199,203,207,211,215,219,223,227,231,235,243,250,255,260},{0,10,20,30,40,50,60,62,64,66,68,70,72,74,76,78,80,85,90,95,100})</f>
        <v>72</v>
      </c>
      <c r="I230" s="6">
        <v>1</v>
      </c>
      <c r="J230" s="1">
        <f>LOOKUP(I230,{0,2,3,4,5,6,7,8,9,10,11,12,13,14,15,16},{0,10,20,30,40,50,60,64,68,72,76,80,85,90,95,100})</f>
        <v>0</v>
      </c>
      <c r="K230" s="7"/>
      <c r="L230" s="7"/>
      <c r="M230" s="21">
        <f t="shared" si="128"/>
        <v>0</v>
      </c>
      <c r="N230" s="6">
        <v>8.1</v>
      </c>
      <c r="O230" s="43">
        <f t="shared" si="123"/>
        <v>4.9</v>
      </c>
      <c r="P230" s="1">
        <f>LOOKUP(O230,{0,2.5,2.7,2.9,3.1,3.3,3.5,3.7,3.9,4.1,4.3,4.5,4.7,4.9,5.1,5.3,5.5,5.6,5.7,5.8,5.9},{0,10,20,30,40,50,60,62,64,66,68,70,72,74,76,78,80,85,90,95,100})</f>
        <v>74</v>
      </c>
      <c r="Q230" s="6">
        <v>5.19</v>
      </c>
      <c r="R230" s="6">
        <f t="shared" si="129"/>
        <v>4.81</v>
      </c>
      <c r="S230" s="1">
        <f>LOOKUP(R230,{0,3.75,3.95,4.55,4.75,4.95,5.55,5.6,5.65,5.7,5.75,5.8,5.85,5.9,5.95,6,6.45,6.53,6.6,6.65,6.7},{0,10,20,30,40,50,60,62,64,66,68,70,72,74,76,78,80,85,90,95,100})</f>
        <v>40</v>
      </c>
      <c r="T230" s="7"/>
      <c r="U230" s="7"/>
      <c r="V230" s="21">
        <f t="shared" si="130"/>
        <v>40</v>
      </c>
      <c r="X230" s="21">
        <f t="shared" si="126"/>
        <v>38.5</v>
      </c>
      <c r="Y230" s="37">
        <f t="shared" si="131"/>
        <v>55</v>
      </c>
    </row>
    <row r="231" ht="15.6" hidden="1" outlineLevel="2" spans="1:25">
      <c r="A231" s="6">
        <v>106</v>
      </c>
      <c r="B231" s="6">
        <v>20</v>
      </c>
      <c r="C231" s="29" t="s">
        <v>265</v>
      </c>
      <c r="D231" s="29" t="s">
        <v>11</v>
      </c>
      <c r="E231" s="6">
        <v>8.4</v>
      </c>
      <c r="F231" s="1">
        <f>LOOKUP(E231,{0,-4,-3,-2,-1,0,1,2.4,3.8,5.2,6.6,8,9.4,10.8,12.2,13.6,15,17.2,19.4,21.5,23.6},{0,10,20,30,40,50,60,62,64,66,68,70,72,74,76,78,80,85,90,95,100})</f>
        <v>70</v>
      </c>
      <c r="G231" s="6">
        <v>210</v>
      </c>
      <c r="H231" s="1">
        <f>LOOKUP(G231,{0,170,175,180,185,190,195,199,203,207,211,215,219,223,227,231,235,243,250,255,260},{0,10,20,30,40,50,60,62,64,66,68,70,72,74,76,78,80,85,90,95,100})</f>
        <v>66</v>
      </c>
      <c r="I231" s="6">
        <v>2</v>
      </c>
      <c r="J231" s="1">
        <f>LOOKUP(I231,{0,2,3,4,5,6,7,8,9,10,11,12,13,14,15,16},{0,10,20,30,40,50,60,64,68,72,76,80,85,90,95,100})</f>
        <v>10</v>
      </c>
      <c r="K231" s="7"/>
      <c r="L231" s="7"/>
      <c r="M231" s="21">
        <f t="shared" si="128"/>
        <v>10</v>
      </c>
      <c r="N231" s="6">
        <v>7.6</v>
      </c>
      <c r="O231" s="43">
        <f t="shared" si="123"/>
        <v>5.4</v>
      </c>
      <c r="P231" s="1">
        <f>LOOKUP(O231,{0,2.5,2.7,2.9,3.1,3.3,3.5,3.7,3.9,4.1,4.3,4.5,4.7,4.9,5.1,5.3,5.5,5.6,5.7,5.8,5.9},{0,10,20,30,40,50,60,62,64,66,68,70,72,74,76,78,80,85,90,95,100})</f>
        <v>78</v>
      </c>
      <c r="Q231" s="6">
        <v>4.32</v>
      </c>
      <c r="R231" s="6">
        <f t="shared" si="129"/>
        <v>5.68</v>
      </c>
      <c r="S231" s="1">
        <f>LOOKUP(R231,{0,3.75,3.95,4.55,4.75,4.95,5.55,5.6,5.65,5.7,5.75,5.8,5.85,5.9,5.95,6,6.45,6.53,6.6,6.65,6.7},{0,10,20,30,40,50,60,62,64,66,68,70,72,74,76,78,80,85,90,95,100})</f>
        <v>64</v>
      </c>
      <c r="T231" s="7"/>
      <c r="U231" s="7"/>
      <c r="V231" s="21">
        <f t="shared" si="130"/>
        <v>64</v>
      </c>
      <c r="X231" s="21">
        <f t="shared" si="126"/>
        <v>43</v>
      </c>
      <c r="Y231" s="37">
        <f t="shared" si="131"/>
        <v>61.4285714285714</v>
      </c>
    </row>
    <row r="232" ht="15.6" hidden="1" outlineLevel="2" spans="1:25">
      <c r="A232" s="6">
        <v>106</v>
      </c>
      <c r="B232" s="6">
        <v>21</v>
      </c>
      <c r="C232" s="39" t="s">
        <v>267</v>
      </c>
      <c r="D232" s="29" t="s">
        <v>11</v>
      </c>
      <c r="E232" s="6">
        <v>15</v>
      </c>
      <c r="F232" s="1">
        <f>LOOKUP(E232,{0,-4,-3,-2,-1,0,1,2.4,3.8,5.2,6.6,8,9.4,10.8,12.2,13.6,15,17.2,19.4,21.5,23.6},{0,10,20,30,40,50,60,62,64,66,68,70,72,74,76,78,80,85,90,95,100})</f>
        <v>80</v>
      </c>
      <c r="G232" s="6">
        <v>236</v>
      </c>
      <c r="H232" s="1">
        <f>LOOKUP(G232,{0,170,175,180,185,190,195,199,203,207,211,215,219,223,227,231,235,243,250,255,260},{0,10,20,30,40,50,60,62,64,66,68,70,72,74,76,78,80,85,90,95,100})</f>
        <v>80</v>
      </c>
      <c r="I232" s="6">
        <v>1</v>
      </c>
      <c r="J232" s="1">
        <f>LOOKUP(I232,{0,2,3,4,5,6,7,8,9,10,11,12,13,14,15,16},{0,10,20,30,40,50,60,64,68,72,76,80,85,90,95,100})</f>
        <v>0</v>
      </c>
      <c r="K232" s="7"/>
      <c r="L232" s="7"/>
      <c r="M232" s="21">
        <f t="shared" si="128"/>
        <v>0</v>
      </c>
      <c r="N232" s="6">
        <v>7</v>
      </c>
      <c r="O232" s="43">
        <f t="shared" si="123"/>
        <v>6</v>
      </c>
      <c r="P232" s="1">
        <f>LOOKUP(O232,{0,2.5,2.7,2.9,3.1,3.3,3.5,3.7,3.9,4.1,4.3,4.5,4.7,4.9,5.1,5.3,5.5,5.6,5.7,5.8,5.9},{0,10,20,30,40,50,60,62,64,66,68,70,72,74,76,78,80,85,90,95,100})</f>
        <v>100</v>
      </c>
      <c r="Q232" s="6">
        <v>3.37</v>
      </c>
      <c r="R232" s="6">
        <f t="shared" si="129"/>
        <v>6.63</v>
      </c>
      <c r="S232" s="1">
        <f>LOOKUP(R232,{0,3.75,3.95,4.55,4.75,4.95,5.55,5.6,5.65,5.7,5.75,5.8,5.85,5.9,5.95,6,6.45,6.53,6.6,6.65,6.7},{0,10,20,30,40,50,60,62,64,66,68,70,72,74,76,78,80,85,90,95,100})</f>
        <v>90</v>
      </c>
      <c r="T232" s="7"/>
      <c r="U232" s="7"/>
      <c r="V232" s="21">
        <f t="shared" si="130"/>
        <v>90</v>
      </c>
      <c r="X232" s="21">
        <f t="shared" si="126"/>
        <v>54</v>
      </c>
      <c r="Y232" s="37">
        <f t="shared" si="131"/>
        <v>77.1428571428572</v>
      </c>
    </row>
    <row r="233" ht="15.6" hidden="1" outlineLevel="2" spans="1:25">
      <c r="A233" s="6">
        <v>106</v>
      </c>
      <c r="B233" s="6">
        <v>22</v>
      </c>
      <c r="C233" s="29" t="s">
        <v>268</v>
      </c>
      <c r="D233" s="29" t="s">
        <v>11</v>
      </c>
      <c r="E233" s="6">
        <v>11.7</v>
      </c>
      <c r="F233" s="1">
        <f>LOOKUP(E233,{0,-4,-3,-2,-1,0,1,2.4,3.8,5.2,6.6,8,9.4,10.8,12.2,13.6,15,17.2,19.4,21.5,23.6},{0,10,20,30,40,50,60,62,64,66,68,70,72,74,76,78,80,85,90,95,100})</f>
        <v>74</v>
      </c>
      <c r="G233" s="6">
        <v>235</v>
      </c>
      <c r="H233" s="1">
        <f>LOOKUP(G233,{0,170,175,180,185,190,195,199,203,207,211,215,219,223,227,231,235,243,250,255,260},{0,10,20,30,40,50,60,62,64,66,68,70,72,74,76,78,80,85,90,95,100})</f>
        <v>80</v>
      </c>
      <c r="I233" s="6">
        <v>2</v>
      </c>
      <c r="J233" s="1">
        <f>LOOKUP(I233,{0,2,3,4,5,6,7,8,9,10,11,12,13,14,15,16},{0,10,20,30,40,50,60,64,68,72,76,80,85,90,95,100})</f>
        <v>10</v>
      </c>
      <c r="K233" s="7"/>
      <c r="L233" s="7"/>
      <c r="M233" s="21">
        <f t="shared" si="128"/>
        <v>10</v>
      </c>
      <c r="N233" s="6">
        <v>6.8</v>
      </c>
      <c r="O233" s="43">
        <f t="shared" si="123"/>
        <v>6.2</v>
      </c>
      <c r="P233" s="1">
        <f>LOOKUP(O233,{0,2.5,2.7,2.9,3.1,3.3,3.5,3.7,3.9,4.1,4.3,4.5,4.7,4.9,5.1,5.3,5.5,5.6,5.7,5.8,5.9},{0,10,20,30,40,50,60,62,64,66,68,70,72,74,76,78,80,85,90,95,100})</f>
        <v>100</v>
      </c>
      <c r="Q233" s="6">
        <v>3.33</v>
      </c>
      <c r="R233" s="6">
        <f t="shared" si="129"/>
        <v>6.67</v>
      </c>
      <c r="S233" s="1">
        <f>LOOKUP(R233,{0,3.75,3.95,4.55,4.75,4.95,5.55,5.6,5.65,5.7,5.75,5.8,5.85,5.9,5.95,6,6.45,6.53,6.6,6.65,6.7},{0,10,20,30,40,50,60,62,64,66,68,70,72,74,76,78,80,85,90,95,100})</f>
        <v>95</v>
      </c>
      <c r="T233" s="7"/>
      <c r="U233" s="7"/>
      <c r="V233" s="21">
        <f t="shared" si="130"/>
        <v>95</v>
      </c>
      <c r="X233" s="21">
        <f t="shared" si="126"/>
        <v>55.4</v>
      </c>
      <c r="Y233" s="37">
        <f t="shared" si="131"/>
        <v>79.1428571428571</v>
      </c>
    </row>
    <row r="234" ht="15.6" hidden="1" outlineLevel="2" spans="1:25">
      <c r="A234" s="6">
        <v>106</v>
      </c>
      <c r="B234" s="6">
        <v>23</v>
      </c>
      <c r="C234" s="29" t="s">
        <v>269</v>
      </c>
      <c r="D234" s="29" t="s">
        <v>11</v>
      </c>
      <c r="F234" s="1"/>
      <c r="H234" s="1"/>
      <c r="J234" s="1"/>
      <c r="K234" s="7"/>
      <c r="L234" s="7"/>
      <c r="M234" s="21"/>
      <c r="O234" s="43"/>
      <c r="P234" s="1"/>
      <c r="S234" s="1"/>
      <c r="T234" s="7"/>
      <c r="U234" s="40"/>
      <c r="V234" s="21"/>
      <c r="W234" s="6" t="s">
        <v>84</v>
      </c>
      <c r="X234" s="21">
        <f t="shared" si="126"/>
        <v>0</v>
      </c>
      <c r="Y234" s="37">
        <v>50</v>
      </c>
    </row>
    <row r="235" ht="15.6" hidden="1" outlineLevel="2" spans="1:25">
      <c r="A235" s="6">
        <v>106</v>
      </c>
      <c r="B235" s="6">
        <v>24</v>
      </c>
      <c r="C235" s="29" t="s">
        <v>270</v>
      </c>
      <c r="D235" s="29" t="s">
        <v>11</v>
      </c>
      <c r="F235" s="1"/>
      <c r="H235" s="1"/>
      <c r="J235" s="1"/>
      <c r="K235" s="7"/>
      <c r="L235" s="7"/>
      <c r="M235" s="21"/>
      <c r="N235" s="6">
        <v>7.7</v>
      </c>
      <c r="O235" s="43">
        <f t="shared" ref="O235:O259" si="132">13-N235</f>
        <v>5.3</v>
      </c>
      <c r="P235" s="1">
        <f>LOOKUP(O235,{0,2.5,2.7,2.9,3.1,3.3,3.5,3.7,3.9,4.1,4.3,4.5,4.7,4.9,5.1,5.3,5.5,5.6,5.7,5.8,5.9},{0,10,20,30,40,50,60,62,64,66,68,70,72,74,76,78,80,85,90,95,100})</f>
        <v>78</v>
      </c>
      <c r="S235" s="1"/>
      <c r="T235" s="7"/>
      <c r="U235" s="40"/>
      <c r="V235" s="21"/>
      <c r="W235" s="6" t="s">
        <v>84</v>
      </c>
      <c r="X235" s="21">
        <f t="shared" si="126"/>
        <v>15.6</v>
      </c>
      <c r="Y235" s="37">
        <v>50</v>
      </c>
    </row>
    <row r="236" ht="15.6" hidden="1" outlineLevel="2" spans="1:25">
      <c r="A236" s="6">
        <v>106</v>
      </c>
      <c r="B236" s="6">
        <v>25</v>
      </c>
      <c r="C236" s="29" t="s">
        <v>271</v>
      </c>
      <c r="D236" s="29" t="s">
        <v>11</v>
      </c>
      <c r="E236" s="6">
        <v>8</v>
      </c>
      <c r="F236" s="1">
        <f>LOOKUP(E236,{0,-4,-3,-2,-1,0,1,2.4,3.8,5.2,6.6,8,9.4,10.8,12.2,13.6,15,17.2,19.4,21.5,23.6},{0,10,20,30,40,50,60,62,64,66,68,70,72,74,76,78,80,85,90,95,100})</f>
        <v>70</v>
      </c>
      <c r="G236" s="6">
        <v>220</v>
      </c>
      <c r="H236" s="1">
        <f>LOOKUP(G236,{0,170,175,180,185,190,195,199,203,207,211,215,219,223,227,231,235,243,250,255,260},{0,10,20,30,40,50,60,62,64,66,68,70,72,74,76,78,80,85,90,95,100})</f>
        <v>72</v>
      </c>
      <c r="I236" s="6">
        <v>0</v>
      </c>
      <c r="J236" s="1">
        <f>LOOKUP(I236,{0,2,3,4,5,6,7,8,9,10,11,12,13,14,15,16},{0,10,20,30,40,50,60,64,68,72,76,80,85,90,95,100})</f>
        <v>0</v>
      </c>
      <c r="K236" s="7"/>
      <c r="L236" s="7"/>
      <c r="M236" s="21">
        <f t="shared" ref="M236:M249" si="133">J236+L236</f>
        <v>0</v>
      </c>
      <c r="N236" s="6">
        <v>7.1</v>
      </c>
      <c r="O236" s="43">
        <f t="shared" si="132"/>
        <v>5.9</v>
      </c>
      <c r="P236" s="1">
        <f>LOOKUP(O236,{0,2.5,2.7,2.9,3.1,3.3,3.5,3.7,3.9,4.1,4.3,4.5,4.7,4.9,5.1,5.3,5.5,5.6,5.7,5.8,5.9},{0,10,20,30,40,50,60,62,64,66,68,70,72,74,76,78,80,85,90,95,100})</f>
        <v>100</v>
      </c>
      <c r="Q236" s="6">
        <v>3.49</v>
      </c>
      <c r="R236" s="6">
        <f t="shared" ref="R236:R249" si="134">10-Q236</f>
        <v>6.51</v>
      </c>
      <c r="S236" s="1">
        <f>LOOKUP(R236,{0,3.75,3.95,4.55,4.75,4.95,5.55,5.6,5.65,5.7,5.75,5.8,5.85,5.9,5.95,6,6.45,6.53,6.6,6.65,6.7},{0,10,20,30,40,50,60,62,64,66,68,70,72,74,76,78,80,85,90,95,100})</f>
        <v>80</v>
      </c>
      <c r="T236" s="7"/>
      <c r="U236" s="7"/>
      <c r="V236" s="21">
        <f t="shared" ref="V236:V249" si="135">S236+U236</f>
        <v>80</v>
      </c>
      <c r="X236" s="21">
        <f t="shared" si="126"/>
        <v>50.2</v>
      </c>
      <c r="Y236" s="37">
        <f t="shared" ref="Y236:Y249" si="136">X236/0.7+L236+U236</f>
        <v>71.7142857142857</v>
      </c>
    </row>
    <row r="237" s="3" customFormat="1" ht="15.6" hidden="1" outlineLevel="2" spans="1:25">
      <c r="A237" s="6">
        <v>106</v>
      </c>
      <c r="B237" s="6">
        <v>26</v>
      </c>
      <c r="C237" s="29" t="s">
        <v>272</v>
      </c>
      <c r="D237" s="29" t="s">
        <v>11</v>
      </c>
      <c r="E237" s="6">
        <v>16.5</v>
      </c>
      <c r="F237" s="1">
        <f>LOOKUP(E237,{0,-4,-3,-2,-1,0,1,2.4,3.8,5.2,6.6,8,9.4,10.8,12.2,13.6,15,17.2,19.4,21.5,23.6},{0,10,20,30,40,50,60,62,64,66,68,70,72,74,76,78,80,85,90,95,100})</f>
        <v>80</v>
      </c>
      <c r="G237" s="6">
        <v>212</v>
      </c>
      <c r="H237" s="1">
        <f>LOOKUP(G237,{0,170,175,180,185,190,195,199,203,207,211,215,219,223,227,231,235,243,250,255,260},{0,10,20,30,40,50,60,62,64,66,68,70,72,74,76,78,80,85,90,95,100})</f>
        <v>68</v>
      </c>
      <c r="I237" s="6">
        <v>0</v>
      </c>
      <c r="J237" s="1">
        <f>LOOKUP(I237,{0,2,3,4,5,6,7,8,9,10,11,12,13,14,15,16},{0,10,20,30,40,50,60,64,68,72,76,80,85,90,95,100})</f>
        <v>0</v>
      </c>
      <c r="K237" s="7"/>
      <c r="L237" s="7"/>
      <c r="M237" s="21">
        <f t="shared" si="133"/>
        <v>0</v>
      </c>
      <c r="N237" s="6">
        <v>7.9</v>
      </c>
      <c r="O237" s="43">
        <f t="shared" si="132"/>
        <v>5.1</v>
      </c>
      <c r="P237" s="1">
        <f>LOOKUP(O237,{0,2.5,2.7,2.9,3.1,3.3,3.5,3.7,3.9,4.1,4.3,4.5,4.7,4.9,5.1,5.3,5.5,5.6,5.7,5.8,5.9},{0,10,20,30,40,50,60,62,64,66,68,70,72,74,76,78,80,85,90,95,100})</f>
        <v>76</v>
      </c>
      <c r="Q237" s="6">
        <v>4.13</v>
      </c>
      <c r="R237" s="6">
        <f t="shared" si="134"/>
        <v>5.87</v>
      </c>
      <c r="S237" s="1">
        <f>LOOKUP(R237,{0,3.75,3.95,4.55,4.75,4.95,5.55,5.6,5.65,5.7,5.75,5.8,5.85,5.9,5.95,6,6.45,6.53,6.6,6.65,6.7},{0,10,20,30,40,50,60,62,64,66,68,70,72,74,76,78,80,85,90,95,100})</f>
        <v>72</v>
      </c>
      <c r="T237" s="7"/>
      <c r="U237" s="7"/>
      <c r="V237" s="21">
        <f t="shared" si="135"/>
        <v>72</v>
      </c>
      <c r="W237" s="6"/>
      <c r="X237" s="21">
        <f t="shared" si="126"/>
        <v>44.4</v>
      </c>
      <c r="Y237" s="37">
        <f t="shared" si="136"/>
        <v>63.4285714285714</v>
      </c>
    </row>
    <row r="238" ht="15.6" hidden="1" outlineLevel="2" spans="1:25">
      <c r="A238" s="6">
        <v>106</v>
      </c>
      <c r="B238" s="6">
        <v>27</v>
      </c>
      <c r="C238" s="29" t="s">
        <v>273</v>
      </c>
      <c r="D238" s="29" t="s">
        <v>11</v>
      </c>
      <c r="E238" s="6">
        <v>18.5</v>
      </c>
      <c r="F238" s="1">
        <f>LOOKUP(E238,{0,-4,-3,-2,-1,0,1,2.4,3.8,5.2,6.6,8,9.4,10.8,12.2,13.6,15,17.2,19.4,21.5,23.6},{0,10,20,30,40,50,60,62,64,66,68,70,72,74,76,78,80,85,90,95,100})</f>
        <v>85</v>
      </c>
      <c r="G238" s="6">
        <v>212</v>
      </c>
      <c r="H238" s="1">
        <f>LOOKUP(G238,{0,170,175,180,185,190,195,199,203,207,211,215,219,223,227,231,235,243,250,255,260},{0,10,20,30,40,50,60,62,64,66,68,70,72,74,76,78,80,85,90,95,100})</f>
        <v>68</v>
      </c>
      <c r="I238" s="6">
        <v>17</v>
      </c>
      <c r="J238" s="1">
        <f>LOOKUP(I238,{0,2,3,4,5,6,7,8,9,10,11,12,13,14,15,16},{0,10,20,30,40,50,60,64,68,72,76,80,85,90,95,100})</f>
        <v>100</v>
      </c>
      <c r="K238" s="7">
        <f>I238-16</f>
        <v>1</v>
      </c>
      <c r="L238" s="40">
        <f>LOOKUP(K238,{0,1,2,3,4,5,6,7,8,9,10},{0,1,2,3,4,5,6,7,8,9,10})</f>
        <v>1</v>
      </c>
      <c r="M238" s="21">
        <f t="shared" si="133"/>
        <v>101</v>
      </c>
      <c r="N238" s="6">
        <v>7.8</v>
      </c>
      <c r="O238" s="43">
        <f t="shared" si="132"/>
        <v>5.2</v>
      </c>
      <c r="P238" s="1">
        <f>LOOKUP(O238,{0,2.5,2.7,2.9,3.1,3.3,3.5,3.7,3.9,4.1,4.3,4.5,4.7,4.9,5.1,5.3,5.5,5.6,5.7,5.8,5.9},{0,10,20,30,40,50,60,62,64,66,68,70,72,74,76,78,80,85,90,95,100})</f>
        <v>76</v>
      </c>
      <c r="Q238" s="6">
        <v>4.08</v>
      </c>
      <c r="R238" s="6">
        <f t="shared" si="134"/>
        <v>5.92</v>
      </c>
      <c r="S238" s="1">
        <f>LOOKUP(R238,{0,3.75,3.95,4.55,4.75,4.95,5.55,5.6,5.65,5.7,5.75,5.8,5.85,5.9,5.95,6,6.45,6.53,6.6,6.65,6.7},{0,10,20,30,40,50,60,62,64,66,68,70,72,74,76,78,80,85,90,95,100})</f>
        <v>74</v>
      </c>
      <c r="T238" s="7"/>
      <c r="U238" s="7"/>
      <c r="V238" s="21">
        <f t="shared" si="135"/>
        <v>74</v>
      </c>
      <c r="X238" s="21">
        <f t="shared" si="126"/>
        <v>55.3</v>
      </c>
      <c r="Y238" s="37">
        <f t="shared" si="136"/>
        <v>80</v>
      </c>
    </row>
    <row r="239" ht="15.6" hidden="1" outlineLevel="2" spans="1:25">
      <c r="A239" s="6">
        <v>106</v>
      </c>
      <c r="B239" s="6">
        <v>28</v>
      </c>
      <c r="C239" s="29" t="s">
        <v>274</v>
      </c>
      <c r="D239" s="29" t="s">
        <v>11</v>
      </c>
      <c r="E239" s="6">
        <v>16.6</v>
      </c>
      <c r="F239" s="1">
        <f>LOOKUP(E239,{0,-4,-3,-2,-1,0,1,2.4,3.8,5.2,6.6,8,9.4,10.8,12.2,13.6,15,17.2,19.4,21.5,23.6},{0,10,20,30,40,50,60,62,64,66,68,70,72,74,76,78,80,85,90,95,100})</f>
        <v>80</v>
      </c>
      <c r="G239" s="6">
        <v>180</v>
      </c>
      <c r="H239" s="1">
        <f>LOOKUP(G239,{0,170,175,180,185,190,195,199,203,207,211,215,219,223,227,231,235,243,250,255,260},{0,10,20,30,40,50,60,62,64,66,68,70,72,74,76,78,80,85,90,95,100})</f>
        <v>30</v>
      </c>
      <c r="I239" s="6">
        <v>0</v>
      </c>
      <c r="J239" s="1">
        <f>LOOKUP(I239,{0,2,3,4,5,6,7,8,9,10,11,12,13,14,15,16},{0,10,20,30,40,50,60,64,68,72,76,80,85,90,95,100})</f>
        <v>0</v>
      </c>
      <c r="K239" s="7"/>
      <c r="L239" s="7"/>
      <c r="M239" s="21">
        <f t="shared" si="133"/>
        <v>0</v>
      </c>
      <c r="N239" s="6">
        <v>7.9</v>
      </c>
      <c r="O239" s="43">
        <f t="shared" si="132"/>
        <v>5.1</v>
      </c>
      <c r="P239" s="1">
        <f>LOOKUP(O239,{0,2.5,2.7,2.9,3.1,3.3,3.5,3.7,3.9,4.1,4.3,4.5,4.7,4.9,5.1,5.3,5.5,5.6,5.7,5.8,5.9},{0,10,20,30,40,50,60,62,64,66,68,70,72,74,76,78,80,85,90,95,100})</f>
        <v>76</v>
      </c>
      <c r="Q239" s="6">
        <v>4.16</v>
      </c>
      <c r="R239" s="6">
        <f t="shared" si="134"/>
        <v>5.84</v>
      </c>
      <c r="S239" s="1">
        <f>LOOKUP(R239,{0,3.75,3.95,4.55,4.75,4.95,5.55,5.6,5.65,5.7,5.75,5.8,5.85,5.9,5.95,6,6.45,6.53,6.6,6.65,6.7},{0,10,20,30,40,50,60,62,64,66,68,70,72,74,76,78,80,85,90,95,100})</f>
        <v>70</v>
      </c>
      <c r="T239" s="7"/>
      <c r="U239" s="7"/>
      <c r="V239" s="21">
        <f t="shared" si="135"/>
        <v>70</v>
      </c>
      <c r="X239" s="21">
        <f t="shared" si="126"/>
        <v>40.2</v>
      </c>
      <c r="Y239" s="37">
        <f t="shared" si="136"/>
        <v>57.4285714285714</v>
      </c>
    </row>
    <row r="240" ht="15.6" hidden="1" outlineLevel="2" spans="1:25">
      <c r="A240" s="6">
        <v>106</v>
      </c>
      <c r="B240" s="6">
        <v>29</v>
      </c>
      <c r="C240" s="29" t="s">
        <v>275</v>
      </c>
      <c r="D240" s="29" t="s">
        <v>11</v>
      </c>
      <c r="E240" s="6">
        <v>12</v>
      </c>
      <c r="F240" s="1">
        <f>LOOKUP(E240,{0,-4,-3,-2,-1,0,1,2.4,3.8,5.2,6.6,8,9.4,10.8,12.2,13.6,15,17.2,19.4,21.5,23.6},{0,10,20,30,40,50,60,62,64,66,68,70,72,74,76,78,80,85,90,95,100})</f>
        <v>74</v>
      </c>
      <c r="G240" s="6">
        <v>175</v>
      </c>
      <c r="H240" s="1">
        <f>LOOKUP(G240,{0,170,175,180,185,190,195,199,203,207,211,215,219,223,227,231,235,243,250,255,260},{0,10,20,30,40,50,60,62,64,66,68,70,72,74,76,78,80,85,90,95,100})</f>
        <v>20</v>
      </c>
      <c r="I240" s="6">
        <v>0</v>
      </c>
      <c r="J240" s="1">
        <f>LOOKUP(I240,{0,2,3,4,5,6,7,8,9,10,11,12,13,14,15,16},{0,10,20,30,40,50,60,64,68,72,76,80,85,90,95,100})</f>
        <v>0</v>
      </c>
      <c r="K240" s="7"/>
      <c r="L240" s="7"/>
      <c r="M240" s="21">
        <f t="shared" si="133"/>
        <v>0</v>
      </c>
      <c r="N240" s="6">
        <v>8.7</v>
      </c>
      <c r="O240" s="43">
        <f t="shared" si="132"/>
        <v>4.3</v>
      </c>
      <c r="P240" s="1">
        <f>LOOKUP(O240,{0,2.5,2.7,2.9,3.1,3.3,3.5,3.7,3.9,4.1,4.3,4.5,4.7,4.9,5.1,5.3,5.5,5.6,5.7,5.8,5.9},{0,10,20,30,40,50,60,62,64,66,68,70,72,74,76,78,80,85,90,95,100})</f>
        <v>68</v>
      </c>
      <c r="Q240" s="6">
        <v>4.52</v>
      </c>
      <c r="R240" s="6">
        <f t="shared" si="134"/>
        <v>5.48</v>
      </c>
      <c r="S240" s="1">
        <f>LOOKUP(R240,{0,3.75,3.95,4.55,4.75,4.95,5.55,5.6,5.65,5.7,5.75,5.8,5.85,5.9,5.95,6,6.45,6.53,6.6,6.65,6.7},{0,10,20,30,40,50,60,62,64,66,68,70,72,74,76,78,80,85,90,95,100})</f>
        <v>50</v>
      </c>
      <c r="T240" s="7"/>
      <c r="U240" s="7"/>
      <c r="V240" s="21">
        <f t="shared" si="135"/>
        <v>50</v>
      </c>
      <c r="X240" s="21">
        <f t="shared" si="126"/>
        <v>33</v>
      </c>
      <c r="Y240" s="37">
        <f t="shared" si="136"/>
        <v>47.1428571428571</v>
      </c>
    </row>
    <row r="241" ht="15.6" hidden="1" outlineLevel="2" spans="1:25">
      <c r="A241" s="6">
        <v>106</v>
      </c>
      <c r="B241" s="6">
        <v>30</v>
      </c>
      <c r="C241" s="39" t="s">
        <v>277</v>
      </c>
      <c r="D241" s="29" t="s">
        <v>46</v>
      </c>
      <c r="E241" s="6">
        <v>20.6</v>
      </c>
      <c r="F241" s="1">
        <f>LOOKUP(E241,{0,0.4,1.2,2,2.8,3.6,4.4,5.7,7,8.3,9.6,10.9,12.2,13.5,14.8,16.1,17.4,19.1,20.8,22.5,24.2},{0,10,20,30,40,50,60,62,64,66,68,70,72,74,76,78,80,85,90,95,100})</f>
        <v>85</v>
      </c>
      <c r="G241" s="6">
        <v>180</v>
      </c>
      <c r="H241" s="1">
        <f>LOOKUP(G241,{0,123,128,133,138,143,148,151,154,157,160,163,166,169,172,175,178,185,192,198,204},{0,10,20,30,40,50,60,62,64,66,68,70,72,74,76,78,80,85,90,95,100})</f>
        <v>80</v>
      </c>
      <c r="I241" s="6">
        <v>49</v>
      </c>
      <c r="J241" s="1">
        <f>LOOKUP(I241,{0,13,15,17,19,21,23,25,27,29,31,33,35,37,39,41,43,46,49,51,53},{0,10,20,30,40,50,60,62,64,66,68,70,72,74,76,78,80,85,90,95,100})</f>
        <v>90</v>
      </c>
      <c r="K241" s="45"/>
      <c r="L241" s="45"/>
      <c r="M241" s="21">
        <f t="shared" si="133"/>
        <v>90</v>
      </c>
      <c r="N241" s="6">
        <v>9</v>
      </c>
      <c r="O241" s="43">
        <f t="shared" si="132"/>
        <v>4</v>
      </c>
      <c r="P241" s="1">
        <f>LOOKUP(O241,{0,1.4,1.6,1.8,2,2.2,2.4,2.6,2.8,3,3.2,3.4,3.6,3.8,4,4.2,4.4,4.7,5,5.1,5.2},{0,10,20,30,40,50,60,62,64,66,68,70,72,74,76,78,80,85,90,95,100})</f>
        <v>76</v>
      </c>
      <c r="Q241" s="6">
        <v>3.57</v>
      </c>
      <c r="R241" s="6">
        <f t="shared" si="134"/>
        <v>6.43</v>
      </c>
      <c r="S241" s="1">
        <f>LOOKUP(R241,{0,4.7,4.8,4.9,5,5.5,5.6,5.65,5.7,5.75,5.8,5.85,5.9,5.95,6,6.45,6.5,6.57,6.64,6.7,6.76},{0,10,20,30,40,50,60,62,64,66,68,70,72,74,76,78,80,85,90,95,100})</f>
        <v>76</v>
      </c>
      <c r="T241" s="45"/>
      <c r="U241" s="45"/>
      <c r="V241" s="21">
        <f t="shared" si="135"/>
        <v>76</v>
      </c>
      <c r="X241" s="21">
        <f t="shared" si="126"/>
        <v>55.9</v>
      </c>
      <c r="Y241" s="37">
        <f t="shared" si="136"/>
        <v>79.8571428571429</v>
      </c>
    </row>
    <row r="242" ht="15.6" hidden="1" outlineLevel="2" spans="1:25">
      <c r="A242" s="6">
        <v>106</v>
      </c>
      <c r="B242" s="6">
        <v>31</v>
      </c>
      <c r="C242" s="29" t="s">
        <v>278</v>
      </c>
      <c r="D242" s="29" t="s">
        <v>46</v>
      </c>
      <c r="E242" s="6">
        <v>17.2</v>
      </c>
      <c r="F242" s="1">
        <f>LOOKUP(E242,{0,0.4,1.2,2,2.8,3.6,4.4,5.7,7,8.3,9.6,10.9,12.2,13.5,14.8,16.1,17.4,19.1,20.8,22.5,24.2},{0,10,20,30,40,50,60,62,64,66,68,70,72,74,76,78,80,85,90,95,100})</f>
        <v>78</v>
      </c>
      <c r="G242" s="6">
        <v>155</v>
      </c>
      <c r="H242" s="1">
        <f>LOOKUP(G242,{0,123,128,133,138,143,148,151,154,157,160,163,166,169,172,175,178,185,192,198,204},{0,10,20,30,40,50,60,62,64,66,68,70,72,74,76,78,80,85,90,95,100})</f>
        <v>64</v>
      </c>
      <c r="I242" s="6">
        <v>53</v>
      </c>
      <c r="J242" s="1">
        <f>LOOKUP(I242,{0,13,15,17,19,21,23,25,27,29,31,33,35,37,39,41,43,46,49,51,53},{0,10,20,30,40,50,60,62,64,66,68,70,72,74,76,78,80,85,90,95,100})</f>
        <v>100</v>
      </c>
      <c r="K242" s="45">
        <f t="shared" ref="K242:K246" si="137">I242-53</f>
        <v>0</v>
      </c>
      <c r="L242" s="40">
        <f>LOOKUP(K242,{0,2,4,6,7,8,9,10,11,12,13},{0,1,2,3,4,5,6,7,8,9,10})</f>
        <v>0</v>
      </c>
      <c r="M242" s="21">
        <f t="shared" si="133"/>
        <v>100</v>
      </c>
      <c r="N242" s="6">
        <v>9.2</v>
      </c>
      <c r="O242" s="43">
        <f t="shared" si="132"/>
        <v>3.8</v>
      </c>
      <c r="P242" s="1">
        <f>LOOKUP(O242,{0,1.4,1.6,1.8,2,2.2,2.4,2.6,2.8,3,3.2,3.4,3.6,3.8,4,4.2,4.4,4.7,5,5.1,5.2},{0,10,20,30,40,50,60,62,64,66,68,70,72,74,76,78,80,85,90,95,100})</f>
        <v>74</v>
      </c>
      <c r="Q242" s="6">
        <v>4.3</v>
      </c>
      <c r="R242" s="6">
        <f t="shared" si="134"/>
        <v>5.7</v>
      </c>
      <c r="S242" s="1">
        <f>LOOKUP(R242,{0,4.7,4.8,4.9,5,5.5,5.6,5.65,5.7,5.75,5.8,5.85,5.9,5.95,6,6.45,6.5,6.57,6.64,6.7,6.76},{0,10,20,30,40,50,60,62,64,66,68,70,72,74,76,78,80,85,90,95,100})</f>
        <v>64</v>
      </c>
      <c r="T242" s="45"/>
      <c r="U242" s="45"/>
      <c r="V242" s="21">
        <f t="shared" si="135"/>
        <v>64</v>
      </c>
      <c r="X242" s="21">
        <f t="shared" si="126"/>
        <v>51.8</v>
      </c>
      <c r="Y242" s="37">
        <f t="shared" si="136"/>
        <v>74</v>
      </c>
    </row>
    <row r="243" ht="15.6" hidden="1" outlineLevel="2" spans="1:25">
      <c r="A243" s="6">
        <v>106</v>
      </c>
      <c r="B243" s="6">
        <v>32</v>
      </c>
      <c r="C243" s="29" t="s">
        <v>279</v>
      </c>
      <c r="D243" s="29" t="s">
        <v>46</v>
      </c>
      <c r="E243" s="6">
        <v>21.1</v>
      </c>
      <c r="F243" s="1">
        <f>LOOKUP(E243,{0,0.4,1.2,2,2.8,3.6,4.4,5.7,7,8.3,9.6,10.9,12.2,13.5,14.8,16.1,17.4,19.1,20.8,22.5,24.2},{0,10,20,30,40,50,60,62,64,66,68,70,72,74,76,78,80,85,90,95,100})</f>
        <v>90</v>
      </c>
      <c r="G243" s="6">
        <v>200</v>
      </c>
      <c r="H243" s="1">
        <f>LOOKUP(G243,{0,123,128,133,138,143,148,151,154,157,160,163,166,169,172,175,178,185,192,198,204},{0,10,20,30,40,50,60,62,64,66,68,70,72,74,76,78,80,85,90,95,100})</f>
        <v>95</v>
      </c>
      <c r="I243" s="6">
        <v>47</v>
      </c>
      <c r="J243" s="1">
        <f>LOOKUP(I243,{0,13,15,17,19,21,23,25,27,29,31,33,35,37,39,41,43,46,49,51,53},{0,10,20,30,40,50,60,62,64,66,68,70,72,74,76,78,80,85,90,95,100})</f>
        <v>85</v>
      </c>
      <c r="K243" s="45"/>
      <c r="L243" s="45"/>
      <c r="M243" s="21">
        <f t="shared" si="133"/>
        <v>85</v>
      </c>
      <c r="N243" s="6">
        <v>8.4</v>
      </c>
      <c r="O243" s="43">
        <f t="shared" si="132"/>
        <v>4.6</v>
      </c>
      <c r="P243" s="1">
        <f>LOOKUP(O243,{0,1.4,1.6,1.8,2,2.2,2.4,2.6,2.8,3,3.2,3.4,3.6,3.8,4,4.2,4.4,4.7,5,5.1,5.2},{0,10,20,30,40,50,60,62,64,66,68,70,72,74,76,78,80,85,90,95,100})</f>
        <v>80</v>
      </c>
      <c r="Q243" s="6">
        <v>3.43</v>
      </c>
      <c r="R243" s="6">
        <f t="shared" si="134"/>
        <v>6.57</v>
      </c>
      <c r="S243" s="1">
        <f>LOOKUP(R243,{0,4.7,4.8,4.9,5,5.5,5.6,5.65,5.7,5.75,5.8,5.85,5.9,5.95,6,6.45,6.5,6.57,6.64,6.7,6.76},{0,10,20,30,40,50,60,62,64,66,68,70,72,74,76,78,80,85,90,95,100})</f>
        <v>85</v>
      </c>
      <c r="T243" s="45"/>
      <c r="U243" s="45"/>
      <c r="V243" s="21">
        <f t="shared" si="135"/>
        <v>85</v>
      </c>
      <c r="X243" s="21">
        <f t="shared" si="126"/>
        <v>60</v>
      </c>
      <c r="Y243" s="37">
        <f t="shared" si="136"/>
        <v>85.7142857142857</v>
      </c>
    </row>
    <row r="244" ht="15.6" hidden="1" outlineLevel="2" spans="1:25">
      <c r="A244" s="6">
        <v>106</v>
      </c>
      <c r="B244" s="6">
        <v>33</v>
      </c>
      <c r="C244" s="29" t="s">
        <v>280</v>
      </c>
      <c r="D244" s="29" t="s">
        <v>46</v>
      </c>
      <c r="E244" s="6">
        <v>22</v>
      </c>
      <c r="F244" s="1">
        <f>LOOKUP(E244,{0,0.4,1.2,2,2.8,3.6,4.4,5.7,7,8.3,9.6,10.9,12.2,13.5,14.8,16.1,17.4,19.1,20.8,22.5,24.2},{0,10,20,30,40,50,60,62,64,66,68,70,72,74,76,78,80,85,90,95,100})</f>
        <v>90</v>
      </c>
      <c r="G244" s="6">
        <v>202</v>
      </c>
      <c r="H244" s="1">
        <f>LOOKUP(G244,{0,123,128,133,138,143,148,151,154,157,160,163,166,169,172,175,178,185,192,198,204},{0,10,20,30,40,50,60,62,64,66,68,70,72,74,76,78,80,85,90,95,100})</f>
        <v>95</v>
      </c>
      <c r="I244" s="6">
        <v>50</v>
      </c>
      <c r="J244" s="1">
        <f>LOOKUP(I244,{0,13,15,17,19,21,23,25,27,29,31,33,35,37,39,41,43,46,49,51,53},{0,10,20,30,40,50,60,62,64,66,68,70,72,74,76,78,80,85,90,95,100})</f>
        <v>90</v>
      </c>
      <c r="K244" s="45"/>
      <c r="L244" s="45"/>
      <c r="M244" s="21">
        <f t="shared" si="133"/>
        <v>90</v>
      </c>
      <c r="N244" s="6">
        <v>8.4</v>
      </c>
      <c r="O244" s="43">
        <f t="shared" si="132"/>
        <v>4.6</v>
      </c>
      <c r="P244" s="1">
        <f>LOOKUP(O244,{0,1.4,1.6,1.8,2,2.2,2.4,2.6,2.8,3,3.2,3.4,3.6,3.8,4,4.2,4.4,4.7,5,5.1,5.2},{0,10,20,30,40,50,60,62,64,66,68,70,72,74,76,78,80,85,90,95,100})</f>
        <v>80</v>
      </c>
      <c r="Q244" s="6">
        <v>3.33</v>
      </c>
      <c r="R244" s="6">
        <f t="shared" si="134"/>
        <v>6.67</v>
      </c>
      <c r="S244" s="1">
        <f>LOOKUP(R244,{0,4.7,4.8,4.9,5,5.5,5.6,5.65,5.7,5.75,5.8,5.85,5.9,5.95,6,6.45,6.5,6.57,6.64,6.7,6.76},{0,10,20,30,40,50,60,62,64,66,68,70,72,74,76,78,80,85,90,95,100})</f>
        <v>90</v>
      </c>
      <c r="T244" s="45"/>
      <c r="U244" s="45"/>
      <c r="V244" s="21">
        <f t="shared" si="135"/>
        <v>90</v>
      </c>
      <c r="X244" s="21">
        <f t="shared" si="126"/>
        <v>61.5</v>
      </c>
      <c r="Y244" s="37">
        <f t="shared" si="136"/>
        <v>87.8571428571429</v>
      </c>
    </row>
    <row r="245" ht="15.6" hidden="1" outlineLevel="2" spans="1:25">
      <c r="A245" s="6">
        <v>106</v>
      </c>
      <c r="B245" s="6">
        <v>34</v>
      </c>
      <c r="C245" s="29" t="s">
        <v>281</v>
      </c>
      <c r="D245" s="29" t="s">
        <v>46</v>
      </c>
      <c r="E245" s="6">
        <v>21</v>
      </c>
      <c r="F245" s="1">
        <f>LOOKUP(E245,{0,0.4,1.2,2,2.8,3.6,4.4,5.7,7,8.3,9.6,10.9,12.2,13.5,14.8,16.1,17.4,19.1,20.8,22.5,24.2},{0,10,20,30,40,50,60,62,64,66,68,70,72,74,76,78,80,85,90,95,100})</f>
        <v>90</v>
      </c>
      <c r="G245" s="6">
        <v>183</v>
      </c>
      <c r="H245" s="1">
        <f>LOOKUP(G245,{0,123,128,133,138,143,148,151,154,157,160,163,166,169,172,175,178,185,192,198,204},{0,10,20,30,40,50,60,62,64,66,68,70,72,74,76,78,80,85,90,95,100})</f>
        <v>80</v>
      </c>
      <c r="I245" s="6">
        <v>58</v>
      </c>
      <c r="J245" s="1">
        <f>LOOKUP(I245,{0,13,15,17,19,21,23,25,27,29,31,33,35,37,39,41,43,46,49,51,53},{0,10,20,30,40,50,60,62,64,66,68,70,72,74,76,78,80,85,90,95,100})</f>
        <v>100</v>
      </c>
      <c r="K245" s="45">
        <f t="shared" si="137"/>
        <v>5</v>
      </c>
      <c r="L245" s="40">
        <f>LOOKUP(K245,{0,2,4,6,7,8,9,10,11,12,13},{0,1,2,3,4,5,6,7,8,9,10})</f>
        <v>2</v>
      </c>
      <c r="M245" s="21">
        <f t="shared" si="133"/>
        <v>102</v>
      </c>
      <c r="N245" s="6">
        <v>8.3</v>
      </c>
      <c r="O245" s="43">
        <f t="shared" si="132"/>
        <v>4.7</v>
      </c>
      <c r="P245" s="1">
        <f>LOOKUP(O245,{0,1.4,1.6,1.8,2,2.2,2.4,2.6,2.8,3,3.2,3.4,3.6,3.8,4,4.2,4.4,4.7,5,5.1,5.2},{0,10,20,30,40,50,60,62,64,66,68,70,72,74,76,78,80,85,90,95,100})</f>
        <v>85</v>
      </c>
      <c r="Q245" s="6">
        <v>3.17</v>
      </c>
      <c r="R245" s="6">
        <f t="shared" si="134"/>
        <v>6.83</v>
      </c>
      <c r="S245" s="1">
        <f>LOOKUP(R245,{0,4.7,4.8,4.9,5,5.5,5.6,5.65,5.7,5.75,5.8,5.85,5.9,5.95,6,6.45,6.5,6.57,6.64,6.7,6.76},{0,10,20,30,40,50,60,62,64,66,68,70,72,74,76,78,80,85,90,95,100})</f>
        <v>100</v>
      </c>
      <c r="T245" s="48">
        <f>3.24-Q245</f>
        <v>0.0700000000000003</v>
      </c>
      <c r="U245" s="40">
        <f>LOOKUP(T245,{0,0.05,0.1,0.15,0.2,0.25,0.3,0.35,0.4,0.45,0.5},{0,1,2,3,4,5,6,7,8,9,10})</f>
        <v>1</v>
      </c>
      <c r="V245" s="21">
        <f t="shared" si="135"/>
        <v>101</v>
      </c>
      <c r="X245" s="21">
        <f t="shared" si="126"/>
        <v>64</v>
      </c>
      <c r="Y245" s="37">
        <f t="shared" si="136"/>
        <v>94.4285714285714</v>
      </c>
    </row>
    <row r="246" ht="15.6" hidden="1" outlineLevel="2" spans="1:25">
      <c r="A246" s="6">
        <v>106</v>
      </c>
      <c r="B246" s="6">
        <v>35</v>
      </c>
      <c r="C246" s="29" t="s">
        <v>282</v>
      </c>
      <c r="D246" s="29" t="s">
        <v>46</v>
      </c>
      <c r="E246" s="6">
        <v>19</v>
      </c>
      <c r="F246" s="1">
        <f>LOOKUP(E246,{0,0.4,1.2,2,2.8,3.6,4.4,5.7,7,8.3,9.6,10.9,12.2,13.5,14.8,16.1,17.4,19.1,20.8,22.5,24.2},{0,10,20,30,40,50,60,62,64,66,68,70,72,74,76,78,80,85,90,95,100})</f>
        <v>80</v>
      </c>
      <c r="G246" s="6">
        <v>179</v>
      </c>
      <c r="H246" s="1">
        <f>LOOKUP(G246,{0,123,128,133,138,143,148,151,154,157,160,163,166,169,172,175,178,185,192,198,204},{0,10,20,30,40,50,60,62,64,66,68,70,72,74,76,78,80,85,90,95,100})</f>
        <v>80</v>
      </c>
      <c r="I246" s="6">
        <v>53</v>
      </c>
      <c r="J246" s="1">
        <f>LOOKUP(I246,{0,13,15,17,19,21,23,25,27,29,31,33,35,37,39,41,43,46,49,51,53},{0,10,20,30,40,50,60,62,64,66,68,70,72,74,76,78,80,85,90,95,100})</f>
        <v>100</v>
      </c>
      <c r="K246" s="45">
        <f t="shared" si="137"/>
        <v>0</v>
      </c>
      <c r="L246" s="40">
        <f>LOOKUP(K246,{0,2,4,6,7,8,9,10,11,12,13},{0,1,2,3,4,5,6,7,8,9,10})</f>
        <v>0</v>
      </c>
      <c r="M246" s="21">
        <f t="shared" si="133"/>
        <v>100</v>
      </c>
      <c r="N246" s="6">
        <v>9.1</v>
      </c>
      <c r="O246" s="43">
        <f t="shared" si="132"/>
        <v>3.9</v>
      </c>
      <c r="P246" s="1">
        <f>LOOKUP(O246,{0,1.4,1.6,1.8,2,2.2,2.4,2.6,2.8,3,3.2,3.4,3.6,3.8,4,4.2,4.4,4.7,5,5.1,5.2},{0,10,20,30,40,50,60,62,64,66,68,70,72,74,76,78,80,85,90,95,100})</f>
        <v>74</v>
      </c>
      <c r="Q246" s="6">
        <v>4.21</v>
      </c>
      <c r="R246" s="6">
        <f t="shared" si="134"/>
        <v>5.79</v>
      </c>
      <c r="S246" s="1">
        <f>LOOKUP(R246,{0,4.7,4.8,4.9,5,5.5,5.6,5.65,5.7,5.75,5.8,5.85,5.9,5.95,6,6.45,6.5,6.57,6.64,6.7,6.76},{0,10,20,30,40,50,60,62,64,66,68,70,72,74,76,78,80,85,90,95,100})</f>
        <v>66</v>
      </c>
      <c r="T246" s="45"/>
      <c r="U246" s="45"/>
      <c r="V246" s="21">
        <f t="shared" si="135"/>
        <v>66</v>
      </c>
      <c r="X246" s="21">
        <f t="shared" si="126"/>
        <v>54</v>
      </c>
      <c r="Y246" s="37">
        <f t="shared" si="136"/>
        <v>77.1428571428572</v>
      </c>
    </row>
    <row r="247" ht="15.6" hidden="1" outlineLevel="2" spans="1:25">
      <c r="A247" s="6">
        <v>106</v>
      </c>
      <c r="B247" s="6">
        <v>36</v>
      </c>
      <c r="C247" s="29" t="s">
        <v>283</v>
      </c>
      <c r="D247" s="29" t="s">
        <v>46</v>
      </c>
      <c r="E247" s="6">
        <v>20</v>
      </c>
      <c r="F247" s="1">
        <f>LOOKUP(E247,{0,0.4,1.2,2,2.8,3.6,4.4,5.7,7,8.3,9.6,10.9,12.2,13.5,14.8,16.1,17.4,19.1,20.8,22.5,24.2},{0,10,20,30,40,50,60,62,64,66,68,70,72,74,76,78,80,85,90,95,100})</f>
        <v>85</v>
      </c>
      <c r="G247" s="6">
        <v>170</v>
      </c>
      <c r="H247" s="1">
        <f>LOOKUP(G247,{0,123,128,133,138,143,148,151,154,157,160,163,166,169,172,175,178,185,192,198,204},{0,10,20,30,40,50,60,62,64,66,68,70,72,74,76,78,80,85,90,95,100})</f>
        <v>74</v>
      </c>
      <c r="I247" s="6">
        <v>46</v>
      </c>
      <c r="J247" s="1">
        <f>LOOKUP(I247,{0,13,15,17,19,21,23,25,27,29,31,33,35,37,39,41,43,46,49,51,53},{0,10,20,30,40,50,60,62,64,66,68,70,72,74,76,78,80,85,90,95,100})</f>
        <v>85</v>
      </c>
      <c r="K247" s="45"/>
      <c r="L247" s="45"/>
      <c r="M247" s="21">
        <f t="shared" si="133"/>
        <v>85</v>
      </c>
      <c r="N247" s="6">
        <v>9</v>
      </c>
      <c r="O247" s="43">
        <f t="shared" si="132"/>
        <v>4</v>
      </c>
      <c r="P247" s="1">
        <f>LOOKUP(O247,{0,1.4,1.6,1.8,2,2.2,2.4,2.6,2.8,3,3.2,3.4,3.6,3.8,4,4.2,4.4,4.7,5,5.1,5.2},{0,10,20,30,40,50,60,62,64,66,68,70,72,74,76,78,80,85,90,95,100})</f>
        <v>76</v>
      </c>
      <c r="Q247" s="6">
        <v>3.48</v>
      </c>
      <c r="R247" s="6">
        <f t="shared" si="134"/>
        <v>6.52</v>
      </c>
      <c r="S247" s="1">
        <f>LOOKUP(R247,{0,4.7,4.8,4.9,5,5.5,5.6,5.65,5.7,5.75,5.8,5.85,5.9,5.95,6,6.45,6.5,6.57,6.64,6.7,6.76},{0,10,20,30,40,50,60,62,64,66,68,70,72,74,76,78,80,85,90,95,100})</f>
        <v>80</v>
      </c>
      <c r="T247" s="45"/>
      <c r="U247" s="45"/>
      <c r="V247" s="21">
        <f t="shared" si="135"/>
        <v>80</v>
      </c>
      <c r="X247" s="21">
        <f t="shared" si="126"/>
        <v>55.6</v>
      </c>
      <c r="Y247" s="37">
        <f t="shared" si="136"/>
        <v>79.4285714285714</v>
      </c>
    </row>
    <row r="248" ht="15.6" hidden="1" outlineLevel="2" spans="1:25">
      <c r="A248" s="6">
        <v>106</v>
      </c>
      <c r="B248" s="6">
        <v>37</v>
      </c>
      <c r="C248" s="29" t="s">
        <v>284</v>
      </c>
      <c r="D248" s="29" t="s">
        <v>46</v>
      </c>
      <c r="E248" s="6">
        <v>12.2</v>
      </c>
      <c r="F248" s="1">
        <f>LOOKUP(E248,{0,0.4,1.2,2,2.8,3.6,4.4,5.7,7,8.3,9.6,10.9,12.2,13.5,14.8,16.1,17.4,19.1,20.8,22.5,24.2},{0,10,20,30,40,50,60,62,64,66,68,70,72,74,76,78,80,85,90,95,100})</f>
        <v>72</v>
      </c>
      <c r="G248" s="6">
        <v>165</v>
      </c>
      <c r="H248" s="1">
        <f>LOOKUP(G248,{0,123,128,133,138,143,148,151,154,157,160,163,166,169,172,175,178,185,192,198,204},{0,10,20,30,40,50,60,62,64,66,68,70,72,74,76,78,80,85,90,95,100})</f>
        <v>70</v>
      </c>
      <c r="I248" s="6">
        <v>48</v>
      </c>
      <c r="J248" s="1">
        <f>LOOKUP(I248,{0,13,15,17,19,21,23,25,27,29,31,33,35,37,39,41,43,46,49,51,53},{0,10,20,30,40,50,60,62,64,66,68,70,72,74,76,78,80,85,90,95,100})</f>
        <v>85</v>
      </c>
      <c r="K248" s="45"/>
      <c r="L248" s="45"/>
      <c r="M248" s="21">
        <f t="shared" si="133"/>
        <v>85</v>
      </c>
      <c r="N248" s="6">
        <v>8.8</v>
      </c>
      <c r="O248" s="43">
        <f t="shared" si="132"/>
        <v>4.2</v>
      </c>
      <c r="P248" s="1">
        <f>LOOKUP(O248,{0,1.4,1.6,1.8,2,2.2,2.4,2.6,2.8,3,3.2,3.4,3.6,3.8,4,4.2,4.4,4.7,5,5.1,5.2},{0,10,20,30,40,50,60,62,64,66,68,70,72,74,76,78,80,85,90,95,100})</f>
        <v>78</v>
      </c>
      <c r="Q248" s="6">
        <v>3.49</v>
      </c>
      <c r="R248" s="6">
        <f t="shared" si="134"/>
        <v>6.51</v>
      </c>
      <c r="S248" s="1">
        <f>LOOKUP(R248,{0,4.7,4.8,4.9,5,5.5,5.6,5.65,5.7,5.75,5.8,5.85,5.9,5.95,6,6.45,6.5,6.57,6.64,6.7,6.76},{0,10,20,30,40,50,60,62,64,66,68,70,72,74,76,78,80,85,90,95,100})</f>
        <v>80</v>
      </c>
      <c r="T248" s="45"/>
      <c r="U248" s="45"/>
      <c r="V248" s="21">
        <f t="shared" si="135"/>
        <v>80</v>
      </c>
      <c r="X248" s="21">
        <f t="shared" si="126"/>
        <v>54.3</v>
      </c>
      <c r="Y248" s="37">
        <f t="shared" si="136"/>
        <v>77.5714285714286</v>
      </c>
    </row>
    <row r="249" ht="15.6" hidden="1" outlineLevel="2" spans="1:25">
      <c r="A249" s="6">
        <v>106</v>
      </c>
      <c r="B249" s="6">
        <v>38</v>
      </c>
      <c r="C249" s="29" t="s">
        <v>285</v>
      </c>
      <c r="D249" s="29" t="s">
        <v>46</v>
      </c>
      <c r="E249" s="6">
        <v>8.5</v>
      </c>
      <c r="F249" s="1">
        <f>LOOKUP(E249,{0,0.4,1.2,2,2.8,3.6,4.4,5.7,7,8.3,9.6,10.9,12.2,13.5,14.8,16.1,17.4,19.1,20.8,22.5,24.2},{0,10,20,30,40,50,60,62,64,66,68,70,72,74,76,78,80,85,90,95,100})</f>
        <v>66</v>
      </c>
      <c r="G249" s="6">
        <v>165</v>
      </c>
      <c r="H249" s="1">
        <f>LOOKUP(G249,{0,123,128,133,138,143,148,151,154,157,160,163,166,169,172,175,178,185,192,198,204},{0,10,20,30,40,50,60,62,64,66,68,70,72,74,76,78,80,85,90,95,100})</f>
        <v>70</v>
      </c>
      <c r="I249" s="6">
        <v>46</v>
      </c>
      <c r="J249" s="1">
        <f>LOOKUP(I249,{0,13,15,17,19,21,23,25,27,29,31,33,35,37,39,41,43,46,49,51,53},{0,10,20,30,40,50,60,62,64,66,68,70,72,74,76,78,80,85,90,95,100})</f>
        <v>85</v>
      </c>
      <c r="K249" s="45"/>
      <c r="L249" s="45"/>
      <c r="M249" s="21">
        <f t="shared" si="133"/>
        <v>85</v>
      </c>
      <c r="N249" s="6">
        <v>8.9</v>
      </c>
      <c r="O249" s="43">
        <f t="shared" si="132"/>
        <v>4.1</v>
      </c>
      <c r="P249" s="1">
        <f>LOOKUP(O249,{0,1.4,1.6,1.8,2,2.2,2.4,2.6,2.8,3,3.2,3.4,3.6,3.8,4,4.2,4.4,4.7,5,5.1,5.2},{0,10,20,30,40,50,60,62,64,66,68,70,72,74,76,78,80,85,90,95,100})</f>
        <v>76</v>
      </c>
      <c r="Q249" s="6">
        <v>4.15</v>
      </c>
      <c r="R249" s="6">
        <f t="shared" si="134"/>
        <v>5.85</v>
      </c>
      <c r="S249" s="1">
        <f>LOOKUP(R249,{0,4.7,4.8,4.9,5,5.5,5.6,5.65,5.7,5.75,5.8,5.85,5.9,5.95,6,6.45,6.5,6.57,6.64,6.7,6.76},{0,10,20,30,40,50,60,62,64,66,68,70,72,74,76,78,80,85,90,95,100})</f>
        <v>70</v>
      </c>
      <c r="T249" s="45"/>
      <c r="U249" s="45"/>
      <c r="V249" s="21">
        <f t="shared" si="135"/>
        <v>70</v>
      </c>
      <c r="X249" s="21">
        <f t="shared" si="126"/>
        <v>51.3</v>
      </c>
      <c r="Y249" s="37">
        <f t="shared" si="136"/>
        <v>73.2857142857143</v>
      </c>
    </row>
    <row r="250" s="3" customFormat="1" ht="15.6" hidden="1" outlineLevel="2" spans="1:25">
      <c r="A250" s="6">
        <v>106</v>
      </c>
      <c r="B250" s="6">
        <v>39</v>
      </c>
      <c r="C250" s="29" t="s">
        <v>286</v>
      </c>
      <c r="D250" s="29" t="s">
        <v>46</v>
      </c>
      <c r="E250" s="6"/>
      <c r="F250" s="1"/>
      <c r="G250" s="6"/>
      <c r="H250" s="1"/>
      <c r="I250" s="6"/>
      <c r="J250" s="1"/>
      <c r="K250" s="45"/>
      <c r="L250" s="45"/>
      <c r="M250" s="21"/>
      <c r="N250" s="6">
        <v>8.5</v>
      </c>
      <c r="O250" s="43">
        <f t="shared" si="132"/>
        <v>4.5</v>
      </c>
      <c r="P250" s="1">
        <f>LOOKUP(O250,{0,1.4,1.6,1.8,2,2.2,2.4,2.6,2.8,3,3.2,3.4,3.6,3.8,4,4.2,4.4,4.7,5,5.1,5.2},{0,10,20,30,40,50,60,62,64,66,68,70,72,74,76,78,80,85,90,95,100})</f>
        <v>80</v>
      </c>
      <c r="Q250" s="6"/>
      <c r="R250" s="6"/>
      <c r="S250" s="1"/>
      <c r="T250" s="48"/>
      <c r="U250" s="40"/>
      <c r="V250" s="21"/>
      <c r="W250" s="6" t="s">
        <v>84</v>
      </c>
      <c r="X250" s="21">
        <f t="shared" si="126"/>
        <v>16</v>
      </c>
      <c r="Y250" s="37">
        <v>50</v>
      </c>
    </row>
    <row r="251" ht="15.6" hidden="1" outlineLevel="2" spans="1:25">
      <c r="A251" s="6">
        <v>106</v>
      </c>
      <c r="B251" s="6">
        <v>40</v>
      </c>
      <c r="C251" s="39" t="s">
        <v>288</v>
      </c>
      <c r="D251" s="29" t="s">
        <v>46</v>
      </c>
      <c r="E251" s="6">
        <v>6</v>
      </c>
      <c r="F251" s="1">
        <f>LOOKUP(E251,{0,0.4,1.2,2,2.8,3.6,4.4,5.7,7,8.3,9.6,10.9,12.2,13.5,14.8,16.1,17.4,19.1,20.8,22.5,24.2},{0,10,20,30,40,50,60,62,64,66,68,70,72,74,76,78,80,85,90,95,100})</f>
        <v>62</v>
      </c>
      <c r="G251" s="6">
        <v>159</v>
      </c>
      <c r="H251" s="1">
        <f>LOOKUP(G251,{0,123,128,133,138,143,148,151,154,157,160,163,166,169,172,175,178,185,192,198,204},{0,10,20,30,40,50,60,62,64,66,68,70,72,74,76,78,80,85,90,95,100})</f>
        <v>66</v>
      </c>
      <c r="I251" s="6">
        <v>35</v>
      </c>
      <c r="J251" s="1">
        <f>LOOKUP(I251,{0,13,15,17,19,21,23,25,27,29,31,33,35,37,39,41,43,46,49,51,53},{0,10,20,30,40,50,60,62,64,66,68,70,72,74,76,78,80,85,90,95,100})</f>
        <v>72</v>
      </c>
      <c r="K251" s="45"/>
      <c r="L251" s="45"/>
      <c r="M251" s="21">
        <f t="shared" ref="M251:M259" si="138">J251+L251</f>
        <v>72</v>
      </c>
      <c r="N251" s="6">
        <v>9.9</v>
      </c>
      <c r="O251" s="43">
        <f t="shared" si="132"/>
        <v>3.1</v>
      </c>
      <c r="P251" s="1">
        <f>LOOKUP(O251,{0,1.4,1.6,1.8,2,2.2,2.4,2.6,2.8,3,3.2,3.4,3.6,3.8,4,4.2,4.4,4.7,5,5.1,5.2},{0,10,20,30,40,50,60,62,64,66,68,70,72,74,76,78,80,85,90,95,100})</f>
        <v>66</v>
      </c>
      <c r="Q251" s="6">
        <v>4.51</v>
      </c>
      <c r="R251" s="6">
        <f t="shared" ref="R251:R255" si="139">10-Q251</f>
        <v>5.49</v>
      </c>
      <c r="S251" s="1">
        <f>LOOKUP(R251,{0,4.7,4.8,4.9,5,5.5,5.6,5.65,5.7,5.75,5.8,5.85,5.9,5.95,6,6.45,6.5,6.57,6.64,6.7,6.76},{0,10,20,30,40,50,60,62,64,66,68,70,72,74,76,78,80,85,90,95,100})</f>
        <v>40</v>
      </c>
      <c r="T251" s="45"/>
      <c r="U251" s="45"/>
      <c r="V251" s="21">
        <f t="shared" ref="V251:V255" si="140">S251+U251</f>
        <v>40</v>
      </c>
      <c r="X251" s="21">
        <f t="shared" si="126"/>
        <v>41.2</v>
      </c>
      <c r="Y251" s="37">
        <f t="shared" ref="Y251:Y259" si="141">X251/0.7+L251+U251</f>
        <v>58.8571428571429</v>
      </c>
    </row>
    <row r="252" ht="15.6" hidden="1" outlineLevel="2" spans="1:25">
      <c r="A252" s="6">
        <v>106</v>
      </c>
      <c r="B252" s="6">
        <v>41</v>
      </c>
      <c r="C252" s="29" t="s">
        <v>289</v>
      </c>
      <c r="D252" s="29" t="s">
        <v>46</v>
      </c>
      <c r="E252" s="6">
        <v>21</v>
      </c>
      <c r="F252" s="1">
        <f>LOOKUP(E252,{0,0.4,1.2,2,2.8,3.6,4.4,5.7,7,8.3,9.6,10.9,12.2,13.5,14.8,16.1,17.4,19.1,20.8,22.5,24.2},{0,10,20,30,40,50,60,62,64,66,68,70,72,74,76,78,80,85,90,95,100})</f>
        <v>90</v>
      </c>
      <c r="G252" s="6">
        <v>149</v>
      </c>
      <c r="H252" s="1">
        <f>LOOKUP(G252,{0,123,128,133,138,143,148,151,154,157,160,163,166,169,172,175,178,185,192,198,204},{0,10,20,30,40,50,60,62,64,66,68,70,72,74,76,78,80,85,90,95,100})</f>
        <v>60</v>
      </c>
      <c r="I252" s="6">
        <v>50</v>
      </c>
      <c r="J252" s="1">
        <f>LOOKUP(I252,{0,13,15,17,19,21,23,25,27,29,31,33,35,37,39,41,43,46,49,51,53},{0,10,20,30,40,50,60,62,64,66,68,70,72,74,76,78,80,85,90,95,100})</f>
        <v>90</v>
      </c>
      <c r="K252" s="45"/>
      <c r="L252" s="45"/>
      <c r="M252" s="21">
        <f t="shared" si="138"/>
        <v>90</v>
      </c>
      <c r="N252" s="6">
        <v>8.5</v>
      </c>
      <c r="O252" s="43">
        <f t="shared" si="132"/>
        <v>4.5</v>
      </c>
      <c r="P252" s="1">
        <f>LOOKUP(O252,{0,1.4,1.6,1.8,2,2.2,2.4,2.6,2.8,3,3.2,3.4,3.6,3.8,4,4.2,4.4,4.7,5,5.1,5.2},{0,10,20,30,40,50,60,62,64,66,68,70,72,74,76,78,80,85,90,95,100})</f>
        <v>80</v>
      </c>
      <c r="Q252" s="6">
        <v>3.52</v>
      </c>
      <c r="R252" s="6">
        <f t="shared" si="139"/>
        <v>6.48</v>
      </c>
      <c r="S252" s="1">
        <f>LOOKUP(R252,{0,4.7,4.8,4.9,5,5.5,5.6,5.65,5.7,5.75,5.8,5.85,5.9,5.95,6,6.45,6.5,6.57,6.64,6.7,6.76},{0,10,20,30,40,50,60,62,64,66,68,70,72,74,76,78,80,85,90,95,100})</f>
        <v>78</v>
      </c>
      <c r="T252" s="45"/>
      <c r="U252" s="45"/>
      <c r="V252" s="21">
        <f t="shared" si="140"/>
        <v>78</v>
      </c>
      <c r="X252" s="21">
        <f t="shared" si="126"/>
        <v>55.6</v>
      </c>
      <c r="Y252" s="37">
        <f t="shared" si="141"/>
        <v>79.4285714285714</v>
      </c>
    </row>
    <row r="253" ht="15.6" hidden="1" outlineLevel="2" spans="1:25">
      <c r="A253" s="6">
        <v>106</v>
      </c>
      <c r="B253" s="6">
        <v>42</v>
      </c>
      <c r="C253" s="29" t="s">
        <v>290</v>
      </c>
      <c r="D253" s="29" t="s">
        <v>46</v>
      </c>
      <c r="E253" s="6">
        <v>15</v>
      </c>
      <c r="F253" s="1">
        <f>LOOKUP(E253,{0,0.4,1.2,2,2.8,3.6,4.4,5.7,7,8.3,9.6,10.9,12.2,13.5,14.8,16.1,17.4,19.1,20.8,22.5,24.2},{0,10,20,30,40,50,60,62,64,66,68,70,72,74,76,78,80,85,90,95,100})</f>
        <v>76</v>
      </c>
      <c r="G253" s="6">
        <v>158</v>
      </c>
      <c r="H253" s="1">
        <f>LOOKUP(G253,{0,123,128,133,138,143,148,151,154,157,160,163,166,169,172,175,178,185,192,198,204},{0,10,20,30,40,50,60,62,64,66,68,70,72,74,76,78,80,85,90,95,100})</f>
        <v>66</v>
      </c>
      <c r="I253" s="6">
        <v>49</v>
      </c>
      <c r="J253" s="1">
        <f>LOOKUP(I253,{0,13,15,17,19,21,23,25,27,29,31,33,35,37,39,41,43,46,49,51,53},{0,10,20,30,40,50,60,62,64,66,68,70,72,74,76,78,80,85,90,95,100})</f>
        <v>90</v>
      </c>
      <c r="K253" s="45"/>
      <c r="L253" s="45"/>
      <c r="M253" s="21">
        <f t="shared" si="138"/>
        <v>90</v>
      </c>
      <c r="N253" s="6">
        <v>8.7</v>
      </c>
      <c r="O253" s="43">
        <f t="shared" si="132"/>
        <v>4.3</v>
      </c>
      <c r="P253" s="1">
        <f>LOOKUP(O253,{0,1.4,1.6,1.8,2,2.2,2.4,2.6,2.8,3,3.2,3.4,3.6,3.8,4,4.2,4.4,4.7,5,5.1,5.2},{0,10,20,30,40,50,60,62,64,66,68,70,72,74,76,78,80,85,90,95,100})</f>
        <v>78</v>
      </c>
      <c r="Q253" s="6">
        <v>3.59</v>
      </c>
      <c r="R253" s="6">
        <f t="shared" si="139"/>
        <v>6.41</v>
      </c>
      <c r="S253" s="1">
        <f>LOOKUP(R253,{0,4.7,4.8,4.9,5,5.5,5.6,5.65,5.7,5.75,5.8,5.85,5.9,5.95,6,6.45,6.5,6.57,6.64,6.7,6.76},{0,10,20,30,40,50,60,62,64,66,68,70,72,74,76,78,80,85,90,95,100})</f>
        <v>76</v>
      </c>
      <c r="T253" s="45"/>
      <c r="U253" s="45"/>
      <c r="V253" s="21">
        <f t="shared" si="140"/>
        <v>76</v>
      </c>
      <c r="X253" s="21">
        <f t="shared" si="126"/>
        <v>54</v>
      </c>
      <c r="Y253" s="37">
        <f t="shared" si="141"/>
        <v>77.1428571428572</v>
      </c>
    </row>
    <row r="254" ht="15.6" hidden="1" outlineLevel="2" spans="1:25">
      <c r="A254" s="6">
        <v>106</v>
      </c>
      <c r="B254" s="6">
        <v>43</v>
      </c>
      <c r="C254" s="29" t="s">
        <v>291</v>
      </c>
      <c r="D254" s="29" t="s">
        <v>46</v>
      </c>
      <c r="E254" s="6">
        <v>17</v>
      </c>
      <c r="F254" s="1">
        <f>LOOKUP(E254,{0,0.4,1.2,2,2.8,3.6,4.4,5.7,7,8.3,9.6,10.9,12.2,13.5,14.8,16.1,17.4,19.1,20.8,22.5,24.2},{0,10,20,30,40,50,60,62,64,66,68,70,72,74,76,78,80,85,90,95,100})</f>
        <v>78</v>
      </c>
      <c r="G254" s="6">
        <v>200</v>
      </c>
      <c r="H254" s="1">
        <f>LOOKUP(G254,{0,123,128,133,138,143,148,151,154,157,160,163,166,169,172,175,178,185,192,198,204},{0,10,20,30,40,50,60,62,64,66,68,70,72,74,76,78,80,85,90,95,100})</f>
        <v>95</v>
      </c>
      <c r="I254" s="6">
        <v>50</v>
      </c>
      <c r="J254" s="1">
        <f>LOOKUP(I254,{0,13,15,17,19,21,23,25,27,29,31,33,35,37,39,41,43,46,49,51,53},{0,10,20,30,40,50,60,62,64,66,68,70,72,74,76,78,80,85,90,95,100})</f>
        <v>90</v>
      </c>
      <c r="K254" s="45"/>
      <c r="L254" s="45"/>
      <c r="M254" s="21">
        <f t="shared" si="138"/>
        <v>90</v>
      </c>
      <c r="N254" s="6">
        <v>8.9</v>
      </c>
      <c r="O254" s="43">
        <f t="shared" si="132"/>
        <v>4.1</v>
      </c>
      <c r="P254" s="1">
        <f>LOOKUP(O254,{0,1.4,1.6,1.8,2,2.2,2.4,2.6,2.8,3,3.2,3.4,3.6,3.8,4,4.2,4.4,4.7,5,5.1,5.2},{0,10,20,30,40,50,60,62,64,66,68,70,72,74,76,78,80,85,90,95,100})</f>
        <v>76</v>
      </c>
      <c r="Q254" s="6">
        <v>3.42</v>
      </c>
      <c r="R254" s="6">
        <f t="shared" si="139"/>
        <v>6.58</v>
      </c>
      <c r="S254" s="1">
        <f>LOOKUP(R254,{0,4.7,4.8,4.9,5,5.5,5.6,5.65,5.7,5.75,5.8,5.85,5.9,5.95,6,6.45,6.5,6.57,6.64,6.7,6.76},{0,10,20,30,40,50,60,62,64,66,68,70,72,74,76,78,80,85,90,95,100})</f>
        <v>85</v>
      </c>
      <c r="T254" s="45"/>
      <c r="U254" s="45"/>
      <c r="V254" s="21">
        <f t="shared" si="140"/>
        <v>85</v>
      </c>
      <c r="X254" s="21">
        <f t="shared" si="126"/>
        <v>58.5</v>
      </c>
      <c r="Y254" s="37">
        <f t="shared" si="141"/>
        <v>83.5714285714286</v>
      </c>
    </row>
    <row r="255" ht="15.6" hidden="1" outlineLevel="2" spans="1:25">
      <c r="A255" s="6">
        <v>106</v>
      </c>
      <c r="B255" s="6">
        <v>44</v>
      </c>
      <c r="C255" s="29" t="s">
        <v>292</v>
      </c>
      <c r="D255" s="29" t="s">
        <v>46</v>
      </c>
      <c r="E255" s="6">
        <v>14</v>
      </c>
      <c r="F255" s="1">
        <f>LOOKUP(E255,{0,0.4,1.2,2,2.8,3.6,4.4,5.7,7,8.3,9.6,10.9,12.2,13.5,14.8,16.1,17.4,19.1,20.8,22.5,24.2},{0,10,20,30,40,50,60,62,64,66,68,70,72,74,76,78,80,85,90,95,100})</f>
        <v>74</v>
      </c>
      <c r="G255" s="6">
        <v>159</v>
      </c>
      <c r="H255" s="1">
        <f>LOOKUP(G255,{0,123,128,133,138,143,148,151,154,157,160,163,166,169,172,175,178,185,192,198,204},{0,10,20,30,40,50,60,62,64,66,68,70,72,74,76,78,80,85,90,95,100})</f>
        <v>66</v>
      </c>
      <c r="I255" s="6">
        <v>52</v>
      </c>
      <c r="J255" s="1">
        <f>LOOKUP(I255,{0,13,15,17,19,21,23,25,27,29,31,33,35,37,39,41,43,46,49,51,53},{0,10,20,30,40,50,60,62,64,66,68,70,72,74,76,78,80,85,90,95,100})</f>
        <v>95</v>
      </c>
      <c r="K255" s="45"/>
      <c r="L255" s="45"/>
      <c r="M255" s="21">
        <f t="shared" si="138"/>
        <v>95</v>
      </c>
      <c r="N255" s="6">
        <v>8.7</v>
      </c>
      <c r="O255" s="43">
        <f t="shared" si="132"/>
        <v>4.3</v>
      </c>
      <c r="P255" s="1">
        <f>LOOKUP(O255,{0,1.4,1.6,1.8,2,2.2,2.4,2.6,2.8,3,3.2,3.4,3.6,3.8,4,4.2,4.4,4.7,5,5.1,5.2},{0,10,20,30,40,50,60,62,64,66,68,70,72,74,76,78,80,85,90,95,100})</f>
        <v>78</v>
      </c>
      <c r="Q255" s="6">
        <v>3.45</v>
      </c>
      <c r="R255" s="6">
        <f t="shared" si="139"/>
        <v>6.55</v>
      </c>
      <c r="S255" s="1">
        <f>LOOKUP(R255,{0,4.7,4.8,4.9,5,5.5,5.6,5.65,5.7,5.75,5.8,5.85,5.9,5.95,6,6.45,6.5,6.57,6.64,6.7,6.76},{0,10,20,30,40,50,60,62,64,66,68,70,72,74,76,78,80,85,90,95,100})</f>
        <v>80</v>
      </c>
      <c r="T255" s="45"/>
      <c r="U255" s="45"/>
      <c r="V255" s="21">
        <f t="shared" si="140"/>
        <v>80</v>
      </c>
      <c r="X255" s="21">
        <f t="shared" si="126"/>
        <v>55.1</v>
      </c>
      <c r="Y255" s="37">
        <f t="shared" si="141"/>
        <v>78.7142857142857</v>
      </c>
    </row>
    <row r="256" ht="15.6" hidden="1" outlineLevel="2" spans="1:25">
      <c r="A256" s="6">
        <v>106</v>
      </c>
      <c r="B256" s="6">
        <v>45</v>
      </c>
      <c r="C256" s="29" t="s">
        <v>293</v>
      </c>
      <c r="D256" s="29" t="s">
        <v>46</v>
      </c>
      <c r="E256" s="6">
        <v>18</v>
      </c>
      <c r="F256" s="1">
        <f>LOOKUP(E256,{0,0.4,1.2,2,2.8,3.6,4.4,5.7,7,8.3,9.6,10.9,12.2,13.5,14.8,16.1,17.4,19.1,20.8,22.5,24.2},{0,10,20,30,40,50,60,62,64,66,68,70,72,74,76,78,80,85,90,95,100})</f>
        <v>80</v>
      </c>
      <c r="G256" s="6">
        <v>155</v>
      </c>
      <c r="H256" s="1">
        <f>LOOKUP(G256,{0,123,128,133,138,143,148,151,154,157,160,163,166,169,172,175,178,185,192,198,204},{0,10,20,30,40,50,60,62,64,66,68,70,72,74,76,78,80,85,90,95,100})</f>
        <v>64</v>
      </c>
      <c r="I256" s="6">
        <v>46</v>
      </c>
      <c r="J256" s="1">
        <f>LOOKUP(I256,{0,13,15,17,19,21,23,25,27,29,31,33,35,37,39,41,43,46,49,51,53},{0,10,20,30,40,50,60,62,64,66,68,70,72,74,76,78,80,85,90,95,100})</f>
        <v>85</v>
      </c>
      <c r="K256" s="45"/>
      <c r="L256" s="45"/>
      <c r="M256" s="21">
        <f t="shared" si="138"/>
        <v>85</v>
      </c>
      <c r="N256" s="6">
        <v>8.7</v>
      </c>
      <c r="O256" s="43">
        <f t="shared" si="132"/>
        <v>4.3</v>
      </c>
      <c r="P256" s="1">
        <f>LOOKUP(O256,{0,1.4,1.6,1.8,2,2.2,2.4,2.6,2.8,3,3.2,3.4,3.6,3.8,4,4.2,4.4,4.7,5,5.1,5.2},{0,10,20,30,40,50,60,62,64,66,68,70,72,74,76,78,80,85,90,95,100})</f>
        <v>78</v>
      </c>
      <c r="S256" s="1"/>
      <c r="T256" s="48"/>
      <c r="U256" s="40"/>
      <c r="V256" s="21"/>
      <c r="X256" s="21">
        <f t="shared" si="126"/>
        <v>38.5</v>
      </c>
      <c r="Y256" s="37">
        <f t="shared" si="141"/>
        <v>55</v>
      </c>
    </row>
    <row r="257" ht="15.6" hidden="1" outlineLevel="2" spans="1:25">
      <c r="A257" s="6">
        <v>106</v>
      </c>
      <c r="B257" s="6">
        <v>46</v>
      </c>
      <c r="C257" s="29" t="s">
        <v>294</v>
      </c>
      <c r="D257" s="29" t="s">
        <v>46</v>
      </c>
      <c r="E257" s="6">
        <v>25</v>
      </c>
      <c r="F257" s="1">
        <f>LOOKUP(E257,{0,0.4,1.2,2,2.8,3.6,4.4,5.7,7,8.3,9.6,10.9,12.2,13.5,14.8,16.1,17.4,19.1,20.8,22.5,24.2},{0,10,20,30,40,50,60,62,64,66,68,70,72,74,76,78,80,85,90,95,100})</f>
        <v>100</v>
      </c>
      <c r="G257" s="6">
        <v>149</v>
      </c>
      <c r="H257" s="1">
        <f>LOOKUP(G257,{0,123,128,133,138,143,148,151,154,157,160,163,166,169,172,175,178,185,192,198,204},{0,10,20,30,40,50,60,62,64,66,68,70,72,74,76,78,80,85,90,95,100})</f>
        <v>60</v>
      </c>
      <c r="I257" s="6">
        <v>38</v>
      </c>
      <c r="J257" s="1">
        <f>LOOKUP(I257,{0,13,15,17,19,21,23,25,27,29,31,33,35,37,39,41,43,46,49,51,53},{0,10,20,30,40,50,60,62,64,66,68,70,72,74,76,78,80,85,90,95,100})</f>
        <v>74</v>
      </c>
      <c r="K257" s="45"/>
      <c r="L257" s="45"/>
      <c r="M257" s="21">
        <f t="shared" si="138"/>
        <v>74</v>
      </c>
      <c r="N257" s="6">
        <v>9.1</v>
      </c>
      <c r="O257" s="43">
        <f t="shared" si="132"/>
        <v>3.9</v>
      </c>
      <c r="P257" s="1">
        <f>LOOKUP(O257,{0,1.4,1.6,1.8,2,2.2,2.4,2.6,2.8,3,3.2,3.4,3.6,3.8,4,4.2,4.4,4.7,5,5.1,5.2},{0,10,20,30,40,50,60,62,64,66,68,70,72,74,76,78,80,85,90,95,100})</f>
        <v>74</v>
      </c>
      <c r="Q257" s="6">
        <v>4.39</v>
      </c>
      <c r="R257" s="6">
        <f>10-Q257</f>
        <v>5.61</v>
      </c>
      <c r="S257" s="1">
        <f>LOOKUP(R257,{0,4.7,4.8,4.9,5,5.5,5.6,5.65,5.7,5.75,5.8,5.85,5.9,5.95,6,6.45,6.5,6.57,6.64,6.7,6.76},{0,10,20,30,40,50,60,62,64,66,68,70,72,74,76,78,80,85,90,95,100})</f>
        <v>60</v>
      </c>
      <c r="T257" s="45"/>
      <c r="U257" s="45"/>
      <c r="V257" s="21">
        <f>S257+U257</f>
        <v>60</v>
      </c>
      <c r="X257" s="21">
        <f t="shared" si="126"/>
        <v>50.2</v>
      </c>
      <c r="Y257" s="37">
        <f t="shared" si="141"/>
        <v>71.7142857142857</v>
      </c>
    </row>
    <row r="258" ht="15.6" hidden="1" outlineLevel="2" spans="1:25">
      <c r="A258" s="6">
        <v>106</v>
      </c>
      <c r="B258" s="6">
        <v>47</v>
      </c>
      <c r="C258" s="29" t="s">
        <v>295</v>
      </c>
      <c r="D258" s="29" t="s">
        <v>46</v>
      </c>
      <c r="E258" s="6">
        <v>11</v>
      </c>
      <c r="F258" s="1">
        <f>LOOKUP(E258,{0,0.4,1.2,2,2.8,3.6,4.4,5.7,7,8.3,9.6,10.9,12.2,13.5,14.8,16.1,17.4,19.1,20.8,22.5,24.2},{0,10,20,30,40,50,60,62,64,66,68,70,72,74,76,78,80,85,90,95,100})</f>
        <v>70</v>
      </c>
      <c r="G258" s="6">
        <v>145</v>
      </c>
      <c r="H258" s="1">
        <f>LOOKUP(G258,{0,123,128,133,138,143,148,151,154,157,160,163,166,169,172,175,178,185,192,198,204},{0,10,20,30,40,50,60,62,64,66,68,70,72,74,76,78,80,85,90,95,100})</f>
        <v>50</v>
      </c>
      <c r="I258" s="6">
        <v>43</v>
      </c>
      <c r="J258" s="1">
        <f>LOOKUP(I258,{0,13,15,17,19,21,23,25,27,29,31,33,35,37,39,41,43,46,49,51,53},{0,10,20,30,40,50,60,62,64,66,68,70,72,74,76,78,80,85,90,95,100})</f>
        <v>80</v>
      </c>
      <c r="K258" s="45"/>
      <c r="L258" s="45"/>
      <c r="M258" s="21">
        <f t="shared" si="138"/>
        <v>80</v>
      </c>
      <c r="N258" s="6">
        <v>9.1</v>
      </c>
      <c r="O258" s="43">
        <f t="shared" si="132"/>
        <v>3.9</v>
      </c>
      <c r="P258" s="1">
        <f>LOOKUP(O258,{0,1.4,1.6,1.8,2,2.2,2.4,2.6,2.8,3,3.2,3.4,3.6,3.8,4,4.2,4.4,4.7,5,5.1,5.2},{0,10,20,30,40,50,60,62,64,66,68,70,72,74,76,78,80,85,90,95,100})</f>
        <v>74</v>
      </c>
      <c r="Q258" s="6">
        <v>3.36</v>
      </c>
      <c r="R258" s="6">
        <f>10-Q258</f>
        <v>6.64</v>
      </c>
      <c r="S258" s="1">
        <f>LOOKUP(R258,{0,4.7,4.8,4.9,5,5.5,5.6,5.65,5.7,5.75,5.8,5.85,5.9,5.95,6,6.45,6.5,6.57,6.64,6.7,6.76},{0,10,20,30,40,50,60,62,64,66,68,70,72,74,76,78,80,85,90,95,100})</f>
        <v>90</v>
      </c>
      <c r="T258" s="45"/>
      <c r="U258" s="45"/>
      <c r="V258" s="21">
        <f>S258+U258</f>
        <v>90</v>
      </c>
      <c r="X258" s="21">
        <f t="shared" si="126"/>
        <v>52.8</v>
      </c>
      <c r="Y258" s="37">
        <f t="shared" si="141"/>
        <v>75.4285714285714</v>
      </c>
    </row>
    <row r="259" ht="15.6" hidden="1" outlineLevel="2" spans="1:25">
      <c r="A259" s="6">
        <v>106</v>
      </c>
      <c r="B259" s="6">
        <v>48</v>
      </c>
      <c r="C259" s="30" t="s">
        <v>296</v>
      </c>
      <c r="D259" s="30" t="s">
        <v>46</v>
      </c>
      <c r="E259" s="6">
        <v>28</v>
      </c>
      <c r="F259" s="1">
        <f>LOOKUP(E259,{0,0.4,1.2,2,2.8,3.6,4.4,5.7,7,8.3,9.6,10.9,12.2,13.5,14.8,16.1,17.4,19.1,20.8,22.5,24.2},{0,10,20,30,40,50,60,62,64,66,68,70,72,74,76,78,80,85,90,95,100})</f>
        <v>100</v>
      </c>
      <c r="G259" s="6">
        <v>202</v>
      </c>
      <c r="H259" s="1">
        <f>LOOKUP(G259,{0,123,128,133,138,143,148,151,154,157,160,163,166,169,172,175,178,185,192,198,204},{0,10,20,30,40,50,60,62,64,66,68,70,72,74,76,78,80,85,90,95,100})</f>
        <v>95</v>
      </c>
      <c r="I259" s="6">
        <v>43</v>
      </c>
      <c r="J259" s="1">
        <f>LOOKUP(I259,{0,13,15,17,19,21,23,25,27,29,31,33,35,37,39,41,43,46,49,51,53},{0,10,20,30,40,50,60,62,64,66,68,70,72,74,76,78,80,85,90,95,100})</f>
        <v>80</v>
      </c>
      <c r="K259" s="45"/>
      <c r="L259" s="45"/>
      <c r="M259" s="21">
        <f t="shared" si="138"/>
        <v>80</v>
      </c>
      <c r="N259" s="6">
        <v>8.7</v>
      </c>
      <c r="O259" s="43">
        <f t="shared" si="132"/>
        <v>4.3</v>
      </c>
      <c r="P259" s="1">
        <f>LOOKUP(O259,{0,1.4,1.6,1.8,2,2.2,2.4,2.6,2.8,3,3.2,3.4,3.6,3.8,4,4.2,4.4,4.7,5,5.1,5.2},{0,10,20,30,40,50,60,62,64,66,68,70,72,74,76,78,80,85,90,95,100})</f>
        <v>78</v>
      </c>
      <c r="Q259" s="6">
        <v>3.32</v>
      </c>
      <c r="R259" s="6">
        <f>10-Q259</f>
        <v>6.68</v>
      </c>
      <c r="S259" s="1">
        <f>LOOKUP(R259,{0,4.7,4.8,4.9,5,5.5,5.6,5.65,5.7,5.75,5.8,5.85,5.9,5.95,6,6.45,6.5,6.57,6.64,6.7,6.76},{0,10,20,30,40,50,60,62,64,66,68,70,72,74,76,78,80,85,90,95,100})</f>
        <v>90</v>
      </c>
      <c r="T259" s="45"/>
      <c r="U259" s="45"/>
      <c r="V259" s="21">
        <f>S259+U259</f>
        <v>90</v>
      </c>
      <c r="X259" s="21">
        <f t="shared" si="126"/>
        <v>61.1</v>
      </c>
      <c r="Y259" s="37">
        <f t="shared" si="141"/>
        <v>87.2857142857143</v>
      </c>
    </row>
    <row r="260" ht="15.6" outlineLevel="1" collapsed="1" spans="1:25">
      <c r="A260" s="42" t="s">
        <v>847</v>
      </c>
      <c r="C260" s="30"/>
      <c r="D260" s="30"/>
      <c r="F260" s="1">
        <f>SUBTOTAL(1,F213:F259)</f>
        <v>73.8333333333333</v>
      </c>
      <c r="H260" s="1">
        <f>SUBTOTAL(1,H213:H259)</f>
        <v>71.9523809523809</v>
      </c>
      <c r="J260" s="1">
        <f>SUBTOTAL(1,J213:J259)</f>
        <v>59.6190476190476</v>
      </c>
      <c r="K260" s="45"/>
      <c r="L260" s="45"/>
      <c r="M260" s="21">
        <f>SUBTOTAL(1,M213:M259)</f>
        <v>60.3095238095238</v>
      </c>
      <c r="O260" s="43"/>
      <c r="P260" s="1">
        <f>SUBTOTAL(1,P213:P259)</f>
        <v>83.2173913043478</v>
      </c>
      <c r="S260" s="1">
        <f>SUBTOTAL(1,S213:S259)</f>
        <v>78.225</v>
      </c>
      <c r="T260" s="45"/>
      <c r="U260" s="45"/>
      <c r="V260" s="21">
        <f>SUBTOTAL(1,V213:V259)</f>
        <v>78.425</v>
      </c>
      <c r="X260" s="21">
        <f>SUBTOTAL(1,X213:X259)</f>
        <v>47.9595744680851</v>
      </c>
      <c r="Y260" s="37">
        <f>SUBTOTAL(1,Y213:Y259)</f>
        <v>72.6322188449848</v>
      </c>
    </row>
    <row r="261" ht="15.6" hidden="1" outlineLevel="2" spans="1:25">
      <c r="A261" s="6">
        <v>107</v>
      </c>
      <c r="B261" s="6">
        <v>1</v>
      </c>
      <c r="C261" s="39" t="s">
        <v>298</v>
      </c>
      <c r="D261" s="29" t="s">
        <v>11</v>
      </c>
      <c r="E261" s="6">
        <v>18.4</v>
      </c>
      <c r="F261" s="1">
        <f>LOOKUP(E261,{0,-4,-3,-2,-1,0,1,2.4,3.8,5.2,6.6,8,9.4,10.8,12.2,13.6,15,17.2,19.4,21.5,23.6},{0,10,20,30,40,50,60,62,64,66,68,70,72,74,76,78,80,85,90,95,100})</f>
        <v>85</v>
      </c>
      <c r="G261" s="6">
        <v>243</v>
      </c>
      <c r="H261" s="1">
        <f>LOOKUP(G261,{0,170,175,180,185,190,195,199,203,207,211,215,219,223,227,231,235,243,250,255,260},{0,10,20,30,40,50,60,62,64,66,68,70,72,74,76,78,80,85,90,95,100})</f>
        <v>85</v>
      </c>
      <c r="I261" s="6">
        <v>3</v>
      </c>
      <c r="J261" s="1">
        <f>LOOKUP(I261,{0,2,3,4,5,6,7,8,9,10,11,12,13,14,15,16},{0,10,20,30,40,50,60,64,68,72,76,80,85,90,95,100})</f>
        <v>20</v>
      </c>
      <c r="K261" s="7"/>
      <c r="L261" s="7"/>
      <c r="M261" s="21">
        <f t="shared" ref="M261:M284" si="142">J261+L261</f>
        <v>20</v>
      </c>
      <c r="N261" s="6">
        <v>7.2</v>
      </c>
      <c r="O261" s="43">
        <f t="shared" ref="O261:O290" si="143">13-N261</f>
        <v>5.8</v>
      </c>
      <c r="P261" s="1">
        <f>LOOKUP(O261,{0,2.5,2.7,2.9,3.1,3.3,3.5,3.7,3.9,4.1,4.3,4.5,4.7,4.9,5.1,5.3,5.5,5.6,5.7,5.8,5.9},{0,10,20,30,40,50,60,62,64,66,68,70,72,74,76,78,80,85,90,95,100})</f>
        <v>95</v>
      </c>
      <c r="Q261" s="6">
        <v>3.58</v>
      </c>
      <c r="R261" s="6">
        <f t="shared" ref="R261:R284" si="144">10-Q261</f>
        <v>6.42</v>
      </c>
      <c r="S261" s="1">
        <f>LOOKUP(R261,{0,3.75,3.95,4.55,4.75,4.95,5.55,5.6,5.65,5.7,5.75,5.8,5.85,5.9,5.95,6,6.45,6.53,6.6,6.65,6.7},{0,10,20,30,40,50,60,62,64,66,68,70,72,74,76,78,80,85,90,95,100})</f>
        <v>78</v>
      </c>
      <c r="T261" s="7"/>
      <c r="U261" s="7"/>
      <c r="V261" s="21">
        <f t="shared" ref="V261:V284" si="145">S261+U261</f>
        <v>78</v>
      </c>
      <c r="X261" s="21">
        <f>F261*0.1+H261*0.1+J261*0.1+P261*0.2+S261*0.2</f>
        <v>53.6</v>
      </c>
      <c r="Y261" s="37">
        <f t="shared" ref="Y261:Y284" si="146">X261/0.7+L261+U261</f>
        <v>76.5714285714286</v>
      </c>
    </row>
    <row r="262" ht="15.6" hidden="1" outlineLevel="2" spans="1:25">
      <c r="A262" s="6">
        <v>107</v>
      </c>
      <c r="B262" s="6">
        <v>2</v>
      </c>
      <c r="C262" s="29" t="s">
        <v>299</v>
      </c>
      <c r="D262" s="29" t="s">
        <v>11</v>
      </c>
      <c r="E262" s="6">
        <v>10.3</v>
      </c>
      <c r="F262" s="1">
        <f>LOOKUP(E262,{0,-4,-3,-2,-1,0,1,2.4,3.8,5.2,6.6,8,9.4,10.8,12.2,13.6,15,17.2,19.4,21.5,23.6},{0,10,20,30,40,50,60,62,64,66,68,70,72,74,76,78,80,85,90,95,100})</f>
        <v>72</v>
      </c>
      <c r="G262" s="6">
        <v>215</v>
      </c>
      <c r="H262" s="1">
        <f>LOOKUP(G262,{0,170,175,180,185,190,195,199,203,207,211,215,219,223,227,231,235,243,250,255,260},{0,10,20,30,40,50,60,62,64,66,68,70,72,74,76,78,80,85,90,95,100})</f>
        <v>70</v>
      </c>
      <c r="I262" s="6">
        <v>7</v>
      </c>
      <c r="J262" s="1">
        <f>LOOKUP(I262,{0,2,3,4,5,6,7,8,9,10,11,12,13,14,15,16},{0,10,20,30,40,50,60,64,68,72,76,80,85,90,95,100})</f>
        <v>60</v>
      </c>
      <c r="K262" s="7"/>
      <c r="L262" s="7"/>
      <c r="M262" s="21">
        <f t="shared" si="142"/>
        <v>60</v>
      </c>
      <c r="N262" s="6">
        <v>7.4</v>
      </c>
      <c r="O262" s="43">
        <f t="shared" si="143"/>
        <v>5.6</v>
      </c>
      <c r="P262" s="1">
        <f>LOOKUP(O262,{0,2.5,2.7,2.9,3.1,3.3,3.5,3.7,3.9,4.1,4.3,4.5,4.7,4.9,5.1,5.3,5.5,5.6,5.7,5.8,5.9},{0,10,20,30,40,50,60,62,64,66,68,70,72,74,76,78,80,85,90,95,100})</f>
        <v>85</v>
      </c>
      <c r="Q262" s="6">
        <v>3.38</v>
      </c>
      <c r="R262" s="6">
        <f t="shared" si="144"/>
        <v>6.62</v>
      </c>
      <c r="S262" s="1">
        <f>LOOKUP(R262,{0,3.75,3.95,4.55,4.75,4.95,5.55,5.6,5.65,5.7,5.75,5.8,5.85,5.9,5.95,6,6.45,6.53,6.6,6.65,6.7},{0,10,20,30,40,50,60,62,64,66,68,70,72,74,76,78,80,85,90,95,100})</f>
        <v>90</v>
      </c>
      <c r="T262" s="7"/>
      <c r="U262" s="7"/>
      <c r="V262" s="21">
        <f t="shared" si="145"/>
        <v>90</v>
      </c>
      <c r="X262" s="21">
        <f>F262*0.1+H262*0.1+J262*0.1+P262*0.2+S262*0.2</f>
        <v>55.2</v>
      </c>
      <c r="Y262" s="37">
        <f t="shared" si="146"/>
        <v>78.8571428571429</v>
      </c>
    </row>
    <row r="263" ht="15.6" hidden="1" outlineLevel="2" spans="1:25">
      <c r="A263" s="6">
        <v>107</v>
      </c>
      <c r="B263" s="6">
        <v>3</v>
      </c>
      <c r="C263" s="29" t="s">
        <v>300</v>
      </c>
      <c r="D263" s="29" t="s">
        <v>11</v>
      </c>
      <c r="E263" s="6">
        <v>15.4</v>
      </c>
      <c r="F263" s="1">
        <f>LOOKUP(E263,{0,-4,-3,-2,-1,0,1,2.4,3.8,5.2,6.6,8,9.4,10.8,12.2,13.6,15,17.2,19.4,21.5,23.6},{0,10,20,30,40,50,60,62,64,66,68,70,72,74,76,78,80,85,90,95,100})</f>
        <v>80</v>
      </c>
      <c r="G263" s="6">
        <v>225</v>
      </c>
      <c r="H263" s="1">
        <f>LOOKUP(G263,{0,170,175,180,185,190,195,199,203,207,211,215,219,223,227,231,235,243,250,255,260},{0,10,20,30,40,50,60,62,64,66,68,70,72,74,76,78,80,85,90,95,100})</f>
        <v>74</v>
      </c>
      <c r="I263" s="6">
        <v>15</v>
      </c>
      <c r="J263" s="1">
        <f>LOOKUP(I263,{0,2,3,4,5,6,7,8,9,10,11,12,13,14,15,16},{0,10,20,30,40,50,60,64,68,72,76,80,85,90,95,100})</f>
        <v>95</v>
      </c>
      <c r="K263" s="7"/>
      <c r="L263" s="7"/>
      <c r="M263" s="21">
        <f t="shared" si="142"/>
        <v>95</v>
      </c>
      <c r="N263" s="6">
        <v>7.4</v>
      </c>
      <c r="O263" s="43">
        <f t="shared" si="143"/>
        <v>5.6</v>
      </c>
      <c r="P263" s="1">
        <f>LOOKUP(O263,{0,2.5,2.7,2.9,3.1,3.3,3.5,3.7,3.9,4.1,4.3,4.5,4.7,4.9,5.1,5.3,5.5,5.6,5.7,5.8,5.9},{0,10,20,30,40,50,60,62,64,66,68,70,72,74,76,78,80,85,90,95,100})</f>
        <v>85</v>
      </c>
      <c r="Q263" s="6">
        <v>3.42</v>
      </c>
      <c r="R263" s="6">
        <f t="shared" si="144"/>
        <v>6.58</v>
      </c>
      <c r="S263" s="1">
        <f>LOOKUP(R263,{0,3.75,3.95,4.55,4.75,4.95,5.55,5.6,5.65,5.7,5.75,5.8,5.85,5.9,5.95,6,6.45,6.53,6.6,6.65,6.7},{0,10,20,30,40,50,60,62,64,66,68,70,72,74,76,78,80,85,90,95,100})</f>
        <v>85</v>
      </c>
      <c r="T263" s="7"/>
      <c r="U263" s="7"/>
      <c r="V263" s="21">
        <f t="shared" si="145"/>
        <v>85</v>
      </c>
      <c r="X263" s="21">
        <f t="shared" ref="X263:X326" si="147">F263*0.1+H263*0.1+J263*0.1+P263*0.2+S263*0.2</f>
        <v>58.9</v>
      </c>
      <c r="Y263" s="37">
        <f t="shared" si="146"/>
        <v>84.1428571428572</v>
      </c>
    </row>
    <row r="264" s="3" customFormat="1" ht="15.6" hidden="1" outlineLevel="2" spans="1:25">
      <c r="A264" s="6">
        <v>107</v>
      </c>
      <c r="B264" s="6">
        <v>4</v>
      </c>
      <c r="C264" s="29" t="s">
        <v>301</v>
      </c>
      <c r="D264" s="29" t="s">
        <v>11</v>
      </c>
      <c r="E264" s="6">
        <v>18.1</v>
      </c>
      <c r="F264" s="1">
        <f>LOOKUP(E264,{0,-4,-3,-2,-1,0,1,2.4,3.8,5.2,6.6,8,9.4,10.8,12.2,13.6,15,17.2,19.4,21.5,23.6},{0,10,20,30,40,50,60,62,64,66,68,70,72,74,76,78,80,85,90,95,100})</f>
        <v>85</v>
      </c>
      <c r="G264" s="6">
        <v>255</v>
      </c>
      <c r="H264" s="1">
        <f>LOOKUP(G264,{0,170,175,180,185,190,195,199,203,207,211,215,219,223,227,231,235,243,250,255,260},{0,10,20,30,40,50,60,62,64,66,68,70,72,74,76,78,80,85,90,95,100})</f>
        <v>95</v>
      </c>
      <c r="I264" s="6">
        <v>28</v>
      </c>
      <c r="J264" s="1">
        <f>LOOKUP(I264,{0,2,3,4,5,6,7,8,9,10,11,12,13,14,15,16},{0,10,20,30,40,50,60,64,68,72,76,80,85,90,95,100})</f>
        <v>100</v>
      </c>
      <c r="K264" s="7">
        <f>I264-16</f>
        <v>12</v>
      </c>
      <c r="L264" s="40">
        <f>LOOKUP(K264,{0,1,2,3,4,5,6,7,8,9,10},{0,1,2,3,4,5,6,7,8,9,10})</f>
        <v>10</v>
      </c>
      <c r="M264" s="21">
        <f t="shared" si="142"/>
        <v>110</v>
      </c>
      <c r="N264" s="6">
        <v>6.7</v>
      </c>
      <c r="O264" s="43">
        <f t="shared" si="143"/>
        <v>6.3</v>
      </c>
      <c r="P264" s="1">
        <f>LOOKUP(O264,{0,2.5,2.7,2.9,3.1,3.3,3.5,3.7,3.9,4.1,4.3,4.5,4.7,4.9,5.1,5.3,5.5,5.6,5.7,5.8,5.9},{0,10,20,30,40,50,60,62,64,66,68,70,72,74,76,78,80,85,90,95,100})</f>
        <v>100</v>
      </c>
      <c r="Q264" s="6">
        <v>3.1</v>
      </c>
      <c r="R264" s="6">
        <f t="shared" si="144"/>
        <v>6.9</v>
      </c>
      <c r="S264" s="1">
        <f>LOOKUP(R264,{0,3.75,3.95,4.55,4.75,4.95,5.55,5.6,5.65,5.7,5.75,5.8,5.85,5.9,5.95,6,6.45,6.53,6.6,6.65,6.7},{0,10,20,30,40,50,60,62,64,66,68,70,72,74,76,78,80,85,90,95,100})</f>
        <v>100</v>
      </c>
      <c r="T264" s="7">
        <f>3.3-Q264</f>
        <v>0.2</v>
      </c>
      <c r="U264" s="40">
        <f>LOOKUP(T264,{0,0.04,0.08,0.12,0.16,0.2,0.23,0.26,0.29,0.32,0.35},{0,1,2,3,4,5,6,7,8,9,10})</f>
        <v>4</v>
      </c>
      <c r="V264" s="21">
        <f t="shared" si="145"/>
        <v>104</v>
      </c>
      <c r="W264" s="6"/>
      <c r="X264" s="21">
        <f t="shared" si="147"/>
        <v>68</v>
      </c>
      <c r="Y264" s="37">
        <f t="shared" si="146"/>
        <v>111.142857142857</v>
      </c>
    </row>
    <row r="265" ht="15.6" hidden="1" outlineLevel="2" spans="1:25">
      <c r="A265" s="6">
        <v>107</v>
      </c>
      <c r="B265" s="6">
        <v>5</v>
      </c>
      <c r="C265" s="29" t="s">
        <v>302</v>
      </c>
      <c r="D265" s="29" t="s">
        <v>11</v>
      </c>
      <c r="E265" s="6">
        <v>23</v>
      </c>
      <c r="F265" s="1">
        <f>LOOKUP(E265,{0,-4,-3,-2,-1,0,1,2.4,3.8,5.2,6.6,8,9.4,10.8,12.2,13.6,15,17.2,19.4,21.5,23.6},{0,10,20,30,40,50,60,62,64,66,68,70,72,74,76,78,80,85,90,95,100})</f>
        <v>95</v>
      </c>
      <c r="G265" s="6">
        <v>173</v>
      </c>
      <c r="H265" s="1">
        <f>LOOKUP(G265,{0,170,175,180,185,190,195,199,203,207,211,215,219,223,227,231,235,243,250,255,260},{0,10,20,30,40,50,60,62,64,66,68,70,72,74,76,78,80,85,90,95,100})</f>
        <v>10</v>
      </c>
      <c r="I265" s="6">
        <v>1</v>
      </c>
      <c r="J265" s="1">
        <f>LOOKUP(I265,{0,2,3,4,5,6,7,8,9,10,11,12,13,14,15,16},{0,10,20,30,40,50,60,64,68,72,76,80,85,90,95,100})</f>
        <v>0</v>
      </c>
      <c r="K265" s="7"/>
      <c r="L265" s="7"/>
      <c r="M265" s="21">
        <f t="shared" si="142"/>
        <v>0</v>
      </c>
      <c r="N265" s="6">
        <v>10.8</v>
      </c>
      <c r="O265" s="43">
        <f t="shared" si="143"/>
        <v>2.2</v>
      </c>
      <c r="P265" s="1">
        <f>LOOKUP(O265,{0,2.5,2.7,2.9,3.1,3.3,3.5,3.7,3.9,4.1,4.3,4.5,4.7,4.9,5.1,5.3,5.5,5.6,5.7,5.8,5.9},{0,10,20,30,40,50,60,62,64,66,68,70,72,74,76,78,80,85,90,95,100})</f>
        <v>0</v>
      </c>
      <c r="Q265" s="6">
        <v>5.18</v>
      </c>
      <c r="R265" s="6">
        <f t="shared" si="144"/>
        <v>4.82</v>
      </c>
      <c r="S265" s="1">
        <f>LOOKUP(R265,{0,3.75,3.95,4.55,4.75,4.95,5.55,5.6,5.65,5.7,5.75,5.8,5.85,5.9,5.95,6,6.45,6.53,6.6,6.65,6.7},{0,10,20,30,40,50,60,62,64,66,68,70,72,74,76,78,80,85,90,95,100})</f>
        <v>40</v>
      </c>
      <c r="T265" s="7"/>
      <c r="U265" s="7"/>
      <c r="V265" s="21">
        <f t="shared" si="145"/>
        <v>40</v>
      </c>
      <c r="X265" s="21">
        <f t="shared" si="147"/>
        <v>18.5</v>
      </c>
      <c r="Y265" s="37">
        <f t="shared" si="146"/>
        <v>26.4285714285714</v>
      </c>
    </row>
    <row r="266" ht="15.6" hidden="1" outlineLevel="2" spans="1:25">
      <c r="A266" s="6">
        <v>107</v>
      </c>
      <c r="B266" s="6">
        <v>6</v>
      </c>
      <c r="C266" s="29" t="s">
        <v>303</v>
      </c>
      <c r="D266" s="29" t="s">
        <v>11</v>
      </c>
      <c r="E266" s="6">
        <v>1.5</v>
      </c>
      <c r="F266" s="1">
        <f>LOOKUP(E266,{0,-4,-3,-2,-1,0,1,2.4,3.8,5.2,6.6,8,9.4,10.8,12.2,13.6,15,17.2,19.4,21.5,23.6},{0,10,20,30,40,50,60,62,64,66,68,70,72,74,76,78,80,85,90,95,100})</f>
        <v>60</v>
      </c>
      <c r="G266" s="6">
        <v>190</v>
      </c>
      <c r="H266" s="1">
        <f>LOOKUP(G266,{0,170,175,180,185,190,195,199,203,207,211,215,219,223,227,231,235,243,250,255,260},{0,10,20,30,40,50,60,62,64,66,68,70,72,74,76,78,80,85,90,95,100})</f>
        <v>50</v>
      </c>
      <c r="I266" s="6">
        <v>20</v>
      </c>
      <c r="J266" s="1">
        <f>LOOKUP(I266,{0,2,3,4,5,6,7,8,9,10,11,12,13,14,15,16},{0,10,20,30,40,50,60,64,68,72,76,80,85,90,95,100})</f>
        <v>100</v>
      </c>
      <c r="K266" s="7">
        <f>I266-16</f>
        <v>4</v>
      </c>
      <c r="L266" s="40">
        <f>LOOKUP(K266,{0,1,2,3,4,5,6,7,8,9,10},{0,1,2,3,4,5,6,7,8,9,10})</f>
        <v>4</v>
      </c>
      <c r="M266" s="21">
        <f t="shared" si="142"/>
        <v>104</v>
      </c>
      <c r="N266" s="6">
        <v>7.3</v>
      </c>
      <c r="O266" s="43">
        <f t="shared" si="143"/>
        <v>5.7</v>
      </c>
      <c r="P266" s="1">
        <f>LOOKUP(O266,{0,2.5,2.7,2.9,3.1,3.3,3.5,3.7,3.9,4.1,4.3,4.5,4.7,4.9,5.1,5.3,5.5,5.6,5.7,5.8,5.9},{0,10,20,30,40,50,60,62,64,66,68,70,72,74,76,78,80,85,90,95,100})</f>
        <v>90</v>
      </c>
      <c r="Q266" s="6">
        <v>4.22</v>
      </c>
      <c r="R266" s="6">
        <f t="shared" si="144"/>
        <v>5.78</v>
      </c>
      <c r="S266" s="1">
        <f>LOOKUP(R266,{0,3.75,3.95,4.55,4.75,4.95,5.55,5.6,5.65,5.7,5.75,5.8,5.85,5.9,5.95,6,6.45,6.53,6.6,6.65,6.7},{0,10,20,30,40,50,60,62,64,66,68,70,72,74,76,78,80,85,90,95,100})</f>
        <v>68</v>
      </c>
      <c r="T266" s="7"/>
      <c r="U266" s="7"/>
      <c r="V266" s="21">
        <f t="shared" si="145"/>
        <v>68</v>
      </c>
      <c r="X266" s="21">
        <f t="shared" si="147"/>
        <v>52.6</v>
      </c>
      <c r="Y266" s="37">
        <f t="shared" si="146"/>
        <v>79.1428571428572</v>
      </c>
    </row>
    <row r="267" ht="15.6" hidden="1" outlineLevel="2" spans="1:25">
      <c r="A267" s="6">
        <v>107</v>
      </c>
      <c r="B267" s="6">
        <v>7</v>
      </c>
      <c r="C267" s="29" t="s">
        <v>304</v>
      </c>
      <c r="D267" s="29" t="s">
        <v>11</v>
      </c>
      <c r="E267" s="6">
        <v>-1.6</v>
      </c>
      <c r="F267" s="1">
        <f>LOOKUP(E267,{0,-4,-3,-2,-1,0,1,2.4,3.8,5.2,6.6,8,9.4,10.8,12.2,13.6,15,17.2,19.4,21.5,23.6},{0,10,20,30,40,50,60,62,64,66,68,70,72,74,76,78,80,85,90,95,100})</f>
        <v>30</v>
      </c>
      <c r="G267" s="6">
        <v>213</v>
      </c>
      <c r="H267" s="1">
        <f>LOOKUP(G267,{0,170,175,180,185,190,195,199,203,207,211,215,219,223,227,231,235,243,250,255,260},{0,10,20,30,40,50,60,62,64,66,68,70,72,74,76,78,80,85,90,95,100})</f>
        <v>68</v>
      </c>
      <c r="I267" s="6">
        <v>15</v>
      </c>
      <c r="J267" s="1">
        <f>LOOKUP(I267,{0,2,3,4,5,6,7,8,9,10,11,12,13,14,15,16},{0,10,20,30,40,50,60,64,68,72,76,80,85,90,95,100})</f>
        <v>95</v>
      </c>
      <c r="K267" s="7"/>
      <c r="L267" s="7"/>
      <c r="M267" s="21">
        <f t="shared" si="142"/>
        <v>95</v>
      </c>
      <c r="N267" s="6">
        <v>7.8</v>
      </c>
      <c r="O267" s="43">
        <f t="shared" si="143"/>
        <v>5.2</v>
      </c>
      <c r="P267" s="1">
        <f>LOOKUP(O267,{0,2.5,2.7,2.9,3.1,3.3,3.5,3.7,3.9,4.1,4.3,4.5,4.7,4.9,5.1,5.3,5.5,5.6,5.7,5.8,5.9},{0,10,20,30,40,50,60,62,64,66,68,70,72,74,76,78,80,85,90,95,100})</f>
        <v>76</v>
      </c>
      <c r="Q267" s="6">
        <v>4.09</v>
      </c>
      <c r="R267" s="6">
        <f t="shared" si="144"/>
        <v>5.91</v>
      </c>
      <c r="S267" s="1">
        <f>LOOKUP(R267,{0,3.75,3.95,4.55,4.75,4.95,5.55,5.6,5.65,5.7,5.75,5.8,5.85,5.9,5.95,6,6.45,6.53,6.6,6.65,6.7},{0,10,20,30,40,50,60,62,64,66,68,70,72,74,76,78,80,85,90,95,100})</f>
        <v>74</v>
      </c>
      <c r="T267" s="7"/>
      <c r="U267" s="7"/>
      <c r="V267" s="21">
        <f t="shared" si="145"/>
        <v>74</v>
      </c>
      <c r="X267" s="21">
        <f t="shared" si="147"/>
        <v>49.3</v>
      </c>
      <c r="Y267" s="37">
        <f t="shared" si="146"/>
        <v>70.4285714285714</v>
      </c>
    </row>
    <row r="268" ht="15.6" hidden="1" outlineLevel="2" spans="1:25">
      <c r="A268" s="6">
        <v>107</v>
      </c>
      <c r="B268" s="6">
        <v>8</v>
      </c>
      <c r="C268" s="29" t="s">
        <v>305</v>
      </c>
      <c r="D268" s="29" t="s">
        <v>11</v>
      </c>
      <c r="E268" s="6">
        <v>17.3</v>
      </c>
      <c r="F268" s="1">
        <f>LOOKUP(E268,{0,-4,-3,-2,-1,0,1,2.4,3.8,5.2,6.6,8,9.4,10.8,12.2,13.6,15,17.2,19.4,21.5,23.6},{0,10,20,30,40,50,60,62,64,66,68,70,72,74,76,78,80,85,90,95,100})</f>
        <v>85</v>
      </c>
      <c r="G268" s="6">
        <v>242</v>
      </c>
      <c r="H268" s="1">
        <f>LOOKUP(G268,{0,170,175,180,185,190,195,199,203,207,211,215,219,223,227,231,235,243,250,255,260},{0,10,20,30,40,50,60,62,64,66,68,70,72,74,76,78,80,85,90,95,100})</f>
        <v>80</v>
      </c>
      <c r="I268" s="6">
        <v>13</v>
      </c>
      <c r="J268" s="1">
        <f>LOOKUP(I268,{0,2,3,4,5,6,7,8,9,10,11,12,13,14,15,16},{0,10,20,30,40,50,60,64,68,72,76,80,85,90,95,100})</f>
        <v>85</v>
      </c>
      <c r="K268" s="7"/>
      <c r="L268" s="7"/>
      <c r="M268" s="21">
        <f t="shared" si="142"/>
        <v>85</v>
      </c>
      <c r="N268" s="6">
        <v>7</v>
      </c>
      <c r="O268" s="43">
        <f t="shared" si="143"/>
        <v>6</v>
      </c>
      <c r="P268" s="1">
        <f>LOOKUP(O268,{0,2.5,2.7,2.9,3.1,3.3,3.5,3.7,3.9,4.1,4.3,4.5,4.7,4.9,5.1,5.3,5.5,5.6,5.7,5.8,5.9},{0,10,20,30,40,50,60,62,64,66,68,70,72,74,76,78,80,85,90,95,100})</f>
        <v>100</v>
      </c>
      <c r="Q268" s="6">
        <v>3.2</v>
      </c>
      <c r="R268" s="6">
        <f t="shared" si="144"/>
        <v>6.8</v>
      </c>
      <c r="S268" s="1">
        <f>LOOKUP(R268,{0,3.75,3.95,4.55,4.75,4.95,5.55,5.6,5.65,5.7,5.75,5.8,5.85,5.9,5.95,6,6.45,6.53,6.6,6.65,6.7},{0,10,20,30,40,50,60,62,64,66,68,70,72,74,76,78,80,85,90,95,100})</f>
        <v>100</v>
      </c>
      <c r="T268" s="7">
        <f t="shared" ref="T268:T272" si="148">3.3-Q268</f>
        <v>0.0999999999999996</v>
      </c>
      <c r="U268" s="40">
        <f>LOOKUP(T268,{0,0.04,0.08,0.12,0.16,0.2,0.23,0.26,0.29,0.32,0.35},{0,1,2,3,4,5,6,7,8,9,10})</f>
        <v>2</v>
      </c>
      <c r="V268" s="21">
        <f t="shared" si="145"/>
        <v>102</v>
      </c>
      <c r="X268" s="21">
        <f t="shared" si="147"/>
        <v>65</v>
      </c>
      <c r="Y268" s="37">
        <f t="shared" si="146"/>
        <v>94.8571428571429</v>
      </c>
    </row>
    <row r="269" ht="15.6" hidden="1" outlineLevel="2" spans="1:25">
      <c r="A269" s="6">
        <v>107</v>
      </c>
      <c r="B269" s="6">
        <v>9</v>
      </c>
      <c r="C269" s="29" t="s">
        <v>306</v>
      </c>
      <c r="D269" s="29" t="s">
        <v>11</v>
      </c>
      <c r="E269" s="6">
        <v>16</v>
      </c>
      <c r="F269" s="1">
        <f>LOOKUP(E269,{0,-4,-3,-2,-1,0,1,2.4,3.8,5.2,6.6,8,9.4,10.8,12.2,13.6,15,17.2,19.4,21.5,23.6},{0,10,20,30,40,50,60,62,64,66,68,70,72,74,76,78,80,85,90,95,100})</f>
        <v>80</v>
      </c>
      <c r="G269" s="6">
        <v>235</v>
      </c>
      <c r="H269" s="1">
        <f>LOOKUP(G269,{0,170,175,180,185,190,195,199,203,207,211,215,219,223,227,231,235,243,250,255,260},{0,10,20,30,40,50,60,62,64,66,68,70,72,74,76,78,80,85,90,95,100})</f>
        <v>80</v>
      </c>
      <c r="I269" s="6">
        <v>13</v>
      </c>
      <c r="J269" s="1">
        <f>LOOKUP(I269,{0,2,3,4,5,6,7,8,9,10,11,12,13,14,15,16},{0,10,20,30,40,50,60,64,68,72,76,80,85,90,95,100})</f>
        <v>85</v>
      </c>
      <c r="K269" s="7"/>
      <c r="L269" s="7"/>
      <c r="M269" s="21">
        <f t="shared" si="142"/>
        <v>85</v>
      </c>
      <c r="N269" s="6">
        <v>7.7</v>
      </c>
      <c r="O269" s="43">
        <f t="shared" si="143"/>
        <v>5.3</v>
      </c>
      <c r="P269" s="1">
        <f>LOOKUP(O269,{0,2.5,2.7,2.9,3.1,3.3,3.5,3.7,3.9,4.1,4.3,4.5,4.7,4.9,5.1,5.3,5.5,5.6,5.7,5.8,5.9},{0,10,20,30,40,50,60,62,64,66,68,70,72,74,76,78,80,85,90,95,100})</f>
        <v>78</v>
      </c>
      <c r="Q269" s="6">
        <v>3.57</v>
      </c>
      <c r="R269" s="6">
        <f t="shared" si="144"/>
        <v>6.43</v>
      </c>
      <c r="S269" s="1">
        <f>LOOKUP(R269,{0,3.75,3.95,4.55,4.75,4.95,5.55,5.6,5.65,5.7,5.75,5.8,5.85,5.9,5.95,6,6.45,6.53,6.6,6.65,6.7},{0,10,20,30,40,50,60,62,64,66,68,70,72,74,76,78,80,85,90,95,100})</f>
        <v>78</v>
      </c>
      <c r="T269" s="7"/>
      <c r="U269" s="7"/>
      <c r="V269" s="21">
        <f t="shared" si="145"/>
        <v>78</v>
      </c>
      <c r="X269" s="21">
        <f t="shared" si="147"/>
        <v>55.7</v>
      </c>
      <c r="Y269" s="37">
        <f t="shared" si="146"/>
        <v>79.5714285714286</v>
      </c>
    </row>
    <row r="270" ht="15.6" hidden="1" outlineLevel="2" spans="1:25">
      <c r="A270" s="6">
        <v>107</v>
      </c>
      <c r="B270" s="6">
        <v>10</v>
      </c>
      <c r="C270" s="29" t="s">
        <v>307</v>
      </c>
      <c r="D270" s="29" t="s">
        <v>11</v>
      </c>
      <c r="E270" s="6">
        <v>10.5</v>
      </c>
      <c r="F270" s="1">
        <f>LOOKUP(E270,{0,-4,-3,-2,-1,0,1,2.4,3.8,5.2,6.6,8,9.4,10.8,12.2,13.6,15,17.2,19.4,21.5,23.6},{0,10,20,30,40,50,60,62,64,66,68,70,72,74,76,78,80,85,90,95,100})</f>
        <v>72</v>
      </c>
      <c r="G270" s="6">
        <v>238</v>
      </c>
      <c r="H270" s="1">
        <f>LOOKUP(G270,{0,170,175,180,185,190,195,199,203,207,211,215,219,223,227,231,235,243,250,255,260},{0,10,20,30,40,50,60,62,64,66,68,70,72,74,76,78,80,85,90,95,100})</f>
        <v>80</v>
      </c>
      <c r="I270" s="6">
        <v>16</v>
      </c>
      <c r="J270" s="1">
        <f>LOOKUP(I270,{0,2,3,4,5,6,7,8,9,10,11,12,13,14,15,16},{0,10,20,30,40,50,60,64,68,72,76,80,85,90,95,100})</f>
        <v>100</v>
      </c>
      <c r="K270" s="7">
        <f>I270-16</f>
        <v>0</v>
      </c>
      <c r="L270" s="40">
        <f>LOOKUP(K270,{0,1,2,3,4,5,6,7,8,9,10},{0,1,2,3,4,5,6,7,8,9,10})</f>
        <v>0</v>
      </c>
      <c r="M270" s="21">
        <f t="shared" si="142"/>
        <v>100</v>
      </c>
      <c r="N270" s="6">
        <v>7.1</v>
      </c>
      <c r="O270" s="43">
        <f t="shared" si="143"/>
        <v>5.9</v>
      </c>
      <c r="P270" s="1">
        <f>LOOKUP(O270,{0,2.5,2.7,2.9,3.1,3.3,3.5,3.7,3.9,4.1,4.3,4.5,4.7,4.9,5.1,5.3,5.5,5.6,5.7,5.8,5.9},{0,10,20,30,40,50,60,62,64,66,68,70,72,74,76,78,80,85,90,95,100})</f>
        <v>100</v>
      </c>
      <c r="Q270" s="6">
        <v>3.39</v>
      </c>
      <c r="R270" s="6">
        <f t="shared" si="144"/>
        <v>6.61</v>
      </c>
      <c r="S270" s="1">
        <f>LOOKUP(R270,{0,3.75,3.95,4.55,4.75,4.95,5.55,5.6,5.65,5.7,5.75,5.8,5.85,5.9,5.95,6,6.45,6.53,6.6,6.65,6.7},{0,10,20,30,40,50,60,62,64,66,68,70,72,74,76,78,80,85,90,95,100})</f>
        <v>90</v>
      </c>
      <c r="T270" s="7"/>
      <c r="U270" s="7"/>
      <c r="V270" s="21">
        <f t="shared" si="145"/>
        <v>90</v>
      </c>
      <c r="X270" s="21">
        <f t="shared" si="147"/>
        <v>63.2</v>
      </c>
      <c r="Y270" s="37">
        <f t="shared" si="146"/>
        <v>90.2857142857143</v>
      </c>
    </row>
    <row r="271" ht="15.6" hidden="1" outlineLevel="2" spans="1:25">
      <c r="A271" s="6">
        <v>107</v>
      </c>
      <c r="B271" s="6">
        <v>11</v>
      </c>
      <c r="C271" s="39" t="s">
        <v>309</v>
      </c>
      <c r="D271" s="29" t="s">
        <v>11</v>
      </c>
      <c r="E271" s="6">
        <v>14.7</v>
      </c>
      <c r="F271" s="1">
        <f>LOOKUP(E271,{0,-4,-3,-2,-1,0,1,2.4,3.8,5.2,6.6,8,9.4,10.8,12.2,13.6,15,17.2,19.4,21.5,23.6},{0,10,20,30,40,50,60,62,64,66,68,70,72,74,76,78,80,85,90,95,100})</f>
        <v>78</v>
      </c>
      <c r="G271" s="6">
        <v>260</v>
      </c>
      <c r="H271" s="1">
        <f>LOOKUP(G271,{0,170,175,180,185,190,195,199,203,207,211,215,219,223,227,231,235,243,250,255,260},{0,10,20,30,40,50,60,62,64,66,68,70,72,74,76,78,80,85,90,95,100})</f>
        <v>100</v>
      </c>
      <c r="I271" s="6">
        <v>11</v>
      </c>
      <c r="J271" s="1">
        <f>LOOKUP(I271,{0,2,3,4,5,6,7,8,9,10,11,12,13,14,15,16},{0,10,20,30,40,50,60,64,68,72,76,80,85,90,95,100})</f>
        <v>76</v>
      </c>
      <c r="K271" s="7"/>
      <c r="L271" s="7"/>
      <c r="M271" s="21">
        <f t="shared" si="142"/>
        <v>76</v>
      </c>
      <c r="N271" s="6">
        <v>7.2</v>
      </c>
      <c r="O271" s="43">
        <f t="shared" si="143"/>
        <v>5.8</v>
      </c>
      <c r="P271" s="1">
        <f>LOOKUP(O271,{0,2.5,2.7,2.9,3.1,3.3,3.5,3.7,3.9,4.1,4.3,4.5,4.7,4.9,5.1,5.3,5.5,5.6,5.7,5.8,5.9},{0,10,20,30,40,50,60,62,64,66,68,70,72,74,76,78,80,85,90,95,100})</f>
        <v>95</v>
      </c>
      <c r="Q271" s="6">
        <v>3.27</v>
      </c>
      <c r="R271" s="6">
        <f t="shared" si="144"/>
        <v>6.73</v>
      </c>
      <c r="S271" s="1">
        <f>LOOKUP(R271,{0,3.75,3.95,4.55,4.75,4.95,5.55,5.6,5.65,5.7,5.75,5.8,5.85,5.9,5.95,6,6.45,6.53,6.6,6.65,6.7},{0,10,20,30,40,50,60,62,64,66,68,70,72,74,76,78,80,85,90,95,100})</f>
        <v>100</v>
      </c>
      <c r="T271" s="7">
        <f t="shared" si="148"/>
        <v>0.0299999999999998</v>
      </c>
      <c r="U271" s="40">
        <f>LOOKUP(T271,{0,0.04,0.08,0.12,0.16,0.2,0.23,0.26,0.29,0.32,0.35},{0,1,2,3,4,5,6,7,8,9,10})</f>
        <v>0</v>
      </c>
      <c r="V271" s="21">
        <f t="shared" si="145"/>
        <v>100</v>
      </c>
      <c r="X271" s="21">
        <f t="shared" si="147"/>
        <v>64.4</v>
      </c>
      <c r="Y271" s="37">
        <f t="shared" si="146"/>
        <v>92</v>
      </c>
    </row>
    <row r="272" ht="15.6" hidden="1" outlineLevel="2" spans="1:25">
      <c r="A272" s="6">
        <v>107</v>
      </c>
      <c r="B272" s="6">
        <v>12</v>
      </c>
      <c r="C272" s="29" t="s">
        <v>310</v>
      </c>
      <c r="D272" s="29" t="s">
        <v>11</v>
      </c>
      <c r="E272" s="6">
        <v>4</v>
      </c>
      <c r="F272" s="1">
        <f>LOOKUP(E272,{0,-4,-3,-2,-1,0,1,2.4,3.8,5.2,6.6,8,9.4,10.8,12.2,13.6,15,17.2,19.4,21.5,23.6},{0,10,20,30,40,50,60,62,64,66,68,70,72,74,76,78,80,85,90,95,100})</f>
        <v>64</v>
      </c>
      <c r="G272" s="6">
        <v>212</v>
      </c>
      <c r="H272" s="1">
        <f>LOOKUP(G272,{0,170,175,180,185,190,195,199,203,207,211,215,219,223,227,231,235,243,250,255,260},{0,10,20,30,40,50,60,62,64,66,68,70,72,74,76,78,80,85,90,95,100})</f>
        <v>68</v>
      </c>
      <c r="I272" s="6">
        <v>2</v>
      </c>
      <c r="J272" s="1">
        <f>LOOKUP(I272,{0,2,3,4,5,6,7,8,9,10,11,12,13,14,15,16},{0,10,20,30,40,50,60,64,68,72,76,80,85,90,95,100})</f>
        <v>10</v>
      </c>
      <c r="K272" s="7"/>
      <c r="L272" s="7"/>
      <c r="M272" s="21">
        <f t="shared" si="142"/>
        <v>10</v>
      </c>
      <c r="N272" s="6">
        <v>7</v>
      </c>
      <c r="O272" s="43">
        <f t="shared" si="143"/>
        <v>6</v>
      </c>
      <c r="P272" s="1">
        <f>LOOKUP(O272,{0,2.5,2.7,2.9,3.1,3.3,3.5,3.7,3.9,4.1,4.3,4.5,4.7,4.9,5.1,5.3,5.5,5.6,5.7,5.8,5.9},{0,10,20,30,40,50,60,62,64,66,68,70,72,74,76,78,80,85,90,95,100})</f>
        <v>100</v>
      </c>
      <c r="Q272" s="6">
        <v>3.19</v>
      </c>
      <c r="R272" s="6">
        <f t="shared" si="144"/>
        <v>6.81</v>
      </c>
      <c r="S272" s="1">
        <f>LOOKUP(R272,{0,3.75,3.95,4.55,4.75,4.95,5.55,5.6,5.65,5.7,5.75,5.8,5.85,5.9,5.95,6,6.45,6.53,6.6,6.65,6.7},{0,10,20,30,40,50,60,62,64,66,68,70,72,74,76,78,80,85,90,95,100})</f>
        <v>100</v>
      </c>
      <c r="T272" s="7">
        <f t="shared" si="148"/>
        <v>0.11</v>
      </c>
      <c r="U272" s="40">
        <f>LOOKUP(T272,{0,0.04,0.08,0.12,0.16,0.2,0.23,0.26,0.29,0.32,0.35},{0,1,2,3,4,5,6,7,8,9,10})</f>
        <v>2</v>
      </c>
      <c r="V272" s="21">
        <f t="shared" si="145"/>
        <v>102</v>
      </c>
      <c r="X272" s="21">
        <f t="shared" si="147"/>
        <v>54.2</v>
      </c>
      <c r="Y272" s="37">
        <f t="shared" si="146"/>
        <v>79.4285714285714</v>
      </c>
    </row>
    <row r="273" ht="15.6" hidden="1" outlineLevel="2" spans="1:25">
      <c r="A273" s="6">
        <v>107</v>
      </c>
      <c r="B273" s="6">
        <v>13</v>
      </c>
      <c r="C273" s="29" t="s">
        <v>311</v>
      </c>
      <c r="D273" s="29" t="s">
        <v>11</v>
      </c>
      <c r="E273" s="6">
        <v>15.2</v>
      </c>
      <c r="F273" s="1">
        <f>LOOKUP(E273,{0,-4,-3,-2,-1,0,1,2.4,3.8,5.2,6.6,8,9.4,10.8,12.2,13.6,15,17.2,19.4,21.5,23.6},{0,10,20,30,40,50,60,62,64,66,68,70,72,74,76,78,80,85,90,95,100})</f>
        <v>80</v>
      </c>
      <c r="G273" s="6">
        <v>227</v>
      </c>
      <c r="H273" s="1">
        <f>LOOKUP(G273,{0,170,175,180,185,190,195,199,203,207,211,215,219,223,227,231,235,243,250,255,260},{0,10,20,30,40,50,60,62,64,66,68,70,72,74,76,78,80,85,90,95,100})</f>
        <v>76</v>
      </c>
      <c r="I273" s="6">
        <v>9</v>
      </c>
      <c r="J273" s="1">
        <f>LOOKUP(I273,{0,2,3,4,5,6,7,8,9,10,11,12,13,14,15,16},{0,10,20,30,40,50,60,64,68,72,76,80,85,90,95,100})</f>
        <v>68</v>
      </c>
      <c r="K273" s="7"/>
      <c r="L273" s="7"/>
      <c r="M273" s="21">
        <f t="shared" si="142"/>
        <v>68</v>
      </c>
      <c r="N273" s="6">
        <v>7.2</v>
      </c>
      <c r="O273" s="43">
        <f t="shared" si="143"/>
        <v>5.8</v>
      </c>
      <c r="P273" s="1">
        <f>LOOKUP(O273,{0,2.5,2.7,2.9,3.1,3.3,3.5,3.7,3.9,4.1,4.3,4.5,4.7,4.9,5.1,5.3,5.5,5.6,5.7,5.8,5.9},{0,10,20,30,40,50,60,62,64,66,68,70,72,74,76,78,80,85,90,95,100})</f>
        <v>95</v>
      </c>
      <c r="Q273" s="6">
        <v>4</v>
      </c>
      <c r="R273" s="6">
        <f t="shared" si="144"/>
        <v>6</v>
      </c>
      <c r="S273" s="1">
        <f>LOOKUP(R273,{0,3.75,3.95,4.55,4.75,4.95,5.55,5.6,5.65,5.7,5.75,5.8,5.85,5.9,5.95,6,6.45,6.53,6.6,6.65,6.7},{0,10,20,30,40,50,60,62,64,66,68,70,72,74,76,78,80,85,90,95,100})</f>
        <v>78</v>
      </c>
      <c r="T273" s="7"/>
      <c r="U273" s="7"/>
      <c r="V273" s="21">
        <f t="shared" si="145"/>
        <v>78</v>
      </c>
      <c r="X273" s="21">
        <f t="shared" si="147"/>
        <v>57</v>
      </c>
      <c r="Y273" s="37">
        <f t="shared" si="146"/>
        <v>81.4285714285714</v>
      </c>
    </row>
    <row r="274" ht="15.6" hidden="1" outlineLevel="2" spans="1:25">
      <c r="A274" s="6">
        <v>107</v>
      </c>
      <c r="B274" s="6">
        <v>14</v>
      </c>
      <c r="C274" s="29" t="s">
        <v>312</v>
      </c>
      <c r="D274" s="29" t="s">
        <v>11</v>
      </c>
      <c r="E274" s="6">
        <v>12.1</v>
      </c>
      <c r="F274" s="1">
        <f>LOOKUP(E274,{0,-4,-3,-2,-1,0,1,2.4,3.8,5.2,6.6,8,9.4,10.8,12.2,13.6,15,17.2,19.4,21.5,23.6},{0,10,20,30,40,50,60,62,64,66,68,70,72,74,76,78,80,85,90,95,100})</f>
        <v>74</v>
      </c>
      <c r="G274" s="6">
        <v>223</v>
      </c>
      <c r="H274" s="1">
        <f>LOOKUP(G274,{0,170,175,180,185,190,195,199,203,207,211,215,219,223,227,231,235,243,250,255,260},{0,10,20,30,40,50,60,62,64,66,68,70,72,74,76,78,80,85,90,95,100})</f>
        <v>74</v>
      </c>
      <c r="I274" s="6">
        <v>13</v>
      </c>
      <c r="J274" s="1">
        <f>LOOKUP(I274,{0,2,3,4,5,6,7,8,9,10,11,12,13,14,15,16},{0,10,20,30,40,50,60,64,68,72,76,80,85,90,95,100})</f>
        <v>85</v>
      </c>
      <c r="K274" s="7"/>
      <c r="L274" s="7"/>
      <c r="M274" s="21">
        <f t="shared" si="142"/>
        <v>85</v>
      </c>
      <c r="N274" s="6">
        <v>7.6</v>
      </c>
      <c r="O274" s="43">
        <f t="shared" si="143"/>
        <v>5.4</v>
      </c>
      <c r="P274" s="1">
        <f>LOOKUP(O274,{0,2.5,2.7,2.9,3.1,3.3,3.5,3.7,3.9,4.1,4.3,4.5,4.7,4.9,5.1,5.3,5.5,5.6,5.7,5.8,5.9},{0,10,20,30,40,50,60,62,64,66,68,70,72,74,76,78,80,85,90,95,100})</f>
        <v>78</v>
      </c>
      <c r="Q274" s="6">
        <v>4.05</v>
      </c>
      <c r="R274" s="6">
        <f t="shared" si="144"/>
        <v>5.95</v>
      </c>
      <c r="S274" s="1">
        <f>LOOKUP(R274,{0,3.75,3.95,4.55,4.75,4.95,5.55,5.6,5.65,5.7,5.75,5.8,5.85,5.9,5.95,6,6.45,6.53,6.6,6.65,6.7},{0,10,20,30,40,50,60,62,64,66,68,70,72,74,76,78,80,85,90,95,100})</f>
        <v>76</v>
      </c>
      <c r="T274" s="7"/>
      <c r="U274" s="7"/>
      <c r="V274" s="21">
        <f t="shared" si="145"/>
        <v>76</v>
      </c>
      <c r="X274" s="21">
        <f t="shared" si="147"/>
        <v>54.1</v>
      </c>
      <c r="Y274" s="37">
        <f t="shared" si="146"/>
        <v>77.2857142857143</v>
      </c>
    </row>
    <row r="275" s="3" customFormat="1" ht="15.6" hidden="1" outlineLevel="2" spans="1:25">
      <c r="A275" s="6">
        <v>107</v>
      </c>
      <c r="B275" s="6">
        <v>15</v>
      </c>
      <c r="C275" s="29" t="s">
        <v>313</v>
      </c>
      <c r="D275" s="29" t="s">
        <v>11</v>
      </c>
      <c r="E275" s="6">
        <v>7.2</v>
      </c>
      <c r="F275" s="1">
        <f>LOOKUP(E275,{0,-4,-3,-2,-1,0,1,2.4,3.8,5.2,6.6,8,9.4,10.8,12.2,13.6,15,17.2,19.4,21.5,23.6},{0,10,20,30,40,50,60,62,64,66,68,70,72,74,76,78,80,85,90,95,100})</f>
        <v>68</v>
      </c>
      <c r="G275" s="6">
        <v>247</v>
      </c>
      <c r="H275" s="1">
        <f>LOOKUP(G275,{0,170,175,180,185,190,195,199,203,207,211,215,219,223,227,231,235,243,250,255,260},{0,10,20,30,40,50,60,62,64,66,68,70,72,74,76,78,80,85,90,95,100})</f>
        <v>85</v>
      </c>
      <c r="I275" s="6">
        <v>2</v>
      </c>
      <c r="J275" s="1">
        <f>LOOKUP(I275,{0,2,3,4,5,6,7,8,9,10,11,12,13,14,15,16},{0,10,20,30,40,50,60,64,68,72,76,80,85,90,95,100})</f>
        <v>10</v>
      </c>
      <c r="K275" s="7"/>
      <c r="L275" s="7"/>
      <c r="M275" s="21">
        <f t="shared" si="142"/>
        <v>10</v>
      </c>
      <c r="N275" s="6">
        <v>6.7</v>
      </c>
      <c r="O275" s="43">
        <f t="shared" si="143"/>
        <v>6.3</v>
      </c>
      <c r="P275" s="1">
        <f>LOOKUP(O275,{0,2.5,2.7,2.9,3.1,3.3,3.5,3.7,3.9,4.1,4.3,4.5,4.7,4.9,5.1,5.3,5.5,5.6,5.7,5.8,5.9},{0,10,20,30,40,50,60,62,64,66,68,70,72,74,76,78,80,85,90,95,100})</f>
        <v>100</v>
      </c>
      <c r="Q275" s="6">
        <v>4.12</v>
      </c>
      <c r="R275" s="6">
        <f t="shared" si="144"/>
        <v>5.88</v>
      </c>
      <c r="S275" s="1">
        <f>LOOKUP(R275,{0,3.75,3.95,4.55,4.75,4.95,5.55,5.6,5.65,5.7,5.75,5.8,5.85,5.9,5.95,6,6.45,6.53,6.6,6.65,6.7},{0,10,20,30,40,50,60,62,64,66,68,70,72,74,76,78,80,85,90,95,100})</f>
        <v>72</v>
      </c>
      <c r="T275" s="7"/>
      <c r="U275" s="7"/>
      <c r="V275" s="21">
        <f t="shared" si="145"/>
        <v>72</v>
      </c>
      <c r="W275" s="6"/>
      <c r="X275" s="21">
        <f t="shared" si="147"/>
        <v>50.7</v>
      </c>
      <c r="Y275" s="37">
        <f t="shared" si="146"/>
        <v>72.4285714285714</v>
      </c>
    </row>
    <row r="276" ht="15.6" hidden="1" outlineLevel="2" spans="1:25">
      <c r="A276" s="6">
        <v>107</v>
      </c>
      <c r="B276" s="6">
        <v>16</v>
      </c>
      <c r="C276" s="29" t="s">
        <v>314</v>
      </c>
      <c r="D276" s="29" t="s">
        <v>11</v>
      </c>
      <c r="E276" s="6">
        <v>15.5</v>
      </c>
      <c r="F276" s="1">
        <f>LOOKUP(E276,{0,-4,-3,-2,-1,0,1,2.4,3.8,5.2,6.6,8,9.4,10.8,12.2,13.6,15,17.2,19.4,21.5,23.6},{0,10,20,30,40,50,60,62,64,66,68,70,72,74,76,78,80,85,90,95,100})</f>
        <v>80</v>
      </c>
      <c r="G276" s="6">
        <v>235</v>
      </c>
      <c r="H276" s="1">
        <f>LOOKUP(G276,{0,170,175,180,185,190,195,199,203,207,211,215,219,223,227,231,235,243,250,255,260},{0,10,20,30,40,50,60,62,64,66,68,70,72,74,76,78,80,85,90,95,100})</f>
        <v>80</v>
      </c>
      <c r="I276" s="6">
        <v>16</v>
      </c>
      <c r="J276" s="1">
        <f>LOOKUP(I276,{0,2,3,4,5,6,7,8,9,10,11,12,13,14,15,16},{0,10,20,30,40,50,60,64,68,72,76,80,85,90,95,100})</f>
        <v>100</v>
      </c>
      <c r="K276" s="7">
        <f>I276-16</f>
        <v>0</v>
      </c>
      <c r="L276" s="40">
        <f>LOOKUP(K276,{0,1,2,3,4,5,6,7,8,9,10},{0,1,2,3,4,5,6,7,8,9,10})</f>
        <v>0</v>
      </c>
      <c r="M276" s="21">
        <f t="shared" si="142"/>
        <v>100</v>
      </c>
      <c r="N276" s="6">
        <v>7.5</v>
      </c>
      <c r="O276" s="43">
        <f t="shared" si="143"/>
        <v>5.5</v>
      </c>
      <c r="P276" s="1">
        <f>LOOKUP(O276,{0,2.5,2.7,2.9,3.1,3.3,3.5,3.7,3.9,4.1,4.3,4.5,4.7,4.9,5.1,5.3,5.5,5.6,5.7,5.8,5.9},{0,10,20,30,40,50,60,62,64,66,68,70,72,74,76,78,80,85,90,95,100})</f>
        <v>80</v>
      </c>
      <c r="Q276" s="6">
        <v>3.21</v>
      </c>
      <c r="R276" s="6">
        <f t="shared" si="144"/>
        <v>6.79</v>
      </c>
      <c r="S276" s="1">
        <f>LOOKUP(R276,{0,3.75,3.95,4.55,4.75,4.95,5.55,5.6,5.65,5.7,5.75,5.8,5.85,5.9,5.95,6,6.45,6.53,6.6,6.65,6.7},{0,10,20,30,40,50,60,62,64,66,68,70,72,74,76,78,80,85,90,95,100})</f>
        <v>100</v>
      </c>
      <c r="T276" s="7">
        <f t="shared" ref="T276:T280" si="149">3.3-Q276</f>
        <v>0.0899999999999999</v>
      </c>
      <c r="U276" s="40">
        <f>LOOKUP(T276,{0,0.04,0.08,0.12,0.16,0.2,0.23,0.26,0.29,0.32,0.35},{0,1,2,3,4,5,6,7,8,9,10})</f>
        <v>2</v>
      </c>
      <c r="V276" s="21">
        <f t="shared" si="145"/>
        <v>102</v>
      </c>
      <c r="X276" s="21">
        <f t="shared" si="147"/>
        <v>62</v>
      </c>
      <c r="Y276" s="37">
        <f t="shared" si="146"/>
        <v>90.5714285714286</v>
      </c>
    </row>
    <row r="277" ht="15.6" hidden="1" outlineLevel="2" spans="1:25">
      <c r="A277" s="6">
        <v>107</v>
      </c>
      <c r="B277" s="6">
        <v>17</v>
      </c>
      <c r="C277" s="29" t="s">
        <v>315</v>
      </c>
      <c r="D277" s="29" t="s">
        <v>11</v>
      </c>
      <c r="E277" s="6">
        <v>4.1</v>
      </c>
      <c r="F277" s="1">
        <f>LOOKUP(E277,{0,-4,-3,-2,-1,0,1,2.4,3.8,5.2,6.6,8,9.4,10.8,12.2,13.6,15,17.2,19.4,21.5,23.6},{0,10,20,30,40,50,60,62,64,66,68,70,72,74,76,78,80,85,90,95,100})</f>
        <v>64</v>
      </c>
      <c r="G277" s="6">
        <v>195</v>
      </c>
      <c r="H277" s="1">
        <f>LOOKUP(G277,{0,170,175,180,185,190,195,199,203,207,211,215,219,223,227,231,235,243,250,255,260},{0,10,20,30,40,50,60,62,64,66,68,70,72,74,76,78,80,85,90,95,100})</f>
        <v>60</v>
      </c>
      <c r="I277" s="6">
        <v>10</v>
      </c>
      <c r="J277" s="1">
        <f>LOOKUP(I277,{0,2,3,4,5,6,7,8,9,10,11,12,13,14,15,16},{0,10,20,30,40,50,60,64,68,72,76,80,85,90,95,100})</f>
        <v>72</v>
      </c>
      <c r="K277" s="7"/>
      <c r="L277" s="7"/>
      <c r="M277" s="21">
        <f t="shared" si="142"/>
        <v>72</v>
      </c>
      <c r="N277" s="6">
        <v>7.3</v>
      </c>
      <c r="O277" s="43">
        <f t="shared" si="143"/>
        <v>5.7</v>
      </c>
      <c r="P277" s="1">
        <f>LOOKUP(O277,{0,2.5,2.7,2.9,3.1,3.3,3.5,3.7,3.9,4.1,4.3,4.5,4.7,4.9,5.1,5.3,5.5,5.6,5.7,5.8,5.9},{0,10,20,30,40,50,60,62,64,66,68,70,72,74,76,78,80,85,90,95,100})</f>
        <v>90</v>
      </c>
      <c r="Q277" s="6">
        <v>3.54</v>
      </c>
      <c r="R277" s="6">
        <f t="shared" si="144"/>
        <v>6.46</v>
      </c>
      <c r="S277" s="1">
        <f>LOOKUP(R277,{0,3.75,3.95,4.55,4.75,4.95,5.55,5.6,5.65,5.7,5.75,5.8,5.85,5.9,5.95,6,6.45,6.53,6.6,6.65,6.7},{0,10,20,30,40,50,60,62,64,66,68,70,72,74,76,78,80,85,90,95,100})</f>
        <v>80</v>
      </c>
      <c r="T277" s="7"/>
      <c r="U277" s="7"/>
      <c r="V277" s="21">
        <f t="shared" si="145"/>
        <v>80</v>
      </c>
      <c r="X277" s="21">
        <f t="shared" si="147"/>
        <v>53.6</v>
      </c>
      <c r="Y277" s="37">
        <f t="shared" si="146"/>
        <v>76.5714285714286</v>
      </c>
    </row>
    <row r="278" ht="15.6" hidden="1" outlineLevel="2" spans="1:25">
      <c r="A278" s="6">
        <v>107</v>
      </c>
      <c r="B278" s="6">
        <v>18</v>
      </c>
      <c r="C278" s="29" t="s">
        <v>316</v>
      </c>
      <c r="D278" s="29" t="s">
        <v>11</v>
      </c>
      <c r="E278" s="6">
        <v>22</v>
      </c>
      <c r="F278" s="1">
        <f>LOOKUP(E278,{0,-4,-3,-2,-1,0,1,2.4,3.8,5.2,6.6,8,9.4,10.8,12.2,13.6,15,17.2,19.4,21.5,23.6},{0,10,20,30,40,50,60,62,64,66,68,70,72,74,76,78,80,85,90,95,100})</f>
        <v>95</v>
      </c>
      <c r="G278" s="6">
        <v>217</v>
      </c>
      <c r="H278" s="1">
        <f>LOOKUP(G278,{0,170,175,180,185,190,195,199,203,207,211,215,219,223,227,231,235,243,250,255,260},{0,10,20,30,40,50,60,62,64,66,68,70,72,74,76,78,80,85,90,95,100})</f>
        <v>70</v>
      </c>
      <c r="I278" s="6">
        <v>7</v>
      </c>
      <c r="J278" s="1">
        <f>LOOKUP(I278,{0,2,3,4,5,6,7,8,9,10,11,12,13,14,15,16},{0,10,20,30,40,50,60,64,68,72,76,80,85,90,95,100})</f>
        <v>60</v>
      </c>
      <c r="K278" s="7"/>
      <c r="L278" s="7"/>
      <c r="M278" s="21">
        <f t="shared" si="142"/>
        <v>60</v>
      </c>
      <c r="N278" s="6">
        <v>7</v>
      </c>
      <c r="O278" s="43">
        <f t="shared" si="143"/>
        <v>6</v>
      </c>
      <c r="P278" s="1">
        <f>LOOKUP(O278,{0,2.5,2.7,2.9,3.1,3.3,3.5,3.7,3.9,4.1,4.3,4.5,4.7,4.9,5.1,5.3,5.5,5.6,5.7,5.8,5.9},{0,10,20,30,40,50,60,62,64,66,68,70,72,74,76,78,80,85,90,95,100})</f>
        <v>100</v>
      </c>
      <c r="Q278" s="6">
        <v>3.26</v>
      </c>
      <c r="R278" s="6">
        <f t="shared" si="144"/>
        <v>6.74</v>
      </c>
      <c r="S278" s="1">
        <f>LOOKUP(R278,{0,3.75,3.95,4.55,4.75,4.95,5.55,5.6,5.65,5.7,5.75,5.8,5.85,5.9,5.95,6,6.45,6.53,6.6,6.65,6.7},{0,10,20,30,40,50,60,62,64,66,68,70,72,74,76,78,80,85,90,95,100})</f>
        <v>100</v>
      </c>
      <c r="T278" s="7">
        <f t="shared" si="149"/>
        <v>0.04</v>
      </c>
      <c r="U278" s="40">
        <f>LOOKUP(T278,{0,0.04,0.08,0.12,0.16,0.2,0.23,0.26,0.29,0.32,0.35},{0,1,2,3,4,5,6,7,8,9,10})</f>
        <v>1</v>
      </c>
      <c r="V278" s="21">
        <f t="shared" si="145"/>
        <v>101</v>
      </c>
      <c r="X278" s="21">
        <f t="shared" si="147"/>
        <v>62.5</v>
      </c>
      <c r="Y278" s="37">
        <f t="shared" si="146"/>
        <v>90.2857142857143</v>
      </c>
    </row>
    <row r="279" ht="15.6" hidden="1" outlineLevel="2" spans="1:25">
      <c r="A279" s="6">
        <v>107</v>
      </c>
      <c r="B279" s="6">
        <v>19</v>
      </c>
      <c r="C279" s="29" t="s">
        <v>317</v>
      </c>
      <c r="D279" s="29" t="s">
        <v>11</v>
      </c>
      <c r="E279" s="6">
        <v>8</v>
      </c>
      <c r="F279" s="1">
        <f>LOOKUP(E279,{0,-4,-3,-2,-1,0,1,2.4,3.8,5.2,6.6,8,9.4,10.8,12.2,13.6,15,17.2,19.4,21.5,23.6},{0,10,20,30,40,50,60,62,64,66,68,70,72,74,76,78,80,85,90,95,100})</f>
        <v>70</v>
      </c>
      <c r="G279" s="6">
        <v>213</v>
      </c>
      <c r="H279" s="1">
        <f>LOOKUP(G279,{0,170,175,180,185,190,195,199,203,207,211,215,219,223,227,231,235,243,250,255,260},{0,10,20,30,40,50,60,62,64,66,68,70,72,74,76,78,80,85,90,95,100})</f>
        <v>68</v>
      </c>
      <c r="I279" s="6">
        <v>0</v>
      </c>
      <c r="J279" s="1">
        <f>LOOKUP(I279,{0,2,3,4,5,6,7,8,9,10,11,12,13,14,15,16},{0,10,20,30,40,50,60,64,68,72,76,80,85,90,95,100})</f>
        <v>0</v>
      </c>
      <c r="K279" s="7"/>
      <c r="L279" s="7"/>
      <c r="M279" s="21">
        <f t="shared" si="142"/>
        <v>0</v>
      </c>
      <c r="N279" s="6">
        <v>7.4</v>
      </c>
      <c r="O279" s="43">
        <f t="shared" si="143"/>
        <v>5.6</v>
      </c>
      <c r="P279" s="1">
        <f>LOOKUP(O279,{0,2.5,2.7,2.9,3.1,3.3,3.5,3.7,3.9,4.1,4.3,4.5,4.7,4.9,5.1,5.3,5.5,5.6,5.7,5.8,5.9},{0,10,20,30,40,50,60,62,64,66,68,70,72,74,76,78,80,85,90,95,100})</f>
        <v>85</v>
      </c>
      <c r="Q279" s="6">
        <v>4.1</v>
      </c>
      <c r="R279" s="6">
        <f t="shared" si="144"/>
        <v>5.9</v>
      </c>
      <c r="S279" s="1">
        <f>LOOKUP(R279,{0,3.75,3.95,4.55,4.75,4.95,5.55,5.6,5.65,5.7,5.75,5.8,5.85,5.9,5.95,6,6.45,6.53,6.6,6.65,6.7},{0,10,20,30,40,50,60,62,64,66,68,70,72,74,76,78,80,85,90,95,100})</f>
        <v>74</v>
      </c>
      <c r="T279" s="7"/>
      <c r="U279" s="7"/>
      <c r="V279" s="21">
        <f t="shared" si="145"/>
        <v>74</v>
      </c>
      <c r="X279" s="21">
        <f t="shared" si="147"/>
        <v>45.6</v>
      </c>
      <c r="Y279" s="37">
        <f t="shared" si="146"/>
        <v>65.1428571428572</v>
      </c>
    </row>
    <row r="280" ht="15.6" hidden="1" outlineLevel="2" spans="1:25">
      <c r="A280" s="6">
        <v>107</v>
      </c>
      <c r="B280" s="6">
        <v>20</v>
      </c>
      <c r="C280" s="29" t="s">
        <v>318</v>
      </c>
      <c r="D280" s="29" t="s">
        <v>11</v>
      </c>
      <c r="E280" s="6">
        <v>15</v>
      </c>
      <c r="F280" s="1">
        <f>LOOKUP(E280,{0,-4,-3,-2,-1,0,1,2.4,3.8,5.2,6.6,8,9.4,10.8,12.2,13.6,15,17.2,19.4,21.5,23.6},{0,10,20,30,40,50,60,62,64,66,68,70,72,74,76,78,80,85,90,95,100})</f>
        <v>80</v>
      </c>
      <c r="G280" s="6">
        <v>225</v>
      </c>
      <c r="H280" s="1">
        <f>LOOKUP(G280,{0,170,175,180,185,190,195,199,203,207,211,215,219,223,227,231,235,243,250,255,260},{0,10,20,30,40,50,60,62,64,66,68,70,72,74,76,78,80,85,90,95,100})</f>
        <v>74</v>
      </c>
      <c r="I280" s="6">
        <v>20</v>
      </c>
      <c r="J280" s="1">
        <f>LOOKUP(I280,{0,2,3,4,5,6,7,8,9,10,11,12,13,14,15,16},{0,10,20,30,40,50,60,64,68,72,76,80,85,90,95,100})</f>
        <v>100</v>
      </c>
      <c r="K280" s="7">
        <f>I280-16</f>
        <v>4</v>
      </c>
      <c r="L280" s="40">
        <f>LOOKUP(K280,{0,1,2,3,4,5,6,7,8,9,10},{0,1,2,3,4,5,6,7,8,9,10})</f>
        <v>4</v>
      </c>
      <c r="M280" s="21">
        <f t="shared" si="142"/>
        <v>104</v>
      </c>
      <c r="N280" s="6">
        <v>7.3</v>
      </c>
      <c r="O280" s="43">
        <f t="shared" si="143"/>
        <v>5.7</v>
      </c>
      <c r="P280" s="1">
        <f>LOOKUP(O280,{0,2.5,2.7,2.9,3.1,3.3,3.5,3.7,3.9,4.1,4.3,4.5,4.7,4.9,5.1,5.3,5.5,5.6,5.7,5.8,5.9},{0,10,20,30,40,50,60,62,64,66,68,70,72,74,76,78,80,85,90,95,100})</f>
        <v>90</v>
      </c>
      <c r="Q280" s="6">
        <v>3.29</v>
      </c>
      <c r="R280" s="6">
        <f t="shared" si="144"/>
        <v>6.71</v>
      </c>
      <c r="S280" s="1">
        <f>LOOKUP(R280,{0,3.75,3.95,4.55,4.75,4.95,5.55,5.6,5.65,5.7,5.75,5.8,5.85,5.9,5.95,6,6.45,6.53,6.6,6.65,6.7},{0,10,20,30,40,50,60,62,64,66,68,70,72,74,76,78,80,85,90,95,100})</f>
        <v>100</v>
      </c>
      <c r="T280" s="7">
        <f t="shared" si="149"/>
        <v>0.00999999999999979</v>
      </c>
      <c r="U280" s="40">
        <f>LOOKUP(T280,{0,0.04,0.08,0.12,0.16,0.2,0.23,0.26,0.29,0.32,0.35},{0,1,2,3,4,5,6,7,8,9,10})</f>
        <v>0</v>
      </c>
      <c r="V280" s="21">
        <f t="shared" si="145"/>
        <v>100</v>
      </c>
      <c r="X280" s="21">
        <f t="shared" si="147"/>
        <v>63.4</v>
      </c>
      <c r="Y280" s="37">
        <f t="shared" si="146"/>
        <v>94.5714285714286</v>
      </c>
    </row>
    <row r="281" ht="15.6" hidden="1" outlineLevel="2" spans="1:25">
      <c r="A281" s="6">
        <v>107</v>
      </c>
      <c r="B281" s="6">
        <v>21</v>
      </c>
      <c r="C281" s="39" t="s">
        <v>320</v>
      </c>
      <c r="D281" s="29" t="s">
        <v>11</v>
      </c>
      <c r="E281" s="6">
        <v>11.6</v>
      </c>
      <c r="F281" s="1">
        <f>LOOKUP(E281,{0,-4,-3,-2,-1,0,1,2.4,3.8,5.2,6.6,8,9.4,10.8,12.2,13.6,15,17.2,19.4,21.5,23.6},{0,10,20,30,40,50,60,62,64,66,68,70,72,74,76,78,80,85,90,95,100})</f>
        <v>74</v>
      </c>
      <c r="G281" s="6">
        <v>262</v>
      </c>
      <c r="H281" s="1">
        <f>LOOKUP(G281,{0,170,175,180,185,190,195,199,203,207,211,215,219,223,227,231,235,243,250,255,260},{0,10,20,30,40,50,60,62,64,66,68,70,72,74,76,78,80,85,90,95,100})</f>
        <v>100</v>
      </c>
      <c r="I281" s="6">
        <v>10</v>
      </c>
      <c r="J281" s="1">
        <f>LOOKUP(I281,{0,2,3,4,5,6,7,8,9,10,11,12,13,14,15,16},{0,10,20,30,40,50,60,64,68,72,76,80,85,90,95,100})</f>
        <v>72</v>
      </c>
      <c r="K281" s="7"/>
      <c r="L281" s="7"/>
      <c r="M281" s="21">
        <f t="shared" si="142"/>
        <v>72</v>
      </c>
      <c r="N281" s="6">
        <v>6.8</v>
      </c>
      <c r="O281" s="43">
        <f t="shared" si="143"/>
        <v>6.2</v>
      </c>
      <c r="P281" s="1">
        <f>LOOKUP(O281,{0,2.5,2.7,2.9,3.1,3.3,3.5,3.7,3.9,4.1,4.3,4.5,4.7,4.9,5.1,5.3,5.5,5.6,5.7,5.8,5.9},{0,10,20,30,40,50,60,62,64,66,68,70,72,74,76,78,80,85,90,95,100})</f>
        <v>100</v>
      </c>
      <c r="Q281" s="6">
        <v>4</v>
      </c>
      <c r="R281" s="6">
        <f t="shared" si="144"/>
        <v>6</v>
      </c>
      <c r="S281" s="1">
        <f>LOOKUP(R281,{0,3.75,3.95,4.55,4.75,4.95,5.55,5.6,5.65,5.7,5.75,5.8,5.85,5.9,5.95,6,6.45,6.53,6.6,6.65,6.7},{0,10,20,30,40,50,60,62,64,66,68,70,72,74,76,78,80,85,90,95,100})</f>
        <v>78</v>
      </c>
      <c r="T281" s="7"/>
      <c r="U281" s="7"/>
      <c r="V281" s="21">
        <f t="shared" si="145"/>
        <v>78</v>
      </c>
      <c r="X281" s="21">
        <f t="shared" si="147"/>
        <v>60.2</v>
      </c>
      <c r="Y281" s="37">
        <f t="shared" si="146"/>
        <v>86</v>
      </c>
    </row>
    <row r="282" ht="15.6" hidden="1" outlineLevel="2" spans="1:25">
      <c r="A282" s="6">
        <v>107</v>
      </c>
      <c r="B282" s="6">
        <v>22</v>
      </c>
      <c r="C282" s="29" t="s">
        <v>321</v>
      </c>
      <c r="D282" s="29" t="s">
        <v>11</v>
      </c>
      <c r="E282" s="6">
        <v>6.2</v>
      </c>
      <c r="F282" s="1">
        <f>LOOKUP(E282,{0,-4,-3,-2,-1,0,1,2.4,3.8,5.2,6.6,8,9.4,10.8,12.2,13.6,15,17.2,19.4,21.5,23.6},{0,10,20,30,40,50,60,62,64,66,68,70,72,74,76,78,80,85,90,95,100})</f>
        <v>66</v>
      </c>
      <c r="G282" s="6">
        <v>226</v>
      </c>
      <c r="H282" s="1">
        <f>LOOKUP(G282,{0,170,175,180,185,190,195,199,203,207,211,215,219,223,227,231,235,243,250,255,260},{0,10,20,30,40,50,60,62,64,66,68,70,72,74,76,78,80,85,90,95,100})</f>
        <v>74</v>
      </c>
      <c r="I282" s="6">
        <v>7</v>
      </c>
      <c r="J282" s="1">
        <f>LOOKUP(I282,{0,2,3,4,5,6,7,8,9,10,11,12,13,14,15,16},{0,10,20,30,40,50,60,64,68,72,76,80,85,90,95,100})</f>
        <v>60</v>
      </c>
      <c r="K282" s="7"/>
      <c r="L282" s="7"/>
      <c r="M282" s="21">
        <f t="shared" si="142"/>
        <v>60</v>
      </c>
      <c r="N282" s="6">
        <v>6.8</v>
      </c>
      <c r="O282" s="43">
        <f t="shared" si="143"/>
        <v>6.2</v>
      </c>
      <c r="P282" s="1">
        <f>LOOKUP(O282,{0,2.5,2.7,2.9,3.1,3.3,3.5,3.7,3.9,4.1,4.3,4.5,4.7,4.9,5.1,5.3,5.5,5.6,5.7,5.8,5.9},{0,10,20,30,40,50,60,62,64,66,68,70,72,74,76,78,80,85,90,95,100})</f>
        <v>100</v>
      </c>
      <c r="Q282" s="6">
        <v>3.28</v>
      </c>
      <c r="R282" s="6">
        <f t="shared" si="144"/>
        <v>6.72</v>
      </c>
      <c r="S282" s="1">
        <f>LOOKUP(R282,{0,3.75,3.95,4.55,4.75,4.95,5.55,5.6,5.65,5.7,5.75,5.8,5.85,5.9,5.95,6,6.45,6.53,6.6,6.65,6.7},{0,10,20,30,40,50,60,62,64,66,68,70,72,74,76,78,80,85,90,95,100})</f>
        <v>100</v>
      </c>
      <c r="T282" s="7">
        <f>3.3-Q282</f>
        <v>0.02</v>
      </c>
      <c r="U282" s="40">
        <f>LOOKUP(T282,{0,0.04,0.08,0.12,0.16,0.2,0.23,0.26,0.29,0.32,0.35},{0,1,2,3,4,5,6,7,8,9,10})</f>
        <v>0</v>
      </c>
      <c r="V282" s="21">
        <f t="shared" si="145"/>
        <v>100</v>
      </c>
      <c r="X282" s="21">
        <f t="shared" si="147"/>
        <v>60</v>
      </c>
      <c r="Y282" s="37">
        <f t="shared" si="146"/>
        <v>85.7142857142857</v>
      </c>
    </row>
    <row r="283" ht="15.6" hidden="1" outlineLevel="2" spans="1:25">
      <c r="A283" s="6">
        <v>107</v>
      </c>
      <c r="B283" s="6">
        <v>23</v>
      </c>
      <c r="C283" s="29" t="s">
        <v>322</v>
      </c>
      <c r="D283" s="29" t="s">
        <v>11</v>
      </c>
      <c r="E283" s="6">
        <v>16.8</v>
      </c>
      <c r="F283" s="1">
        <f>LOOKUP(E283,{0,-4,-3,-2,-1,0,1,2.4,3.8,5.2,6.6,8,9.4,10.8,12.2,13.6,15,17.2,19.4,21.5,23.6},{0,10,20,30,40,50,60,62,64,66,68,70,72,74,76,78,80,85,90,95,100})</f>
        <v>80</v>
      </c>
      <c r="G283" s="6">
        <v>240</v>
      </c>
      <c r="H283" s="1">
        <f>LOOKUP(G283,{0,170,175,180,185,190,195,199,203,207,211,215,219,223,227,231,235,243,250,255,260},{0,10,20,30,40,50,60,62,64,66,68,70,72,74,76,78,80,85,90,95,100})</f>
        <v>80</v>
      </c>
      <c r="I283" s="6">
        <v>7</v>
      </c>
      <c r="J283" s="1">
        <f>LOOKUP(I283,{0,2,3,4,5,6,7,8,9,10,11,12,13,14,15,16},{0,10,20,30,40,50,60,64,68,72,76,80,85,90,95,100})</f>
        <v>60</v>
      </c>
      <c r="K283" s="7"/>
      <c r="L283" s="7"/>
      <c r="M283" s="21">
        <f t="shared" si="142"/>
        <v>60</v>
      </c>
      <c r="N283" s="6">
        <v>7.4</v>
      </c>
      <c r="O283" s="43">
        <f t="shared" si="143"/>
        <v>5.6</v>
      </c>
      <c r="P283" s="1">
        <f>LOOKUP(O283,{0,2.5,2.7,2.9,3.1,3.3,3.5,3.7,3.9,4.1,4.3,4.5,4.7,4.9,5.1,5.3,5.5,5.6,5.7,5.8,5.9},{0,10,20,30,40,50,60,62,64,66,68,70,72,74,76,78,80,85,90,95,100})</f>
        <v>85</v>
      </c>
      <c r="Q283" s="6">
        <v>3.37</v>
      </c>
      <c r="R283" s="6">
        <f t="shared" si="144"/>
        <v>6.63</v>
      </c>
      <c r="S283" s="1">
        <f>LOOKUP(R283,{0,3.75,3.95,4.55,4.75,4.95,5.55,5.6,5.65,5.7,5.75,5.8,5.85,5.9,5.95,6,6.45,6.53,6.6,6.65,6.7},{0,10,20,30,40,50,60,62,64,66,68,70,72,74,76,78,80,85,90,95,100})</f>
        <v>90</v>
      </c>
      <c r="T283" s="7"/>
      <c r="U283" s="7"/>
      <c r="V283" s="21">
        <f t="shared" si="145"/>
        <v>90</v>
      </c>
      <c r="X283" s="21">
        <f t="shared" si="147"/>
        <v>57</v>
      </c>
      <c r="Y283" s="37">
        <f t="shared" si="146"/>
        <v>81.4285714285714</v>
      </c>
    </row>
    <row r="284" ht="15.6" hidden="1" outlineLevel="2" spans="1:25">
      <c r="A284" s="6">
        <v>107</v>
      </c>
      <c r="B284" s="6">
        <v>24</v>
      </c>
      <c r="C284" s="29" t="s">
        <v>323</v>
      </c>
      <c r="D284" s="29" t="s">
        <v>11</v>
      </c>
      <c r="E284" s="6">
        <v>9.5</v>
      </c>
      <c r="F284" s="1">
        <f>LOOKUP(E284,{0,-4,-3,-2,-1,0,1,2.4,3.8,5.2,6.6,8,9.4,10.8,12.2,13.6,15,17.2,19.4,21.5,23.6},{0,10,20,30,40,50,60,62,64,66,68,70,72,74,76,78,80,85,90,95,100})</f>
        <v>72</v>
      </c>
      <c r="G284" s="6">
        <v>241</v>
      </c>
      <c r="H284" s="1">
        <f>LOOKUP(G284,{0,170,175,180,185,190,195,199,203,207,211,215,219,223,227,231,235,243,250,255,260},{0,10,20,30,40,50,60,62,64,66,68,70,72,74,76,78,80,85,90,95,100})</f>
        <v>80</v>
      </c>
      <c r="I284" s="6">
        <v>1</v>
      </c>
      <c r="J284" s="1">
        <f>LOOKUP(I284,{0,2,3,4,5,6,7,8,9,10,11,12,13,14,15,16},{0,10,20,30,40,50,60,64,68,72,76,80,85,90,95,100})</f>
        <v>0</v>
      </c>
      <c r="K284" s="7"/>
      <c r="L284" s="7"/>
      <c r="M284" s="21">
        <f t="shared" si="142"/>
        <v>0</v>
      </c>
      <c r="N284" s="6">
        <v>7.6</v>
      </c>
      <c r="O284" s="43">
        <f t="shared" si="143"/>
        <v>5.4</v>
      </c>
      <c r="P284" s="1">
        <f>LOOKUP(O284,{0,2.5,2.7,2.9,3.1,3.3,3.5,3.7,3.9,4.1,4.3,4.5,4.7,4.9,5.1,5.3,5.5,5.6,5.7,5.8,5.9},{0,10,20,30,40,50,60,62,64,66,68,70,72,74,76,78,80,85,90,95,100})</f>
        <v>78</v>
      </c>
      <c r="Q284" s="6">
        <v>3.56</v>
      </c>
      <c r="R284" s="6">
        <f t="shared" si="144"/>
        <v>6.44</v>
      </c>
      <c r="S284" s="1">
        <f>LOOKUP(R284,{0,3.75,3.95,4.55,4.75,4.95,5.55,5.6,5.65,5.7,5.75,5.8,5.85,5.9,5.95,6,6.45,6.53,6.6,6.65,6.7},{0,10,20,30,40,50,60,62,64,66,68,70,72,74,76,78,80,85,90,95,100})</f>
        <v>78</v>
      </c>
      <c r="T284" s="7"/>
      <c r="U284" s="7"/>
      <c r="V284" s="21">
        <f t="shared" si="145"/>
        <v>78</v>
      </c>
      <c r="X284" s="21">
        <f t="shared" si="147"/>
        <v>46.4</v>
      </c>
      <c r="Y284" s="37">
        <f t="shared" si="146"/>
        <v>66.2857142857143</v>
      </c>
    </row>
    <row r="285" ht="15.6" hidden="1" outlineLevel="2" spans="1:25">
      <c r="A285" s="6">
        <v>107</v>
      </c>
      <c r="B285" s="6">
        <v>25</v>
      </c>
      <c r="C285" s="29" t="s">
        <v>324</v>
      </c>
      <c r="D285" s="29" t="s">
        <v>11</v>
      </c>
      <c r="F285" s="1"/>
      <c r="H285" s="1"/>
      <c r="J285" s="1"/>
      <c r="K285" s="7"/>
      <c r="L285" s="7"/>
      <c r="M285" s="21"/>
      <c r="N285" s="6">
        <v>7.1</v>
      </c>
      <c r="O285" s="43">
        <f t="shared" si="143"/>
        <v>5.9</v>
      </c>
      <c r="P285" s="1">
        <f>LOOKUP(O285,{0,2.5,2.7,2.9,3.1,3.3,3.5,3.7,3.9,4.1,4.3,4.5,4.7,4.9,5.1,5.3,5.5,5.6,5.7,5.8,5.9},{0,10,20,30,40,50,60,62,64,66,68,70,72,74,76,78,80,85,90,95,100})</f>
        <v>100</v>
      </c>
      <c r="S285" s="1"/>
      <c r="T285" s="7"/>
      <c r="U285" s="40"/>
      <c r="V285" s="21"/>
      <c r="W285" s="6" t="s">
        <v>84</v>
      </c>
      <c r="X285" s="21">
        <f t="shared" si="147"/>
        <v>20</v>
      </c>
      <c r="Y285" s="37">
        <v>50</v>
      </c>
    </row>
    <row r="286" s="3" customFormat="1" ht="15.6" hidden="1" outlineLevel="2" spans="1:25">
      <c r="A286" s="6">
        <v>107</v>
      </c>
      <c r="B286" s="6">
        <v>26</v>
      </c>
      <c r="C286" s="29" t="s">
        <v>325</v>
      </c>
      <c r="D286" s="29" t="s">
        <v>11</v>
      </c>
      <c r="E286" s="6">
        <v>-4</v>
      </c>
      <c r="F286" s="1">
        <f>LOOKUP(E286,{0,-4,-3,-2,-1,0,1,2.4,3.8,5.2,6.6,8,9.4,10.8,12.2,13.6,15,17.2,19.4,21.5,23.6},{0,10,20,30,40,50,60,62,64,66,68,70,72,74,76,78,80,85,90,95,100})</f>
        <v>10</v>
      </c>
      <c r="G286" s="6">
        <v>215</v>
      </c>
      <c r="H286" s="1">
        <f>LOOKUP(G286,{0,170,175,180,185,190,195,199,203,207,211,215,219,223,227,231,235,243,250,255,260},{0,10,20,30,40,50,60,62,64,66,68,70,72,74,76,78,80,85,90,95,100})</f>
        <v>70</v>
      </c>
      <c r="I286" s="6">
        <v>9</v>
      </c>
      <c r="J286" s="1">
        <f>LOOKUP(I286,{0,2,3,4,5,6,7,8,9,10,11,12,13,14,15,16},{0,10,20,30,40,50,60,64,68,72,76,80,85,90,95,100})</f>
        <v>68</v>
      </c>
      <c r="K286" s="7"/>
      <c r="L286" s="7"/>
      <c r="M286" s="21">
        <f t="shared" ref="M286:M290" si="150">J286+L286</f>
        <v>68</v>
      </c>
      <c r="N286" s="6">
        <v>7.7</v>
      </c>
      <c r="O286" s="43">
        <f t="shared" si="143"/>
        <v>5.3</v>
      </c>
      <c r="P286" s="1">
        <f>LOOKUP(O286,{0,2.5,2.7,2.9,3.1,3.3,3.5,3.7,3.9,4.1,4.3,4.5,4.7,4.9,5.1,5.3,5.5,5.6,5.7,5.8,5.9},{0,10,20,30,40,50,60,62,64,66,68,70,72,74,76,78,80,85,90,95,100})</f>
        <v>78</v>
      </c>
      <c r="Q286" s="6">
        <v>4.11</v>
      </c>
      <c r="R286" s="6">
        <f t="shared" ref="R286:R290" si="151">10-Q286</f>
        <v>5.89</v>
      </c>
      <c r="S286" s="1">
        <f>LOOKUP(R286,{0,3.75,3.95,4.55,4.75,4.95,5.55,5.6,5.65,5.7,5.75,5.8,5.85,5.9,5.95,6,6.45,6.53,6.6,6.65,6.7},{0,10,20,30,40,50,60,62,64,66,68,70,72,74,76,78,80,85,90,95,100})</f>
        <v>72</v>
      </c>
      <c r="T286" s="7"/>
      <c r="U286" s="7"/>
      <c r="V286" s="21">
        <f t="shared" ref="V286:V290" si="152">S286+U286</f>
        <v>72</v>
      </c>
      <c r="W286" s="6"/>
      <c r="X286" s="21">
        <f t="shared" si="147"/>
        <v>44.8</v>
      </c>
      <c r="Y286" s="37">
        <f t="shared" ref="Y286:Y290" si="153">X286/0.7+L286+U286</f>
        <v>64</v>
      </c>
    </row>
    <row r="287" ht="15.6" hidden="1" outlineLevel="2" spans="1:25">
      <c r="A287" s="6">
        <v>107</v>
      </c>
      <c r="B287" s="6">
        <v>27</v>
      </c>
      <c r="C287" s="29" t="s">
        <v>326</v>
      </c>
      <c r="D287" s="29" t="s">
        <v>11</v>
      </c>
      <c r="E287" s="6">
        <v>24</v>
      </c>
      <c r="F287" s="1">
        <f>LOOKUP(E287,{0,-4,-3,-2,-1,0,1,2.4,3.8,5.2,6.6,8,9.4,10.8,12.2,13.6,15,17.2,19.4,21.5,23.6},{0,10,20,30,40,50,60,62,64,66,68,70,72,74,76,78,80,85,90,95,100})</f>
        <v>100</v>
      </c>
      <c r="G287" s="6">
        <v>222</v>
      </c>
      <c r="H287" s="1">
        <f>LOOKUP(G287,{0,170,175,180,185,190,195,199,203,207,211,215,219,223,227,231,235,243,250,255,260},{0,10,20,30,40,50,60,62,64,66,68,70,72,74,76,78,80,85,90,95,100})</f>
        <v>72</v>
      </c>
      <c r="I287" s="6">
        <v>29</v>
      </c>
      <c r="J287" s="1">
        <f>LOOKUP(I287,{0,2,3,4,5,6,7,8,9,10,11,12,13,14,15,16},{0,10,20,30,40,50,60,64,68,72,76,80,85,90,95,100})</f>
        <v>100</v>
      </c>
      <c r="K287" s="7">
        <f>I287-16</f>
        <v>13</v>
      </c>
      <c r="L287" s="40">
        <f>LOOKUP(K287,{0,1,2,3,4,5,6,7,8,9,10},{0,1,2,3,4,5,6,7,8,9,10})</f>
        <v>10</v>
      </c>
      <c r="M287" s="21">
        <f t="shared" si="150"/>
        <v>110</v>
      </c>
      <c r="N287" s="6">
        <v>7.1</v>
      </c>
      <c r="O287" s="43">
        <f t="shared" si="143"/>
        <v>5.9</v>
      </c>
      <c r="P287" s="1">
        <f>LOOKUP(O287,{0,2.5,2.7,2.9,3.1,3.3,3.5,3.7,3.9,4.1,4.3,4.5,4.7,4.9,5.1,5.3,5.5,5.6,5.7,5.8,5.9},{0,10,20,30,40,50,60,62,64,66,68,70,72,74,76,78,80,85,90,95,100})</f>
        <v>100</v>
      </c>
      <c r="Q287" s="6">
        <v>3.36</v>
      </c>
      <c r="R287" s="6">
        <f t="shared" si="151"/>
        <v>6.64</v>
      </c>
      <c r="S287" s="1">
        <f>LOOKUP(R287,{0,3.75,3.95,4.55,4.75,4.95,5.55,5.6,5.65,5.7,5.75,5.8,5.85,5.9,5.95,6,6.45,6.53,6.6,6.65,6.7},{0,10,20,30,40,50,60,62,64,66,68,70,72,74,76,78,80,85,90,95,100})</f>
        <v>90</v>
      </c>
      <c r="T287" s="7"/>
      <c r="U287" s="7"/>
      <c r="V287" s="21">
        <f t="shared" si="152"/>
        <v>90</v>
      </c>
      <c r="X287" s="21">
        <f t="shared" si="147"/>
        <v>65.2</v>
      </c>
      <c r="Y287" s="37">
        <f t="shared" si="153"/>
        <v>103.142857142857</v>
      </c>
    </row>
    <row r="288" ht="15.6" hidden="1" outlineLevel="2" spans="1:25">
      <c r="A288" s="6">
        <v>107</v>
      </c>
      <c r="B288" s="6">
        <v>28</v>
      </c>
      <c r="C288" s="29" t="s">
        <v>327</v>
      </c>
      <c r="D288" s="29" t="s">
        <v>11</v>
      </c>
      <c r="E288" s="6">
        <v>-7.5</v>
      </c>
      <c r="F288" s="1">
        <v>0</v>
      </c>
      <c r="G288" s="6">
        <v>246</v>
      </c>
      <c r="H288" s="1">
        <f>LOOKUP(G288,{0,170,175,180,185,190,195,199,203,207,211,215,219,223,227,231,235,243,250,255,260},{0,10,20,30,40,50,60,62,64,66,68,70,72,74,76,78,80,85,90,95,100})</f>
        <v>85</v>
      </c>
      <c r="I288" s="6">
        <v>20</v>
      </c>
      <c r="J288" s="1">
        <f>LOOKUP(I288,{0,2,3,4,5,6,7,8,9,10,11,12,13,14,15,16},{0,10,20,30,40,50,60,64,68,72,76,80,85,90,95,100})</f>
        <v>100</v>
      </c>
      <c r="K288" s="7">
        <f>I288-16</f>
        <v>4</v>
      </c>
      <c r="L288" s="40">
        <f>LOOKUP(K288,{0,1,2,3,4,5,6,7,8,9,10},{0,1,2,3,4,5,6,7,8,9,10})</f>
        <v>4</v>
      </c>
      <c r="M288" s="21">
        <f t="shared" si="150"/>
        <v>104</v>
      </c>
      <c r="N288" s="6">
        <v>7</v>
      </c>
      <c r="O288" s="43">
        <f t="shared" si="143"/>
        <v>6</v>
      </c>
      <c r="P288" s="1">
        <f>LOOKUP(O288,{0,2.5,2.7,2.9,3.1,3.3,3.5,3.7,3.9,4.1,4.3,4.5,4.7,4.9,5.1,5.3,5.5,5.6,5.7,5.8,5.9},{0,10,20,30,40,50,60,62,64,66,68,70,72,74,76,78,80,85,90,95,100})</f>
        <v>100</v>
      </c>
      <c r="Q288" s="6">
        <v>3.53</v>
      </c>
      <c r="R288" s="6">
        <f t="shared" si="151"/>
        <v>6.47</v>
      </c>
      <c r="S288" s="1">
        <f>LOOKUP(R288,{0,3.75,3.95,4.55,4.75,4.95,5.55,5.6,5.65,5.7,5.75,5.8,5.85,5.9,5.95,6,6.45,6.53,6.6,6.65,6.7},{0,10,20,30,40,50,60,62,64,66,68,70,72,74,76,78,80,85,90,95,100})</f>
        <v>80</v>
      </c>
      <c r="T288" s="7"/>
      <c r="U288" s="7"/>
      <c r="V288" s="21">
        <f t="shared" si="152"/>
        <v>80</v>
      </c>
      <c r="X288" s="21">
        <f t="shared" si="147"/>
        <v>54.5</v>
      </c>
      <c r="Y288" s="37">
        <f t="shared" si="153"/>
        <v>81.8571428571429</v>
      </c>
    </row>
    <row r="289" ht="15.6" hidden="1" outlineLevel="2" spans="1:25">
      <c r="A289" s="6">
        <v>107</v>
      </c>
      <c r="B289" s="6">
        <v>29</v>
      </c>
      <c r="C289" s="29" t="s">
        <v>328</v>
      </c>
      <c r="D289" s="29" t="s">
        <v>11</v>
      </c>
      <c r="E289" s="6">
        <v>6.5</v>
      </c>
      <c r="F289" s="1">
        <f>LOOKUP(E289,{0,-4,-3,-2,-1,0,1,2.4,3.8,5.2,6.6,8,9.4,10.8,12.2,13.6,15,17.2,19.4,21.5,23.6},{0,10,20,30,40,50,60,62,64,66,68,70,72,74,76,78,80,85,90,95,100})</f>
        <v>66</v>
      </c>
      <c r="G289" s="6">
        <v>172</v>
      </c>
      <c r="H289" s="1">
        <f>LOOKUP(G289,{0,170,175,180,185,190,195,199,203,207,211,215,219,223,227,231,235,243,250,255,260},{0,10,20,30,40,50,60,62,64,66,68,70,72,74,76,78,80,85,90,95,100})</f>
        <v>10</v>
      </c>
      <c r="I289" s="6">
        <v>1</v>
      </c>
      <c r="J289" s="1">
        <f>LOOKUP(I289,{0,2,3,4,5,6,7,8,9,10,11,12,13,14,15,16},{0,10,20,30,40,50,60,64,68,72,76,80,85,90,95,100})</f>
        <v>0</v>
      </c>
      <c r="K289" s="7"/>
      <c r="L289" s="7"/>
      <c r="M289" s="21">
        <f t="shared" si="150"/>
        <v>0</v>
      </c>
      <c r="N289" s="6">
        <v>9.9</v>
      </c>
      <c r="O289" s="43">
        <f t="shared" si="143"/>
        <v>3.1</v>
      </c>
      <c r="P289" s="1">
        <f>LOOKUP(O289,{0,2.5,2.7,2.9,3.1,3.3,3.5,3.7,3.9,4.1,4.3,4.5,4.7,4.9,5.1,5.3,5.5,5.6,5.7,5.8,5.9},{0,10,20,30,40,50,60,62,64,66,68,70,72,74,76,78,80,85,90,95,100})</f>
        <v>40</v>
      </c>
      <c r="Q289" s="6">
        <v>4.46</v>
      </c>
      <c r="R289" s="6">
        <f t="shared" si="151"/>
        <v>5.54</v>
      </c>
      <c r="S289" s="1">
        <f>LOOKUP(R289,{0,3.75,3.95,4.55,4.75,4.95,5.55,5.6,5.65,5.7,5.75,5.8,5.85,5.9,5.95,6,6.45,6.53,6.6,6.65,6.7},{0,10,20,30,40,50,60,62,64,66,68,70,72,74,76,78,80,85,90,95,100})</f>
        <v>50</v>
      </c>
      <c r="T289" s="7"/>
      <c r="U289" s="7"/>
      <c r="V289" s="21">
        <f t="shared" si="152"/>
        <v>50</v>
      </c>
      <c r="X289" s="21">
        <f t="shared" si="147"/>
        <v>25.6</v>
      </c>
      <c r="Y289" s="37">
        <f t="shared" si="153"/>
        <v>36.5714285714286</v>
      </c>
    </row>
    <row r="290" ht="15.6" hidden="1" outlineLevel="2" spans="1:25">
      <c r="A290" s="6">
        <v>107</v>
      </c>
      <c r="B290" s="6">
        <v>30</v>
      </c>
      <c r="C290" s="39" t="s">
        <v>330</v>
      </c>
      <c r="D290" s="29" t="s">
        <v>46</v>
      </c>
      <c r="E290" s="6">
        <v>14</v>
      </c>
      <c r="F290" s="1">
        <f>LOOKUP(E290,{0,0.4,1.2,2,2.8,3.6,4.4,5.7,7,8.3,9.6,10.9,12.2,13.5,14.8,16.1,17.4,19.1,20.8,22.5,24.2},{0,10,20,30,40,50,60,62,64,66,68,70,72,74,76,78,80,85,90,95,100})</f>
        <v>74</v>
      </c>
      <c r="G290" s="6">
        <v>1.67</v>
      </c>
      <c r="H290" s="1">
        <f>LOOKUP(G290,{0,123,128,133,138,143,148,151,154,157,160,163,166,169,172,175,178,185,192,198,204},{0,10,20,30,40,50,60,62,64,66,68,70,72,74,76,78,80,85,90,95,100})</f>
        <v>0</v>
      </c>
      <c r="I290" s="6">
        <v>53</v>
      </c>
      <c r="J290" s="1">
        <f>LOOKUP(I290,{0,13,15,17,19,21,23,25,27,29,31,33,35,37,39,41,43,46,49,51,53},{0,10,20,30,40,50,60,62,64,66,68,70,72,74,76,78,80,85,90,95,100})</f>
        <v>100</v>
      </c>
      <c r="K290" s="45">
        <f>I290-53</f>
        <v>0</v>
      </c>
      <c r="L290" s="40">
        <f>LOOKUP(K290,{0,2,4,6,7,8,9,10,11,12,13},{0,1,2,3,4,5,6,7,8,9,10})</f>
        <v>0</v>
      </c>
      <c r="M290" s="21">
        <f t="shared" si="150"/>
        <v>100</v>
      </c>
      <c r="N290" s="6">
        <v>9.1</v>
      </c>
      <c r="O290" s="43">
        <f t="shared" si="143"/>
        <v>3.9</v>
      </c>
      <c r="P290" s="1">
        <f>LOOKUP(O290,{0,1.4,1.6,1.8,2,2.2,2.4,2.6,2.8,3,3.2,3.4,3.6,3.8,4,4.2,4.4,4.7,5,5.1,5.2},{0,10,20,30,40,50,60,62,64,66,68,70,72,74,76,78,80,85,90,95,100})</f>
        <v>74</v>
      </c>
      <c r="Q290" s="6">
        <v>4.47</v>
      </c>
      <c r="R290" s="6">
        <f t="shared" si="151"/>
        <v>5.53</v>
      </c>
      <c r="S290" s="1">
        <f>LOOKUP(R290,{0,4.7,4.8,4.9,5,5.5,5.6,5.65,5.7,5.75,5.8,5.85,5.9,5.95,6,6.45,6.5,6.57,6.64,6.7,6.76},{0,10,20,30,40,50,60,62,64,66,68,70,72,74,76,78,80,85,90,95,100})</f>
        <v>50</v>
      </c>
      <c r="T290" s="45"/>
      <c r="U290" s="45"/>
      <c r="V290" s="21">
        <f t="shared" si="152"/>
        <v>50</v>
      </c>
      <c r="X290" s="21">
        <f t="shared" si="147"/>
        <v>42.2</v>
      </c>
      <c r="Y290" s="37">
        <f t="shared" si="153"/>
        <v>60.2857142857143</v>
      </c>
    </row>
    <row r="291" ht="15.6" hidden="1" outlineLevel="2" spans="1:25">
      <c r="A291" s="6">
        <v>107</v>
      </c>
      <c r="B291" s="6">
        <v>31</v>
      </c>
      <c r="C291" s="29" t="s">
        <v>331</v>
      </c>
      <c r="D291" s="29" t="s">
        <v>46</v>
      </c>
      <c r="F291" s="1"/>
      <c r="H291" s="1"/>
      <c r="J291" s="1"/>
      <c r="K291" s="45"/>
      <c r="L291" s="45"/>
      <c r="M291" s="21"/>
      <c r="O291" s="43"/>
      <c r="P291" s="1"/>
      <c r="S291" s="1"/>
      <c r="T291" s="48"/>
      <c r="U291" s="40"/>
      <c r="V291" s="21"/>
      <c r="W291" s="6" t="s">
        <v>84</v>
      </c>
      <c r="X291" s="21">
        <f t="shared" si="147"/>
        <v>0</v>
      </c>
      <c r="Y291" s="37">
        <v>50</v>
      </c>
    </row>
    <row r="292" ht="15.6" hidden="1" outlineLevel="2" spans="1:25">
      <c r="A292" s="6">
        <v>107</v>
      </c>
      <c r="B292" s="6">
        <v>32</v>
      </c>
      <c r="C292" s="29" t="s">
        <v>332</v>
      </c>
      <c r="D292" s="29" t="s">
        <v>46</v>
      </c>
      <c r="F292" s="1"/>
      <c r="H292" s="1"/>
      <c r="J292" s="1"/>
      <c r="K292" s="45"/>
      <c r="L292" s="45"/>
      <c r="M292" s="21"/>
      <c r="N292" s="6">
        <v>8.4</v>
      </c>
      <c r="O292" s="43">
        <f t="shared" ref="O292:O297" si="154">13-N292</f>
        <v>4.6</v>
      </c>
      <c r="P292" s="1">
        <f>LOOKUP(O292,{0,1.4,1.6,1.8,2,2.2,2.4,2.6,2.8,3,3.2,3.4,3.6,3.8,4,4.2,4.4,4.7,5,5.1,5.2},{0,10,20,30,40,50,60,62,64,66,68,70,72,74,76,78,80,85,90,95,100})</f>
        <v>80</v>
      </c>
      <c r="S292" s="1"/>
      <c r="T292" s="48"/>
      <c r="U292" s="40"/>
      <c r="V292" s="21"/>
      <c r="W292" s="6" t="s">
        <v>84</v>
      </c>
      <c r="X292" s="21">
        <f t="shared" si="147"/>
        <v>16</v>
      </c>
      <c r="Y292" s="37">
        <v>50</v>
      </c>
    </row>
    <row r="293" ht="15.6" hidden="1" outlineLevel="2" spans="1:25">
      <c r="A293" s="6">
        <v>107</v>
      </c>
      <c r="B293" s="6">
        <v>33</v>
      </c>
      <c r="C293" s="29" t="s">
        <v>333</v>
      </c>
      <c r="D293" s="29" t="s">
        <v>46</v>
      </c>
      <c r="E293" s="6">
        <v>24</v>
      </c>
      <c r="F293" s="1">
        <f>LOOKUP(E293,{0,0.4,1.2,2,2.8,3.6,4.4,5.7,7,8.3,9.6,10.9,12.2,13.5,14.8,16.1,17.4,19.1,20.8,22.5,24.2},{0,10,20,30,40,50,60,62,64,66,68,70,72,74,76,78,80,85,90,95,100})</f>
        <v>95</v>
      </c>
      <c r="G293" s="6">
        <v>1.69</v>
      </c>
      <c r="H293" s="1">
        <f>LOOKUP(G293,{0,123,128,133,138,143,148,151,154,157,160,163,166,169,172,175,178,185,192,198,204},{0,10,20,30,40,50,60,62,64,66,68,70,72,74,76,78,80,85,90,95,100})</f>
        <v>0</v>
      </c>
      <c r="I293" s="6">
        <v>43</v>
      </c>
      <c r="J293" s="1">
        <f>LOOKUP(I293,{0,13,15,17,19,21,23,25,27,29,31,33,35,37,39,41,43,46,49,51,53},{0,10,20,30,40,50,60,62,64,66,68,70,72,74,76,78,80,85,90,95,100})</f>
        <v>80</v>
      </c>
      <c r="K293" s="45"/>
      <c r="L293" s="45"/>
      <c r="M293" s="21">
        <f t="shared" ref="M293:M303" si="155">J293+L293</f>
        <v>80</v>
      </c>
      <c r="N293" s="6">
        <v>9.4</v>
      </c>
      <c r="O293" s="43">
        <f t="shared" si="154"/>
        <v>3.6</v>
      </c>
      <c r="P293" s="1">
        <f>LOOKUP(O293,{0,1.4,1.6,1.8,2,2.2,2.4,2.6,2.8,3,3.2,3.4,3.6,3.8,4,4.2,4.4,4.7,5,5.1,5.2},{0,10,20,30,40,50,60,62,64,66,68,70,72,74,76,78,80,85,90,95,100})</f>
        <v>72</v>
      </c>
      <c r="Q293" s="6">
        <v>4.21</v>
      </c>
      <c r="R293" s="6">
        <f t="shared" ref="R293:R303" si="156">10-Q293</f>
        <v>5.79</v>
      </c>
      <c r="S293" s="1">
        <f>LOOKUP(R293,{0,4.7,4.8,4.9,5,5.5,5.6,5.65,5.7,5.75,5.8,5.85,5.9,5.95,6,6.45,6.5,6.57,6.64,6.7,6.76},{0,10,20,30,40,50,60,62,64,66,68,70,72,74,76,78,80,85,90,95,100})</f>
        <v>66</v>
      </c>
      <c r="T293" s="45"/>
      <c r="U293" s="45"/>
      <c r="V293" s="21">
        <f t="shared" ref="V293:V303" si="157">S293+U293</f>
        <v>66</v>
      </c>
      <c r="X293" s="21">
        <f t="shared" si="147"/>
        <v>45.1</v>
      </c>
      <c r="Y293" s="37">
        <f t="shared" ref="Y293:Y297" si="158">X293/0.7+L293+U293</f>
        <v>64.4285714285714</v>
      </c>
    </row>
    <row r="294" ht="15.6" hidden="1" outlineLevel="2" spans="1:25">
      <c r="A294" s="6">
        <v>107</v>
      </c>
      <c r="B294" s="6">
        <v>34</v>
      </c>
      <c r="C294" s="29" t="s">
        <v>334</v>
      </c>
      <c r="D294" s="29" t="s">
        <v>46</v>
      </c>
      <c r="F294" s="1"/>
      <c r="H294" s="1"/>
      <c r="J294" s="1"/>
      <c r="K294" s="45"/>
      <c r="L294" s="45"/>
      <c r="M294" s="21"/>
      <c r="O294" s="43"/>
      <c r="P294" s="1"/>
      <c r="S294" s="1"/>
      <c r="T294" s="48"/>
      <c r="U294" s="40"/>
      <c r="V294" s="21"/>
      <c r="W294" s="6" t="s">
        <v>84</v>
      </c>
      <c r="X294" s="21">
        <f t="shared" si="147"/>
        <v>0</v>
      </c>
      <c r="Y294" s="37">
        <v>50</v>
      </c>
    </row>
    <row r="295" ht="15.6" hidden="1" outlineLevel="2" spans="1:25">
      <c r="A295" s="52">
        <v>107</v>
      </c>
      <c r="B295" s="52">
        <v>35</v>
      </c>
      <c r="C295" s="29" t="s">
        <v>335</v>
      </c>
      <c r="D295" s="29" t="s">
        <v>46</v>
      </c>
      <c r="E295" s="52">
        <v>19.5</v>
      </c>
      <c r="F295" s="1">
        <f>LOOKUP(E295,{0,0.4,1.2,2,2.8,3.6,4.4,5.7,7,8.3,9.6,10.9,12.2,13.5,14.8,16.1,17.4,19.1,20.8,22.5,24.2},{0,10,20,30,40,50,60,62,64,66,68,70,72,74,76,78,80,85,90,95,100})</f>
        <v>85</v>
      </c>
      <c r="G295" s="52">
        <v>2.08</v>
      </c>
      <c r="H295" s="1">
        <f>LOOKUP(G295,{0,123,128,133,138,143,148,151,154,157,160,163,166,169,172,175,178,185,192,198,204},{0,10,20,30,40,50,60,62,64,66,68,70,72,74,76,78,80,85,90,95,100})</f>
        <v>0</v>
      </c>
      <c r="I295" s="52">
        <v>50</v>
      </c>
      <c r="J295" s="1">
        <f>LOOKUP(I295,{0,13,15,17,19,21,23,25,27,29,31,33,35,37,39,41,43,46,49,51,53},{0,10,20,30,40,50,60,62,64,66,68,70,72,74,76,78,80,85,90,95,100})</f>
        <v>90</v>
      </c>
      <c r="K295" s="53"/>
      <c r="L295" s="53"/>
      <c r="M295" s="21">
        <f t="shared" si="155"/>
        <v>90</v>
      </c>
      <c r="N295" s="52">
        <v>8.1</v>
      </c>
      <c r="O295" s="43">
        <f t="shared" si="154"/>
        <v>4.9</v>
      </c>
      <c r="P295" s="1">
        <f>LOOKUP(O295,{0,1.4,1.6,1.8,2,2.2,2.4,2.6,2.8,3,3.2,3.4,3.6,3.8,4,4.2,4.4,4.7,5,5.1,5.2},{0,10,20,30,40,50,60,62,64,66,68,70,72,74,76,78,80,85,90,95,100})</f>
        <v>85</v>
      </c>
      <c r="Q295" s="52">
        <v>3.47</v>
      </c>
      <c r="R295" s="6">
        <f t="shared" si="156"/>
        <v>6.53</v>
      </c>
      <c r="S295" s="1">
        <f>LOOKUP(R295,{0,4.7,4.8,4.9,5,5.5,5.6,5.65,5.7,5.75,5.8,5.85,5.9,5.95,6,6.45,6.5,6.57,6.64,6.7,6.76},{0,10,20,30,40,50,60,62,64,66,68,70,72,74,76,78,80,85,90,95,100})</f>
        <v>80</v>
      </c>
      <c r="T295" s="53"/>
      <c r="U295" s="53"/>
      <c r="V295" s="21">
        <f t="shared" si="157"/>
        <v>80</v>
      </c>
      <c r="W295" s="52"/>
      <c r="X295" s="21">
        <f t="shared" si="147"/>
        <v>50.5</v>
      </c>
      <c r="Y295" s="37">
        <f t="shared" si="158"/>
        <v>72.1428571428572</v>
      </c>
    </row>
    <row r="296" ht="15.6" hidden="1" outlineLevel="2" spans="1:25">
      <c r="A296" s="6">
        <v>107</v>
      </c>
      <c r="B296" s="6">
        <v>36</v>
      </c>
      <c r="C296" s="29" t="s">
        <v>336</v>
      </c>
      <c r="D296" s="29" t="s">
        <v>46</v>
      </c>
      <c r="E296" s="6">
        <v>23.5</v>
      </c>
      <c r="F296" s="1">
        <f>LOOKUP(E296,{0,0.4,1.2,2,2.8,3.6,4.4,5.7,7,8.3,9.6,10.9,12.2,13.5,14.8,16.1,17.4,19.1,20.8,22.5,24.2},{0,10,20,30,40,50,60,62,64,66,68,70,72,74,76,78,80,85,90,95,100})</f>
        <v>95</v>
      </c>
      <c r="G296" s="6">
        <v>1.92</v>
      </c>
      <c r="H296" s="1">
        <f>LOOKUP(G296,{0,123,128,133,138,143,148,151,154,157,160,163,166,169,172,175,178,185,192,198,204},{0,10,20,30,40,50,60,62,64,66,68,70,72,74,76,78,80,85,90,95,100})</f>
        <v>0</v>
      </c>
      <c r="I296" s="6">
        <v>34</v>
      </c>
      <c r="J296" s="1">
        <f>LOOKUP(I296,{0,13,15,17,19,21,23,25,27,29,31,33,35,37,39,41,43,46,49,51,53},{0,10,20,30,40,50,60,62,64,66,68,70,72,74,76,78,80,85,90,95,100})</f>
        <v>70</v>
      </c>
      <c r="K296" s="45"/>
      <c r="L296" s="45"/>
      <c r="M296" s="21">
        <f t="shared" si="155"/>
        <v>70</v>
      </c>
      <c r="N296" s="6">
        <v>8.8</v>
      </c>
      <c r="O296" s="43">
        <f t="shared" si="154"/>
        <v>4.2</v>
      </c>
      <c r="P296" s="1">
        <f>LOOKUP(O296,{0,1.4,1.6,1.8,2,2.2,2.4,2.6,2.8,3,3.2,3.4,3.6,3.8,4,4.2,4.4,4.7,5,5.1,5.2},{0,10,20,30,40,50,60,62,64,66,68,70,72,74,76,78,80,85,90,95,100})</f>
        <v>78</v>
      </c>
      <c r="Q296" s="6">
        <v>3.48</v>
      </c>
      <c r="R296" s="6">
        <f t="shared" si="156"/>
        <v>6.52</v>
      </c>
      <c r="S296" s="1">
        <f>LOOKUP(R296,{0,4.7,4.8,4.9,5,5.5,5.6,5.65,5.7,5.75,5.8,5.85,5.9,5.95,6,6.45,6.5,6.57,6.64,6.7,6.76},{0,10,20,30,40,50,60,62,64,66,68,70,72,74,76,78,80,85,90,95,100})</f>
        <v>80</v>
      </c>
      <c r="T296" s="45"/>
      <c r="U296" s="45"/>
      <c r="V296" s="21">
        <f t="shared" si="157"/>
        <v>80</v>
      </c>
      <c r="X296" s="21">
        <f t="shared" si="147"/>
        <v>48.1</v>
      </c>
      <c r="Y296" s="37">
        <f t="shared" si="158"/>
        <v>68.7142857142857</v>
      </c>
    </row>
    <row r="297" ht="15.6" hidden="1" outlineLevel="2" spans="1:25">
      <c r="A297" s="6">
        <v>107</v>
      </c>
      <c r="B297" s="6">
        <v>37</v>
      </c>
      <c r="C297" s="29" t="s">
        <v>337</v>
      </c>
      <c r="D297" s="29" t="s">
        <v>46</v>
      </c>
      <c r="E297" s="6">
        <v>17.5</v>
      </c>
      <c r="F297" s="1">
        <f>LOOKUP(E297,{0,0.4,1.2,2,2.8,3.6,4.4,5.7,7,8.3,9.6,10.9,12.2,13.5,14.8,16.1,17.4,19.1,20.8,22.5,24.2},{0,10,20,30,40,50,60,62,64,66,68,70,72,74,76,78,80,85,90,95,100})</f>
        <v>80</v>
      </c>
      <c r="G297" s="6">
        <v>1.87</v>
      </c>
      <c r="H297" s="1">
        <f>LOOKUP(G297,{0,123,128,133,138,143,148,151,154,157,160,163,166,169,172,175,178,185,192,198,204},{0,10,20,30,40,50,60,62,64,66,68,70,72,74,76,78,80,85,90,95,100})</f>
        <v>0</v>
      </c>
      <c r="I297" s="6">
        <v>47</v>
      </c>
      <c r="J297" s="1">
        <f>LOOKUP(I297,{0,13,15,17,19,21,23,25,27,29,31,33,35,37,39,41,43,46,49,51,53},{0,10,20,30,40,50,60,62,64,66,68,70,72,74,76,78,80,85,90,95,100})</f>
        <v>85</v>
      </c>
      <c r="K297" s="45"/>
      <c r="L297" s="45"/>
      <c r="M297" s="21">
        <f t="shared" si="155"/>
        <v>85</v>
      </c>
      <c r="N297" s="6">
        <v>8.8</v>
      </c>
      <c r="O297" s="43">
        <f t="shared" si="154"/>
        <v>4.2</v>
      </c>
      <c r="P297" s="1">
        <f>LOOKUP(O297,{0,1.4,1.6,1.8,2,2.2,2.4,2.6,2.8,3,3.2,3.4,3.6,3.8,4,4.2,4.4,4.7,5,5.1,5.2},{0,10,20,30,40,50,60,62,64,66,68,70,72,74,76,78,80,85,90,95,100})</f>
        <v>78</v>
      </c>
      <c r="Q297" s="6">
        <v>3.43</v>
      </c>
      <c r="R297" s="6">
        <f t="shared" si="156"/>
        <v>6.57</v>
      </c>
      <c r="S297" s="1">
        <f>LOOKUP(R297,{0,4.7,4.8,4.9,5,5.5,5.6,5.65,5.7,5.75,5.8,5.85,5.9,5.95,6,6.45,6.5,6.57,6.64,6.7,6.76},{0,10,20,30,40,50,60,62,64,66,68,70,72,74,76,78,80,85,90,95,100})</f>
        <v>85</v>
      </c>
      <c r="T297" s="45"/>
      <c r="U297" s="45"/>
      <c r="V297" s="21">
        <f t="shared" si="157"/>
        <v>85</v>
      </c>
      <c r="X297" s="21">
        <f t="shared" si="147"/>
        <v>49.1</v>
      </c>
      <c r="Y297" s="37">
        <f t="shared" si="158"/>
        <v>70.1428571428572</v>
      </c>
    </row>
    <row r="298" s="3" customFormat="1" ht="15.6" hidden="1" outlineLevel="2" spans="1:25">
      <c r="A298" s="6">
        <v>107</v>
      </c>
      <c r="B298" s="6">
        <v>38</v>
      </c>
      <c r="C298" s="29" t="s">
        <v>338</v>
      </c>
      <c r="D298" s="29" t="s">
        <v>46</v>
      </c>
      <c r="E298" s="6">
        <v>14</v>
      </c>
      <c r="F298" s="1">
        <f>LOOKUP(E298,{0,0.4,1.2,2,2.8,3.6,4.4,5.7,7,8.3,9.6,10.9,12.2,13.5,14.8,16.1,17.4,19.1,20.8,22.5,24.2},{0,10,20,30,40,50,60,62,64,66,68,70,72,74,76,78,80,85,90,95,100})</f>
        <v>74</v>
      </c>
      <c r="G298" s="6">
        <v>1.8</v>
      </c>
      <c r="H298" s="1">
        <f>LOOKUP(G298,{0,123,128,133,138,143,148,151,154,157,160,163,166,169,172,175,178,185,192,198,204},{0,10,20,30,40,50,60,62,64,66,68,70,72,74,76,78,80,85,90,95,100})</f>
        <v>0</v>
      </c>
      <c r="I298" s="6">
        <v>48</v>
      </c>
      <c r="J298" s="1">
        <f>LOOKUP(I298,{0,13,15,17,19,21,23,25,27,29,31,33,35,37,39,41,43,46,49,51,53},{0,10,20,30,40,50,60,62,64,66,68,70,72,74,76,78,80,85,90,95,100})</f>
        <v>85</v>
      </c>
      <c r="K298" s="45"/>
      <c r="L298" s="45"/>
      <c r="M298" s="21">
        <f t="shared" si="155"/>
        <v>85</v>
      </c>
      <c r="N298" s="6"/>
      <c r="O298" s="43"/>
      <c r="P298" s="1"/>
      <c r="Q298" s="6">
        <v>3.51</v>
      </c>
      <c r="R298" s="6">
        <f t="shared" si="156"/>
        <v>6.49</v>
      </c>
      <c r="S298" s="1">
        <f>LOOKUP(R298,{0,4.7,4.8,4.9,5,5.5,5.6,5.65,5.7,5.75,5.8,5.85,5.9,5.95,6,6.45,6.5,6.57,6.64,6.7,6.76},{0,10,20,30,40,50,60,62,64,66,68,70,72,74,76,78,80,85,90,95,100})</f>
        <v>78</v>
      </c>
      <c r="T298" s="45"/>
      <c r="U298" s="45"/>
      <c r="V298" s="21">
        <f t="shared" si="157"/>
        <v>78</v>
      </c>
      <c r="W298" s="6"/>
      <c r="X298" s="21">
        <f t="shared" si="147"/>
        <v>31.5</v>
      </c>
      <c r="Y298" s="51">
        <v>50</v>
      </c>
    </row>
    <row r="299" ht="15.6" hidden="1" outlineLevel="2" spans="1:25">
      <c r="A299" s="6">
        <v>107</v>
      </c>
      <c r="B299" s="6">
        <v>39</v>
      </c>
      <c r="C299" s="29" t="s">
        <v>339</v>
      </c>
      <c r="D299" s="29" t="s">
        <v>46</v>
      </c>
      <c r="E299" s="6">
        <v>15</v>
      </c>
      <c r="F299" s="1">
        <f>LOOKUP(E299,{0,0.4,1.2,2,2.8,3.6,4.4,5.7,7,8.3,9.6,10.9,12.2,13.5,14.8,16.1,17.4,19.1,20.8,22.5,24.2},{0,10,20,30,40,50,60,62,64,66,68,70,72,74,76,78,80,85,90,95,100})</f>
        <v>76</v>
      </c>
      <c r="G299" s="6">
        <v>1.54</v>
      </c>
      <c r="H299" s="1">
        <f>LOOKUP(G299,{0,123,128,133,138,143,148,151,154,157,160,163,166,169,172,175,178,185,192,198,204},{0,10,20,30,40,50,60,62,64,66,68,70,72,74,76,78,80,85,90,95,100})</f>
        <v>0</v>
      </c>
      <c r="I299" s="6">
        <v>44</v>
      </c>
      <c r="J299" s="1">
        <f>LOOKUP(I299,{0,13,15,17,19,21,23,25,27,29,31,33,35,37,39,41,43,46,49,51,53},{0,10,20,30,40,50,60,62,64,66,68,70,72,74,76,78,80,85,90,95,100})</f>
        <v>80</v>
      </c>
      <c r="K299" s="45"/>
      <c r="L299" s="45"/>
      <c r="M299" s="21">
        <f t="shared" si="155"/>
        <v>80</v>
      </c>
      <c r="N299" s="6">
        <v>9.4</v>
      </c>
      <c r="O299" s="43">
        <f t="shared" ref="O299:O306" si="159">13-N299</f>
        <v>3.6</v>
      </c>
      <c r="P299" s="1">
        <f>LOOKUP(O299,{0,1.4,1.6,1.8,2,2.2,2.4,2.6,2.8,3,3.2,3.4,3.6,3.8,4,4.2,4.4,4.7,5,5.1,5.2},{0,10,20,30,40,50,60,62,64,66,68,70,72,74,76,78,80,85,90,95,100})</f>
        <v>72</v>
      </c>
      <c r="Q299" s="6">
        <v>4.14</v>
      </c>
      <c r="R299" s="6">
        <f t="shared" si="156"/>
        <v>5.86</v>
      </c>
      <c r="S299" s="1">
        <f>LOOKUP(R299,{0,4.7,4.8,4.9,5,5.5,5.6,5.65,5.7,5.75,5.8,5.85,5.9,5.95,6,6.45,6.5,6.57,6.64,6.7,6.76},{0,10,20,30,40,50,60,62,64,66,68,70,72,74,76,78,80,85,90,95,100})</f>
        <v>70</v>
      </c>
      <c r="T299" s="45"/>
      <c r="U299" s="45"/>
      <c r="V299" s="21">
        <f t="shared" si="157"/>
        <v>70</v>
      </c>
      <c r="X299" s="21">
        <f t="shared" si="147"/>
        <v>44</v>
      </c>
      <c r="Y299" s="37">
        <f t="shared" ref="Y299:Y303" si="160">X299/0.7+L299+U299</f>
        <v>62.8571428571429</v>
      </c>
    </row>
    <row r="300" ht="15.6" hidden="1" outlineLevel="2" spans="1:25">
      <c r="A300" s="6">
        <v>107</v>
      </c>
      <c r="B300" s="6">
        <v>40</v>
      </c>
      <c r="C300" s="39" t="s">
        <v>341</v>
      </c>
      <c r="D300" s="29" t="s">
        <v>46</v>
      </c>
      <c r="E300" s="6">
        <v>19</v>
      </c>
      <c r="F300" s="1">
        <f>LOOKUP(E300,{0,0.4,1.2,2,2.8,3.6,4.4,5.7,7,8.3,9.6,10.9,12.2,13.5,14.8,16.1,17.4,19.1,20.8,22.5,24.2},{0,10,20,30,40,50,60,62,64,66,68,70,72,74,76,78,80,85,90,95,100})</f>
        <v>80</v>
      </c>
      <c r="G300" s="6">
        <v>177</v>
      </c>
      <c r="H300" s="1">
        <f>LOOKUP(G300,{0,123,128,133,138,143,148,151,154,157,160,163,166,169,172,175,178,185,192,198,204},{0,10,20,30,40,50,60,62,64,66,68,70,72,74,76,78,80,85,90,95,100})</f>
        <v>78</v>
      </c>
      <c r="I300" s="6">
        <v>52</v>
      </c>
      <c r="J300" s="1">
        <f>LOOKUP(I300,{0,13,15,17,19,21,23,25,27,29,31,33,35,37,39,41,43,46,49,51,53},{0,10,20,30,40,50,60,62,64,66,68,70,72,74,76,78,80,85,90,95,100})</f>
        <v>95</v>
      </c>
      <c r="K300" s="45"/>
      <c r="L300" s="45"/>
      <c r="M300" s="21">
        <f t="shared" si="155"/>
        <v>95</v>
      </c>
      <c r="N300" s="6">
        <v>7.9</v>
      </c>
      <c r="O300" s="43">
        <f t="shared" si="159"/>
        <v>5.1</v>
      </c>
      <c r="P300" s="1">
        <f>LOOKUP(O300,{0,1.4,1.6,1.8,2,2.2,2.4,2.6,2.8,3,3.2,3.4,3.6,3.8,4,4.2,4.4,4.7,5,5.1,5.2},{0,10,20,30,40,50,60,62,64,66,68,70,72,74,76,78,80,85,90,95,100})</f>
        <v>95</v>
      </c>
      <c r="Q300" s="6">
        <v>3.46</v>
      </c>
      <c r="R300" s="6">
        <f t="shared" si="156"/>
        <v>6.54</v>
      </c>
      <c r="S300" s="1">
        <f>LOOKUP(R300,{0,4.7,4.8,4.9,5,5.5,5.6,5.65,5.7,5.75,5.8,5.85,5.9,5.95,6,6.45,6.5,6.57,6.64,6.7,6.76},{0,10,20,30,40,50,60,62,64,66,68,70,72,74,76,78,80,85,90,95,100})</f>
        <v>80</v>
      </c>
      <c r="T300" s="45"/>
      <c r="U300" s="45"/>
      <c r="V300" s="21">
        <f t="shared" si="157"/>
        <v>80</v>
      </c>
      <c r="X300" s="21">
        <f t="shared" si="147"/>
        <v>60.3</v>
      </c>
      <c r="Y300" s="37">
        <f t="shared" si="160"/>
        <v>86.1428571428571</v>
      </c>
    </row>
    <row r="301" ht="15.6" hidden="1" outlineLevel="2" spans="1:25">
      <c r="A301" s="6">
        <v>107</v>
      </c>
      <c r="B301" s="6">
        <v>41</v>
      </c>
      <c r="C301" s="29" t="s">
        <v>342</v>
      </c>
      <c r="D301" s="29" t="s">
        <v>46</v>
      </c>
      <c r="E301" s="6">
        <v>19.2</v>
      </c>
      <c r="F301" s="1">
        <f>LOOKUP(E301,{0,0.4,1.2,2,2.8,3.6,4.4,5.7,7,8.3,9.6,10.9,12.2,13.5,14.8,16.1,17.4,19.1,20.8,22.5,24.2},{0,10,20,30,40,50,60,62,64,66,68,70,72,74,76,78,80,85,90,95,100})</f>
        <v>85</v>
      </c>
      <c r="G301" s="6">
        <v>193</v>
      </c>
      <c r="H301" s="1">
        <f>LOOKUP(G301,{0,123,128,133,138,143,148,151,154,157,160,163,166,169,172,175,178,185,192,198,204},{0,10,20,30,40,50,60,62,64,66,68,70,72,74,76,78,80,85,90,95,100})</f>
        <v>90</v>
      </c>
      <c r="I301" s="6">
        <v>36</v>
      </c>
      <c r="J301" s="1">
        <f>LOOKUP(I301,{0,13,15,17,19,21,23,25,27,29,31,33,35,37,39,41,43,46,49,51,53},{0,10,20,30,40,50,60,62,64,66,68,70,72,74,76,78,80,85,90,95,100})</f>
        <v>72</v>
      </c>
      <c r="K301" s="45"/>
      <c r="L301" s="45"/>
      <c r="M301" s="21">
        <f t="shared" si="155"/>
        <v>72</v>
      </c>
      <c r="N301" s="6">
        <v>8.4</v>
      </c>
      <c r="O301" s="43">
        <f t="shared" si="159"/>
        <v>4.6</v>
      </c>
      <c r="P301" s="1">
        <f>LOOKUP(O301,{0,1.4,1.6,1.8,2,2.2,2.4,2.6,2.8,3,3.2,3.4,3.6,3.8,4,4.2,4.4,4.7,5,5.1,5.2},{0,10,20,30,40,50,60,62,64,66,68,70,72,74,76,78,80,85,90,95,100})</f>
        <v>80</v>
      </c>
      <c r="Q301" s="6">
        <v>3.31</v>
      </c>
      <c r="R301" s="6">
        <f t="shared" si="156"/>
        <v>6.69</v>
      </c>
      <c r="S301" s="1">
        <f>LOOKUP(R301,{0,4.7,4.8,4.9,5,5.5,5.6,5.65,5.7,5.75,5.8,5.85,5.9,5.95,6,6.45,6.5,6.57,6.64,6.7,6.76},{0,10,20,30,40,50,60,62,64,66,68,70,72,74,76,78,80,85,90,95,100})</f>
        <v>90</v>
      </c>
      <c r="T301" s="45"/>
      <c r="U301" s="45"/>
      <c r="V301" s="21">
        <f t="shared" si="157"/>
        <v>90</v>
      </c>
      <c r="X301" s="21">
        <f t="shared" si="147"/>
        <v>58.7</v>
      </c>
      <c r="Y301" s="37">
        <f t="shared" si="160"/>
        <v>83.8571428571429</v>
      </c>
    </row>
    <row r="302" ht="15.6" hidden="1" outlineLevel="2" spans="1:25">
      <c r="A302" s="6">
        <v>107</v>
      </c>
      <c r="B302" s="6">
        <v>42</v>
      </c>
      <c r="C302" s="29" t="s">
        <v>343</v>
      </c>
      <c r="D302" s="29" t="s">
        <v>46</v>
      </c>
      <c r="E302" s="6">
        <v>21.7</v>
      </c>
      <c r="F302" s="1">
        <f>LOOKUP(E302,{0,0.4,1.2,2,2.8,3.6,4.4,5.7,7,8.3,9.6,10.9,12.2,13.5,14.8,16.1,17.4,19.1,20.8,22.5,24.2},{0,10,20,30,40,50,60,62,64,66,68,70,72,74,76,78,80,85,90,95,100})</f>
        <v>90</v>
      </c>
      <c r="G302" s="6">
        <v>215</v>
      </c>
      <c r="H302" s="1">
        <f>LOOKUP(G302,{0,123,128,133,138,143,148,151,154,157,160,163,166,169,172,175,178,185,192,198,204},{0,10,20,30,40,50,60,62,64,66,68,70,72,74,76,78,80,85,90,95,100})</f>
        <v>100</v>
      </c>
      <c r="I302" s="6">
        <v>56</v>
      </c>
      <c r="J302" s="1">
        <f>LOOKUP(I302,{0,13,15,17,19,21,23,25,27,29,31,33,35,37,39,41,43,46,49,51,53},{0,10,20,30,40,50,60,62,64,66,68,70,72,74,76,78,80,85,90,95,100})</f>
        <v>100</v>
      </c>
      <c r="K302" s="45">
        <f>I302-53</f>
        <v>3</v>
      </c>
      <c r="L302" s="40">
        <f>LOOKUP(K302,{0,2,4,6,7,8,9,10,11,12,13},{0,1,2,3,4,5,6,7,8,9,10})</f>
        <v>1</v>
      </c>
      <c r="M302" s="21">
        <f t="shared" si="155"/>
        <v>101</v>
      </c>
      <c r="N302" s="6">
        <v>7.5</v>
      </c>
      <c r="O302" s="43">
        <f t="shared" si="159"/>
        <v>5.5</v>
      </c>
      <c r="P302" s="1">
        <f>LOOKUP(O302,{0,1.4,1.6,1.8,2,2.2,2.4,2.6,2.8,3,3.2,3.4,3.6,3.8,4,4.2,4.4,4.7,5,5.1,5.2},{0,10,20,30,40,50,60,62,64,66,68,70,72,74,76,78,80,85,90,95,100})</f>
        <v>100</v>
      </c>
      <c r="Q302" s="6">
        <v>3.16</v>
      </c>
      <c r="R302" s="6">
        <f t="shared" si="156"/>
        <v>6.84</v>
      </c>
      <c r="S302" s="1">
        <f>LOOKUP(R302,{0,4.7,4.8,4.9,5,5.5,5.6,5.65,5.7,5.75,5.8,5.85,5.9,5.95,6,6.45,6.5,6.57,6.64,6.7,6.76},{0,10,20,30,40,50,60,62,64,66,68,70,72,74,76,78,80,85,90,95,100})</f>
        <v>100</v>
      </c>
      <c r="T302" s="48">
        <f>3.24-Q302</f>
        <v>0.0800000000000001</v>
      </c>
      <c r="U302" s="40">
        <f>LOOKUP(T302,{0,0.05,0.1,0.15,0.2,0.25,0.3,0.35,0.4,0.45,0.5},{0,1,2,3,4,5,6,7,8,9,10})</f>
        <v>1</v>
      </c>
      <c r="V302" s="21">
        <f t="shared" si="157"/>
        <v>101</v>
      </c>
      <c r="X302" s="21">
        <f t="shared" si="147"/>
        <v>69</v>
      </c>
      <c r="Y302" s="37">
        <f t="shared" si="160"/>
        <v>100.571428571429</v>
      </c>
    </row>
    <row r="303" ht="15.6" hidden="1" outlineLevel="2" spans="1:25">
      <c r="A303" s="6">
        <v>107</v>
      </c>
      <c r="B303" s="6">
        <v>43</v>
      </c>
      <c r="C303" s="29" t="s">
        <v>344</v>
      </c>
      <c r="D303" s="29" t="s">
        <v>46</v>
      </c>
      <c r="E303" s="6">
        <v>18.3</v>
      </c>
      <c r="F303" s="1">
        <f>LOOKUP(E303,{0,0.4,1.2,2,2.8,3.6,4.4,5.7,7,8.3,9.6,10.9,12.2,13.5,14.8,16.1,17.4,19.1,20.8,22.5,24.2},{0,10,20,30,40,50,60,62,64,66,68,70,72,74,76,78,80,85,90,95,100})</f>
        <v>80</v>
      </c>
      <c r="G303" s="6">
        <v>186</v>
      </c>
      <c r="H303" s="1">
        <f>LOOKUP(G303,{0,123,128,133,138,143,148,151,154,157,160,163,166,169,172,175,178,185,192,198,204},{0,10,20,30,40,50,60,62,64,66,68,70,72,74,76,78,80,85,90,95,100})</f>
        <v>85</v>
      </c>
      <c r="I303" s="6">
        <v>47</v>
      </c>
      <c r="J303" s="1">
        <f>LOOKUP(I303,{0,13,15,17,19,21,23,25,27,29,31,33,35,37,39,41,43,46,49,51,53},{0,10,20,30,40,50,60,62,64,66,68,70,72,74,76,78,80,85,90,95,100})</f>
        <v>85</v>
      </c>
      <c r="K303" s="45"/>
      <c r="L303" s="45"/>
      <c r="M303" s="21">
        <f t="shared" si="155"/>
        <v>85</v>
      </c>
      <c r="N303" s="6">
        <v>8.4</v>
      </c>
      <c r="O303" s="43">
        <f t="shared" si="159"/>
        <v>4.6</v>
      </c>
      <c r="P303" s="1">
        <f>LOOKUP(O303,{0,1.4,1.6,1.8,2,2.2,2.4,2.6,2.8,3,3.2,3.4,3.6,3.8,4,4.2,4.4,4.7,5,5.1,5.2},{0,10,20,30,40,50,60,62,64,66,68,70,72,74,76,78,80,85,90,95,100})</f>
        <v>80</v>
      </c>
      <c r="Q303" s="6">
        <v>3.28</v>
      </c>
      <c r="R303" s="6">
        <f t="shared" si="156"/>
        <v>6.72</v>
      </c>
      <c r="S303" s="1">
        <f>LOOKUP(R303,{0,4.7,4.8,4.9,5,5.5,5.6,5.65,5.7,5.75,5.8,5.85,5.9,5.95,6,6.45,6.5,6.57,6.64,6.7,6.76},{0,10,20,30,40,50,60,62,64,66,68,70,72,74,76,78,80,85,90,95,100})</f>
        <v>95</v>
      </c>
      <c r="T303" s="45"/>
      <c r="U303" s="45"/>
      <c r="V303" s="21">
        <f t="shared" si="157"/>
        <v>95</v>
      </c>
      <c r="X303" s="21">
        <f t="shared" si="147"/>
        <v>60</v>
      </c>
      <c r="Y303" s="37">
        <f t="shared" si="160"/>
        <v>85.7142857142857</v>
      </c>
    </row>
    <row r="304" ht="15.6" hidden="1" outlineLevel="2" spans="1:25">
      <c r="A304" s="6">
        <v>107</v>
      </c>
      <c r="B304" s="6">
        <v>44</v>
      </c>
      <c r="C304" s="29" t="s">
        <v>345</v>
      </c>
      <c r="D304" s="29" t="s">
        <v>46</v>
      </c>
      <c r="F304" s="1"/>
      <c r="H304" s="1"/>
      <c r="J304" s="1"/>
      <c r="K304" s="45"/>
      <c r="L304" s="45"/>
      <c r="M304" s="21"/>
      <c r="N304" s="6">
        <v>9.5</v>
      </c>
      <c r="O304" s="43">
        <f t="shared" si="159"/>
        <v>3.5</v>
      </c>
      <c r="P304" s="1">
        <f>LOOKUP(O304,{0,1.4,1.6,1.8,2,2.2,2.4,2.6,2.8,3,3.2,3.4,3.6,3.8,4,4.2,4.4,4.7,5,5.1,5.2},{0,10,20,30,40,50,60,62,64,66,68,70,72,74,76,78,80,85,90,95,100})</f>
        <v>70</v>
      </c>
      <c r="S304" s="1"/>
      <c r="T304" s="48"/>
      <c r="U304" s="40"/>
      <c r="V304" s="21"/>
      <c r="W304" s="6" t="s">
        <v>84</v>
      </c>
      <c r="X304" s="21">
        <f t="shared" si="147"/>
        <v>14</v>
      </c>
      <c r="Y304" s="37">
        <v>50</v>
      </c>
    </row>
    <row r="305" ht="15.6" hidden="1" outlineLevel="2" spans="1:25">
      <c r="A305" s="6">
        <v>107</v>
      </c>
      <c r="B305" s="6">
        <v>45</v>
      </c>
      <c r="C305" s="29" t="s">
        <v>346</v>
      </c>
      <c r="D305" s="29" t="s">
        <v>46</v>
      </c>
      <c r="E305" s="6">
        <v>0.8</v>
      </c>
      <c r="F305" s="1">
        <f>LOOKUP(E305,{0,0.4,1.2,2,2.8,3.6,4.4,5.7,7,8.3,9.6,10.9,12.2,13.5,14.8,16.1,17.4,19.1,20.8,22.5,24.2},{0,10,20,30,40,50,60,62,64,66,68,70,72,74,76,78,80,85,90,95,100})</f>
        <v>10</v>
      </c>
      <c r="G305" s="6">
        <v>162</v>
      </c>
      <c r="H305" s="1">
        <f>LOOKUP(G305,{0,123,128,133,138,143,148,151,154,157,160,163,166,169,172,175,178,185,192,198,204},{0,10,20,30,40,50,60,62,64,66,68,70,72,74,76,78,80,85,90,95,100})</f>
        <v>68</v>
      </c>
      <c r="I305" s="6">
        <v>46</v>
      </c>
      <c r="J305" s="1">
        <f>LOOKUP(I305,{0,13,15,17,19,21,23,25,27,29,31,33,35,37,39,41,43,46,49,51,53},{0,10,20,30,40,50,60,62,64,66,68,70,72,74,76,78,80,85,90,95,100})</f>
        <v>85</v>
      </c>
      <c r="K305" s="45"/>
      <c r="L305" s="45"/>
      <c r="M305" s="21">
        <f>J305+L305</f>
        <v>85</v>
      </c>
      <c r="N305" s="6">
        <v>9.4</v>
      </c>
      <c r="O305" s="43">
        <f t="shared" si="159"/>
        <v>3.6</v>
      </c>
      <c r="P305" s="1">
        <f>LOOKUP(O305,{0,1.4,1.6,1.8,2,2.2,2.4,2.6,2.8,3,3.2,3.4,3.6,3.8,4,4.2,4.4,4.7,5,5.1,5.2},{0,10,20,30,40,50,60,62,64,66,68,70,72,74,76,78,80,85,90,95,100})</f>
        <v>72</v>
      </c>
      <c r="Q305" s="6">
        <v>4.46</v>
      </c>
      <c r="R305" s="6">
        <f>10-Q305</f>
        <v>5.54</v>
      </c>
      <c r="S305" s="1">
        <f>LOOKUP(R305,{0,4.7,4.8,4.9,5,5.5,5.6,5.65,5.7,5.75,5.8,5.85,5.9,5.95,6,6.45,6.5,6.57,6.64,6.7,6.76},{0,10,20,30,40,50,60,62,64,66,68,70,72,74,76,78,80,85,90,95,100})</f>
        <v>50</v>
      </c>
      <c r="T305" s="45"/>
      <c r="U305" s="45"/>
      <c r="V305" s="21">
        <f>S305+U305</f>
        <v>50</v>
      </c>
      <c r="X305" s="21">
        <f t="shared" si="147"/>
        <v>40.7</v>
      </c>
      <c r="Y305" s="37">
        <f>X305/0.7+L305+U305</f>
        <v>58.1428571428572</v>
      </c>
    </row>
    <row r="306" ht="15.6" hidden="1" outlineLevel="2" spans="1:25">
      <c r="A306" s="6">
        <v>107</v>
      </c>
      <c r="B306" s="6">
        <v>46</v>
      </c>
      <c r="C306" s="29" t="s">
        <v>347</v>
      </c>
      <c r="D306" s="29" t="s">
        <v>46</v>
      </c>
      <c r="E306" s="6">
        <v>16</v>
      </c>
      <c r="F306" s="1">
        <f>LOOKUP(E306,{0,0.4,1.2,2,2.8,3.6,4.4,5.7,7,8.3,9.6,10.9,12.2,13.5,14.8,16.1,17.4,19.1,20.8,22.5,24.2},{0,10,20,30,40,50,60,62,64,66,68,70,72,74,76,78,80,85,90,95,100})</f>
        <v>76</v>
      </c>
      <c r="G306" s="6">
        <v>184</v>
      </c>
      <c r="H306" s="1">
        <f>LOOKUP(G306,{0,123,128,133,138,143,148,151,154,157,160,163,166,169,172,175,178,185,192,198,204},{0,10,20,30,40,50,60,62,64,66,68,70,72,74,76,78,80,85,90,95,100})</f>
        <v>80</v>
      </c>
      <c r="I306" s="6">
        <v>45</v>
      </c>
      <c r="J306" s="1">
        <f>LOOKUP(I306,{0,13,15,17,19,21,23,25,27,29,31,33,35,37,39,41,43,46,49,51,53},{0,10,20,30,40,50,60,62,64,66,68,70,72,74,76,78,80,85,90,95,100})</f>
        <v>80</v>
      </c>
      <c r="K306" s="45"/>
      <c r="L306" s="45"/>
      <c r="M306" s="21">
        <f>J306+L306</f>
        <v>80</v>
      </c>
      <c r="N306" s="6">
        <v>9</v>
      </c>
      <c r="O306" s="43">
        <f t="shared" si="159"/>
        <v>4</v>
      </c>
      <c r="P306" s="1">
        <f>LOOKUP(O306,{0,1.4,1.6,1.8,2,2.2,2.4,2.6,2.8,3,3.2,3.4,3.6,3.8,4,4.2,4.4,4.7,5,5.1,5.2},{0,10,20,30,40,50,60,62,64,66,68,70,72,74,76,78,80,85,90,95,100})</f>
        <v>76</v>
      </c>
      <c r="Q306" s="6">
        <v>3.51</v>
      </c>
      <c r="R306" s="6">
        <f>10-Q306</f>
        <v>6.49</v>
      </c>
      <c r="S306" s="1">
        <f>LOOKUP(R306,{0,4.7,4.8,4.9,5,5.5,5.6,5.65,5.7,5.75,5.8,5.85,5.9,5.95,6,6.45,6.5,6.57,6.64,6.7,6.76},{0,10,20,30,40,50,60,62,64,66,68,70,72,74,76,78,80,85,90,95,100})</f>
        <v>78</v>
      </c>
      <c r="T306" s="45"/>
      <c r="U306" s="45"/>
      <c r="V306" s="21">
        <f>S306+U306</f>
        <v>78</v>
      </c>
      <c r="X306" s="21">
        <f t="shared" si="147"/>
        <v>54.4</v>
      </c>
      <c r="Y306" s="37">
        <f>X306/0.7+L306+U306</f>
        <v>77.7142857142857</v>
      </c>
    </row>
    <row r="307" ht="15.6" hidden="1" outlineLevel="2" spans="1:25">
      <c r="A307" s="6">
        <v>107</v>
      </c>
      <c r="B307" s="6">
        <v>47</v>
      </c>
      <c r="C307" s="29" t="s">
        <v>348</v>
      </c>
      <c r="D307" s="29" t="s">
        <v>46</v>
      </c>
      <c r="F307" s="1"/>
      <c r="H307" s="1"/>
      <c r="J307" s="1"/>
      <c r="K307" s="45"/>
      <c r="L307" s="45"/>
      <c r="M307" s="21"/>
      <c r="O307" s="43"/>
      <c r="P307" s="1"/>
      <c r="S307" s="1"/>
      <c r="T307" s="48"/>
      <c r="U307" s="40"/>
      <c r="V307" s="21"/>
      <c r="W307" s="6" t="s">
        <v>84</v>
      </c>
      <c r="X307" s="21">
        <f t="shared" si="147"/>
        <v>0</v>
      </c>
      <c r="Y307" s="37">
        <v>50</v>
      </c>
    </row>
    <row r="308" ht="15.6" hidden="1" outlineLevel="2" spans="1:25">
      <c r="A308" s="6">
        <v>107</v>
      </c>
      <c r="B308" s="6">
        <v>48</v>
      </c>
      <c r="C308" s="30" t="s">
        <v>349</v>
      </c>
      <c r="D308" s="30" t="s">
        <v>46</v>
      </c>
      <c r="E308" s="6">
        <v>25.1</v>
      </c>
      <c r="F308" s="1">
        <f>LOOKUP(E308,{0,0.4,1.2,2,2.8,3.6,4.4,5.7,7,8.3,9.6,10.9,12.2,13.5,14.8,16.1,17.4,19.1,20.8,22.5,24.2},{0,10,20,30,40,50,60,62,64,66,68,70,72,74,76,78,80,85,90,95,100})</f>
        <v>100</v>
      </c>
      <c r="G308" s="6">
        <v>181</v>
      </c>
      <c r="H308" s="1">
        <f>LOOKUP(G308,{0,123,128,133,138,143,148,151,154,157,160,163,166,169,172,175,178,185,192,198,204},{0,10,20,30,40,50,60,62,64,66,68,70,72,74,76,78,80,85,90,95,100})</f>
        <v>80</v>
      </c>
      <c r="I308" s="6">
        <v>41</v>
      </c>
      <c r="J308" s="1">
        <f>LOOKUP(I308,{0,13,15,17,19,21,23,25,27,29,31,33,35,37,39,41,43,46,49,51,53},{0,10,20,30,40,50,60,62,64,66,68,70,72,74,76,78,80,85,90,95,100})</f>
        <v>78</v>
      </c>
      <c r="K308" s="45"/>
      <c r="L308" s="45"/>
      <c r="M308" s="21">
        <f>J308+L308</f>
        <v>78</v>
      </c>
      <c r="N308" s="6">
        <v>9.2</v>
      </c>
      <c r="O308" s="43">
        <f>13-N308</f>
        <v>3.8</v>
      </c>
      <c r="P308" s="1">
        <f>LOOKUP(O308,{0,1.4,1.6,1.8,2,2.2,2.4,2.6,2.8,3,3.2,3.4,3.6,3.8,4,4.2,4.4,4.7,5,5.1,5.2},{0,10,20,30,40,50,60,62,64,66,68,70,72,74,76,78,80,85,90,95,100})</f>
        <v>74</v>
      </c>
      <c r="Q308" s="6">
        <v>4.46</v>
      </c>
      <c r="R308" s="6">
        <f>10-Q308</f>
        <v>5.54</v>
      </c>
      <c r="S308" s="1">
        <f>LOOKUP(R308,{0,4.7,4.8,4.9,5,5.5,5.6,5.65,5.7,5.75,5.8,5.85,5.9,5.95,6,6.45,6.5,6.57,6.64,6.7,6.76},{0,10,20,30,40,50,60,62,64,66,68,70,72,74,76,78,80,85,90,95,100})</f>
        <v>50</v>
      </c>
      <c r="T308" s="45"/>
      <c r="U308" s="45"/>
      <c r="V308" s="21">
        <f>S308+U308</f>
        <v>50</v>
      </c>
      <c r="X308" s="21">
        <f t="shared" si="147"/>
        <v>50.6</v>
      </c>
      <c r="Y308" s="37">
        <f>X308/0.7+L308+U308</f>
        <v>72.2857142857143</v>
      </c>
    </row>
    <row r="309" ht="15.6" outlineLevel="1" collapsed="1" spans="1:25">
      <c r="A309" s="42" t="s">
        <v>848</v>
      </c>
      <c r="C309" s="30"/>
      <c r="D309" s="30"/>
      <c r="F309" s="1">
        <f>SUBTOTAL(1,F261:F308)</f>
        <v>72.9761904761905</v>
      </c>
      <c r="H309" s="1">
        <f>SUBTOTAL(1,H261:H308)</f>
        <v>61.8809523809524</v>
      </c>
      <c r="J309" s="1">
        <f>SUBTOTAL(1,J261:J308)</f>
        <v>70.6190476190476</v>
      </c>
      <c r="K309" s="45"/>
      <c r="L309" s="45"/>
      <c r="M309" s="21">
        <f>SUBTOTAL(1,M261:M308)</f>
        <v>71.4047619047619</v>
      </c>
      <c r="O309" s="43"/>
      <c r="P309" s="1">
        <f>SUBTOTAL(1,P261:P308)</f>
        <v>83.8409090909091</v>
      </c>
      <c r="S309" s="1">
        <f>SUBTOTAL(1,S261:S308)</f>
        <v>80.3095238095238</v>
      </c>
      <c r="T309" s="45"/>
      <c r="U309" s="45"/>
      <c r="V309" s="21">
        <f>SUBTOTAL(1,V261:V308)</f>
        <v>80.5952380952381</v>
      </c>
      <c r="X309" s="21">
        <f>SUBTOTAL(1,X261:X308)</f>
        <v>47.4041666666667</v>
      </c>
      <c r="Y309" s="37">
        <f>SUBTOTAL(1,Y261:Y308)</f>
        <v>73.5238095238095</v>
      </c>
    </row>
    <row r="310" ht="15.6" hidden="1" outlineLevel="2" spans="1:25">
      <c r="A310" s="6">
        <v>108</v>
      </c>
      <c r="B310" s="6">
        <v>1</v>
      </c>
      <c r="C310" s="39" t="s">
        <v>351</v>
      </c>
      <c r="D310" s="29" t="s">
        <v>11</v>
      </c>
      <c r="E310" s="6">
        <v>20</v>
      </c>
      <c r="F310" s="1">
        <f>LOOKUP(E310,{0,-4,-3,-2,-1,0,1,2.4,3.8,5.2,6.6,8,9.4,10.8,12.2,13.6,15,17.2,19.4,21.5,23.6},{0,10,20,30,40,50,60,62,64,66,68,70,72,74,76,78,80,85,90,95,100})</f>
        <v>90</v>
      </c>
      <c r="G310" s="6">
        <v>230</v>
      </c>
      <c r="H310" s="1">
        <f>LOOKUP(G310,{0,170,175,180,185,190,195,199,203,207,211,215,219,223,227,231,235,243,250,255,260},{0,10,20,30,40,50,60,62,64,66,68,70,72,74,76,78,80,85,90,95,100})</f>
        <v>76</v>
      </c>
      <c r="I310" s="6">
        <v>15</v>
      </c>
      <c r="J310" s="1">
        <f>LOOKUP(I310,{0,2,3,4,5,6,7,8,9,10,11,12,13,14,15,16},{0,10,20,30,40,50,60,64,68,72,76,80,85,90,95,100})</f>
        <v>95</v>
      </c>
      <c r="K310" s="7"/>
      <c r="L310" s="7"/>
      <c r="M310" s="21">
        <f>J310+L310</f>
        <v>95</v>
      </c>
      <c r="N310" s="6">
        <v>6.9</v>
      </c>
      <c r="O310" s="43">
        <f t="shared" ref="O310:O330" si="161">13-N310</f>
        <v>6.1</v>
      </c>
      <c r="P310" s="1">
        <f>LOOKUP(O310,{0,2.5,2.7,2.9,3.1,3.3,3.5,3.7,3.9,4.1,4.3,4.5,4.7,4.9,5.1,5.3,5.5,5.6,5.7,5.8,5.9},{0,10,20,30,40,50,60,62,64,66,68,70,72,74,76,78,80,85,90,95,100})</f>
        <v>100</v>
      </c>
      <c r="Q310" s="6">
        <v>3.38</v>
      </c>
      <c r="R310" s="6">
        <f>10-Q310</f>
        <v>6.62</v>
      </c>
      <c r="S310" s="1">
        <f>LOOKUP(R310,{0,3.75,3.95,4.55,4.75,4.95,5.55,5.6,5.65,5.7,5.75,5.8,5.85,5.9,5.95,6,6.45,6.53,6.6,6.65,6.7},{0,10,20,30,40,50,60,62,64,66,68,70,72,74,76,78,80,85,90,95,100})</f>
        <v>90</v>
      </c>
      <c r="T310" s="7"/>
      <c r="U310" s="7"/>
      <c r="V310" s="21">
        <f>S310+U310</f>
        <v>90</v>
      </c>
      <c r="X310" s="21">
        <f t="shared" ref="X310:X357" si="162">F310*0.1+H310*0.1+J310*0.1+P310*0.2+S310*0.2</f>
        <v>64.1</v>
      </c>
      <c r="Y310" s="37">
        <f>X310/0.7+L310+U310</f>
        <v>91.5714285714286</v>
      </c>
    </row>
    <row r="311" ht="15.6" hidden="1" outlineLevel="2" spans="1:25">
      <c r="A311" s="6">
        <v>108</v>
      </c>
      <c r="B311" s="6">
        <v>2</v>
      </c>
      <c r="C311" s="29" t="s">
        <v>352</v>
      </c>
      <c r="D311" s="29" t="s">
        <v>11</v>
      </c>
      <c r="F311" s="1"/>
      <c r="H311" s="1"/>
      <c r="J311" s="1"/>
      <c r="K311" s="7"/>
      <c r="L311" s="7"/>
      <c r="M311" s="21"/>
      <c r="O311" s="43"/>
      <c r="P311" s="1"/>
      <c r="S311" s="1"/>
      <c r="T311" s="7"/>
      <c r="U311" s="40"/>
      <c r="V311" s="21"/>
      <c r="W311" s="6" t="s">
        <v>84</v>
      </c>
      <c r="X311" s="21">
        <f t="shared" si="162"/>
        <v>0</v>
      </c>
      <c r="Y311" s="37">
        <v>50</v>
      </c>
    </row>
    <row r="312" s="3" customFormat="1" ht="15.6" hidden="1" outlineLevel="2" spans="1:25">
      <c r="A312" s="6">
        <v>108</v>
      </c>
      <c r="B312" s="6">
        <v>3</v>
      </c>
      <c r="C312" s="29" t="s">
        <v>353</v>
      </c>
      <c r="D312" s="29" t="s">
        <v>11</v>
      </c>
      <c r="E312" s="6">
        <v>6.5</v>
      </c>
      <c r="F312" s="1">
        <f>LOOKUP(E312,{0,-4,-3,-2,-1,0,1,2.4,3.8,5.2,6.6,8,9.4,10.8,12.2,13.6,15,17.2,19.4,21.5,23.6},{0,10,20,30,40,50,60,62,64,66,68,70,72,74,76,78,80,85,90,95,100})</f>
        <v>66</v>
      </c>
      <c r="G312" s="6">
        <v>240</v>
      </c>
      <c r="H312" s="1">
        <f>LOOKUP(G312,{0,170,175,180,185,190,195,199,203,207,211,215,219,223,227,231,235,243,250,255,260},{0,10,20,30,40,50,60,62,64,66,68,70,72,74,76,78,80,85,90,95,100})</f>
        <v>80</v>
      </c>
      <c r="I312" s="6">
        <v>17</v>
      </c>
      <c r="J312" s="1">
        <f>LOOKUP(I312,{0,2,3,4,5,6,7,8,9,10,11,12,13,14,15,16},{0,10,20,30,40,50,60,64,68,72,76,80,85,90,95,100})</f>
        <v>100</v>
      </c>
      <c r="K312" s="7">
        <f>I312-16</f>
        <v>1</v>
      </c>
      <c r="L312" s="40">
        <f>LOOKUP(K312,{0,1,2,3,4,5,6,7,8,9,10},{0,1,2,3,4,5,6,7,8,9,10})</f>
        <v>1</v>
      </c>
      <c r="M312" s="21">
        <f t="shared" ref="M312:M324" si="163">J312+L312</f>
        <v>101</v>
      </c>
      <c r="N312" s="6">
        <v>7.2</v>
      </c>
      <c r="O312" s="43">
        <f t="shared" si="161"/>
        <v>5.8</v>
      </c>
      <c r="P312" s="1">
        <f>LOOKUP(O312,{0,2.5,2.7,2.9,3.1,3.3,3.5,3.7,3.9,4.1,4.3,4.5,4.7,4.9,5.1,5.3,5.5,5.6,5.7,5.8,5.9},{0,10,20,30,40,50,60,62,64,66,68,70,72,74,76,78,80,85,90,95,100})</f>
        <v>95</v>
      </c>
      <c r="Q312" s="6">
        <v>3.59</v>
      </c>
      <c r="R312" s="6">
        <f t="shared" ref="R312:R360" si="164">10-Q312</f>
        <v>6.41</v>
      </c>
      <c r="S312" s="1">
        <f>LOOKUP(R312,{0,3.75,3.95,4.55,4.75,4.95,5.55,5.6,5.65,5.7,5.75,5.8,5.85,5.9,5.95,6,6.45,6.53,6.6,6.65,6.7},{0,10,20,30,40,50,60,62,64,66,68,70,72,74,76,78,80,85,90,95,100})</f>
        <v>78</v>
      </c>
      <c r="T312" s="7"/>
      <c r="U312" s="7"/>
      <c r="V312" s="21">
        <f t="shared" ref="V312:V360" si="165">S312+U312</f>
        <v>78</v>
      </c>
      <c r="W312" s="6"/>
      <c r="X312" s="21">
        <f t="shared" si="162"/>
        <v>59.2</v>
      </c>
      <c r="Y312" s="37">
        <f t="shared" ref="Y312:Y330" si="166">X312/0.7+L312+U312</f>
        <v>85.5714285714286</v>
      </c>
    </row>
    <row r="313" ht="15.6" hidden="1" outlineLevel="2" spans="1:25">
      <c r="A313" s="6">
        <v>108</v>
      </c>
      <c r="B313" s="6">
        <v>4</v>
      </c>
      <c r="C313" s="29" t="s">
        <v>354</v>
      </c>
      <c r="D313" s="29" t="s">
        <v>11</v>
      </c>
      <c r="E313" s="6">
        <v>9</v>
      </c>
      <c r="F313" s="1">
        <f>LOOKUP(E313,{0,-4,-3,-2,-1,0,1,2.4,3.8,5.2,6.6,8,9.4,10.8,12.2,13.6,15,17.2,19.4,21.5,23.6},{0,10,20,30,40,50,60,62,64,66,68,70,72,74,76,78,80,85,90,95,100})</f>
        <v>70</v>
      </c>
      <c r="G313" s="6">
        <v>235</v>
      </c>
      <c r="H313" s="1">
        <f>LOOKUP(G313,{0,170,175,180,185,190,195,199,203,207,211,215,219,223,227,231,235,243,250,255,260},{0,10,20,30,40,50,60,62,64,66,68,70,72,74,76,78,80,85,90,95,100})</f>
        <v>80</v>
      </c>
      <c r="I313" s="6">
        <v>10</v>
      </c>
      <c r="J313" s="1">
        <f>LOOKUP(I313,{0,2,3,4,5,6,7,8,9,10,11,12,13,14,15,16},{0,10,20,30,40,50,60,64,68,72,76,80,85,90,95,100})</f>
        <v>72</v>
      </c>
      <c r="K313" s="7"/>
      <c r="L313" s="7"/>
      <c r="M313" s="21">
        <f t="shared" si="163"/>
        <v>72</v>
      </c>
      <c r="N313" s="6">
        <v>7.5</v>
      </c>
      <c r="O313" s="43">
        <f t="shared" si="161"/>
        <v>5.5</v>
      </c>
      <c r="P313" s="1">
        <f>LOOKUP(O313,{0,2.5,2.7,2.9,3.1,3.3,3.5,3.7,3.9,4.1,4.3,4.5,4.7,4.9,5.1,5.3,5.5,5.6,5.7,5.8,5.9},{0,10,20,30,40,50,60,62,64,66,68,70,72,74,76,78,80,85,90,95,100})</f>
        <v>80</v>
      </c>
      <c r="Q313" s="6">
        <v>3.57</v>
      </c>
      <c r="R313" s="6">
        <f t="shared" si="164"/>
        <v>6.43</v>
      </c>
      <c r="S313" s="1">
        <f>LOOKUP(R313,{0,3.75,3.95,4.55,4.75,4.95,5.55,5.6,5.65,5.7,5.75,5.8,5.85,5.9,5.95,6,6.45,6.53,6.6,6.65,6.7},{0,10,20,30,40,50,60,62,64,66,68,70,72,74,76,78,80,85,90,95,100})</f>
        <v>78</v>
      </c>
      <c r="T313" s="7"/>
      <c r="U313" s="7"/>
      <c r="V313" s="21">
        <f t="shared" si="165"/>
        <v>78</v>
      </c>
      <c r="X313" s="21">
        <f t="shared" si="162"/>
        <v>53.8</v>
      </c>
      <c r="Y313" s="37">
        <f t="shared" si="166"/>
        <v>76.8571428571429</v>
      </c>
    </row>
    <row r="314" ht="15.6" hidden="1" outlineLevel="2" spans="1:25">
      <c r="A314" s="6">
        <v>108</v>
      </c>
      <c r="B314" s="6">
        <v>5</v>
      </c>
      <c r="C314" s="29" t="s">
        <v>355</v>
      </c>
      <c r="D314" s="29" t="s">
        <v>11</v>
      </c>
      <c r="E314" s="6">
        <v>17</v>
      </c>
      <c r="F314" s="1">
        <f>LOOKUP(E314,{0,-4,-3,-2,-1,0,1,2.4,3.8,5.2,6.6,8,9.4,10.8,12.2,13.6,15,17.2,19.4,21.5,23.6},{0,10,20,30,40,50,60,62,64,66,68,70,72,74,76,78,80,85,90,95,100})</f>
        <v>80</v>
      </c>
      <c r="G314" s="6">
        <v>245</v>
      </c>
      <c r="H314" s="1">
        <f>LOOKUP(G314,{0,170,175,180,185,190,195,199,203,207,211,215,219,223,227,231,235,243,250,255,260},{0,10,20,30,40,50,60,62,64,66,68,70,72,74,76,78,80,85,90,95,100})</f>
        <v>85</v>
      </c>
      <c r="I314" s="6">
        <v>3</v>
      </c>
      <c r="J314" s="1">
        <f>LOOKUP(I314,{0,2,3,4,5,6,7,8,9,10,11,12,13,14,15,16},{0,10,20,30,40,50,60,64,68,72,76,80,85,90,95,100})</f>
        <v>20</v>
      </c>
      <c r="K314" s="7"/>
      <c r="L314" s="7"/>
      <c r="M314" s="21">
        <f t="shared" si="163"/>
        <v>20</v>
      </c>
      <c r="N314" s="6">
        <v>7.4</v>
      </c>
      <c r="O314" s="43">
        <f t="shared" si="161"/>
        <v>5.6</v>
      </c>
      <c r="P314" s="1">
        <f>LOOKUP(O314,{0,2.5,2.7,2.9,3.1,3.3,3.5,3.7,3.9,4.1,4.3,4.5,4.7,4.9,5.1,5.3,5.5,5.6,5.7,5.8,5.9},{0,10,20,30,40,50,60,62,64,66,68,70,72,74,76,78,80,85,90,95,100})</f>
        <v>85</v>
      </c>
      <c r="Q314" s="6">
        <v>3.57</v>
      </c>
      <c r="R314" s="6">
        <f t="shared" si="164"/>
        <v>6.43</v>
      </c>
      <c r="S314" s="1">
        <f>LOOKUP(R314,{0,3.75,3.95,4.55,4.75,4.95,5.55,5.6,5.65,5.7,5.75,5.8,5.85,5.9,5.95,6,6.45,6.53,6.6,6.65,6.7},{0,10,20,30,40,50,60,62,64,66,68,70,72,74,76,78,80,85,90,95,100})</f>
        <v>78</v>
      </c>
      <c r="T314" s="7"/>
      <c r="U314" s="7"/>
      <c r="V314" s="21">
        <f t="shared" si="165"/>
        <v>78</v>
      </c>
      <c r="X314" s="21">
        <f t="shared" si="162"/>
        <v>51.1</v>
      </c>
      <c r="Y314" s="37">
        <f t="shared" si="166"/>
        <v>73</v>
      </c>
    </row>
    <row r="315" ht="15.6" hidden="1" outlineLevel="2" spans="1:25">
      <c r="A315" s="6">
        <v>108</v>
      </c>
      <c r="B315" s="6">
        <v>6</v>
      </c>
      <c r="C315" s="29" t="s">
        <v>356</v>
      </c>
      <c r="D315" s="29" t="s">
        <v>11</v>
      </c>
      <c r="E315" s="6">
        <v>4</v>
      </c>
      <c r="F315" s="1">
        <f>LOOKUP(E315,{0,-4,-3,-2,-1,0,1,2.4,3.8,5.2,6.6,8,9.4,10.8,12.2,13.6,15,17.2,19.4,21.5,23.6},{0,10,20,30,40,50,60,62,64,66,68,70,72,74,76,78,80,85,90,95,100})</f>
        <v>64</v>
      </c>
      <c r="G315" s="6">
        <v>176</v>
      </c>
      <c r="H315" s="1">
        <f>LOOKUP(G315,{0,170,175,180,185,190,195,199,203,207,211,215,219,223,227,231,235,243,250,255,260},{0,10,20,30,40,50,60,62,64,66,68,70,72,74,76,78,80,85,90,95,100})</f>
        <v>20</v>
      </c>
      <c r="I315" s="6">
        <v>0</v>
      </c>
      <c r="J315" s="1">
        <f>LOOKUP(I315,{0,2,3,4,5,6,7,8,9,10,11,12,13,14,15,16},{0,10,20,30,40,50,60,64,68,72,76,80,85,90,95,100})</f>
        <v>0</v>
      </c>
      <c r="K315" s="7"/>
      <c r="L315" s="7"/>
      <c r="M315" s="21">
        <f t="shared" si="163"/>
        <v>0</v>
      </c>
      <c r="N315" s="6">
        <v>2.2</v>
      </c>
      <c r="O315" s="43">
        <f t="shared" si="161"/>
        <v>10.8</v>
      </c>
      <c r="P315" s="1">
        <f>LOOKUP(O315,{0,2.5,2.7,2.9,3.1,3.3,3.5,3.7,3.9,4.1,4.3,4.5,4.7,4.9,5.1,5.3,5.5,5.6,5.7,5.8,5.9},{0,10,20,30,40,50,60,62,64,66,68,70,72,74,76,78,80,85,90,95,100})</f>
        <v>100</v>
      </c>
      <c r="Q315" s="6">
        <v>4.01</v>
      </c>
      <c r="R315" s="6">
        <f t="shared" si="164"/>
        <v>5.99</v>
      </c>
      <c r="S315" s="1">
        <f>LOOKUP(R315,{0,3.75,3.95,4.55,4.75,4.95,5.55,5.6,5.65,5.7,5.75,5.8,5.85,5.9,5.95,6,6.45,6.53,6.6,6.65,6.7},{0,10,20,30,40,50,60,62,64,66,68,70,72,74,76,78,80,85,90,95,100})</f>
        <v>76</v>
      </c>
      <c r="T315" s="7"/>
      <c r="U315" s="7"/>
      <c r="V315" s="21">
        <f t="shared" si="165"/>
        <v>76</v>
      </c>
      <c r="X315" s="21">
        <f t="shared" si="162"/>
        <v>43.6</v>
      </c>
      <c r="Y315" s="37">
        <f t="shared" si="166"/>
        <v>62.2857142857143</v>
      </c>
    </row>
    <row r="316" ht="15.6" hidden="1" outlineLevel="2" spans="1:25">
      <c r="A316" s="6">
        <v>108</v>
      </c>
      <c r="B316" s="6">
        <v>7</v>
      </c>
      <c r="C316" s="29" t="s">
        <v>357</v>
      </c>
      <c r="D316" s="29" t="s">
        <v>11</v>
      </c>
      <c r="E316" s="6">
        <v>3</v>
      </c>
      <c r="F316" s="1">
        <f>LOOKUP(E316,{0,-4,-3,-2,-1,0,1,2.4,3.8,5.2,6.6,8,9.4,10.8,12.2,13.6,15,17.2,19.4,21.5,23.6},{0,10,20,30,40,50,60,62,64,66,68,70,72,74,76,78,80,85,90,95,100})</f>
        <v>62</v>
      </c>
      <c r="G316" s="6">
        <v>190</v>
      </c>
      <c r="H316" s="1">
        <f>LOOKUP(G316,{0,170,175,180,185,190,195,199,203,207,211,215,219,223,227,231,235,243,250,255,260},{0,10,20,30,40,50,60,62,64,66,68,70,72,74,76,78,80,85,90,95,100})</f>
        <v>50</v>
      </c>
      <c r="I316" s="6">
        <v>0</v>
      </c>
      <c r="J316" s="1">
        <f>LOOKUP(I316,{0,2,3,4,5,6,7,8,9,10,11,12,13,14,15,16},{0,10,20,30,40,50,60,64,68,72,76,80,85,90,95,100})</f>
        <v>0</v>
      </c>
      <c r="K316" s="7"/>
      <c r="L316" s="7"/>
      <c r="M316" s="21">
        <f t="shared" si="163"/>
        <v>0</v>
      </c>
      <c r="N316" s="6">
        <v>7.7</v>
      </c>
      <c r="O316" s="43">
        <f t="shared" si="161"/>
        <v>5.3</v>
      </c>
      <c r="P316" s="1">
        <f>LOOKUP(O316,{0,2.5,2.7,2.9,3.1,3.3,3.5,3.7,3.9,4.1,4.3,4.5,4.7,4.9,5.1,5.3,5.5,5.6,5.7,5.8,5.9},{0,10,20,30,40,50,60,62,64,66,68,70,72,74,76,78,80,85,90,95,100})</f>
        <v>78</v>
      </c>
      <c r="Q316" s="6">
        <v>3.58</v>
      </c>
      <c r="R316" s="6">
        <f t="shared" si="164"/>
        <v>6.42</v>
      </c>
      <c r="S316" s="1">
        <f>LOOKUP(R316,{0,3.75,3.95,4.55,4.75,4.95,5.55,5.6,5.65,5.7,5.75,5.8,5.85,5.9,5.95,6,6.45,6.53,6.6,6.65,6.7},{0,10,20,30,40,50,60,62,64,66,68,70,72,74,76,78,80,85,90,95,100})</f>
        <v>78</v>
      </c>
      <c r="T316" s="7"/>
      <c r="U316" s="7"/>
      <c r="V316" s="21">
        <f t="shared" si="165"/>
        <v>78</v>
      </c>
      <c r="X316" s="21">
        <f t="shared" si="162"/>
        <v>42.4</v>
      </c>
      <c r="Y316" s="37">
        <f t="shared" si="166"/>
        <v>60.5714285714286</v>
      </c>
    </row>
    <row r="317" ht="15.6" hidden="1" outlineLevel="2" spans="1:25">
      <c r="A317" s="6">
        <v>108</v>
      </c>
      <c r="B317" s="6">
        <v>8</v>
      </c>
      <c r="C317" s="29" t="s">
        <v>358</v>
      </c>
      <c r="D317" s="29" t="s">
        <v>11</v>
      </c>
      <c r="E317" s="6">
        <v>10.6</v>
      </c>
      <c r="F317" s="1">
        <f>LOOKUP(E317,{0,-4,-3,-2,-1,0,1,2.4,3.8,5.2,6.6,8,9.4,10.8,12.2,13.6,15,17.2,19.4,21.5,23.6},{0,10,20,30,40,50,60,62,64,66,68,70,72,74,76,78,80,85,90,95,100})</f>
        <v>72</v>
      </c>
      <c r="G317" s="6">
        <v>200</v>
      </c>
      <c r="H317" s="1">
        <f>LOOKUP(G317,{0,170,175,180,185,190,195,199,203,207,211,215,219,223,227,231,235,243,250,255,260},{0,10,20,30,40,50,60,62,64,66,68,70,72,74,76,78,80,85,90,95,100})</f>
        <v>62</v>
      </c>
      <c r="I317" s="6">
        <v>13</v>
      </c>
      <c r="J317" s="1">
        <f>LOOKUP(I317,{0,2,3,4,5,6,7,8,9,10,11,12,13,14,15,16},{0,10,20,30,40,50,60,64,68,72,76,80,85,90,95,100})</f>
        <v>85</v>
      </c>
      <c r="K317" s="7"/>
      <c r="L317" s="7"/>
      <c r="M317" s="21">
        <f t="shared" si="163"/>
        <v>85</v>
      </c>
      <c r="N317" s="6">
        <v>7.4</v>
      </c>
      <c r="O317" s="43">
        <f t="shared" si="161"/>
        <v>5.6</v>
      </c>
      <c r="P317" s="1">
        <f>LOOKUP(O317,{0,2.5,2.7,2.9,3.1,3.3,3.5,3.7,3.9,4.1,4.3,4.5,4.7,4.9,5.1,5.3,5.5,5.6,5.7,5.8,5.9},{0,10,20,30,40,50,60,62,64,66,68,70,72,74,76,78,80,85,90,95,100})</f>
        <v>85</v>
      </c>
      <c r="Q317" s="6">
        <v>3.48</v>
      </c>
      <c r="R317" s="6">
        <f t="shared" si="164"/>
        <v>6.52</v>
      </c>
      <c r="S317" s="1">
        <f>LOOKUP(R317,{0,3.75,3.95,4.55,4.75,4.95,5.55,5.6,5.65,5.7,5.75,5.8,5.85,5.9,5.95,6,6.45,6.53,6.6,6.65,6.7},{0,10,20,30,40,50,60,62,64,66,68,70,72,74,76,78,80,85,90,95,100})</f>
        <v>80</v>
      </c>
      <c r="T317" s="7"/>
      <c r="U317" s="7"/>
      <c r="V317" s="21">
        <f t="shared" si="165"/>
        <v>80</v>
      </c>
      <c r="X317" s="21">
        <f t="shared" si="162"/>
        <v>54.9</v>
      </c>
      <c r="Y317" s="37">
        <f t="shared" si="166"/>
        <v>78.4285714285714</v>
      </c>
    </row>
    <row r="318" ht="15.6" hidden="1" outlineLevel="2" spans="1:25">
      <c r="A318" s="6">
        <v>108</v>
      </c>
      <c r="B318" s="6">
        <v>9</v>
      </c>
      <c r="C318" s="29" t="s">
        <v>359</v>
      </c>
      <c r="D318" s="29" t="s">
        <v>11</v>
      </c>
      <c r="E318" s="6">
        <v>16.8</v>
      </c>
      <c r="F318" s="1">
        <f>LOOKUP(E318,{0,-4,-3,-2,-1,0,1,2.4,3.8,5.2,6.6,8,9.4,10.8,12.2,13.6,15,17.2,19.4,21.5,23.6},{0,10,20,30,40,50,60,62,64,66,68,70,72,74,76,78,80,85,90,95,100})</f>
        <v>80</v>
      </c>
      <c r="G318" s="6">
        <v>231</v>
      </c>
      <c r="H318" s="1">
        <f>LOOKUP(G318,{0,170,175,180,185,190,195,199,203,207,211,215,219,223,227,231,235,243,250,255,260},{0,10,20,30,40,50,60,62,64,66,68,70,72,74,76,78,80,85,90,95,100})</f>
        <v>78</v>
      </c>
      <c r="I318" s="6">
        <v>23</v>
      </c>
      <c r="J318" s="1">
        <f>LOOKUP(I318,{0,2,3,4,5,6,7,8,9,10,11,12,13,14,15,16},{0,10,20,30,40,50,60,64,68,72,76,80,85,90,95,100})</f>
        <v>100</v>
      </c>
      <c r="K318" s="7">
        <f>I318-16</f>
        <v>7</v>
      </c>
      <c r="L318" s="40">
        <f>LOOKUP(K318,{0,1,2,3,4,5,6,7,8,9,10},{0,1,2,3,4,5,6,7,8,9,10})</f>
        <v>7</v>
      </c>
      <c r="M318" s="21">
        <f t="shared" si="163"/>
        <v>107</v>
      </c>
      <c r="N318" s="6">
        <v>7.2</v>
      </c>
      <c r="O318" s="43">
        <f t="shared" si="161"/>
        <v>5.8</v>
      </c>
      <c r="P318" s="1">
        <f>LOOKUP(O318,{0,2.5,2.7,2.9,3.1,3.3,3.5,3.7,3.9,4.1,4.3,4.5,4.7,4.9,5.1,5.3,5.5,5.6,5.7,5.8,5.9},{0,10,20,30,40,50,60,62,64,66,68,70,72,74,76,78,80,85,90,95,100})</f>
        <v>95</v>
      </c>
      <c r="Q318" s="6">
        <v>3.34</v>
      </c>
      <c r="R318" s="6">
        <f t="shared" si="164"/>
        <v>6.66</v>
      </c>
      <c r="S318" s="1">
        <f>LOOKUP(R318,{0,3.75,3.95,4.55,4.75,4.95,5.55,5.6,5.65,5.7,5.75,5.8,5.85,5.9,5.95,6,6.45,6.53,6.6,6.65,6.7},{0,10,20,30,40,50,60,62,64,66,68,70,72,74,76,78,80,85,90,95,100})</f>
        <v>95</v>
      </c>
      <c r="T318" s="7"/>
      <c r="U318" s="7"/>
      <c r="V318" s="21">
        <f t="shared" si="165"/>
        <v>95</v>
      </c>
      <c r="X318" s="21">
        <f t="shared" si="162"/>
        <v>63.8</v>
      </c>
      <c r="Y318" s="37">
        <f t="shared" si="166"/>
        <v>98.1428571428571</v>
      </c>
    </row>
    <row r="319" ht="15.6" hidden="1" outlineLevel="2" spans="1:25">
      <c r="A319" s="6">
        <v>108</v>
      </c>
      <c r="B319" s="6">
        <v>10</v>
      </c>
      <c r="C319" s="29" t="s">
        <v>360</v>
      </c>
      <c r="D319" s="29" t="s">
        <v>11</v>
      </c>
      <c r="E319" s="6">
        <v>11</v>
      </c>
      <c r="F319" s="1">
        <f>LOOKUP(E319,{0,-4,-3,-2,-1,0,1,2.4,3.8,5.2,6.6,8,9.4,10.8,12.2,13.6,15,17.2,19.4,21.5,23.6},{0,10,20,30,40,50,60,62,64,66,68,70,72,74,76,78,80,85,90,95,100})</f>
        <v>74</v>
      </c>
      <c r="G319" s="6">
        <v>232</v>
      </c>
      <c r="H319" s="1">
        <f>LOOKUP(G319,{0,170,175,180,185,190,195,199,203,207,211,215,219,223,227,231,235,243,250,255,260},{0,10,20,30,40,50,60,62,64,66,68,70,72,74,76,78,80,85,90,95,100})</f>
        <v>78</v>
      </c>
      <c r="I319" s="6">
        <v>10</v>
      </c>
      <c r="J319" s="1">
        <f>LOOKUP(I319,{0,2,3,4,5,6,7,8,9,10,11,12,13,14,15,16},{0,10,20,30,40,50,60,64,68,72,76,80,85,90,95,100})</f>
        <v>72</v>
      </c>
      <c r="K319" s="7"/>
      <c r="L319" s="7"/>
      <c r="M319" s="21">
        <f t="shared" si="163"/>
        <v>72</v>
      </c>
      <c r="N319" s="6">
        <v>7.4</v>
      </c>
      <c r="O319" s="43">
        <f t="shared" si="161"/>
        <v>5.6</v>
      </c>
      <c r="P319" s="1">
        <f>LOOKUP(O319,{0,2.5,2.7,2.9,3.1,3.3,3.5,3.7,3.9,4.1,4.3,4.5,4.7,4.9,5.1,5.3,5.5,5.6,5.7,5.8,5.9},{0,10,20,30,40,50,60,62,64,66,68,70,72,74,76,78,80,85,90,95,100})</f>
        <v>85</v>
      </c>
      <c r="Q319" s="6">
        <v>4.35</v>
      </c>
      <c r="R319" s="6">
        <f t="shared" si="164"/>
        <v>5.65</v>
      </c>
      <c r="S319" s="1">
        <f>LOOKUP(R319,{0,3.75,3.95,4.55,4.75,4.95,5.55,5.6,5.65,5.7,5.75,5.8,5.85,5.9,5.95,6,6.45,6.53,6.6,6.65,6.7},{0,10,20,30,40,50,60,62,64,66,68,70,72,74,76,78,80,85,90,95,100})</f>
        <v>64</v>
      </c>
      <c r="T319" s="7"/>
      <c r="U319" s="7"/>
      <c r="V319" s="21">
        <f t="shared" si="165"/>
        <v>64</v>
      </c>
      <c r="X319" s="21">
        <f t="shared" si="162"/>
        <v>52.2</v>
      </c>
      <c r="Y319" s="37">
        <f t="shared" si="166"/>
        <v>74.5714285714286</v>
      </c>
    </row>
    <row r="320" ht="15.6" hidden="1" outlineLevel="2" spans="1:25">
      <c r="A320" s="6">
        <v>108</v>
      </c>
      <c r="B320" s="6">
        <v>11</v>
      </c>
      <c r="C320" s="39" t="s">
        <v>362</v>
      </c>
      <c r="D320" s="29" t="s">
        <v>11</v>
      </c>
      <c r="E320" s="6">
        <v>10.6</v>
      </c>
      <c r="F320" s="1">
        <f>LOOKUP(E320,{0,-4,-3,-2,-1,0,1,2.4,3.8,5.2,6.6,8,9.4,10.8,12.2,13.6,15,17.2,19.4,21.5,23.6},{0,10,20,30,40,50,60,62,64,66,68,70,72,74,76,78,80,85,90,95,100})</f>
        <v>72</v>
      </c>
      <c r="G320" s="6">
        <v>198</v>
      </c>
      <c r="H320" s="1">
        <f>LOOKUP(G320,{0,170,175,180,185,190,195,199,203,207,211,215,219,223,227,231,235,243,250,255,260},{0,10,20,30,40,50,60,62,64,66,68,70,72,74,76,78,80,85,90,95,100})</f>
        <v>60</v>
      </c>
      <c r="I320" s="6">
        <v>11</v>
      </c>
      <c r="J320" s="1">
        <f>LOOKUP(I320,{0,2,3,4,5,6,7,8,9,10,11,12,13,14,15,16},{0,10,20,30,40,50,60,64,68,72,76,80,85,90,95,100})</f>
        <v>76</v>
      </c>
      <c r="K320" s="7"/>
      <c r="L320" s="7"/>
      <c r="M320" s="21">
        <f t="shared" si="163"/>
        <v>76</v>
      </c>
      <c r="N320" s="6">
        <v>8</v>
      </c>
      <c r="O320" s="43">
        <f t="shared" si="161"/>
        <v>5</v>
      </c>
      <c r="P320" s="1">
        <f>LOOKUP(O320,{0,2.5,2.7,2.9,3.1,3.3,3.5,3.7,3.9,4.1,4.3,4.5,4.7,4.9,5.1,5.3,5.5,5.6,5.7,5.8,5.9},{0,10,20,30,40,50,60,62,64,66,68,70,72,74,76,78,80,85,90,95,100})</f>
        <v>74</v>
      </c>
      <c r="Q320" s="6">
        <v>4.21</v>
      </c>
      <c r="R320" s="6">
        <f t="shared" si="164"/>
        <v>5.79</v>
      </c>
      <c r="S320" s="1">
        <f>LOOKUP(R320,{0,3.75,3.95,4.55,4.75,4.95,5.55,5.6,5.65,5.7,5.75,5.8,5.85,5.9,5.95,6,6.45,6.53,6.6,6.65,6.7},{0,10,20,30,40,50,60,62,64,66,68,70,72,74,76,78,80,85,90,95,100})</f>
        <v>68</v>
      </c>
      <c r="T320" s="7"/>
      <c r="U320" s="7"/>
      <c r="V320" s="21">
        <f t="shared" si="165"/>
        <v>68</v>
      </c>
      <c r="X320" s="21">
        <f t="shared" si="162"/>
        <v>49.2</v>
      </c>
      <c r="Y320" s="37">
        <f t="shared" si="166"/>
        <v>70.2857142857143</v>
      </c>
    </row>
    <row r="321" ht="15.6" hidden="1" outlineLevel="2" spans="1:25">
      <c r="A321" s="6">
        <v>108</v>
      </c>
      <c r="B321" s="6">
        <v>12</v>
      </c>
      <c r="C321" s="29" t="s">
        <v>363</v>
      </c>
      <c r="D321" s="29" t="s">
        <v>11</v>
      </c>
      <c r="E321" s="6">
        <v>5.3</v>
      </c>
      <c r="F321" s="1">
        <f>LOOKUP(E321,{0,-4,-3,-2,-1,0,1,2.4,3.8,5.2,6.6,8,9.4,10.8,12.2,13.6,15,17.2,19.4,21.5,23.6},{0,10,20,30,40,50,60,62,64,66,68,70,72,74,76,78,80,85,90,95,100})</f>
        <v>66</v>
      </c>
      <c r="G321" s="6">
        <v>223</v>
      </c>
      <c r="H321" s="1">
        <f>LOOKUP(G321,{0,170,175,180,185,190,195,199,203,207,211,215,219,223,227,231,235,243,250,255,260},{0,10,20,30,40,50,60,62,64,66,68,70,72,74,76,78,80,85,90,95,100})</f>
        <v>74</v>
      </c>
      <c r="I321" s="6">
        <v>24</v>
      </c>
      <c r="J321" s="1">
        <f>LOOKUP(I321,{0,2,3,4,5,6,7,8,9,10,11,12,13,14,15,16},{0,10,20,30,40,50,60,64,68,72,76,80,85,90,95,100})</f>
        <v>100</v>
      </c>
      <c r="K321" s="7">
        <f>I321-16</f>
        <v>8</v>
      </c>
      <c r="L321" s="40">
        <f>LOOKUP(K321,{0,1,2,3,4,5,6,7,8,9,10},{0,1,2,3,4,5,6,7,8,9,10})</f>
        <v>8</v>
      </c>
      <c r="M321" s="21">
        <f t="shared" si="163"/>
        <v>108</v>
      </c>
      <c r="N321" s="6">
        <v>7.4</v>
      </c>
      <c r="O321" s="43">
        <f t="shared" si="161"/>
        <v>5.6</v>
      </c>
      <c r="P321" s="1">
        <f>LOOKUP(O321,{0,2.5,2.7,2.9,3.1,3.3,3.5,3.7,3.9,4.1,4.3,4.5,4.7,4.9,5.1,5.3,5.5,5.6,5.7,5.8,5.9},{0,10,20,30,40,50,60,62,64,66,68,70,72,74,76,78,80,85,90,95,100})</f>
        <v>85</v>
      </c>
      <c r="Q321" s="6">
        <v>3.52</v>
      </c>
      <c r="R321" s="6">
        <f t="shared" si="164"/>
        <v>6.48</v>
      </c>
      <c r="S321" s="1">
        <f>LOOKUP(R321,{0,3.75,3.95,4.55,4.75,4.95,5.55,5.6,5.65,5.7,5.75,5.8,5.85,5.9,5.95,6,6.45,6.53,6.6,6.65,6.7},{0,10,20,30,40,50,60,62,64,66,68,70,72,74,76,78,80,85,90,95,100})</f>
        <v>80</v>
      </c>
      <c r="T321" s="7"/>
      <c r="U321" s="7"/>
      <c r="V321" s="21">
        <f t="shared" si="165"/>
        <v>80</v>
      </c>
      <c r="X321" s="21">
        <f t="shared" si="162"/>
        <v>57</v>
      </c>
      <c r="Y321" s="37">
        <f t="shared" si="166"/>
        <v>89.4285714285714</v>
      </c>
    </row>
    <row r="322" s="3" customFormat="1" ht="15.6" hidden="1" outlineLevel="2" spans="1:25">
      <c r="A322" s="6">
        <v>108</v>
      </c>
      <c r="B322" s="6">
        <v>13</v>
      </c>
      <c r="C322" s="29" t="s">
        <v>364</v>
      </c>
      <c r="D322" s="29" t="s">
        <v>11</v>
      </c>
      <c r="E322" s="6">
        <v>0.2</v>
      </c>
      <c r="F322" s="1">
        <f>LOOKUP(E322,{0,-4,-3,-2,-1,0,1,2.4,3.8,5.2,6.6,8,9.4,10.8,12.2,13.6,15,17.2,19.4,21.5,23.6},{0,10,20,30,40,50,60,62,64,66,68,70,72,74,76,78,80,85,90,95,100})</f>
        <v>50</v>
      </c>
      <c r="G322" s="6">
        <v>206</v>
      </c>
      <c r="H322" s="1">
        <f>LOOKUP(G322,{0,170,175,180,185,190,195,199,203,207,211,215,219,223,227,231,235,243,250,255,260},{0,10,20,30,40,50,60,62,64,66,68,70,72,74,76,78,80,85,90,95,100})</f>
        <v>64</v>
      </c>
      <c r="I322" s="6">
        <v>4</v>
      </c>
      <c r="J322" s="1">
        <f>LOOKUP(I322,{0,2,3,4,5,6,7,8,9,10,11,12,13,14,15,16},{0,10,20,30,40,50,60,64,68,72,76,80,85,90,95,100})</f>
        <v>30</v>
      </c>
      <c r="K322" s="7"/>
      <c r="L322" s="7"/>
      <c r="M322" s="21">
        <f t="shared" si="163"/>
        <v>30</v>
      </c>
      <c r="N322" s="6">
        <v>7.1</v>
      </c>
      <c r="O322" s="43">
        <f t="shared" si="161"/>
        <v>5.9</v>
      </c>
      <c r="P322" s="1">
        <f>LOOKUP(O322,{0,2.5,2.7,2.9,3.1,3.3,3.5,3.7,3.9,4.1,4.3,4.5,4.7,4.9,5.1,5.3,5.5,5.6,5.7,5.8,5.9},{0,10,20,30,40,50,60,62,64,66,68,70,72,74,76,78,80,85,90,95,100})</f>
        <v>100</v>
      </c>
      <c r="Q322" s="6">
        <v>3.27</v>
      </c>
      <c r="R322" s="6">
        <f t="shared" si="164"/>
        <v>6.73</v>
      </c>
      <c r="S322" s="1">
        <f>LOOKUP(R322,{0,3.75,3.95,4.55,4.75,4.95,5.55,5.6,5.65,5.7,5.75,5.8,5.85,5.9,5.95,6,6.45,6.53,6.6,6.65,6.7},{0,10,20,30,40,50,60,62,64,66,68,70,72,74,76,78,80,85,90,95,100})</f>
        <v>100</v>
      </c>
      <c r="T322" s="7">
        <f>3.3-Q322</f>
        <v>0.0299999999999998</v>
      </c>
      <c r="U322" s="40">
        <f>LOOKUP(T322,{0,0.04,0.08,0.12,0.16,0.2,0.23,0.26,0.29,0.32,0.35},{0,1,2,3,4,5,6,7,8,9,10})</f>
        <v>0</v>
      </c>
      <c r="V322" s="21">
        <f t="shared" si="165"/>
        <v>100</v>
      </c>
      <c r="W322" s="6"/>
      <c r="X322" s="21">
        <f t="shared" si="162"/>
        <v>54.4</v>
      </c>
      <c r="Y322" s="37">
        <f t="shared" si="166"/>
        <v>77.7142857142857</v>
      </c>
    </row>
    <row r="323" ht="15.6" hidden="1" outlineLevel="2" spans="1:25">
      <c r="A323" s="6">
        <v>108</v>
      </c>
      <c r="B323" s="6">
        <v>14</v>
      </c>
      <c r="C323" s="29" t="s">
        <v>365</v>
      </c>
      <c r="D323" s="29" t="s">
        <v>11</v>
      </c>
      <c r="E323" s="6">
        <v>16.5</v>
      </c>
      <c r="F323" s="1">
        <f>LOOKUP(E323,{0,-4,-3,-2,-1,0,1,2.4,3.8,5.2,6.6,8,9.4,10.8,12.2,13.6,15,17.2,19.4,21.5,23.6},{0,10,20,30,40,50,60,62,64,66,68,70,72,74,76,78,80,85,90,95,100})</f>
        <v>80</v>
      </c>
      <c r="G323" s="6">
        <v>203</v>
      </c>
      <c r="H323" s="1">
        <f>LOOKUP(G323,{0,170,175,180,185,190,195,199,203,207,211,215,219,223,227,231,235,243,250,255,260},{0,10,20,30,40,50,60,62,64,66,68,70,72,74,76,78,80,85,90,95,100})</f>
        <v>64</v>
      </c>
      <c r="I323" s="6">
        <v>10</v>
      </c>
      <c r="J323" s="1">
        <f>LOOKUP(I323,{0,2,3,4,5,6,7,8,9,10,11,12,13,14,15,16},{0,10,20,30,40,50,60,64,68,72,76,80,85,90,95,100})</f>
        <v>72</v>
      </c>
      <c r="K323" s="7"/>
      <c r="L323" s="7"/>
      <c r="M323" s="21">
        <f t="shared" si="163"/>
        <v>72</v>
      </c>
      <c r="N323" s="6">
        <v>7.7</v>
      </c>
      <c r="O323" s="43">
        <f t="shared" si="161"/>
        <v>5.3</v>
      </c>
      <c r="P323" s="1">
        <f>LOOKUP(O323,{0,2.5,2.7,2.9,3.1,3.3,3.5,3.7,3.9,4.1,4.3,4.5,4.7,4.9,5.1,5.3,5.5,5.6,5.7,5.8,5.9},{0,10,20,30,40,50,60,62,64,66,68,70,72,74,76,78,80,85,90,95,100})</f>
        <v>78</v>
      </c>
      <c r="Q323" s="6">
        <v>3.54</v>
      </c>
      <c r="R323" s="6">
        <f t="shared" si="164"/>
        <v>6.46</v>
      </c>
      <c r="S323" s="1">
        <f>LOOKUP(R323,{0,3.75,3.95,4.55,4.75,4.95,5.55,5.6,5.65,5.7,5.75,5.8,5.85,5.9,5.95,6,6.45,6.53,6.6,6.65,6.7},{0,10,20,30,40,50,60,62,64,66,68,70,72,74,76,78,80,85,90,95,100})</f>
        <v>80</v>
      </c>
      <c r="T323" s="7"/>
      <c r="U323" s="7"/>
      <c r="V323" s="21">
        <f t="shared" si="165"/>
        <v>80</v>
      </c>
      <c r="X323" s="21">
        <f t="shared" si="162"/>
        <v>53.2</v>
      </c>
      <c r="Y323" s="37">
        <f t="shared" si="166"/>
        <v>76</v>
      </c>
    </row>
    <row r="324" ht="15.6" hidden="1" outlineLevel="2" spans="1:25">
      <c r="A324" s="6">
        <v>108</v>
      </c>
      <c r="B324" s="6">
        <v>15</v>
      </c>
      <c r="C324" s="29" t="s">
        <v>366</v>
      </c>
      <c r="D324" s="29" t="s">
        <v>11</v>
      </c>
      <c r="E324" s="6">
        <v>13.4</v>
      </c>
      <c r="F324" s="1">
        <f>LOOKUP(E324,{0,-4,-3,-2,-1,0,1,2.4,3.8,5.2,6.6,8,9.4,10.8,12.2,13.6,15,17.2,19.4,21.5,23.6},{0,10,20,30,40,50,60,62,64,66,68,70,72,74,76,78,80,85,90,95,100})</f>
        <v>76</v>
      </c>
      <c r="G324" s="6">
        <v>223</v>
      </c>
      <c r="H324" s="1">
        <f>LOOKUP(G324,{0,170,175,180,185,190,195,199,203,207,211,215,219,223,227,231,235,243,250,255,260},{0,10,20,30,40,50,60,62,64,66,68,70,72,74,76,78,80,85,90,95,100})</f>
        <v>74</v>
      </c>
      <c r="I324" s="6">
        <v>6</v>
      </c>
      <c r="J324" s="1">
        <f>LOOKUP(I324,{0,2,3,4,5,6,7,8,9,10,11,12,13,14,15,16},{0,10,20,30,40,50,60,64,68,72,76,80,85,90,95,100})</f>
        <v>50</v>
      </c>
      <c r="K324" s="7"/>
      <c r="L324" s="7"/>
      <c r="M324" s="21">
        <f t="shared" si="163"/>
        <v>50</v>
      </c>
      <c r="N324" s="6">
        <v>7.3</v>
      </c>
      <c r="O324" s="43">
        <f t="shared" si="161"/>
        <v>5.7</v>
      </c>
      <c r="P324" s="1">
        <f>LOOKUP(O324,{0,2.5,2.7,2.9,3.1,3.3,3.5,3.7,3.9,4.1,4.3,4.5,4.7,4.9,5.1,5.3,5.5,5.6,5.7,5.8,5.9},{0,10,20,30,40,50,60,62,64,66,68,70,72,74,76,78,80,85,90,95,100})</f>
        <v>90</v>
      </c>
      <c r="Q324" s="6">
        <v>3.5</v>
      </c>
      <c r="R324" s="6">
        <f t="shared" si="164"/>
        <v>6.5</v>
      </c>
      <c r="S324" s="1">
        <f>LOOKUP(R324,{0,3.75,3.95,4.55,4.75,4.95,5.55,5.6,5.65,5.7,5.75,5.8,5.85,5.9,5.95,6,6.45,6.53,6.6,6.65,6.7},{0,10,20,30,40,50,60,62,64,66,68,70,72,74,76,78,80,85,90,95,100})</f>
        <v>80</v>
      </c>
      <c r="T324" s="7"/>
      <c r="U324" s="7"/>
      <c r="V324" s="21">
        <f t="shared" si="165"/>
        <v>80</v>
      </c>
      <c r="X324" s="21">
        <f t="shared" si="162"/>
        <v>54</v>
      </c>
      <c r="Y324" s="37">
        <f t="shared" si="166"/>
        <v>77.1428571428572</v>
      </c>
    </row>
    <row r="325" ht="15.6" hidden="1" outlineLevel="2" spans="1:25">
      <c r="A325" s="6">
        <v>108</v>
      </c>
      <c r="B325" s="6">
        <v>16</v>
      </c>
      <c r="C325" s="29" t="s">
        <v>367</v>
      </c>
      <c r="D325" s="29" t="s">
        <v>11</v>
      </c>
      <c r="E325" s="6">
        <v>16.1</v>
      </c>
      <c r="F325" s="1">
        <f>LOOKUP(E325,{0,-4,-3,-2,-1,0,1,2.4,3.8,5.2,6.6,8,9.4,10.8,12.2,13.6,15,17.2,19.4,21.5,23.6},{0,10,20,30,40,50,60,62,64,66,68,70,72,74,76,78,80,85,90,95,100})</f>
        <v>80</v>
      </c>
      <c r="G325" s="6">
        <v>217</v>
      </c>
      <c r="H325" s="1">
        <f>LOOKUP(G325,{0,170,175,180,185,190,195,199,203,207,211,215,219,223,227,231,235,243,250,255,260},{0,10,20,30,40,50,60,62,64,66,68,70,72,74,76,78,80,85,90,95,100})</f>
        <v>70</v>
      </c>
      <c r="I325" s="6" t="s">
        <v>368</v>
      </c>
      <c r="J325" s="1">
        <v>0</v>
      </c>
      <c r="K325" s="7"/>
      <c r="L325" s="7"/>
      <c r="M325" s="21">
        <v>0</v>
      </c>
      <c r="N325" s="6">
        <v>7.6</v>
      </c>
      <c r="O325" s="43">
        <f t="shared" si="161"/>
        <v>5.4</v>
      </c>
      <c r="P325" s="1">
        <f>LOOKUP(O325,{0,2.5,2.7,2.9,3.1,3.3,3.5,3.7,3.9,4.1,4.3,4.5,4.7,4.9,5.1,5.3,5.5,5.6,5.7,5.8,5.9},{0,10,20,30,40,50,60,62,64,66,68,70,72,74,76,78,80,85,90,95,100})</f>
        <v>78</v>
      </c>
      <c r="Q325" s="6">
        <v>3.49</v>
      </c>
      <c r="R325" s="6">
        <f t="shared" si="164"/>
        <v>6.51</v>
      </c>
      <c r="S325" s="1">
        <f>LOOKUP(R325,{0,3.75,3.95,4.55,4.75,4.95,5.55,5.6,5.65,5.7,5.75,5.8,5.85,5.9,5.95,6,6.45,6.53,6.6,6.65,6.7},{0,10,20,30,40,50,60,62,64,66,68,70,72,74,76,78,80,85,90,95,100})</f>
        <v>80</v>
      </c>
      <c r="T325" s="7"/>
      <c r="U325" s="7"/>
      <c r="V325" s="21">
        <f t="shared" si="165"/>
        <v>80</v>
      </c>
      <c r="X325" s="21">
        <f t="shared" si="162"/>
        <v>46.6</v>
      </c>
      <c r="Y325" s="37">
        <f t="shared" si="166"/>
        <v>66.5714285714286</v>
      </c>
    </row>
    <row r="326" ht="15.6" hidden="1" outlineLevel="2" spans="1:25">
      <c r="A326" s="6">
        <v>108</v>
      </c>
      <c r="B326" s="6">
        <v>17</v>
      </c>
      <c r="C326" s="29" t="s">
        <v>369</v>
      </c>
      <c r="D326" s="29" t="s">
        <v>11</v>
      </c>
      <c r="E326" s="6">
        <v>-4.7</v>
      </c>
      <c r="F326" s="1">
        <v>0</v>
      </c>
      <c r="G326" s="6">
        <v>218</v>
      </c>
      <c r="H326" s="1">
        <f>LOOKUP(G326,{0,170,175,180,185,190,195,199,203,207,211,215,219,223,227,231,235,243,250,255,260},{0,10,20,30,40,50,60,62,64,66,68,70,72,74,76,78,80,85,90,95,100})</f>
        <v>70</v>
      </c>
      <c r="I326" s="6">
        <v>0</v>
      </c>
      <c r="J326" s="1">
        <f>LOOKUP(I326,{0,2,3,4,5,6,7,8,9,10,11,12,13,14,15,16},{0,10,20,30,40,50,60,64,68,72,76,80,85,90,95,100})</f>
        <v>0</v>
      </c>
      <c r="K326" s="7"/>
      <c r="L326" s="7"/>
      <c r="M326" s="21">
        <f t="shared" ref="M326:M360" si="167">J326+L326</f>
        <v>0</v>
      </c>
      <c r="N326" s="6">
        <v>7.2</v>
      </c>
      <c r="O326" s="43">
        <f t="shared" si="161"/>
        <v>5.8</v>
      </c>
      <c r="P326" s="1">
        <f>LOOKUP(O326,{0,2.5,2.7,2.9,3.1,3.3,3.5,3.7,3.9,4.1,4.3,4.5,4.7,4.9,5.1,5.3,5.5,5.6,5.7,5.8,5.9},{0,10,20,30,40,50,60,62,64,66,68,70,72,74,76,78,80,85,90,95,100})</f>
        <v>95</v>
      </c>
      <c r="Q326" s="6">
        <v>4.03</v>
      </c>
      <c r="R326" s="6">
        <f t="shared" si="164"/>
        <v>5.97</v>
      </c>
      <c r="S326" s="1">
        <f>LOOKUP(R326,{0,3.75,3.95,4.55,4.75,4.95,5.55,5.6,5.65,5.7,5.75,5.8,5.85,5.9,5.95,6,6.45,6.53,6.6,6.65,6.7},{0,10,20,30,40,50,60,62,64,66,68,70,72,74,76,78,80,85,90,95,100})</f>
        <v>76</v>
      </c>
      <c r="T326" s="7"/>
      <c r="U326" s="7"/>
      <c r="V326" s="21">
        <f t="shared" si="165"/>
        <v>76</v>
      </c>
      <c r="X326" s="21">
        <f t="shared" si="162"/>
        <v>41.2</v>
      </c>
      <c r="Y326" s="37">
        <f t="shared" si="166"/>
        <v>58.8571428571429</v>
      </c>
    </row>
    <row r="327" ht="15.6" hidden="1" outlineLevel="2" spans="1:25">
      <c r="A327" s="6">
        <v>108</v>
      </c>
      <c r="B327" s="6">
        <v>18</v>
      </c>
      <c r="C327" s="29" t="s">
        <v>370</v>
      </c>
      <c r="D327" s="29" t="s">
        <v>11</v>
      </c>
      <c r="E327" s="6">
        <v>3.5</v>
      </c>
      <c r="F327" s="1">
        <f>LOOKUP(E327,{0,-4,-3,-2,-1,0,1,2.4,3.8,5.2,6.6,8,9.4,10.8,12.2,13.6,15,17.2,19.4,21.5,23.6},{0,10,20,30,40,50,60,62,64,66,68,70,72,74,76,78,80,85,90,95,100})</f>
        <v>62</v>
      </c>
      <c r="G327" s="6">
        <v>240</v>
      </c>
      <c r="H327" s="1">
        <f>LOOKUP(G327,{0,170,175,180,185,190,195,199,203,207,211,215,219,223,227,231,235,243,250,255,260},{0,10,20,30,40,50,60,62,64,66,68,70,72,74,76,78,80,85,90,95,100})</f>
        <v>80</v>
      </c>
      <c r="I327" s="6">
        <v>11</v>
      </c>
      <c r="J327" s="1">
        <f>LOOKUP(I327,{0,2,3,4,5,6,7,8,9,10,11,12,13,14,15,16},{0,10,20,30,40,50,60,64,68,72,76,80,85,90,95,100})</f>
        <v>76</v>
      </c>
      <c r="K327" s="7"/>
      <c r="L327" s="7"/>
      <c r="M327" s="21">
        <f t="shared" si="167"/>
        <v>76</v>
      </c>
      <c r="N327" s="6">
        <v>6.9</v>
      </c>
      <c r="O327" s="43">
        <f t="shared" si="161"/>
        <v>6.1</v>
      </c>
      <c r="P327" s="1">
        <f>LOOKUP(O327,{0,2.5,2.7,2.9,3.1,3.3,3.5,3.7,3.9,4.1,4.3,4.5,4.7,4.9,5.1,5.3,5.5,5.6,5.7,5.8,5.9},{0,10,20,30,40,50,60,62,64,66,68,70,72,74,76,78,80,85,90,95,100})</f>
        <v>100</v>
      </c>
      <c r="Q327" s="6">
        <v>3.48</v>
      </c>
      <c r="R327" s="6">
        <f t="shared" si="164"/>
        <v>6.52</v>
      </c>
      <c r="S327" s="1">
        <f>LOOKUP(R327,{0,3.75,3.95,4.55,4.75,4.95,5.55,5.6,5.65,5.7,5.75,5.8,5.85,5.9,5.95,6,6.45,6.53,6.6,6.65,6.7},{0,10,20,30,40,50,60,62,64,66,68,70,72,74,76,78,80,85,90,95,100})</f>
        <v>80</v>
      </c>
      <c r="T327" s="7"/>
      <c r="U327" s="7"/>
      <c r="V327" s="21">
        <f t="shared" si="165"/>
        <v>80</v>
      </c>
      <c r="X327" s="21">
        <f t="shared" si="162"/>
        <v>57.8</v>
      </c>
      <c r="Y327" s="37">
        <f t="shared" si="166"/>
        <v>82.5714285714286</v>
      </c>
    </row>
    <row r="328" ht="15.6" hidden="1" outlineLevel="2" spans="1:25">
      <c r="A328" s="6">
        <v>108</v>
      </c>
      <c r="B328" s="6">
        <v>19</v>
      </c>
      <c r="C328" s="29" t="s">
        <v>371</v>
      </c>
      <c r="D328" s="29" t="s">
        <v>11</v>
      </c>
      <c r="E328" s="6">
        <v>0</v>
      </c>
      <c r="F328" s="1">
        <f>LOOKUP(E328,{0,-4,-3,-2,-1,0,1,2.4,3.8,5.2,6.6,8,9.4,10.8,12.2,13.6,15,17.2,19.4,21.5,23.6},{0,10,20,30,40,50,60,62,64,66,68,70,72,74,76,78,80,85,90,95,100})</f>
        <v>50</v>
      </c>
      <c r="G328" s="6">
        <v>241</v>
      </c>
      <c r="H328" s="1">
        <f>LOOKUP(G328,{0,170,175,180,185,190,195,199,203,207,211,215,219,223,227,231,235,243,250,255,260},{0,10,20,30,40,50,60,62,64,66,68,70,72,74,76,78,80,85,90,95,100})</f>
        <v>80</v>
      </c>
      <c r="I328" s="6">
        <v>1</v>
      </c>
      <c r="J328" s="1">
        <f>LOOKUP(I328,{0,2,3,4,5,6,7,8,9,10,11,12,13,14,15,16},{0,10,20,30,40,50,60,64,68,72,76,80,85,90,95,100})</f>
        <v>0</v>
      </c>
      <c r="K328" s="7"/>
      <c r="L328" s="7"/>
      <c r="M328" s="21">
        <f t="shared" si="167"/>
        <v>0</v>
      </c>
      <c r="N328" s="6">
        <v>7.1</v>
      </c>
      <c r="O328" s="43">
        <f t="shared" si="161"/>
        <v>5.9</v>
      </c>
      <c r="P328" s="1">
        <f>LOOKUP(O328,{0,2.5,2.7,2.9,3.1,3.3,3.5,3.7,3.9,4.1,4.3,4.5,4.7,4.9,5.1,5.3,5.5,5.6,5.7,5.8,5.9},{0,10,20,30,40,50,60,62,64,66,68,70,72,74,76,78,80,85,90,95,100})</f>
        <v>100</v>
      </c>
      <c r="Q328" s="6">
        <v>3.45</v>
      </c>
      <c r="R328" s="6">
        <f t="shared" si="164"/>
        <v>6.55</v>
      </c>
      <c r="S328" s="1">
        <f>LOOKUP(R328,{0,3.75,3.95,4.55,4.75,4.95,5.55,5.6,5.65,5.7,5.75,5.8,5.85,5.9,5.95,6,6.45,6.53,6.6,6.65,6.7},{0,10,20,30,40,50,60,62,64,66,68,70,72,74,76,78,80,85,90,95,100})</f>
        <v>85</v>
      </c>
      <c r="T328" s="7"/>
      <c r="U328" s="7"/>
      <c r="V328" s="21">
        <f t="shared" si="165"/>
        <v>85</v>
      </c>
      <c r="X328" s="21">
        <f t="shared" si="162"/>
        <v>50</v>
      </c>
      <c r="Y328" s="37">
        <f t="shared" si="166"/>
        <v>71.4285714285714</v>
      </c>
    </row>
    <row r="329" ht="15.6" hidden="1" outlineLevel="2" spans="1:25">
      <c r="A329" s="6">
        <v>108</v>
      </c>
      <c r="B329" s="6">
        <v>20</v>
      </c>
      <c r="C329" s="29" t="s">
        <v>372</v>
      </c>
      <c r="D329" s="29" t="s">
        <v>11</v>
      </c>
      <c r="E329" s="6">
        <v>16.4</v>
      </c>
      <c r="F329" s="1">
        <f>LOOKUP(E329,{0,-4,-3,-2,-1,0,1,2.4,3.8,5.2,6.6,8,9.4,10.8,12.2,13.6,15,17.2,19.4,21.5,23.6},{0,10,20,30,40,50,60,62,64,66,68,70,72,74,76,78,80,85,90,95,100})</f>
        <v>80</v>
      </c>
      <c r="G329" s="6">
        <v>197</v>
      </c>
      <c r="H329" s="1">
        <f>LOOKUP(G329,{0,170,175,180,185,190,195,199,203,207,211,215,219,223,227,231,235,243,250,255,260},{0,10,20,30,40,50,60,62,64,66,68,70,72,74,76,78,80,85,90,95,100})</f>
        <v>60</v>
      </c>
      <c r="I329" s="6">
        <v>0</v>
      </c>
      <c r="J329" s="1">
        <f>LOOKUP(I329,{0,2,3,4,5,6,7,8,9,10,11,12,13,14,15,16},{0,10,20,30,40,50,60,64,68,72,76,80,85,90,95,100})</f>
        <v>0</v>
      </c>
      <c r="K329" s="7"/>
      <c r="L329" s="7"/>
      <c r="M329" s="21">
        <f t="shared" si="167"/>
        <v>0</v>
      </c>
      <c r="N329" s="6">
        <v>7.5</v>
      </c>
      <c r="O329" s="43">
        <f t="shared" si="161"/>
        <v>5.5</v>
      </c>
      <c r="P329" s="1">
        <f>LOOKUP(O329,{0,2.5,2.7,2.9,3.1,3.3,3.5,3.7,3.9,4.1,4.3,4.5,4.7,4.9,5.1,5.3,5.5,5.6,5.7,5.8,5.9},{0,10,20,30,40,50,60,62,64,66,68,70,72,74,76,78,80,85,90,95,100})</f>
        <v>80</v>
      </c>
      <c r="Q329" s="6">
        <v>3.57</v>
      </c>
      <c r="R329" s="6">
        <f t="shared" si="164"/>
        <v>6.43</v>
      </c>
      <c r="S329" s="1">
        <f>LOOKUP(R329,{0,3.75,3.95,4.55,4.75,4.95,5.55,5.6,5.65,5.7,5.75,5.8,5.85,5.9,5.95,6,6.45,6.53,6.6,6.65,6.7},{0,10,20,30,40,50,60,62,64,66,68,70,72,74,76,78,80,85,90,95,100})</f>
        <v>78</v>
      </c>
      <c r="T329" s="7"/>
      <c r="U329" s="7"/>
      <c r="V329" s="21">
        <f t="shared" si="165"/>
        <v>78</v>
      </c>
      <c r="X329" s="21">
        <f t="shared" si="162"/>
        <v>45.6</v>
      </c>
      <c r="Y329" s="37">
        <f t="shared" si="166"/>
        <v>65.1428571428572</v>
      </c>
    </row>
    <row r="330" ht="15.6" hidden="1" outlineLevel="2" spans="1:25">
      <c r="A330" s="6">
        <v>108</v>
      </c>
      <c r="B330" s="6">
        <v>21</v>
      </c>
      <c r="C330" s="39" t="s">
        <v>374</v>
      </c>
      <c r="D330" s="29" t="s">
        <v>11</v>
      </c>
      <c r="E330" s="6">
        <v>-1</v>
      </c>
      <c r="F330" s="1">
        <f>LOOKUP(E330,{0,-4,-3,-2,-1,0,1,2.4,3.8,5.2,6.6,8,9.4,10.8,12.2,13.6,15,17.2,19.4,21.5,23.6},{0,10,20,30,40,50,60,62,64,66,68,70,72,74,76,78,80,85,90,95,100})</f>
        <v>40</v>
      </c>
      <c r="G330" s="6">
        <v>193</v>
      </c>
      <c r="H330" s="1">
        <f>LOOKUP(G330,{0,170,175,180,185,190,195,199,203,207,211,215,219,223,227,231,235,243,250,255,260},{0,10,20,30,40,50,60,62,64,66,68,70,72,74,76,78,80,85,90,95,100})</f>
        <v>50</v>
      </c>
      <c r="I330" s="6">
        <v>4</v>
      </c>
      <c r="J330" s="1">
        <f>LOOKUP(I330,{0,2,3,4,5,6,7,8,9,10,11,12,13,14,15,16},{0,10,20,30,40,50,60,64,68,72,76,80,85,90,95,100})</f>
        <v>30</v>
      </c>
      <c r="K330" s="7"/>
      <c r="L330" s="7"/>
      <c r="M330" s="21">
        <f t="shared" si="167"/>
        <v>30</v>
      </c>
      <c r="N330" s="6">
        <v>7.6</v>
      </c>
      <c r="O330" s="43">
        <f t="shared" si="161"/>
        <v>5.4</v>
      </c>
      <c r="P330" s="1">
        <f>LOOKUP(O330,{0,2.5,2.7,2.9,3.1,3.3,3.5,3.7,3.9,4.1,4.3,4.5,4.7,4.9,5.1,5.3,5.5,5.6,5.7,5.8,5.9},{0,10,20,30,40,50,60,62,64,66,68,70,72,74,76,78,80,85,90,95,100})</f>
        <v>78</v>
      </c>
      <c r="Q330" s="6">
        <v>4.12</v>
      </c>
      <c r="R330" s="6">
        <f t="shared" si="164"/>
        <v>5.88</v>
      </c>
      <c r="S330" s="1">
        <f>LOOKUP(R330,{0,3.75,3.95,4.55,4.75,4.95,5.55,5.6,5.65,5.7,5.75,5.8,5.85,5.9,5.95,6,6.45,6.53,6.6,6.65,6.7},{0,10,20,30,40,50,60,62,64,66,68,70,72,74,76,78,80,85,90,95,100})</f>
        <v>72</v>
      </c>
      <c r="T330" s="7"/>
      <c r="U330" s="7"/>
      <c r="V330" s="21">
        <f t="shared" si="165"/>
        <v>72</v>
      </c>
      <c r="X330" s="21">
        <f t="shared" si="162"/>
        <v>42</v>
      </c>
      <c r="Y330" s="37">
        <f t="shared" si="166"/>
        <v>60</v>
      </c>
    </row>
    <row r="331" ht="15.6" hidden="1" outlineLevel="2" spans="1:25">
      <c r="A331" s="6">
        <v>108</v>
      </c>
      <c r="B331" s="6">
        <v>22</v>
      </c>
      <c r="C331" s="29" t="s">
        <v>375</v>
      </c>
      <c r="D331" s="29" t="s">
        <v>11</v>
      </c>
      <c r="E331" s="6">
        <v>16</v>
      </c>
      <c r="F331" s="1">
        <f>LOOKUP(E331,{0,-4,-3,-2,-1,0,1,2.4,3.8,5.2,6.6,8,9.4,10.8,12.2,13.6,15,17.2,19.4,21.5,23.6},{0,10,20,30,40,50,60,62,64,66,68,70,72,74,76,78,80,85,90,95,100})</f>
        <v>80</v>
      </c>
      <c r="G331" s="6">
        <v>188</v>
      </c>
      <c r="H331" s="1">
        <f>LOOKUP(G331,{0,170,175,180,185,190,195,199,203,207,211,215,219,223,227,231,235,243,250,255,260},{0,10,20,30,40,50,60,62,64,66,68,70,72,74,76,78,80,85,90,95,100})</f>
        <v>40</v>
      </c>
      <c r="I331" s="6">
        <v>1</v>
      </c>
      <c r="J331" s="1">
        <f>LOOKUP(I331,{0,2,3,4,5,6,7,8,9,10,11,12,13,14,15,16},{0,10,20,30,40,50,60,64,68,72,76,80,85,90,95,100})</f>
        <v>0</v>
      </c>
      <c r="K331" s="7"/>
      <c r="L331" s="7"/>
      <c r="M331" s="21">
        <f t="shared" si="167"/>
        <v>0</v>
      </c>
      <c r="O331" s="43"/>
      <c r="P331" s="1"/>
      <c r="Q331" s="6">
        <v>5.07</v>
      </c>
      <c r="R331" s="6">
        <f t="shared" si="164"/>
        <v>4.93</v>
      </c>
      <c r="S331" s="1">
        <f>LOOKUP(R331,{0,3.75,3.95,4.55,4.75,4.95,5.55,5.6,5.65,5.7,5.75,5.8,5.85,5.9,5.95,6,6.45,6.53,6.6,6.65,6.7},{0,10,20,30,40,50,60,62,64,66,68,70,72,74,76,78,80,85,90,95,100})</f>
        <v>40</v>
      </c>
      <c r="T331" s="7"/>
      <c r="U331" s="7"/>
      <c r="V331" s="21">
        <f t="shared" si="165"/>
        <v>40</v>
      </c>
      <c r="X331" s="21">
        <f t="shared" si="162"/>
        <v>20</v>
      </c>
      <c r="Y331" s="51">
        <v>50</v>
      </c>
    </row>
    <row r="332" ht="15.6" hidden="1" outlineLevel="2" spans="1:25">
      <c r="A332" s="6">
        <v>108</v>
      </c>
      <c r="B332" s="6">
        <v>23</v>
      </c>
      <c r="C332" s="29" t="s">
        <v>376</v>
      </c>
      <c r="D332" s="29" t="s">
        <v>11</v>
      </c>
      <c r="E332" s="6">
        <v>12</v>
      </c>
      <c r="F332" s="1">
        <f>LOOKUP(E332,{0,-4,-3,-2,-1,0,1,2.4,3.8,5.2,6.6,8,9.4,10.8,12.2,13.6,15,17.2,19.4,21.5,23.6},{0,10,20,30,40,50,60,62,64,66,68,70,72,74,76,78,80,85,90,95,100})</f>
        <v>74</v>
      </c>
      <c r="G332" s="6">
        <v>226</v>
      </c>
      <c r="H332" s="1">
        <f>LOOKUP(G332,{0,170,175,180,185,190,195,199,203,207,211,215,219,223,227,231,235,243,250,255,260},{0,10,20,30,40,50,60,62,64,66,68,70,72,74,76,78,80,85,90,95,100})</f>
        <v>74</v>
      </c>
      <c r="I332" s="6">
        <v>0</v>
      </c>
      <c r="J332" s="1">
        <f>LOOKUP(I332,{0,2,3,4,5,6,7,8,9,10,11,12,13,14,15,16},{0,10,20,30,40,50,60,64,68,72,76,80,85,90,95,100})</f>
        <v>0</v>
      </c>
      <c r="K332" s="7"/>
      <c r="L332" s="7"/>
      <c r="M332" s="21">
        <f t="shared" si="167"/>
        <v>0</v>
      </c>
      <c r="N332" s="6">
        <v>7.8</v>
      </c>
      <c r="O332" s="43">
        <f t="shared" ref="O332:O360" si="168">13-N332</f>
        <v>5.2</v>
      </c>
      <c r="P332" s="1">
        <f>LOOKUP(O332,{0,2.5,2.7,2.9,3.1,3.3,3.5,3.7,3.9,4.1,4.3,4.5,4.7,4.9,5.1,5.3,5.5,5.6,5.7,5.8,5.9},{0,10,20,30,40,50,60,62,64,66,68,70,72,74,76,78,80,85,90,95,100})</f>
        <v>76</v>
      </c>
      <c r="Q332" s="6">
        <v>4.14</v>
      </c>
      <c r="R332" s="6">
        <f t="shared" si="164"/>
        <v>5.86</v>
      </c>
      <c r="S332" s="1">
        <f>LOOKUP(R332,{0,3.75,3.95,4.55,4.75,4.95,5.55,5.6,5.65,5.7,5.75,5.8,5.85,5.9,5.95,6,6.45,6.53,6.6,6.65,6.7},{0,10,20,30,40,50,60,62,64,66,68,70,72,74,76,78,80,85,90,95,100})</f>
        <v>72</v>
      </c>
      <c r="T332" s="7"/>
      <c r="U332" s="7"/>
      <c r="V332" s="21">
        <f t="shared" si="165"/>
        <v>72</v>
      </c>
      <c r="X332" s="21">
        <f t="shared" si="162"/>
        <v>44.4</v>
      </c>
      <c r="Y332" s="37">
        <f t="shared" ref="Y332:Y360" si="169">X332/0.7+L332+U332</f>
        <v>63.4285714285714</v>
      </c>
    </row>
    <row r="333" ht="15.6" hidden="1" outlineLevel="2" spans="1:25">
      <c r="A333" s="6">
        <v>108</v>
      </c>
      <c r="B333" s="6">
        <v>24</v>
      </c>
      <c r="C333" s="29" t="s">
        <v>377</v>
      </c>
      <c r="D333" s="29" t="s">
        <v>11</v>
      </c>
      <c r="E333" s="6">
        <v>4.5</v>
      </c>
      <c r="F333" s="1">
        <f>LOOKUP(E333,{0,-4,-3,-2,-1,0,1,2.4,3.8,5.2,6.6,8,9.4,10.8,12.2,13.6,15,17.2,19.4,21.5,23.6},{0,10,20,30,40,50,60,62,64,66,68,70,72,74,76,78,80,85,90,95,100})</f>
        <v>64</v>
      </c>
      <c r="G333" s="6">
        <v>216</v>
      </c>
      <c r="H333" s="1">
        <f>LOOKUP(G333,{0,170,175,180,185,190,195,199,203,207,211,215,219,223,227,231,235,243,250,255,260},{0,10,20,30,40,50,60,62,64,66,68,70,72,74,76,78,80,85,90,95,100})</f>
        <v>70</v>
      </c>
      <c r="I333" s="6">
        <v>5</v>
      </c>
      <c r="J333" s="1">
        <f>LOOKUP(I333,{0,2,3,4,5,6,7,8,9,10,11,12,13,14,15,16},{0,10,20,30,40,50,60,64,68,72,76,80,85,90,95,100})</f>
        <v>40</v>
      </c>
      <c r="K333" s="7"/>
      <c r="L333" s="7"/>
      <c r="M333" s="21">
        <f t="shared" si="167"/>
        <v>40</v>
      </c>
      <c r="N333" s="6">
        <v>8.6</v>
      </c>
      <c r="O333" s="43">
        <f t="shared" si="168"/>
        <v>4.4</v>
      </c>
      <c r="P333" s="1">
        <f>LOOKUP(O333,{0,2.5,2.7,2.9,3.1,3.3,3.5,3.7,3.9,4.1,4.3,4.5,4.7,4.9,5.1,5.3,5.5,5.6,5.7,5.8,5.9},{0,10,20,30,40,50,60,62,64,66,68,70,72,74,76,78,80,85,90,95,100})</f>
        <v>68</v>
      </c>
      <c r="Q333" s="6">
        <v>4.08</v>
      </c>
      <c r="R333" s="6">
        <f t="shared" si="164"/>
        <v>5.92</v>
      </c>
      <c r="S333" s="1">
        <f>LOOKUP(R333,{0,3.75,3.95,4.55,4.75,4.95,5.55,5.6,5.65,5.7,5.75,5.8,5.85,5.9,5.95,6,6.45,6.53,6.6,6.65,6.7},{0,10,20,30,40,50,60,62,64,66,68,70,72,74,76,78,80,85,90,95,100})</f>
        <v>74</v>
      </c>
      <c r="T333" s="7"/>
      <c r="U333" s="7"/>
      <c r="V333" s="21">
        <f t="shared" si="165"/>
        <v>74</v>
      </c>
      <c r="X333" s="21">
        <f t="shared" si="162"/>
        <v>45.8</v>
      </c>
      <c r="Y333" s="37">
        <f t="shared" si="169"/>
        <v>65.4285714285714</v>
      </c>
    </row>
    <row r="334" s="3" customFormat="1" ht="15.6" hidden="1" outlineLevel="2" spans="1:25">
      <c r="A334" s="6">
        <v>108</v>
      </c>
      <c r="B334" s="6">
        <v>25</v>
      </c>
      <c r="C334" s="29" t="s">
        <v>378</v>
      </c>
      <c r="D334" s="29" t="s">
        <v>11</v>
      </c>
      <c r="E334" s="6">
        <v>5</v>
      </c>
      <c r="F334" s="1">
        <f>LOOKUP(E334,{0,-4,-3,-2,-1,0,1,2.4,3.8,5.2,6.6,8,9.4,10.8,12.2,13.6,15,17.2,19.4,21.5,23.6},{0,10,20,30,40,50,60,62,64,66,68,70,72,74,76,78,80,85,90,95,100})</f>
        <v>64</v>
      </c>
      <c r="G334" s="6">
        <v>212</v>
      </c>
      <c r="H334" s="1">
        <f>LOOKUP(G334,{0,170,175,180,185,190,195,199,203,207,211,215,219,223,227,231,235,243,250,255,260},{0,10,20,30,40,50,60,62,64,66,68,70,72,74,76,78,80,85,90,95,100})</f>
        <v>68</v>
      </c>
      <c r="I334" s="6">
        <v>3</v>
      </c>
      <c r="J334" s="1">
        <f>LOOKUP(I334,{0,2,3,4,5,6,7,8,9,10,11,12,13,14,15,16},{0,10,20,30,40,50,60,64,68,72,76,80,85,90,95,100})</f>
        <v>20</v>
      </c>
      <c r="K334" s="7"/>
      <c r="L334" s="7"/>
      <c r="M334" s="21">
        <f t="shared" si="167"/>
        <v>20</v>
      </c>
      <c r="N334" s="6">
        <v>7.4</v>
      </c>
      <c r="O334" s="43">
        <f t="shared" si="168"/>
        <v>5.6</v>
      </c>
      <c r="P334" s="1">
        <f>LOOKUP(O334,{0,2.5,2.7,2.9,3.1,3.3,3.5,3.7,3.9,4.1,4.3,4.5,4.7,4.9,5.1,5.3,5.5,5.6,5.7,5.8,5.9},{0,10,20,30,40,50,60,62,64,66,68,70,72,74,76,78,80,85,90,95,100})</f>
        <v>85</v>
      </c>
      <c r="Q334" s="6">
        <v>4.04</v>
      </c>
      <c r="R334" s="6">
        <f t="shared" si="164"/>
        <v>5.96</v>
      </c>
      <c r="S334" s="1">
        <f>LOOKUP(R334,{0,3.75,3.95,4.55,4.75,4.95,5.55,5.6,5.65,5.7,5.75,5.8,5.85,5.9,5.95,6,6.45,6.53,6.6,6.65,6.7},{0,10,20,30,40,50,60,62,64,66,68,70,72,74,76,78,80,85,90,95,100})</f>
        <v>76</v>
      </c>
      <c r="T334" s="7"/>
      <c r="U334" s="7"/>
      <c r="V334" s="21">
        <f t="shared" si="165"/>
        <v>76</v>
      </c>
      <c r="W334" s="6"/>
      <c r="X334" s="21">
        <f t="shared" si="162"/>
        <v>47.4</v>
      </c>
      <c r="Y334" s="37">
        <f t="shared" si="169"/>
        <v>67.7142857142857</v>
      </c>
    </row>
    <row r="335" ht="15.6" hidden="1" outlineLevel="2" spans="1:25">
      <c r="A335" s="6">
        <v>108</v>
      </c>
      <c r="B335" s="6">
        <v>26</v>
      </c>
      <c r="C335" s="29" t="s">
        <v>379</v>
      </c>
      <c r="D335" s="29" t="s">
        <v>11</v>
      </c>
      <c r="E335" s="6">
        <v>10.6</v>
      </c>
      <c r="F335" s="1">
        <f>LOOKUP(E335,{0,-4,-3,-2,-1,0,1,2.4,3.8,5.2,6.6,8,9.4,10.8,12.2,13.6,15,17.2,19.4,21.5,23.6},{0,10,20,30,40,50,60,62,64,66,68,70,72,74,76,78,80,85,90,95,100})</f>
        <v>72</v>
      </c>
      <c r="G335" s="6">
        <v>233</v>
      </c>
      <c r="H335" s="1">
        <f>LOOKUP(G335,{0,170,175,180,185,190,195,199,203,207,211,215,219,223,227,231,235,243,250,255,260},{0,10,20,30,40,50,60,62,64,66,68,70,72,74,76,78,80,85,90,95,100})</f>
        <v>78</v>
      </c>
      <c r="I335" s="6">
        <v>0</v>
      </c>
      <c r="J335" s="1">
        <f>LOOKUP(I335,{0,2,3,4,5,6,7,8,9,10,11,12,13,14,15,16},{0,10,20,30,40,50,60,64,68,72,76,80,85,90,95,100})</f>
        <v>0</v>
      </c>
      <c r="K335" s="7"/>
      <c r="L335" s="7"/>
      <c r="M335" s="21">
        <f t="shared" si="167"/>
        <v>0</v>
      </c>
      <c r="N335" s="6">
        <v>7.5</v>
      </c>
      <c r="O335" s="43">
        <f t="shared" si="168"/>
        <v>5.5</v>
      </c>
      <c r="P335" s="1">
        <f>LOOKUP(O335,{0,2.5,2.7,2.9,3.1,3.3,3.5,3.7,3.9,4.1,4.3,4.5,4.7,4.9,5.1,5.3,5.5,5.6,5.7,5.8,5.9},{0,10,20,30,40,50,60,62,64,66,68,70,72,74,76,78,80,85,90,95,100})</f>
        <v>80</v>
      </c>
      <c r="Q335" s="6">
        <v>4.11</v>
      </c>
      <c r="R335" s="6">
        <f t="shared" si="164"/>
        <v>5.89</v>
      </c>
      <c r="S335" s="1">
        <f>LOOKUP(R335,{0,3.75,3.95,4.55,4.75,4.95,5.55,5.6,5.65,5.7,5.75,5.8,5.85,5.9,5.95,6,6.45,6.53,6.6,6.65,6.7},{0,10,20,30,40,50,60,62,64,66,68,70,72,74,76,78,80,85,90,95,100})</f>
        <v>72</v>
      </c>
      <c r="T335" s="7"/>
      <c r="U335" s="7"/>
      <c r="V335" s="21">
        <f t="shared" si="165"/>
        <v>72</v>
      </c>
      <c r="X335" s="21">
        <f t="shared" si="162"/>
        <v>45.4</v>
      </c>
      <c r="Y335" s="37">
        <f t="shared" si="169"/>
        <v>64.8571428571429</v>
      </c>
    </row>
    <row r="336" ht="15.6" hidden="1" outlineLevel="2" spans="1:25">
      <c r="A336" s="6">
        <v>108</v>
      </c>
      <c r="B336" s="6">
        <v>27</v>
      </c>
      <c r="C336" s="29" t="s">
        <v>380</v>
      </c>
      <c r="D336" s="29" t="s">
        <v>11</v>
      </c>
      <c r="E336" s="6">
        <v>17.8</v>
      </c>
      <c r="F336" s="1">
        <f>LOOKUP(E336,{0,-4,-3,-2,-1,0,1,2.4,3.8,5.2,6.6,8,9.4,10.8,12.2,13.6,15,17.2,19.4,21.5,23.6},{0,10,20,30,40,50,60,62,64,66,68,70,72,74,76,78,80,85,90,95,100})</f>
        <v>85</v>
      </c>
      <c r="G336" s="6">
        <v>208</v>
      </c>
      <c r="H336" s="1">
        <f>LOOKUP(G336,{0,170,175,180,185,190,195,199,203,207,211,215,219,223,227,231,235,243,250,255,260},{0,10,20,30,40,50,60,62,64,66,68,70,72,74,76,78,80,85,90,95,100})</f>
        <v>66</v>
      </c>
      <c r="I336" s="6">
        <v>5</v>
      </c>
      <c r="J336" s="1">
        <f>LOOKUP(I336,{0,2,3,4,5,6,7,8,9,10,11,12,13,14,15,16},{0,10,20,30,40,50,60,64,68,72,76,80,85,90,95,100})</f>
        <v>40</v>
      </c>
      <c r="K336" s="7"/>
      <c r="L336" s="7"/>
      <c r="M336" s="21">
        <f t="shared" si="167"/>
        <v>40</v>
      </c>
      <c r="N336" s="6">
        <v>7.3</v>
      </c>
      <c r="O336" s="43">
        <f t="shared" si="168"/>
        <v>5.7</v>
      </c>
      <c r="P336" s="1">
        <f>LOOKUP(O336,{0,2.5,2.7,2.9,3.1,3.3,3.5,3.7,3.9,4.1,4.3,4.5,4.7,4.9,5.1,5.3,5.5,5.6,5.7,5.8,5.9},{0,10,20,30,40,50,60,62,64,66,68,70,72,74,76,78,80,85,90,95,100})</f>
        <v>90</v>
      </c>
      <c r="Q336" s="6">
        <v>3.3</v>
      </c>
      <c r="R336" s="6">
        <f t="shared" si="164"/>
        <v>6.7</v>
      </c>
      <c r="S336" s="1">
        <f>LOOKUP(R336,{0,3.75,3.95,4.55,4.75,4.95,5.55,5.6,5.65,5.7,5.75,5.8,5.85,5.9,5.95,6,6.45,6.53,6.6,6.65,6.7},{0,10,20,30,40,50,60,62,64,66,68,70,72,74,76,78,80,85,90,95,100})</f>
        <v>100</v>
      </c>
      <c r="T336" s="7">
        <f>3.3-Q336</f>
        <v>0</v>
      </c>
      <c r="U336" s="40">
        <f>LOOKUP(T336,{0,0.04,0.08,0.12,0.16,0.2,0.23,0.26,0.29,0.32,0.35},{0,1,2,3,4,5,6,7,8,9,10})</f>
        <v>0</v>
      </c>
      <c r="V336" s="21">
        <f t="shared" si="165"/>
        <v>100</v>
      </c>
      <c r="X336" s="21">
        <f t="shared" si="162"/>
        <v>57.1</v>
      </c>
      <c r="Y336" s="37">
        <f t="shared" si="169"/>
        <v>81.5714285714286</v>
      </c>
    </row>
    <row r="337" ht="15.6" hidden="1" outlineLevel="2" spans="1:25">
      <c r="A337" s="6">
        <v>108</v>
      </c>
      <c r="B337" s="6">
        <v>28</v>
      </c>
      <c r="C337" s="29" t="s">
        <v>381</v>
      </c>
      <c r="D337" s="29" t="s">
        <v>11</v>
      </c>
      <c r="E337" s="6">
        <v>21</v>
      </c>
      <c r="F337" s="1">
        <f>LOOKUP(E337,{0,-4,-3,-2,-1,0,1,2.4,3.8,5.2,6.6,8,9.4,10.8,12.2,13.6,15,17.2,19.4,21.5,23.6},{0,10,20,30,40,50,60,62,64,66,68,70,72,74,76,78,80,85,90,95,100})</f>
        <v>90</v>
      </c>
      <c r="G337" s="6">
        <v>206</v>
      </c>
      <c r="H337" s="1">
        <f>LOOKUP(G337,{0,170,175,180,185,190,195,199,203,207,211,215,219,223,227,231,235,243,250,255,260},{0,10,20,30,40,50,60,62,64,66,68,70,72,74,76,78,80,85,90,95,100})</f>
        <v>64</v>
      </c>
      <c r="I337" s="6">
        <v>25</v>
      </c>
      <c r="J337" s="1">
        <f>LOOKUP(I337,{0,2,3,4,5,6,7,8,9,10,11,12,13,14,15,16},{0,10,20,30,40,50,60,64,68,72,76,80,85,90,95,100})</f>
        <v>100</v>
      </c>
      <c r="K337" s="7">
        <f>I337-16</f>
        <v>9</v>
      </c>
      <c r="L337" s="40">
        <f>LOOKUP(K337,{0,1,2,3,4,5,6,7,8,9,10},{0,1,2,3,4,5,6,7,8,9,10})</f>
        <v>9</v>
      </c>
      <c r="M337" s="21">
        <f t="shared" si="167"/>
        <v>109</v>
      </c>
      <c r="N337" s="6">
        <v>6.5</v>
      </c>
      <c r="O337" s="43">
        <f t="shared" si="168"/>
        <v>6.5</v>
      </c>
      <c r="P337" s="1">
        <f>LOOKUP(O337,{0,2.5,2.7,2.9,3.1,3.3,3.5,3.7,3.9,4.1,4.3,4.5,4.7,4.9,5.1,5.3,5.5,5.6,5.7,5.8,5.9},{0,10,20,30,40,50,60,62,64,66,68,70,72,74,76,78,80,85,90,95,100})</f>
        <v>100</v>
      </c>
      <c r="Q337" s="6">
        <v>3.27</v>
      </c>
      <c r="R337" s="6">
        <f t="shared" si="164"/>
        <v>6.73</v>
      </c>
      <c r="S337" s="1">
        <f>LOOKUP(R337,{0,3.75,3.95,4.55,4.75,4.95,5.55,5.6,5.65,5.7,5.75,5.8,5.85,5.9,5.95,6,6.45,6.53,6.6,6.65,6.7},{0,10,20,30,40,50,60,62,64,66,68,70,72,74,76,78,80,85,90,95,100})</f>
        <v>100</v>
      </c>
      <c r="T337" s="7">
        <f>3.3-Q337</f>
        <v>0.0299999999999998</v>
      </c>
      <c r="U337" s="40">
        <f>LOOKUP(T337,{0,0.04,0.08,0.12,0.16,0.2,0.23,0.26,0.29,0.32,0.35},{0,1,2,3,4,5,6,7,8,9,10})</f>
        <v>0</v>
      </c>
      <c r="V337" s="21">
        <f t="shared" si="165"/>
        <v>100</v>
      </c>
      <c r="X337" s="21">
        <f t="shared" si="162"/>
        <v>65.4</v>
      </c>
      <c r="Y337" s="37">
        <f t="shared" si="169"/>
        <v>102.428571428571</v>
      </c>
    </row>
    <row r="338" ht="15.6" hidden="1" outlineLevel="2" spans="1:25">
      <c r="A338" s="6">
        <v>108</v>
      </c>
      <c r="B338" s="6">
        <v>29</v>
      </c>
      <c r="C338" s="29" t="s">
        <v>382</v>
      </c>
      <c r="D338" s="29" t="s">
        <v>11</v>
      </c>
      <c r="E338" s="6">
        <v>10.2</v>
      </c>
      <c r="F338" s="1">
        <f>LOOKUP(E338,{0,-4,-3,-2,-1,0,1,2.4,3.8,5.2,6.6,8,9.4,10.8,12.2,13.6,15,17.2,19.4,21.5,23.6},{0,10,20,30,40,50,60,62,64,66,68,70,72,74,76,78,80,85,90,95,100})</f>
        <v>72</v>
      </c>
      <c r="G338" s="6">
        <v>198</v>
      </c>
      <c r="H338" s="1">
        <f>LOOKUP(G338,{0,170,175,180,185,190,195,199,203,207,211,215,219,223,227,231,235,243,250,255,260},{0,10,20,30,40,50,60,62,64,66,68,70,72,74,76,78,80,85,90,95,100})</f>
        <v>60</v>
      </c>
      <c r="I338" s="6">
        <v>1</v>
      </c>
      <c r="J338" s="1">
        <f>LOOKUP(I338,{0,2,3,4,5,6,7,8,9,10,11,12,13,14,15,16},{0,10,20,30,40,50,60,64,68,72,76,80,85,90,95,100})</f>
        <v>0</v>
      </c>
      <c r="K338" s="7"/>
      <c r="L338" s="7"/>
      <c r="M338" s="21">
        <f t="shared" si="167"/>
        <v>0</v>
      </c>
      <c r="N338" s="6">
        <v>7.5</v>
      </c>
      <c r="O338" s="43">
        <f t="shared" si="168"/>
        <v>5.5</v>
      </c>
      <c r="P338" s="1">
        <f>LOOKUP(O338,{0,2.5,2.7,2.9,3.1,3.3,3.5,3.7,3.9,4.1,4.3,4.5,4.7,4.9,5.1,5.3,5.5,5.6,5.7,5.8,5.9},{0,10,20,30,40,50,60,62,64,66,68,70,72,74,76,78,80,85,90,95,100})</f>
        <v>80</v>
      </c>
      <c r="Q338" s="6">
        <v>4.1</v>
      </c>
      <c r="R338" s="6">
        <f t="shared" si="164"/>
        <v>5.9</v>
      </c>
      <c r="S338" s="1">
        <f>LOOKUP(R338,{0,3.75,3.95,4.55,4.75,4.95,5.55,5.6,5.65,5.7,5.75,5.8,5.85,5.9,5.95,6,6.45,6.53,6.6,6.65,6.7},{0,10,20,30,40,50,60,62,64,66,68,70,72,74,76,78,80,85,90,95,100})</f>
        <v>74</v>
      </c>
      <c r="T338" s="7"/>
      <c r="U338" s="7"/>
      <c r="V338" s="21">
        <f t="shared" si="165"/>
        <v>74</v>
      </c>
      <c r="X338" s="21">
        <f t="shared" si="162"/>
        <v>44</v>
      </c>
      <c r="Y338" s="37">
        <f t="shared" si="169"/>
        <v>62.8571428571429</v>
      </c>
    </row>
    <row r="339" ht="15.6" hidden="1" outlineLevel="2" spans="1:25">
      <c r="A339" s="6">
        <v>108</v>
      </c>
      <c r="B339" s="6">
        <v>30</v>
      </c>
      <c r="C339" s="39" t="s">
        <v>384</v>
      </c>
      <c r="D339" s="29" t="s">
        <v>46</v>
      </c>
      <c r="E339" s="6">
        <v>5.5</v>
      </c>
      <c r="F339" s="1">
        <f>LOOKUP(E339,{0,0.4,1.2,2,2.8,3.6,4.4,5.7,7,8.3,9.6,10.9,12.2,13.5,14.8,16.1,17.4,19.1,20.8,22.5,24.2},{0,10,20,30,40,50,60,62,64,66,68,70,72,74,76,78,80,85,90,95,100})</f>
        <v>60</v>
      </c>
      <c r="G339" s="6">
        <v>190</v>
      </c>
      <c r="H339" s="1">
        <f>LOOKUP(G339,{0,123,128,133,138,143,148,151,154,157,160,163,166,169,172,175,178,185,192,198,204},{0,10,20,30,40,50,60,62,64,66,68,70,72,74,76,78,80,85,90,95,100})</f>
        <v>85</v>
      </c>
      <c r="I339" s="6">
        <v>35</v>
      </c>
      <c r="J339" s="1">
        <f>LOOKUP(I339,{0,13,15,17,19,21,23,25,27,29,31,33,35,37,39,41,43,46,49,51,53},{0,10,20,30,40,50,60,62,64,66,68,70,72,74,76,78,80,85,90,95,100})</f>
        <v>72</v>
      </c>
      <c r="K339" s="45"/>
      <c r="L339" s="45"/>
      <c r="M339" s="21">
        <f t="shared" si="167"/>
        <v>72</v>
      </c>
      <c r="N339" s="6">
        <v>8</v>
      </c>
      <c r="O339" s="43">
        <f t="shared" si="168"/>
        <v>5</v>
      </c>
      <c r="P339" s="1">
        <f>LOOKUP(O339,{0,1.4,1.6,1.8,2,2.2,2.4,2.6,2.8,3,3.2,3.4,3.6,3.8,4,4.2,4.4,4.7,5,5.1,5.2},{0,10,20,30,40,50,60,62,64,66,68,70,72,74,76,78,80,85,90,95,100})</f>
        <v>90</v>
      </c>
      <c r="Q339" s="6">
        <v>3.42</v>
      </c>
      <c r="R339" s="6">
        <f t="shared" si="164"/>
        <v>6.58</v>
      </c>
      <c r="S339" s="1">
        <f>LOOKUP(R339,{0,4.7,4.8,4.9,5,5.5,5.6,5.65,5.7,5.75,5.8,5.85,5.9,5.95,6,6.45,6.5,6.57,6.64,6.7,6.76},{0,10,20,30,40,50,60,62,64,66,68,70,72,74,76,78,80,85,90,95,100})</f>
        <v>85</v>
      </c>
      <c r="T339" s="45"/>
      <c r="U339" s="45"/>
      <c r="V339" s="21">
        <f t="shared" si="165"/>
        <v>85</v>
      </c>
      <c r="X339" s="21">
        <f t="shared" si="162"/>
        <v>56.7</v>
      </c>
      <c r="Y339" s="37">
        <f t="shared" si="169"/>
        <v>81</v>
      </c>
    </row>
    <row r="340" ht="15.6" hidden="1" outlineLevel="2" spans="1:25">
      <c r="A340" s="6">
        <v>108</v>
      </c>
      <c r="B340" s="6">
        <v>31</v>
      </c>
      <c r="C340" s="29" t="s">
        <v>385</v>
      </c>
      <c r="D340" s="29" t="s">
        <v>46</v>
      </c>
      <c r="E340" s="6">
        <v>20.5</v>
      </c>
      <c r="F340" s="1">
        <f>LOOKUP(E340,{0,0.4,1.2,2,2.8,3.6,4.4,5.7,7,8.3,9.6,10.9,12.2,13.5,14.8,16.1,17.4,19.1,20.8,22.5,24.2},{0,10,20,30,40,50,60,62,64,66,68,70,72,74,76,78,80,85,90,95,100})</f>
        <v>85</v>
      </c>
      <c r="G340" s="6">
        <v>180</v>
      </c>
      <c r="H340" s="1">
        <f>LOOKUP(G340,{0,123,128,133,138,143,148,151,154,157,160,163,166,169,172,175,178,185,192,198,204},{0,10,20,30,40,50,60,62,64,66,68,70,72,74,76,78,80,85,90,95,100})</f>
        <v>80</v>
      </c>
      <c r="I340" s="6">
        <v>42</v>
      </c>
      <c r="J340" s="1">
        <f>LOOKUP(I340,{0,13,15,17,19,21,23,25,27,29,31,33,35,37,39,41,43,46,49,51,53},{0,10,20,30,40,50,60,62,64,66,68,70,72,74,76,78,80,85,90,95,100})</f>
        <v>78</v>
      </c>
      <c r="K340" s="45"/>
      <c r="L340" s="45"/>
      <c r="M340" s="21">
        <f t="shared" si="167"/>
        <v>78</v>
      </c>
      <c r="N340" s="6">
        <v>8.3</v>
      </c>
      <c r="O340" s="43">
        <f t="shared" si="168"/>
        <v>4.7</v>
      </c>
      <c r="P340" s="1">
        <f>LOOKUP(O340,{0,1.4,1.6,1.8,2,2.2,2.4,2.6,2.8,3,3.2,3.4,3.6,3.8,4,4.2,4.4,4.7,5,5.1,5.2},{0,10,20,30,40,50,60,62,64,66,68,70,72,74,76,78,80,85,90,95,100})</f>
        <v>85</v>
      </c>
      <c r="Q340" s="6">
        <v>3.37</v>
      </c>
      <c r="R340" s="6">
        <f t="shared" si="164"/>
        <v>6.63</v>
      </c>
      <c r="S340" s="1">
        <f>LOOKUP(R340,{0,4.7,4.8,4.9,5,5.5,5.6,5.65,5.7,5.75,5.8,5.85,5.9,5.95,6,6.45,6.5,6.57,6.64,6.7,6.76},{0,10,20,30,40,50,60,62,64,66,68,70,72,74,76,78,80,85,90,95,100})</f>
        <v>85</v>
      </c>
      <c r="T340" s="45"/>
      <c r="U340" s="45"/>
      <c r="V340" s="21">
        <f t="shared" si="165"/>
        <v>85</v>
      </c>
      <c r="X340" s="21">
        <f t="shared" si="162"/>
        <v>58.3</v>
      </c>
      <c r="Y340" s="37">
        <f t="shared" si="169"/>
        <v>83.2857142857143</v>
      </c>
    </row>
    <row r="341" ht="15.6" hidden="1" outlineLevel="2" spans="1:25">
      <c r="A341" s="6">
        <v>108</v>
      </c>
      <c r="B341" s="6">
        <v>32</v>
      </c>
      <c r="C341" s="29" t="s">
        <v>386</v>
      </c>
      <c r="D341" s="29" t="s">
        <v>46</v>
      </c>
      <c r="E341" s="6">
        <v>7</v>
      </c>
      <c r="F341" s="1">
        <f>LOOKUP(E341,{0,0.4,1.2,2,2.8,3.6,4.4,5.7,7,8.3,9.6,10.9,12.2,13.5,14.8,16.1,17.4,19.1,20.8,22.5,24.2},{0,10,20,30,40,50,60,62,64,66,68,70,72,74,76,78,80,85,90,95,100})</f>
        <v>64</v>
      </c>
      <c r="G341" s="6">
        <v>190</v>
      </c>
      <c r="H341" s="1">
        <f>LOOKUP(G341,{0,123,128,133,138,143,148,151,154,157,160,163,166,169,172,175,178,185,192,198,204},{0,10,20,30,40,50,60,62,64,66,68,70,72,74,76,78,80,85,90,95,100})</f>
        <v>85</v>
      </c>
      <c r="I341" s="6">
        <v>46</v>
      </c>
      <c r="J341" s="1">
        <f>LOOKUP(I341,{0,13,15,17,19,21,23,25,27,29,31,33,35,37,39,41,43,46,49,51,53},{0,10,20,30,40,50,60,62,64,66,68,70,72,74,76,78,80,85,90,95,100})</f>
        <v>85</v>
      </c>
      <c r="K341" s="45"/>
      <c r="L341" s="45"/>
      <c r="M341" s="21">
        <f t="shared" si="167"/>
        <v>85</v>
      </c>
      <c r="N341" s="6">
        <v>8.8</v>
      </c>
      <c r="O341" s="43">
        <f t="shared" si="168"/>
        <v>4.2</v>
      </c>
      <c r="P341" s="1">
        <f>LOOKUP(O341,{0,1.4,1.6,1.8,2,2.2,2.4,2.6,2.8,3,3.2,3.4,3.6,3.8,4,4.2,4.4,4.7,5,5.1,5.2},{0,10,20,30,40,50,60,62,64,66,68,70,72,74,76,78,80,85,90,95,100})</f>
        <v>78</v>
      </c>
      <c r="Q341" s="6">
        <v>4.02</v>
      </c>
      <c r="R341" s="6">
        <f t="shared" si="164"/>
        <v>5.98</v>
      </c>
      <c r="S341" s="1">
        <f>LOOKUP(R341,{0,4.7,4.8,4.9,5,5.5,5.6,5.65,5.7,5.75,5.8,5.85,5.9,5.95,6,6.45,6.5,6.57,6.64,6.7,6.76},{0,10,20,30,40,50,60,62,64,66,68,70,72,74,76,78,80,85,90,95,100})</f>
        <v>74</v>
      </c>
      <c r="T341" s="45"/>
      <c r="U341" s="45"/>
      <c r="V341" s="21">
        <f t="shared" si="165"/>
        <v>74</v>
      </c>
      <c r="X341" s="21">
        <f t="shared" si="162"/>
        <v>53.8</v>
      </c>
      <c r="Y341" s="37">
        <f t="shared" si="169"/>
        <v>76.8571428571429</v>
      </c>
    </row>
    <row r="342" ht="15.6" hidden="1" outlineLevel="2" spans="1:25">
      <c r="A342" s="6">
        <v>108</v>
      </c>
      <c r="B342" s="6">
        <v>33</v>
      </c>
      <c r="C342" s="29" t="s">
        <v>387</v>
      </c>
      <c r="D342" s="29" t="s">
        <v>46</v>
      </c>
      <c r="E342" s="6">
        <v>9</v>
      </c>
      <c r="F342" s="1">
        <f>LOOKUP(E342,{0,0.4,1.2,2,2.8,3.6,4.4,5.7,7,8.3,9.6,10.9,12.2,13.5,14.8,16.1,17.4,19.1,20.8,22.5,24.2},{0,10,20,30,40,50,60,62,64,66,68,70,72,74,76,78,80,85,90,95,100})</f>
        <v>66</v>
      </c>
      <c r="G342" s="6">
        <v>180</v>
      </c>
      <c r="H342" s="1">
        <f>LOOKUP(G342,{0,123,128,133,138,143,148,151,154,157,160,163,166,169,172,175,178,185,192,198,204},{0,10,20,30,40,50,60,62,64,66,68,70,72,74,76,78,80,85,90,95,100})</f>
        <v>80</v>
      </c>
      <c r="I342" s="6">
        <v>51</v>
      </c>
      <c r="J342" s="1">
        <f>LOOKUP(I342,{0,13,15,17,19,21,23,25,27,29,31,33,35,37,39,41,43,46,49,51,53},{0,10,20,30,40,50,60,62,64,66,68,70,72,74,76,78,80,85,90,95,100})</f>
        <v>95</v>
      </c>
      <c r="K342" s="45"/>
      <c r="L342" s="45"/>
      <c r="M342" s="21">
        <f t="shared" si="167"/>
        <v>95</v>
      </c>
      <c r="N342" s="6">
        <v>8.8</v>
      </c>
      <c r="O342" s="43">
        <f t="shared" si="168"/>
        <v>4.2</v>
      </c>
      <c r="P342" s="1">
        <f>LOOKUP(O342,{0,1.4,1.6,1.8,2,2.2,2.4,2.6,2.8,3,3.2,3.4,3.6,3.8,4,4.2,4.4,4.7,5,5.1,5.2},{0,10,20,30,40,50,60,62,64,66,68,70,72,74,76,78,80,85,90,95,100})</f>
        <v>78</v>
      </c>
      <c r="Q342" s="6">
        <v>3.42</v>
      </c>
      <c r="R342" s="6">
        <f t="shared" si="164"/>
        <v>6.58</v>
      </c>
      <c r="S342" s="1">
        <f>LOOKUP(R342,{0,4.7,4.8,4.9,5,5.5,5.6,5.65,5.7,5.75,5.8,5.85,5.9,5.95,6,6.45,6.5,6.57,6.64,6.7,6.76},{0,10,20,30,40,50,60,62,64,66,68,70,72,74,76,78,80,85,90,95,100})</f>
        <v>85</v>
      </c>
      <c r="T342" s="45"/>
      <c r="U342" s="45"/>
      <c r="V342" s="21">
        <f t="shared" si="165"/>
        <v>85</v>
      </c>
      <c r="X342" s="21">
        <f t="shared" si="162"/>
        <v>56.7</v>
      </c>
      <c r="Y342" s="37">
        <f t="shared" si="169"/>
        <v>81</v>
      </c>
    </row>
    <row r="343" ht="15.6" hidden="1" outlineLevel="2" spans="1:25">
      <c r="A343" s="6">
        <v>108</v>
      </c>
      <c r="B343" s="6">
        <v>34</v>
      </c>
      <c r="C343" s="29" t="s">
        <v>388</v>
      </c>
      <c r="D343" s="29" t="s">
        <v>46</v>
      </c>
      <c r="E343" s="6">
        <v>2</v>
      </c>
      <c r="F343" s="1">
        <f>LOOKUP(E343,{0,0.4,1.2,2,2.8,3.6,4.4,5.7,7,8.3,9.6,10.9,12.2,13.5,14.8,16.1,17.4,19.1,20.8,22.5,24.2},{0,10,20,30,40,50,60,62,64,66,68,70,72,74,76,78,80,85,90,95,100})</f>
        <v>30</v>
      </c>
      <c r="G343" s="6">
        <v>162</v>
      </c>
      <c r="H343" s="1">
        <f>LOOKUP(G343,{0,123,128,133,138,143,148,151,154,157,160,163,166,169,172,175,178,185,192,198,204},{0,10,20,30,40,50,60,62,64,66,68,70,72,74,76,78,80,85,90,95,100})</f>
        <v>68</v>
      </c>
      <c r="I343" s="6">
        <v>40</v>
      </c>
      <c r="J343" s="1">
        <f>LOOKUP(I343,{0,13,15,17,19,21,23,25,27,29,31,33,35,37,39,41,43,46,49,51,53},{0,10,20,30,40,50,60,62,64,66,68,70,72,74,76,78,80,85,90,95,100})</f>
        <v>76</v>
      </c>
      <c r="K343" s="45"/>
      <c r="L343" s="45"/>
      <c r="M343" s="21">
        <f t="shared" si="167"/>
        <v>76</v>
      </c>
      <c r="N343" s="6">
        <v>8.8</v>
      </c>
      <c r="O343" s="43">
        <f t="shared" si="168"/>
        <v>4.2</v>
      </c>
      <c r="P343" s="1">
        <f>LOOKUP(O343,{0,1.4,1.6,1.8,2,2.2,2.4,2.6,2.8,3,3.2,3.4,3.6,3.8,4,4.2,4.4,4.7,5,5.1,5.2},{0,10,20,30,40,50,60,62,64,66,68,70,72,74,76,78,80,85,90,95,100})</f>
        <v>78</v>
      </c>
      <c r="Q343" s="6">
        <v>3.44</v>
      </c>
      <c r="R343" s="6">
        <f t="shared" si="164"/>
        <v>6.56</v>
      </c>
      <c r="S343" s="1">
        <f>LOOKUP(R343,{0,4.7,4.8,4.9,5,5.5,5.6,5.65,5.7,5.75,5.8,5.85,5.9,5.95,6,6.45,6.5,6.57,6.64,6.7,6.76},{0,10,20,30,40,50,60,62,64,66,68,70,72,74,76,78,80,85,90,95,100})</f>
        <v>80</v>
      </c>
      <c r="T343" s="45"/>
      <c r="U343" s="45"/>
      <c r="V343" s="21">
        <f t="shared" si="165"/>
        <v>80</v>
      </c>
      <c r="X343" s="21">
        <f t="shared" si="162"/>
        <v>49</v>
      </c>
      <c r="Y343" s="37">
        <f t="shared" si="169"/>
        <v>70</v>
      </c>
    </row>
    <row r="344" ht="15.6" hidden="1" outlineLevel="2" spans="1:25">
      <c r="A344" s="6">
        <v>108</v>
      </c>
      <c r="B344" s="6">
        <v>35</v>
      </c>
      <c r="C344" s="29" t="s">
        <v>389</v>
      </c>
      <c r="D344" s="29" t="s">
        <v>46</v>
      </c>
      <c r="E344" s="6">
        <v>23</v>
      </c>
      <c r="F344" s="1">
        <f>LOOKUP(E344,{0,0.4,1.2,2,2.8,3.6,4.4,5.7,7,8.3,9.6,10.9,12.2,13.5,14.8,16.1,17.4,19.1,20.8,22.5,24.2},{0,10,20,30,40,50,60,62,64,66,68,70,72,74,76,78,80,85,90,95,100})</f>
        <v>95</v>
      </c>
      <c r="G344" s="6">
        <v>173</v>
      </c>
      <c r="H344" s="1">
        <f>LOOKUP(G344,{0,123,128,133,138,143,148,151,154,157,160,163,166,169,172,175,178,185,192,198,204},{0,10,20,30,40,50,60,62,64,66,68,70,72,74,76,78,80,85,90,95,100})</f>
        <v>76</v>
      </c>
      <c r="I344" s="6">
        <v>40</v>
      </c>
      <c r="J344" s="1">
        <f>LOOKUP(I344,{0,13,15,17,19,21,23,25,27,29,31,33,35,37,39,41,43,46,49,51,53},{0,10,20,30,40,50,60,62,64,66,68,70,72,74,76,78,80,85,90,95,100})</f>
        <v>76</v>
      </c>
      <c r="K344" s="45"/>
      <c r="L344" s="45"/>
      <c r="M344" s="21">
        <f t="shared" si="167"/>
        <v>76</v>
      </c>
      <c r="N344" s="6">
        <v>5.6</v>
      </c>
      <c r="O344" s="43">
        <f t="shared" si="168"/>
        <v>7.4</v>
      </c>
      <c r="P344" s="1">
        <f>LOOKUP(O344,{0,1.4,1.6,1.8,2,2.2,2.4,2.6,2.8,3,3.2,3.4,3.6,3.8,4,4.2,4.4,4.7,5,5.1,5.2},{0,10,20,30,40,50,60,62,64,66,68,70,72,74,76,78,80,85,90,95,100})</f>
        <v>100</v>
      </c>
      <c r="Q344" s="6">
        <v>4.28</v>
      </c>
      <c r="R344" s="6">
        <f t="shared" si="164"/>
        <v>5.72</v>
      </c>
      <c r="S344" s="1">
        <f>LOOKUP(R344,{0,4.7,4.8,4.9,5,5.5,5.6,5.65,5.7,5.75,5.8,5.85,5.9,5.95,6,6.45,6.5,6.57,6.64,6.7,6.76},{0,10,20,30,40,50,60,62,64,66,68,70,72,74,76,78,80,85,90,95,100})</f>
        <v>64</v>
      </c>
      <c r="T344" s="45"/>
      <c r="U344" s="45"/>
      <c r="V344" s="21">
        <f t="shared" si="165"/>
        <v>64</v>
      </c>
      <c r="X344" s="21">
        <f t="shared" si="162"/>
        <v>57.5</v>
      </c>
      <c r="Y344" s="37">
        <f t="shared" si="169"/>
        <v>82.1428571428572</v>
      </c>
    </row>
    <row r="345" ht="15.6" hidden="1" outlineLevel="2" spans="1:25">
      <c r="A345" s="6">
        <v>108</v>
      </c>
      <c r="B345" s="6">
        <v>36</v>
      </c>
      <c r="C345" s="29" t="s">
        <v>390</v>
      </c>
      <c r="D345" s="29" t="s">
        <v>46</v>
      </c>
      <c r="E345" s="6">
        <v>8.5</v>
      </c>
      <c r="F345" s="1">
        <f>LOOKUP(E345,{0,0.4,1.2,2,2.8,3.6,4.4,5.7,7,8.3,9.6,10.9,12.2,13.5,14.8,16.1,17.4,19.1,20.8,22.5,24.2},{0,10,20,30,40,50,60,62,64,66,68,70,72,74,76,78,80,85,90,95,100})</f>
        <v>66</v>
      </c>
      <c r="G345" s="6">
        <v>200</v>
      </c>
      <c r="H345" s="1">
        <f>LOOKUP(G345,{0,123,128,133,138,143,148,151,154,157,160,163,166,169,172,175,178,185,192,198,204},{0,10,20,30,40,50,60,62,64,66,68,70,72,74,76,78,80,85,90,95,100})</f>
        <v>95</v>
      </c>
      <c r="I345" s="6">
        <v>52</v>
      </c>
      <c r="J345" s="1">
        <f>LOOKUP(I345,{0,13,15,17,19,21,23,25,27,29,31,33,35,37,39,41,43,46,49,51,53},{0,10,20,30,40,50,60,62,64,66,68,70,72,74,76,78,80,85,90,95,100})</f>
        <v>95</v>
      </c>
      <c r="K345" s="45"/>
      <c r="L345" s="45"/>
      <c r="M345" s="21">
        <f t="shared" si="167"/>
        <v>95</v>
      </c>
      <c r="N345" s="6">
        <v>8.3</v>
      </c>
      <c r="O345" s="43">
        <f t="shared" si="168"/>
        <v>4.7</v>
      </c>
      <c r="P345" s="1">
        <f>LOOKUP(O345,{0,1.4,1.6,1.8,2,2.2,2.4,2.6,2.8,3,3.2,3.4,3.6,3.8,4,4.2,4.4,4.7,5,5.1,5.2},{0,10,20,30,40,50,60,62,64,66,68,70,72,74,76,78,80,85,90,95,100})</f>
        <v>85</v>
      </c>
      <c r="Q345" s="6">
        <v>3.22</v>
      </c>
      <c r="R345" s="6">
        <f t="shared" si="164"/>
        <v>6.78</v>
      </c>
      <c r="S345" s="1">
        <f>LOOKUP(R345,{0,4.7,4.8,4.9,5,5.5,5.6,5.65,5.7,5.75,5.8,5.85,5.9,5.95,6,6.45,6.5,6.57,6.64,6.7,6.76},{0,10,20,30,40,50,60,62,64,66,68,70,72,74,76,78,80,85,90,95,100})</f>
        <v>100</v>
      </c>
      <c r="T345" s="48">
        <f>3.24-Q345</f>
        <v>0.02</v>
      </c>
      <c r="U345" s="40">
        <f>LOOKUP(T345,{0,0.05,0.1,0.15,0.2,0.25,0.3,0.35,0.4,0.45,0.5},{0,1,2,3,4,5,6,7,8,9,10})</f>
        <v>0</v>
      </c>
      <c r="V345" s="21">
        <f t="shared" si="165"/>
        <v>100</v>
      </c>
      <c r="X345" s="21">
        <f t="shared" si="162"/>
        <v>62.6</v>
      </c>
      <c r="Y345" s="37">
        <f t="shared" si="169"/>
        <v>89.4285714285714</v>
      </c>
    </row>
    <row r="346" ht="15.6" hidden="1" outlineLevel="2" spans="1:25">
      <c r="A346" s="6">
        <v>108</v>
      </c>
      <c r="B346" s="6">
        <v>37</v>
      </c>
      <c r="C346" s="29" t="s">
        <v>391</v>
      </c>
      <c r="D346" s="29" t="s">
        <v>46</v>
      </c>
      <c r="E346" s="6">
        <v>12</v>
      </c>
      <c r="F346" s="1">
        <f>LOOKUP(E346,{0,0.4,1.2,2,2.8,3.6,4.4,5.7,7,8.3,9.6,10.9,12.2,13.5,14.8,16.1,17.4,19.1,20.8,22.5,24.2},{0,10,20,30,40,50,60,62,64,66,68,70,72,74,76,78,80,85,90,95,100})</f>
        <v>70</v>
      </c>
      <c r="G346" s="6">
        <v>155</v>
      </c>
      <c r="H346" s="1">
        <f>LOOKUP(G346,{0,123,128,133,138,143,148,151,154,157,160,163,166,169,172,175,178,185,192,198,204},{0,10,20,30,40,50,60,62,64,66,68,70,72,74,76,78,80,85,90,95,100})</f>
        <v>64</v>
      </c>
      <c r="I346" s="6">
        <v>45</v>
      </c>
      <c r="J346" s="1">
        <f>LOOKUP(I346,{0,13,15,17,19,21,23,25,27,29,31,33,35,37,39,41,43,46,49,51,53},{0,10,20,30,40,50,60,62,64,66,68,70,72,74,76,78,80,85,90,95,100})</f>
        <v>80</v>
      </c>
      <c r="K346" s="45"/>
      <c r="L346" s="45"/>
      <c r="M346" s="21">
        <f t="shared" si="167"/>
        <v>80</v>
      </c>
      <c r="N346" s="6">
        <v>9.1</v>
      </c>
      <c r="O346" s="43">
        <f t="shared" si="168"/>
        <v>3.9</v>
      </c>
      <c r="P346" s="1">
        <f>LOOKUP(O346,{0,1.4,1.6,1.8,2,2.2,2.4,2.6,2.8,3,3.2,3.4,3.6,3.8,4,4.2,4.4,4.7,5,5.1,5.2},{0,10,20,30,40,50,60,62,64,66,68,70,72,74,76,78,80,85,90,95,100})</f>
        <v>74</v>
      </c>
      <c r="Q346" s="6">
        <v>3.34</v>
      </c>
      <c r="R346" s="6">
        <f t="shared" si="164"/>
        <v>6.66</v>
      </c>
      <c r="S346" s="1">
        <f>LOOKUP(R346,{0,4.7,4.8,4.9,5,5.5,5.6,5.65,5.7,5.75,5.8,5.85,5.9,5.95,6,6.45,6.5,6.57,6.64,6.7,6.76},{0,10,20,30,40,50,60,62,64,66,68,70,72,74,76,78,80,85,90,95,100})</f>
        <v>90</v>
      </c>
      <c r="T346" s="45"/>
      <c r="U346" s="45"/>
      <c r="V346" s="21">
        <f t="shared" si="165"/>
        <v>90</v>
      </c>
      <c r="X346" s="21">
        <f t="shared" si="162"/>
        <v>54.2</v>
      </c>
      <c r="Y346" s="37">
        <f t="shared" si="169"/>
        <v>77.4285714285714</v>
      </c>
    </row>
    <row r="347" s="3" customFormat="1" ht="15.6" hidden="1" outlineLevel="2" spans="1:25">
      <c r="A347" s="6">
        <v>108</v>
      </c>
      <c r="B347" s="6">
        <v>38</v>
      </c>
      <c r="C347" s="29" t="s">
        <v>392</v>
      </c>
      <c r="D347" s="29" t="s">
        <v>46</v>
      </c>
      <c r="E347" s="6">
        <v>10</v>
      </c>
      <c r="F347" s="1">
        <f>LOOKUP(E347,{0,0.4,1.2,2,2.8,3.6,4.4,5.7,7,8.3,9.6,10.9,12.2,13.5,14.8,16.1,17.4,19.1,20.8,22.5,24.2},{0,10,20,30,40,50,60,62,64,66,68,70,72,74,76,78,80,85,90,95,100})</f>
        <v>68</v>
      </c>
      <c r="G347" s="6">
        <v>170</v>
      </c>
      <c r="H347" s="1">
        <f>LOOKUP(G347,{0,123,128,133,138,143,148,151,154,157,160,163,166,169,172,175,178,185,192,198,204},{0,10,20,30,40,50,60,62,64,66,68,70,72,74,76,78,80,85,90,95,100})</f>
        <v>74</v>
      </c>
      <c r="I347" s="6">
        <v>51</v>
      </c>
      <c r="J347" s="1">
        <f>LOOKUP(I347,{0,13,15,17,19,21,23,25,27,29,31,33,35,37,39,41,43,46,49,51,53},{0,10,20,30,40,50,60,62,64,66,68,70,72,74,76,78,80,85,90,95,100})</f>
        <v>95</v>
      </c>
      <c r="K347" s="45"/>
      <c r="L347" s="45"/>
      <c r="M347" s="21">
        <f t="shared" si="167"/>
        <v>95</v>
      </c>
      <c r="N347" s="6">
        <v>8.7</v>
      </c>
      <c r="O347" s="43">
        <f t="shared" si="168"/>
        <v>4.3</v>
      </c>
      <c r="P347" s="1">
        <f>LOOKUP(O347,{0,1.4,1.6,1.8,2,2.2,2.4,2.6,2.8,3,3.2,3.4,3.6,3.8,4,4.2,4.4,4.7,5,5.1,5.2},{0,10,20,30,40,50,60,62,64,66,68,70,72,74,76,78,80,85,90,95,100})</f>
        <v>78</v>
      </c>
      <c r="Q347" s="6">
        <v>3.47</v>
      </c>
      <c r="R347" s="6">
        <f t="shared" si="164"/>
        <v>6.53</v>
      </c>
      <c r="S347" s="1">
        <f>LOOKUP(R347,{0,4.7,4.8,4.9,5,5.5,5.6,5.65,5.7,5.75,5.8,5.85,5.9,5.95,6,6.45,6.5,6.57,6.64,6.7,6.76},{0,10,20,30,40,50,60,62,64,66,68,70,72,74,76,78,80,85,90,95,100})</f>
        <v>80</v>
      </c>
      <c r="T347" s="45"/>
      <c r="U347" s="45"/>
      <c r="V347" s="21">
        <f t="shared" si="165"/>
        <v>80</v>
      </c>
      <c r="W347" s="6"/>
      <c r="X347" s="21">
        <f t="shared" si="162"/>
        <v>55.3</v>
      </c>
      <c r="Y347" s="37">
        <f t="shared" si="169"/>
        <v>79</v>
      </c>
    </row>
    <row r="348" ht="15.6" hidden="1" outlineLevel="2" spans="1:25">
      <c r="A348" s="6">
        <v>108</v>
      </c>
      <c r="B348" s="6">
        <v>39</v>
      </c>
      <c r="C348" s="29" t="s">
        <v>393</v>
      </c>
      <c r="D348" s="29" t="s">
        <v>46</v>
      </c>
      <c r="E348" s="6">
        <v>14</v>
      </c>
      <c r="F348" s="1">
        <f>LOOKUP(E348,{0,0.4,1.2,2,2.8,3.6,4.4,5.7,7,8.3,9.6,10.9,12.2,13.5,14.8,16.1,17.4,19.1,20.8,22.5,24.2},{0,10,20,30,40,50,60,62,64,66,68,70,72,74,76,78,80,85,90,95,100})</f>
        <v>74</v>
      </c>
      <c r="G348" s="6">
        <v>130</v>
      </c>
      <c r="H348" s="1">
        <f>LOOKUP(G348,{0,123,128,133,138,143,148,151,154,157,160,163,166,169,172,175,178,185,192,198,204},{0,10,20,30,40,50,60,62,64,66,68,70,72,74,76,78,80,85,90,95,100})</f>
        <v>20</v>
      </c>
      <c r="I348" s="6">
        <v>38</v>
      </c>
      <c r="J348" s="1">
        <f>LOOKUP(I348,{0,13,15,17,19,21,23,25,27,29,31,33,35,37,39,41,43,46,49,51,53},{0,10,20,30,40,50,60,62,64,66,68,70,72,74,76,78,80,85,90,95,100})</f>
        <v>74</v>
      </c>
      <c r="K348" s="45"/>
      <c r="L348" s="45"/>
      <c r="M348" s="21">
        <f t="shared" si="167"/>
        <v>74</v>
      </c>
      <c r="N348" s="6">
        <v>10.3</v>
      </c>
      <c r="O348" s="43">
        <f t="shared" si="168"/>
        <v>2.7</v>
      </c>
      <c r="P348" s="1">
        <f>LOOKUP(O348,{0,1.4,1.6,1.8,2,2.2,2.4,2.6,2.8,3,3.2,3.4,3.6,3.8,4,4.2,4.4,4.7,5,5.1,5.2},{0,10,20,30,40,50,60,62,64,66,68,70,72,74,76,78,80,85,90,95,100})</f>
        <v>62</v>
      </c>
      <c r="Q348" s="6">
        <v>4.35</v>
      </c>
      <c r="R348" s="6">
        <f t="shared" si="164"/>
        <v>5.65</v>
      </c>
      <c r="S348" s="1">
        <f>LOOKUP(R348,{0,4.7,4.8,4.9,5,5.5,5.6,5.65,5.7,5.75,5.8,5.85,5.9,5.95,6,6.45,6.5,6.57,6.64,6.7,6.76},{0,10,20,30,40,50,60,62,64,66,68,70,72,74,76,78,80,85,90,95,100})</f>
        <v>62</v>
      </c>
      <c r="T348" s="45"/>
      <c r="U348" s="45"/>
      <c r="V348" s="21">
        <f t="shared" si="165"/>
        <v>62</v>
      </c>
      <c r="X348" s="21">
        <f t="shared" si="162"/>
        <v>41.6</v>
      </c>
      <c r="Y348" s="37">
        <f t="shared" si="169"/>
        <v>59.4285714285714</v>
      </c>
    </row>
    <row r="349" ht="15.6" hidden="1" outlineLevel="2" spans="1:25">
      <c r="A349" s="6">
        <v>108</v>
      </c>
      <c r="B349" s="6">
        <v>40</v>
      </c>
      <c r="C349" s="39" t="s">
        <v>395</v>
      </c>
      <c r="D349" s="29" t="s">
        <v>46</v>
      </c>
      <c r="E349" s="6">
        <v>13</v>
      </c>
      <c r="F349" s="1">
        <f>LOOKUP(E349,{0,0.4,1.2,2,2.8,3.6,4.4,5.7,7,8.3,9.6,10.9,12.2,13.5,14.8,16.1,17.4,19.1,20.8,22.5,24.2},{0,10,20,30,40,50,60,62,64,66,68,70,72,74,76,78,80,85,90,95,100})</f>
        <v>72</v>
      </c>
      <c r="G349" s="6">
        <v>180</v>
      </c>
      <c r="H349" s="1">
        <f>LOOKUP(G349,{0,123,128,133,138,143,148,151,154,157,160,163,166,169,172,175,178,185,192,198,204},{0,10,20,30,40,50,60,62,64,66,68,70,72,74,76,78,80,85,90,95,100})</f>
        <v>80</v>
      </c>
      <c r="I349" s="6">
        <v>44</v>
      </c>
      <c r="J349" s="1">
        <f>LOOKUP(I349,{0,13,15,17,19,21,23,25,27,29,31,33,35,37,39,41,43,46,49,51,53},{0,10,20,30,40,50,60,62,64,66,68,70,72,74,76,78,80,85,90,95,100})</f>
        <v>80</v>
      </c>
      <c r="K349" s="45"/>
      <c r="L349" s="45"/>
      <c r="M349" s="21">
        <f t="shared" si="167"/>
        <v>80</v>
      </c>
      <c r="N349" s="6">
        <v>9</v>
      </c>
      <c r="O349" s="43">
        <f t="shared" si="168"/>
        <v>4</v>
      </c>
      <c r="P349" s="1">
        <f>LOOKUP(O349,{0,1.4,1.6,1.8,2,2.2,2.4,2.6,2.8,3,3.2,3.4,3.6,3.8,4,4.2,4.4,4.7,5,5.1,5.2},{0,10,20,30,40,50,60,62,64,66,68,70,72,74,76,78,80,85,90,95,100})</f>
        <v>76</v>
      </c>
      <c r="Q349" s="6">
        <v>3.29</v>
      </c>
      <c r="R349" s="6">
        <f t="shared" si="164"/>
        <v>6.71</v>
      </c>
      <c r="S349" s="1">
        <f>LOOKUP(R349,{0,4.7,4.8,4.9,5,5.5,5.6,5.65,5.7,5.75,5.8,5.85,5.9,5.95,6,6.45,6.5,6.57,6.64,6.7,6.76},{0,10,20,30,40,50,60,62,64,66,68,70,72,74,76,78,80,85,90,95,100})</f>
        <v>95</v>
      </c>
      <c r="T349" s="45"/>
      <c r="U349" s="45"/>
      <c r="V349" s="21">
        <f t="shared" si="165"/>
        <v>95</v>
      </c>
      <c r="X349" s="21">
        <f t="shared" si="162"/>
        <v>57.4</v>
      </c>
      <c r="Y349" s="37">
        <f t="shared" si="169"/>
        <v>82</v>
      </c>
    </row>
    <row r="350" ht="15.6" hidden="1" outlineLevel="2" spans="1:25">
      <c r="A350" s="6">
        <v>108</v>
      </c>
      <c r="B350" s="6">
        <v>41</v>
      </c>
      <c r="C350" s="29" t="s">
        <v>396</v>
      </c>
      <c r="D350" s="29" t="s">
        <v>46</v>
      </c>
      <c r="E350" s="6">
        <v>17.5</v>
      </c>
      <c r="F350" s="1">
        <f>LOOKUP(E350,{0,0.4,1.2,2,2.8,3.6,4.4,5.7,7,8.3,9.6,10.9,12.2,13.5,14.8,16.1,17.4,19.1,20.8,22.5,24.2},{0,10,20,30,40,50,60,62,64,66,68,70,72,74,76,78,80,85,90,95,100})</f>
        <v>80</v>
      </c>
      <c r="G350" s="6">
        <v>178</v>
      </c>
      <c r="H350" s="1">
        <f>LOOKUP(G350,{0,123,128,133,138,143,148,151,154,157,160,163,166,169,172,175,178,185,192,198,204},{0,10,20,30,40,50,60,62,64,66,68,70,72,74,76,78,80,85,90,95,100})</f>
        <v>80</v>
      </c>
      <c r="I350" s="6">
        <v>41</v>
      </c>
      <c r="J350" s="1">
        <f>LOOKUP(I350,{0,13,15,17,19,21,23,25,27,29,31,33,35,37,39,41,43,46,49,51,53},{0,10,20,30,40,50,60,62,64,66,68,70,72,74,76,78,80,85,90,95,100})</f>
        <v>78</v>
      </c>
      <c r="K350" s="45"/>
      <c r="L350" s="45"/>
      <c r="M350" s="21">
        <f t="shared" si="167"/>
        <v>78</v>
      </c>
      <c r="N350" s="6">
        <v>8.4</v>
      </c>
      <c r="O350" s="43">
        <f t="shared" si="168"/>
        <v>4.6</v>
      </c>
      <c r="P350" s="1">
        <f>LOOKUP(O350,{0,1.4,1.6,1.8,2,2.2,2.4,2.6,2.8,3,3.2,3.4,3.6,3.8,4,4.2,4.4,4.7,5,5.1,5.2},{0,10,20,30,40,50,60,62,64,66,68,70,72,74,76,78,80,85,90,95,100})</f>
        <v>80</v>
      </c>
      <c r="Q350" s="6">
        <v>3.34</v>
      </c>
      <c r="R350" s="6">
        <f t="shared" si="164"/>
        <v>6.66</v>
      </c>
      <c r="S350" s="1">
        <f>LOOKUP(R350,{0,4.7,4.8,4.9,5,5.5,5.6,5.65,5.7,5.75,5.8,5.85,5.9,5.95,6,6.45,6.5,6.57,6.64,6.7,6.76},{0,10,20,30,40,50,60,62,64,66,68,70,72,74,76,78,80,85,90,95,100})</f>
        <v>90</v>
      </c>
      <c r="T350" s="45"/>
      <c r="U350" s="45"/>
      <c r="V350" s="21">
        <f t="shared" si="165"/>
        <v>90</v>
      </c>
      <c r="X350" s="21">
        <f t="shared" si="162"/>
        <v>57.8</v>
      </c>
      <c r="Y350" s="37">
        <f t="shared" si="169"/>
        <v>82.5714285714286</v>
      </c>
    </row>
    <row r="351" ht="15.6" hidden="1" outlineLevel="2" spans="1:25">
      <c r="A351" s="6">
        <v>108</v>
      </c>
      <c r="B351" s="6">
        <v>42</v>
      </c>
      <c r="C351" s="29" t="s">
        <v>397</v>
      </c>
      <c r="D351" s="29" t="s">
        <v>46</v>
      </c>
      <c r="E351" s="6">
        <v>24</v>
      </c>
      <c r="F351" s="1">
        <f>LOOKUP(E351,{0,0.4,1.2,2,2.8,3.6,4.4,5.7,7,8.3,9.6,10.9,12.2,13.5,14.8,16.1,17.4,19.1,20.8,22.5,24.2},{0,10,20,30,40,50,60,62,64,66,68,70,72,74,76,78,80,85,90,95,100})</f>
        <v>95</v>
      </c>
      <c r="G351" s="6">
        <v>165</v>
      </c>
      <c r="H351" s="1">
        <f>LOOKUP(G351,{0,123,128,133,138,143,148,151,154,157,160,163,166,169,172,175,178,185,192,198,204},{0,10,20,30,40,50,60,62,64,66,68,70,72,74,76,78,80,85,90,95,100})</f>
        <v>70</v>
      </c>
      <c r="I351" s="6">
        <v>48</v>
      </c>
      <c r="J351" s="1">
        <f>LOOKUP(I351,{0,13,15,17,19,21,23,25,27,29,31,33,35,37,39,41,43,46,49,51,53},{0,10,20,30,40,50,60,62,64,66,68,70,72,74,76,78,80,85,90,95,100})</f>
        <v>85</v>
      </c>
      <c r="K351" s="45"/>
      <c r="L351" s="45"/>
      <c r="M351" s="21">
        <f t="shared" si="167"/>
        <v>85</v>
      </c>
      <c r="N351" s="6">
        <v>8.8</v>
      </c>
      <c r="O351" s="43">
        <f t="shared" si="168"/>
        <v>4.2</v>
      </c>
      <c r="P351" s="1">
        <f>LOOKUP(O351,{0,1.4,1.6,1.8,2,2.2,2.4,2.6,2.8,3,3.2,3.4,3.6,3.8,4,4.2,4.4,4.7,5,5.1,5.2},{0,10,20,30,40,50,60,62,64,66,68,70,72,74,76,78,80,85,90,95,100})</f>
        <v>78</v>
      </c>
      <c r="Q351" s="6">
        <v>3.48</v>
      </c>
      <c r="R351" s="6">
        <f t="shared" si="164"/>
        <v>6.52</v>
      </c>
      <c r="S351" s="1">
        <f>LOOKUP(R351,{0,4.7,4.8,4.9,5,5.5,5.6,5.65,5.7,5.75,5.8,5.85,5.9,5.95,6,6.45,6.5,6.57,6.64,6.7,6.76},{0,10,20,30,40,50,60,62,64,66,68,70,72,74,76,78,80,85,90,95,100})</f>
        <v>80</v>
      </c>
      <c r="T351" s="45"/>
      <c r="U351" s="45"/>
      <c r="V351" s="21">
        <f t="shared" si="165"/>
        <v>80</v>
      </c>
      <c r="X351" s="21">
        <f t="shared" si="162"/>
        <v>56.6</v>
      </c>
      <c r="Y351" s="37">
        <f t="shared" si="169"/>
        <v>80.8571428571429</v>
      </c>
    </row>
    <row r="352" ht="15.6" hidden="1" outlineLevel="2" spans="1:25">
      <c r="A352" s="6">
        <v>108</v>
      </c>
      <c r="B352" s="6">
        <v>43</v>
      </c>
      <c r="C352" s="29" t="s">
        <v>398</v>
      </c>
      <c r="D352" s="29" t="s">
        <v>46</v>
      </c>
      <c r="E352" s="6">
        <v>4</v>
      </c>
      <c r="F352" s="1">
        <f>LOOKUP(E352,{0,0.4,1.2,2,2.8,3.6,4.4,5.7,7,8.3,9.6,10.9,12.2,13.5,14.8,16.1,17.4,19.1,20.8,22.5,24.2},{0,10,20,30,40,50,60,62,64,66,68,70,72,74,76,78,80,85,90,95,100})</f>
        <v>50</v>
      </c>
      <c r="G352" s="6">
        <v>178</v>
      </c>
      <c r="H352" s="1">
        <f>LOOKUP(G352,{0,123,128,133,138,143,148,151,154,157,160,163,166,169,172,175,178,185,192,198,204},{0,10,20,30,40,50,60,62,64,66,68,70,72,74,76,78,80,85,90,95,100})</f>
        <v>80</v>
      </c>
      <c r="I352" s="6">
        <v>46</v>
      </c>
      <c r="J352" s="1">
        <f>LOOKUP(I352,{0,13,15,17,19,21,23,25,27,29,31,33,35,37,39,41,43,46,49,51,53},{0,10,20,30,40,50,60,62,64,66,68,70,72,74,76,78,80,85,90,95,100})</f>
        <v>85</v>
      </c>
      <c r="K352" s="45"/>
      <c r="L352" s="45"/>
      <c r="M352" s="21">
        <f t="shared" si="167"/>
        <v>85</v>
      </c>
      <c r="N352" s="6">
        <v>8.3</v>
      </c>
      <c r="O352" s="43">
        <f t="shared" si="168"/>
        <v>4.7</v>
      </c>
      <c r="P352" s="1">
        <f>LOOKUP(O352,{0,1.4,1.6,1.8,2,2.2,2.4,2.6,2.8,3,3.2,3.4,3.6,3.8,4,4.2,4.4,4.7,5,5.1,5.2},{0,10,20,30,40,50,60,62,64,66,68,70,72,74,76,78,80,85,90,95,100})</f>
        <v>85</v>
      </c>
      <c r="Q352" s="6">
        <v>3.31</v>
      </c>
      <c r="R352" s="6">
        <f t="shared" si="164"/>
        <v>6.69</v>
      </c>
      <c r="S352" s="1">
        <f>LOOKUP(R352,{0,4.7,4.8,4.9,5,5.5,5.6,5.65,5.7,5.75,5.8,5.85,5.9,5.95,6,6.45,6.5,6.57,6.64,6.7,6.76},{0,10,20,30,40,50,60,62,64,66,68,70,72,74,76,78,80,85,90,95,100})</f>
        <v>90</v>
      </c>
      <c r="T352" s="45"/>
      <c r="U352" s="45"/>
      <c r="V352" s="21">
        <f t="shared" si="165"/>
        <v>90</v>
      </c>
      <c r="X352" s="21">
        <f t="shared" si="162"/>
        <v>56.5</v>
      </c>
      <c r="Y352" s="37">
        <f t="shared" si="169"/>
        <v>80.7142857142857</v>
      </c>
    </row>
    <row r="353" ht="15.6" hidden="1" outlineLevel="2" spans="1:25">
      <c r="A353" s="6">
        <v>108</v>
      </c>
      <c r="B353" s="6">
        <v>44</v>
      </c>
      <c r="C353" s="29" t="s">
        <v>399</v>
      </c>
      <c r="D353" s="29" t="s">
        <v>46</v>
      </c>
      <c r="E353" s="6">
        <v>20.5</v>
      </c>
      <c r="F353" s="1">
        <f>LOOKUP(E353,{0,0.4,1.2,2,2.8,3.6,4.4,5.7,7,8.3,9.6,10.9,12.2,13.5,14.8,16.1,17.4,19.1,20.8,22.5,24.2},{0,10,20,30,40,50,60,62,64,66,68,70,72,74,76,78,80,85,90,95,100})</f>
        <v>85</v>
      </c>
      <c r="G353" s="6">
        <v>170</v>
      </c>
      <c r="H353" s="1">
        <f>LOOKUP(G353,{0,123,128,133,138,143,148,151,154,157,160,163,166,169,172,175,178,185,192,198,204},{0,10,20,30,40,50,60,62,64,66,68,70,72,74,76,78,80,85,90,95,100})</f>
        <v>74</v>
      </c>
      <c r="I353" s="6">
        <v>44</v>
      </c>
      <c r="J353" s="1">
        <f>LOOKUP(I353,{0,13,15,17,19,21,23,25,27,29,31,33,35,37,39,41,43,46,49,51,53},{0,10,20,30,40,50,60,62,64,66,68,70,72,74,76,78,80,85,90,95,100})</f>
        <v>80</v>
      </c>
      <c r="K353" s="45"/>
      <c r="L353" s="45"/>
      <c r="M353" s="21">
        <f t="shared" si="167"/>
        <v>80</v>
      </c>
      <c r="N353" s="6">
        <v>8.9</v>
      </c>
      <c r="O353" s="43">
        <f t="shared" si="168"/>
        <v>4.1</v>
      </c>
      <c r="P353" s="1">
        <f>LOOKUP(O353,{0,1.4,1.6,1.8,2,2.2,2.4,2.6,2.8,3,3.2,3.4,3.6,3.8,4,4.2,4.4,4.7,5,5.1,5.2},{0,10,20,30,40,50,60,62,64,66,68,70,72,74,76,78,80,85,90,95,100})</f>
        <v>76</v>
      </c>
      <c r="Q353" s="6">
        <v>4.1</v>
      </c>
      <c r="R353" s="6">
        <f t="shared" si="164"/>
        <v>5.9</v>
      </c>
      <c r="S353" s="1">
        <f>LOOKUP(R353,{0,4.7,4.8,4.9,5,5.5,5.6,5.65,5.7,5.75,5.8,5.85,5.9,5.95,6,6.45,6.5,6.57,6.64,6.7,6.76},{0,10,20,30,40,50,60,62,64,66,68,70,72,74,76,78,80,85,90,95,100})</f>
        <v>72</v>
      </c>
      <c r="T353" s="45"/>
      <c r="U353" s="45"/>
      <c r="V353" s="21">
        <f t="shared" si="165"/>
        <v>72</v>
      </c>
      <c r="X353" s="21">
        <f t="shared" si="162"/>
        <v>53.5</v>
      </c>
      <c r="Y353" s="37">
        <f t="shared" si="169"/>
        <v>76.4285714285714</v>
      </c>
    </row>
    <row r="354" ht="15.6" hidden="1" outlineLevel="2" spans="1:25">
      <c r="A354" s="6">
        <v>108</v>
      </c>
      <c r="B354" s="6">
        <v>45</v>
      </c>
      <c r="C354" s="29" t="s">
        <v>400</v>
      </c>
      <c r="D354" s="29" t="s">
        <v>46</v>
      </c>
      <c r="E354" s="6">
        <v>18</v>
      </c>
      <c r="F354" s="1">
        <f>LOOKUP(E354,{0,0.4,1.2,2,2.8,3.6,4.4,5.7,7,8.3,9.6,10.9,12.2,13.5,14.8,16.1,17.4,19.1,20.8,22.5,24.2},{0,10,20,30,40,50,60,62,64,66,68,70,72,74,76,78,80,85,90,95,100})</f>
        <v>80</v>
      </c>
      <c r="G354" s="6">
        <v>200</v>
      </c>
      <c r="H354" s="1">
        <f>LOOKUP(G354,{0,123,128,133,138,143,148,151,154,157,160,163,166,169,172,175,178,185,192,198,204},{0,10,20,30,40,50,60,62,64,66,68,70,72,74,76,78,80,85,90,95,100})</f>
        <v>95</v>
      </c>
      <c r="I354" s="6">
        <v>43</v>
      </c>
      <c r="J354" s="1">
        <f>LOOKUP(I354,{0,13,15,17,19,21,23,25,27,29,31,33,35,37,39,41,43,46,49,51,53},{0,10,20,30,40,50,60,62,64,66,68,70,72,74,76,78,80,85,90,95,100})</f>
        <v>80</v>
      </c>
      <c r="K354" s="45"/>
      <c r="L354" s="45"/>
      <c r="M354" s="21">
        <f t="shared" si="167"/>
        <v>80</v>
      </c>
      <c r="N354" s="6">
        <v>9</v>
      </c>
      <c r="O354" s="43">
        <f t="shared" si="168"/>
        <v>4</v>
      </c>
      <c r="P354" s="1">
        <f>LOOKUP(O354,{0,1.4,1.6,1.8,2,2.2,2.4,2.6,2.8,3,3.2,3.4,3.6,3.8,4,4.2,4.4,4.7,5,5.1,5.2},{0,10,20,30,40,50,60,62,64,66,68,70,72,74,76,78,80,85,90,95,100})</f>
        <v>76</v>
      </c>
      <c r="Q354" s="6">
        <v>5.17</v>
      </c>
      <c r="R354" s="6">
        <f t="shared" si="164"/>
        <v>4.83</v>
      </c>
      <c r="S354" s="1">
        <f>LOOKUP(R354,{0,4.7,4.8,4.9,5,5.5,5.6,5.65,5.7,5.75,5.8,5.85,5.9,5.95,6,6.45,6.5,6.57,6.64,6.7,6.76},{0,10,20,30,40,50,60,62,64,66,68,70,72,74,76,78,80,85,90,95,100})</f>
        <v>20</v>
      </c>
      <c r="T354" s="45"/>
      <c r="U354" s="45"/>
      <c r="V354" s="21">
        <f t="shared" si="165"/>
        <v>20</v>
      </c>
      <c r="X354" s="21">
        <f t="shared" si="162"/>
        <v>44.7</v>
      </c>
      <c r="Y354" s="37">
        <f t="shared" si="169"/>
        <v>63.8571428571429</v>
      </c>
    </row>
    <row r="355" ht="15.6" hidden="1" outlineLevel="2" spans="1:25">
      <c r="A355" s="6">
        <v>108</v>
      </c>
      <c r="B355" s="6">
        <v>46</v>
      </c>
      <c r="C355" s="29" t="s">
        <v>401</v>
      </c>
      <c r="D355" s="29" t="s">
        <v>46</v>
      </c>
      <c r="E355" s="6">
        <v>15</v>
      </c>
      <c r="F355" s="1">
        <f>LOOKUP(E355,{0,0.4,1.2,2,2.8,3.6,4.4,5.7,7,8.3,9.6,10.9,12.2,13.5,14.8,16.1,17.4,19.1,20.8,22.5,24.2},{0,10,20,30,40,50,60,62,64,66,68,70,72,74,76,78,80,85,90,95,100})</f>
        <v>76</v>
      </c>
      <c r="G355" s="6">
        <v>184</v>
      </c>
      <c r="H355" s="1">
        <f>LOOKUP(G355,{0,123,128,133,138,143,148,151,154,157,160,163,166,169,172,175,178,185,192,198,204},{0,10,20,30,40,50,60,62,64,66,68,70,72,74,76,78,80,85,90,95,100})</f>
        <v>80</v>
      </c>
      <c r="I355" s="6">
        <v>45</v>
      </c>
      <c r="J355" s="1">
        <f>LOOKUP(I355,{0,13,15,17,19,21,23,25,27,29,31,33,35,37,39,41,43,46,49,51,53},{0,10,20,30,40,50,60,62,64,66,68,70,72,74,76,78,80,85,90,95,100})</f>
        <v>80</v>
      </c>
      <c r="K355" s="45"/>
      <c r="L355" s="45"/>
      <c r="M355" s="21">
        <f t="shared" si="167"/>
        <v>80</v>
      </c>
      <c r="N355" s="6">
        <v>8.9</v>
      </c>
      <c r="O355" s="43">
        <f t="shared" si="168"/>
        <v>4.1</v>
      </c>
      <c r="P355" s="1">
        <f>LOOKUP(O355,{0,1.4,1.6,1.8,2,2.2,2.4,2.6,2.8,3,3.2,3.4,3.6,3.8,4,4.2,4.4,4.7,5,5.1,5.2},{0,10,20,30,40,50,60,62,64,66,68,70,72,74,76,78,80,85,90,95,100})</f>
        <v>76</v>
      </c>
      <c r="Q355" s="6">
        <v>3.32</v>
      </c>
      <c r="R355" s="6">
        <f t="shared" si="164"/>
        <v>6.68</v>
      </c>
      <c r="S355" s="1">
        <f>LOOKUP(R355,{0,4.7,4.8,4.9,5,5.5,5.6,5.65,5.7,5.75,5.8,5.85,5.9,5.95,6,6.45,6.5,6.57,6.64,6.7,6.76},{0,10,20,30,40,50,60,62,64,66,68,70,72,74,76,78,80,85,90,95,100})</f>
        <v>90</v>
      </c>
      <c r="T355" s="45"/>
      <c r="U355" s="45"/>
      <c r="V355" s="21">
        <f t="shared" si="165"/>
        <v>90</v>
      </c>
      <c r="X355" s="21">
        <f t="shared" si="162"/>
        <v>56.8</v>
      </c>
      <c r="Y355" s="37">
        <f t="shared" si="169"/>
        <v>81.1428571428572</v>
      </c>
    </row>
    <row r="356" ht="15.6" hidden="1" outlineLevel="2" spans="1:25">
      <c r="A356" s="6">
        <v>108</v>
      </c>
      <c r="B356" s="6">
        <v>47</v>
      </c>
      <c r="C356" s="29" t="s">
        <v>402</v>
      </c>
      <c r="D356" s="29" t="s">
        <v>46</v>
      </c>
      <c r="E356" s="6">
        <v>25.5</v>
      </c>
      <c r="F356" s="1">
        <f>LOOKUP(E356,{0,0.4,1.2,2,2.8,3.6,4.4,5.7,7,8.3,9.6,10.9,12.2,13.5,14.8,16.1,17.4,19.1,20.8,22.5,24.2},{0,10,20,30,40,50,60,62,64,66,68,70,72,74,76,78,80,85,90,95,100})</f>
        <v>100</v>
      </c>
      <c r="G356" s="6">
        <v>166</v>
      </c>
      <c r="H356" s="1">
        <f>LOOKUP(G356,{0,123,128,133,138,143,148,151,154,157,160,163,166,169,172,175,178,185,192,198,204},{0,10,20,30,40,50,60,62,64,66,68,70,72,74,76,78,80,85,90,95,100})</f>
        <v>72</v>
      </c>
      <c r="I356" s="6">
        <v>48</v>
      </c>
      <c r="J356" s="1">
        <f>LOOKUP(I356,{0,13,15,17,19,21,23,25,27,29,31,33,35,37,39,41,43,46,49,51,53},{0,10,20,30,40,50,60,62,64,66,68,70,72,74,76,78,80,85,90,95,100})</f>
        <v>85</v>
      </c>
      <c r="K356" s="45"/>
      <c r="L356" s="45"/>
      <c r="M356" s="21">
        <f t="shared" si="167"/>
        <v>85</v>
      </c>
      <c r="N356" s="6">
        <v>8.3</v>
      </c>
      <c r="O356" s="43">
        <f t="shared" si="168"/>
        <v>4.7</v>
      </c>
      <c r="P356" s="1">
        <f>LOOKUP(O356,{0,1.4,1.6,1.8,2,2.2,2.4,2.6,2.8,3,3.2,3.4,3.6,3.8,4,4.2,4.4,4.7,5,5.1,5.2},{0,10,20,30,40,50,60,62,64,66,68,70,72,74,76,78,80,85,90,95,100})</f>
        <v>85</v>
      </c>
      <c r="Q356" s="6">
        <v>4.03</v>
      </c>
      <c r="R356" s="6">
        <f t="shared" si="164"/>
        <v>5.97</v>
      </c>
      <c r="S356" s="1">
        <f>LOOKUP(R356,{0,4.7,4.8,4.9,5,5.5,5.6,5.65,5.7,5.75,5.8,5.85,5.9,5.95,6,6.45,6.5,6.57,6.64,6.7,6.76},{0,10,20,30,40,50,60,62,64,66,68,70,72,74,76,78,80,85,90,95,100})</f>
        <v>74</v>
      </c>
      <c r="T356" s="45"/>
      <c r="U356" s="45"/>
      <c r="V356" s="21">
        <f t="shared" si="165"/>
        <v>74</v>
      </c>
      <c r="X356" s="21">
        <f t="shared" si="162"/>
        <v>57.5</v>
      </c>
      <c r="Y356" s="37">
        <f t="shared" si="169"/>
        <v>82.1428571428572</v>
      </c>
    </row>
    <row r="357" s="3" customFormat="1" ht="15.6" hidden="1" outlineLevel="2" spans="1:25">
      <c r="A357" s="6">
        <v>108</v>
      </c>
      <c r="B357" s="6">
        <v>48</v>
      </c>
      <c r="C357" s="29" t="s">
        <v>403</v>
      </c>
      <c r="D357" s="29" t="s">
        <v>46</v>
      </c>
      <c r="E357" s="6">
        <v>3.5</v>
      </c>
      <c r="F357" s="1">
        <f>LOOKUP(E357,{0,0.4,1.2,2,2.8,3.6,4.4,5.7,7,8.3,9.6,10.9,12.2,13.5,14.8,16.1,17.4,19.1,20.8,22.5,24.2},{0,10,20,30,40,50,60,62,64,66,68,70,72,74,76,78,80,85,90,95,100})</f>
        <v>40</v>
      </c>
      <c r="G357" s="6">
        <v>165</v>
      </c>
      <c r="H357" s="1">
        <f>LOOKUP(G357,{0,123,128,133,138,143,148,151,154,157,160,163,166,169,172,175,178,185,192,198,204},{0,10,20,30,40,50,60,62,64,66,68,70,72,74,76,78,80,85,90,95,100})</f>
        <v>70</v>
      </c>
      <c r="I357" s="6">
        <v>45</v>
      </c>
      <c r="J357" s="1">
        <f>LOOKUP(I357,{0,13,15,17,19,21,23,25,27,29,31,33,35,37,39,41,43,46,49,51,53},{0,10,20,30,40,50,60,62,64,66,68,70,72,74,76,78,80,85,90,95,100})</f>
        <v>80</v>
      </c>
      <c r="K357" s="45"/>
      <c r="L357" s="45"/>
      <c r="M357" s="21">
        <f t="shared" si="167"/>
        <v>80</v>
      </c>
      <c r="N357" s="6">
        <v>8.6</v>
      </c>
      <c r="O357" s="43">
        <f t="shared" si="168"/>
        <v>4.4</v>
      </c>
      <c r="P357" s="1">
        <f>LOOKUP(O357,{0,1.4,1.6,1.8,2,2.2,2.4,2.6,2.8,3,3.2,3.4,3.6,3.8,4,4.2,4.4,4.7,5,5.1,5.2},{0,10,20,30,40,50,60,62,64,66,68,70,72,74,76,78,80,85,90,95,100})</f>
        <v>80</v>
      </c>
      <c r="Q357" s="6">
        <v>3.27</v>
      </c>
      <c r="R357" s="6">
        <f t="shared" si="164"/>
        <v>6.73</v>
      </c>
      <c r="S357" s="1">
        <f>LOOKUP(R357,{0,4.7,4.8,4.9,5,5.5,5.6,5.65,5.7,5.75,5.8,5.85,5.9,5.95,6,6.45,6.5,6.57,6.64,6.7,6.76},{0,10,20,30,40,50,60,62,64,66,68,70,72,74,76,78,80,85,90,95,100})</f>
        <v>95</v>
      </c>
      <c r="T357" s="45"/>
      <c r="U357" s="45"/>
      <c r="V357" s="21">
        <f t="shared" si="165"/>
        <v>95</v>
      </c>
      <c r="W357" s="6"/>
      <c r="X357" s="21">
        <f t="shared" si="162"/>
        <v>54</v>
      </c>
      <c r="Y357" s="37">
        <f t="shared" si="169"/>
        <v>77.1428571428572</v>
      </c>
    </row>
    <row r="358" s="3" customFormat="1" ht="15.6" outlineLevel="1" collapsed="1" spans="1:25">
      <c r="A358" s="42" t="s">
        <v>849</v>
      </c>
      <c r="B358" s="6"/>
      <c r="C358" s="29"/>
      <c r="D358" s="29"/>
      <c r="E358" s="6"/>
      <c r="F358" s="1">
        <f>SUBTOTAL(1,F310:F357)</f>
        <v>69.5957446808511</v>
      </c>
      <c r="G358" s="6"/>
      <c r="H358" s="1">
        <f>SUBTOTAL(1,H310:H357)</f>
        <v>70.2765957446808</v>
      </c>
      <c r="I358" s="6"/>
      <c r="J358" s="1">
        <f>SUBTOTAL(1,J310:J357)</f>
        <v>58.2340425531915</v>
      </c>
      <c r="K358" s="45"/>
      <c r="L358" s="45"/>
      <c r="M358" s="21">
        <f>SUBTOTAL(1,M310:M357)</f>
        <v>58.7659574468085</v>
      </c>
      <c r="N358" s="6"/>
      <c r="O358" s="43"/>
      <c r="P358" s="1">
        <f>SUBTOTAL(1,P310:P357)</f>
        <v>83.9130434782609</v>
      </c>
      <c r="Q358" s="6"/>
      <c r="R358" s="6"/>
      <c r="S358" s="1">
        <f>SUBTOTAL(1,S310:S357)</f>
        <v>79.0425531914894</v>
      </c>
      <c r="T358" s="45"/>
      <c r="U358" s="45"/>
      <c r="V358" s="21">
        <f>SUBTOTAL(1,V310:V357)</f>
        <v>79.0425531914894</v>
      </c>
      <c r="W358" s="6"/>
      <c r="X358" s="21">
        <f>SUBTOTAL(1,X310:X357)</f>
        <v>50.9604166666667</v>
      </c>
      <c r="Y358" s="37">
        <f>SUBTOTAL(1,Y310:Y357)</f>
        <v>74.8095238095238</v>
      </c>
    </row>
    <row r="359" ht="15.6" hidden="1" outlineLevel="2" spans="1:25">
      <c r="A359" s="6">
        <v>109</v>
      </c>
      <c r="B359" s="6">
        <v>1</v>
      </c>
      <c r="C359" s="39" t="s">
        <v>405</v>
      </c>
      <c r="D359" s="29" t="s">
        <v>11</v>
      </c>
      <c r="E359" s="6">
        <v>11</v>
      </c>
      <c r="F359" s="1">
        <f>LOOKUP(E359,{0,-4,-3,-2,-1,0,1,2.4,3.8,5.2,6.6,8,9.4,10.8,12.2,13.6,15,17.2,19.4,21.5,23.6},{0,10,20,30,40,50,60,62,64,66,68,70,72,74,76,78,80,85,90,95,100})</f>
        <v>74</v>
      </c>
      <c r="G359" s="6">
        <v>205</v>
      </c>
      <c r="H359" s="1">
        <f>LOOKUP(G359,{0,170,175,180,185,190,195,199,203,207,211,215,219,223,227,231,235,243,250,255,260},{0,10,20,30,40,50,60,62,64,66,68,70,72,74,76,78,80,85,90,95,100})</f>
        <v>64</v>
      </c>
      <c r="I359" s="6">
        <v>0</v>
      </c>
      <c r="J359" s="1">
        <f>LOOKUP(I359,{0,2,3,4,5,6,7,8,9,10,11,12,13,14,15,16},{0,10,20,30,40,50,60,64,68,72,76,80,85,90,95,100})</f>
        <v>0</v>
      </c>
      <c r="K359" s="7"/>
      <c r="L359" s="7"/>
      <c r="M359" s="21">
        <f>J359+L359</f>
        <v>0</v>
      </c>
      <c r="N359" s="6">
        <v>7.8</v>
      </c>
      <c r="O359" s="43">
        <f>13-N359</f>
        <v>5.2</v>
      </c>
      <c r="P359" s="1">
        <f>LOOKUP(O359,{0,2.5,2.7,2.9,3.1,3.3,3.5,3.7,3.9,4.1,4.3,4.5,4.7,4.9,5.1,5.3,5.5,5.6,5.7,5.8,5.9},{0,10,20,30,40,50,60,62,64,66,68,70,72,74,76,78,80,85,90,95,100})</f>
        <v>76</v>
      </c>
      <c r="Q359" s="6">
        <v>5.35</v>
      </c>
      <c r="R359" s="6">
        <f>10-Q359</f>
        <v>4.65</v>
      </c>
      <c r="S359" s="1">
        <f>LOOKUP(R359,{0,3.75,3.95,4.55,4.75,4.95,5.55,5.6,5.65,5.7,5.75,5.8,5.85,5.9,5.95,6,6.45,6.53,6.6,6.65,6.7},{0,10,20,30,40,50,60,62,64,66,68,70,72,74,76,78,80,85,90,95,100})</f>
        <v>30</v>
      </c>
      <c r="T359" s="7"/>
      <c r="U359" s="7"/>
      <c r="V359" s="21">
        <f>S359+U359</f>
        <v>30</v>
      </c>
      <c r="X359" s="21">
        <f t="shared" ref="X359:X405" si="170">F359*0.1+H359*0.1+J359*0.1+P359*0.2+S359*0.2</f>
        <v>35</v>
      </c>
      <c r="Y359" s="37">
        <f>X359/0.7+L359+U359</f>
        <v>50</v>
      </c>
    </row>
    <row r="360" ht="15.6" hidden="1" outlineLevel="2" spans="1:25">
      <c r="A360" s="6">
        <v>109</v>
      </c>
      <c r="B360" s="6">
        <v>2</v>
      </c>
      <c r="C360" s="29" t="s">
        <v>406</v>
      </c>
      <c r="D360" s="29" t="s">
        <v>11</v>
      </c>
      <c r="E360" s="6">
        <v>13.7</v>
      </c>
      <c r="F360" s="1">
        <f>LOOKUP(E360,{0,-4,-3,-2,-1,0,1,2.4,3.8,5.2,6.6,8,9.4,10.8,12.2,13.6,15,17.2,19.4,21.5,23.6},{0,10,20,30,40,50,60,62,64,66,68,70,72,74,76,78,80,85,90,95,100})</f>
        <v>78</v>
      </c>
      <c r="G360" s="6">
        <v>235</v>
      </c>
      <c r="H360" s="1">
        <f>LOOKUP(G360,{0,170,175,180,185,190,195,199,203,207,211,215,219,223,227,231,235,243,250,255,260},{0,10,20,30,40,50,60,62,64,66,68,70,72,74,76,78,80,85,90,95,100})</f>
        <v>80</v>
      </c>
      <c r="I360" s="6">
        <v>21</v>
      </c>
      <c r="J360" s="1">
        <f>LOOKUP(I360,{0,2,3,4,5,6,7,8,9,10,11,12,13,14,15,16},{0,10,20,30,40,50,60,64,68,72,76,80,85,90,95,100})</f>
        <v>100</v>
      </c>
      <c r="K360" s="7">
        <f>I360-16</f>
        <v>5</v>
      </c>
      <c r="L360" s="40">
        <f>LOOKUP(K360,{0,1,2,3,4,5,6,7,8,9,10},{0,1,2,3,4,5,6,7,8,9,10})</f>
        <v>5</v>
      </c>
      <c r="M360" s="21">
        <f>J360+L360</f>
        <v>105</v>
      </c>
      <c r="N360" s="6">
        <v>7.3</v>
      </c>
      <c r="O360" s="43">
        <f>13-N360</f>
        <v>5.7</v>
      </c>
      <c r="P360" s="1">
        <f>LOOKUP(O360,{0,2.5,2.7,2.9,3.1,3.3,3.5,3.7,3.9,4.1,4.3,4.5,4.7,4.9,5.1,5.3,5.5,5.6,5.7,5.8,5.9},{0,10,20,30,40,50,60,62,64,66,68,70,72,74,76,78,80,85,90,95,100})</f>
        <v>90</v>
      </c>
      <c r="Q360" s="6">
        <v>3.5</v>
      </c>
      <c r="R360" s="6">
        <f>10-Q360</f>
        <v>6.5</v>
      </c>
      <c r="S360" s="1">
        <f>LOOKUP(R360,{0,3.75,3.95,4.55,4.75,4.95,5.55,5.6,5.65,5.7,5.75,5.8,5.85,5.9,5.95,6,6.45,6.53,6.6,6.65,6.7},{0,10,20,30,40,50,60,62,64,66,68,70,72,74,76,78,80,85,90,95,100})</f>
        <v>80</v>
      </c>
      <c r="T360" s="7"/>
      <c r="U360" s="7"/>
      <c r="V360" s="21">
        <f>S360+U360</f>
        <v>80</v>
      </c>
      <c r="X360" s="21">
        <f t="shared" si="170"/>
        <v>59.8</v>
      </c>
      <c r="Y360" s="37">
        <f>X360/0.7+L360+U360</f>
        <v>90.4285714285714</v>
      </c>
    </row>
    <row r="361" ht="15.6" hidden="1" outlineLevel="2" spans="1:25">
      <c r="A361" s="6">
        <v>109</v>
      </c>
      <c r="B361" s="6">
        <v>3</v>
      </c>
      <c r="C361" s="29" t="s">
        <v>407</v>
      </c>
      <c r="D361" s="29" t="s">
        <v>11</v>
      </c>
      <c r="E361" s="6">
        <v>13</v>
      </c>
      <c r="F361" s="1">
        <f>LOOKUP(E361,{0,-4,-3,-2,-1,0,1,2.4,3.8,5.2,6.6,8,9.4,10.8,12.2,13.6,15,17.2,19.4,21.5,23.6},{0,10,20,30,40,50,60,62,64,66,68,70,72,74,76,78,80,85,90,95,100})</f>
        <v>76</v>
      </c>
      <c r="G361" s="6">
        <v>210</v>
      </c>
      <c r="H361" s="1">
        <f>LOOKUP(G361,{0,170,175,180,185,190,195,199,203,207,211,215,219,223,227,231,235,243,250,255,260},{0,10,20,30,40,50,60,62,64,66,68,70,72,74,76,78,80,85,90,95,100})</f>
        <v>66</v>
      </c>
      <c r="I361" s="6">
        <v>0</v>
      </c>
      <c r="J361" s="1">
        <f>LOOKUP(I361,{0,2,3,4,5,6,7,8,9,10,11,12,13,14,15,16},{0,10,20,30,40,50,60,64,68,72,76,80,85,90,95,100})</f>
        <v>0</v>
      </c>
      <c r="K361" s="7"/>
      <c r="L361" s="7"/>
      <c r="M361" s="21">
        <f>J361+L361</f>
        <v>0</v>
      </c>
      <c r="N361" s="6">
        <v>7.4</v>
      </c>
      <c r="O361" s="43">
        <f>13-N361</f>
        <v>5.6</v>
      </c>
      <c r="P361" s="1">
        <f>LOOKUP(O361,{0,2.5,2.7,2.9,3.1,3.3,3.5,3.7,3.9,4.1,4.3,4.5,4.7,4.9,5.1,5.3,5.5,5.6,5.7,5.8,5.9},{0,10,20,30,40,50,60,62,64,66,68,70,72,74,76,78,80,85,90,95,100})</f>
        <v>85</v>
      </c>
      <c r="Q361" s="6">
        <v>5.36</v>
      </c>
      <c r="R361" s="6">
        <f>10-Q361</f>
        <v>4.64</v>
      </c>
      <c r="S361" s="1">
        <f>LOOKUP(R361,{0,3.75,3.95,4.55,4.75,4.95,5.55,5.6,5.65,5.7,5.75,5.8,5.85,5.9,5.95,6,6.45,6.53,6.6,6.65,6.7},{0,10,20,30,40,50,60,62,64,66,68,70,72,74,76,78,80,85,90,95,100})</f>
        <v>30</v>
      </c>
      <c r="T361" s="7"/>
      <c r="U361" s="7"/>
      <c r="V361" s="21">
        <f>S361+U361</f>
        <v>30</v>
      </c>
      <c r="X361" s="21">
        <f t="shared" si="170"/>
        <v>37.2</v>
      </c>
      <c r="Y361" s="37">
        <f>X361/0.7+L361+U361</f>
        <v>53.1428571428572</v>
      </c>
    </row>
    <row r="362" ht="15.6" hidden="1" outlineLevel="2" spans="1:25">
      <c r="A362" s="6">
        <v>109</v>
      </c>
      <c r="B362" s="6">
        <v>4</v>
      </c>
      <c r="C362" s="29" t="s">
        <v>408</v>
      </c>
      <c r="D362" s="29" t="s">
        <v>11</v>
      </c>
      <c r="F362" s="1"/>
      <c r="H362" s="1"/>
      <c r="J362" s="1"/>
      <c r="K362" s="7"/>
      <c r="L362" s="7"/>
      <c r="M362" s="21"/>
      <c r="O362" s="43"/>
      <c r="P362" s="1"/>
      <c r="S362" s="1"/>
      <c r="T362" s="7"/>
      <c r="U362" s="40"/>
      <c r="V362" s="21"/>
      <c r="W362" s="6" t="s">
        <v>84</v>
      </c>
      <c r="X362" s="21">
        <f t="shared" si="170"/>
        <v>0</v>
      </c>
      <c r="Y362" s="37">
        <v>50</v>
      </c>
    </row>
    <row r="363" ht="15.6" hidden="1" outlineLevel="2" spans="1:25">
      <c r="A363" s="6">
        <v>109</v>
      </c>
      <c r="B363" s="6">
        <v>5</v>
      </c>
      <c r="C363" s="29" t="s">
        <v>409</v>
      </c>
      <c r="D363" s="29" t="s">
        <v>11</v>
      </c>
      <c r="E363" s="6">
        <v>1.2</v>
      </c>
      <c r="F363" s="1">
        <f>LOOKUP(E363,{0,-4,-3,-2,-1,0,1,2.4,3.8,5.2,6.6,8,9.4,10.8,12.2,13.6,15,17.2,19.4,21.5,23.6},{0,10,20,30,40,50,60,62,64,66,68,70,72,74,76,78,80,85,90,95,100})</f>
        <v>60</v>
      </c>
      <c r="G363" s="6">
        <v>230</v>
      </c>
      <c r="H363" s="1">
        <f>LOOKUP(G363,{0,170,175,180,185,190,195,199,203,207,211,215,219,223,227,231,235,243,250,255,260},{0,10,20,30,40,50,60,62,64,66,68,70,72,74,76,78,80,85,90,95,100})</f>
        <v>76</v>
      </c>
      <c r="I363" s="6">
        <v>26</v>
      </c>
      <c r="J363" s="1">
        <f>LOOKUP(I363,{0,2,3,4,5,6,7,8,9,10,11,12,13,14,15,16},{0,10,20,30,40,50,60,64,68,72,76,80,85,90,95,100})</f>
        <v>100</v>
      </c>
      <c r="K363" s="7">
        <f t="shared" ref="K363:K368" si="171">I363-16</f>
        <v>10</v>
      </c>
      <c r="L363" s="40">
        <f>LOOKUP(K363,{0,1,2,3,4,5,6,7,8,9,10},{0,1,2,3,4,5,6,7,8,9,10})</f>
        <v>10</v>
      </c>
      <c r="M363" s="21">
        <f t="shared" ref="M363:M369" si="172">J363+L363</f>
        <v>110</v>
      </c>
      <c r="N363" s="6">
        <v>6.4</v>
      </c>
      <c r="O363" s="43">
        <f t="shared" ref="O363:O369" si="173">13-N363</f>
        <v>6.6</v>
      </c>
      <c r="P363" s="1">
        <f>LOOKUP(O363,{0,2.5,2.7,2.9,3.1,3.3,3.5,3.7,3.9,4.1,4.3,4.5,4.7,4.9,5.1,5.3,5.5,5.6,5.7,5.8,5.9},{0,10,20,30,40,50,60,62,64,66,68,70,72,74,76,78,80,85,90,95,100})</f>
        <v>100</v>
      </c>
      <c r="Q363" s="6">
        <v>3.04</v>
      </c>
      <c r="R363" s="6">
        <f t="shared" ref="R363:R369" si="174">10-Q363</f>
        <v>6.96</v>
      </c>
      <c r="S363" s="1">
        <f>LOOKUP(R363,{0,3.75,3.95,4.55,4.75,4.95,5.55,5.6,5.65,5.7,5.75,5.8,5.85,5.9,5.95,6,6.45,6.53,6.6,6.65,6.7},{0,10,20,30,40,50,60,62,64,66,68,70,72,74,76,78,80,85,90,95,100})</f>
        <v>100</v>
      </c>
      <c r="T363" s="7">
        <f>3.3-Q363</f>
        <v>0.26</v>
      </c>
      <c r="U363" s="40">
        <f>LOOKUP(T363,{0,0.04,0.08,0.12,0.16,0.2,0.23,0.26,0.29,0.32,0.35},{0,1,2,3,4,5,6,7,8,9,10})</f>
        <v>7</v>
      </c>
      <c r="V363" s="21">
        <f t="shared" ref="V363:V369" si="175">S363+U363</f>
        <v>107</v>
      </c>
      <c r="X363" s="21">
        <f t="shared" si="170"/>
        <v>63.6</v>
      </c>
      <c r="Y363" s="37">
        <f t="shared" ref="Y363:Y369" si="176">X363/0.7+L363+U363</f>
        <v>107.857142857143</v>
      </c>
    </row>
    <row r="364" s="34" customFormat="1" ht="15.6" hidden="1" outlineLevel="2" spans="1:25">
      <c r="A364" s="6">
        <v>109</v>
      </c>
      <c r="B364" s="6">
        <v>6</v>
      </c>
      <c r="C364" s="29" t="s">
        <v>410</v>
      </c>
      <c r="D364" s="29" t="s">
        <v>11</v>
      </c>
      <c r="E364" s="6">
        <v>17.5</v>
      </c>
      <c r="F364" s="1">
        <f>LOOKUP(E364,{0,-4,-3,-2,-1,0,1,2.4,3.8,5.2,6.6,8,9.4,10.8,12.2,13.6,15,17.2,19.4,21.5,23.6},{0,10,20,30,40,50,60,62,64,66,68,70,72,74,76,78,80,85,90,95,100})</f>
        <v>85</v>
      </c>
      <c r="G364" s="6">
        <v>243</v>
      </c>
      <c r="H364" s="1">
        <f>LOOKUP(G364,{0,170,175,180,185,190,195,199,203,207,211,215,219,223,227,231,235,243,250,255,260},{0,10,20,30,40,50,60,62,64,66,68,70,72,74,76,78,80,85,90,95,100})</f>
        <v>85</v>
      </c>
      <c r="I364" s="6">
        <v>6</v>
      </c>
      <c r="J364" s="1">
        <f>LOOKUP(I364,{0,2,3,4,5,6,7,8,9,10,11,12,13,14,15,16},{0,10,20,30,40,50,60,64,68,72,76,80,85,90,95,100})</f>
        <v>50</v>
      </c>
      <c r="K364" s="7"/>
      <c r="L364" s="7"/>
      <c r="M364" s="21">
        <f t="shared" si="172"/>
        <v>50</v>
      </c>
      <c r="N364" s="6">
        <v>7.2</v>
      </c>
      <c r="O364" s="43">
        <f t="shared" si="173"/>
        <v>5.8</v>
      </c>
      <c r="P364" s="1">
        <f>LOOKUP(O364,{0,2.5,2.7,2.9,3.1,3.3,3.5,3.7,3.9,4.1,4.3,4.5,4.7,4.9,5.1,5.3,5.5,5.6,5.7,5.8,5.9},{0,10,20,30,40,50,60,62,64,66,68,70,72,74,76,78,80,85,90,95,100})</f>
        <v>95</v>
      </c>
      <c r="Q364" s="6">
        <v>3.52</v>
      </c>
      <c r="R364" s="6">
        <f t="shared" si="174"/>
        <v>6.48</v>
      </c>
      <c r="S364" s="1">
        <f>LOOKUP(R364,{0,3.75,3.95,4.55,4.75,4.95,5.55,5.6,5.65,5.7,5.75,5.8,5.85,5.9,5.95,6,6.45,6.53,6.6,6.65,6.7},{0,10,20,30,40,50,60,62,64,66,68,70,72,74,76,78,80,85,90,95,100})</f>
        <v>80</v>
      </c>
      <c r="T364" s="7"/>
      <c r="U364" s="7"/>
      <c r="V364" s="21">
        <f t="shared" si="175"/>
        <v>80</v>
      </c>
      <c r="W364" s="6"/>
      <c r="X364" s="21">
        <f t="shared" si="170"/>
        <v>57</v>
      </c>
      <c r="Y364" s="37">
        <f t="shared" si="176"/>
        <v>81.4285714285714</v>
      </c>
    </row>
    <row r="365" ht="15.6" hidden="1" outlineLevel="2" spans="1:25">
      <c r="A365" s="6">
        <v>109</v>
      </c>
      <c r="B365" s="6">
        <v>7</v>
      </c>
      <c r="C365" s="29" t="s">
        <v>411</v>
      </c>
      <c r="D365" s="29" t="s">
        <v>11</v>
      </c>
      <c r="E365" s="6">
        <v>19.5</v>
      </c>
      <c r="F365" s="1">
        <f>LOOKUP(E365,{0,-4,-3,-2,-1,0,1,2.4,3.8,5.2,6.6,8,9.4,10.8,12.2,13.6,15,17.2,19.4,21.5,23.6},{0,10,20,30,40,50,60,62,64,66,68,70,72,74,76,78,80,85,90,95,100})</f>
        <v>90</v>
      </c>
      <c r="G365" s="6">
        <v>253</v>
      </c>
      <c r="H365" s="1">
        <f>LOOKUP(G365,{0,170,175,180,185,190,195,199,203,207,211,215,219,223,227,231,235,243,250,255,260},{0,10,20,30,40,50,60,62,64,66,68,70,72,74,76,78,80,85,90,95,100})</f>
        <v>90</v>
      </c>
      <c r="I365" s="6">
        <v>12</v>
      </c>
      <c r="J365" s="1">
        <f>LOOKUP(I365,{0,2,3,4,5,6,7,8,9,10,11,12,13,14,15,16},{0,10,20,30,40,50,60,64,68,72,76,80,85,90,95,100})</f>
        <v>80</v>
      </c>
      <c r="K365" s="7"/>
      <c r="L365" s="7"/>
      <c r="M365" s="21">
        <f t="shared" si="172"/>
        <v>80</v>
      </c>
      <c r="N365" s="6">
        <v>7.2</v>
      </c>
      <c r="O365" s="43">
        <f t="shared" si="173"/>
        <v>5.8</v>
      </c>
      <c r="P365" s="1">
        <f>LOOKUP(O365,{0,2.5,2.7,2.9,3.1,3.3,3.5,3.7,3.9,4.1,4.3,4.5,4.7,4.9,5.1,5.3,5.5,5.6,5.7,5.8,5.9},{0,10,20,30,40,50,60,62,64,66,68,70,72,74,76,78,80,85,90,95,100})</f>
        <v>95</v>
      </c>
      <c r="Q365" s="6">
        <v>3.46</v>
      </c>
      <c r="R365" s="6">
        <f t="shared" si="174"/>
        <v>6.54</v>
      </c>
      <c r="S365" s="1">
        <f>LOOKUP(R365,{0,3.75,3.95,4.55,4.75,4.95,5.55,5.6,5.65,5.7,5.75,5.8,5.85,5.9,5.95,6,6.45,6.53,6.6,6.65,6.7},{0,10,20,30,40,50,60,62,64,66,68,70,72,74,76,78,80,85,90,95,100})</f>
        <v>85</v>
      </c>
      <c r="T365" s="7"/>
      <c r="U365" s="7"/>
      <c r="V365" s="21">
        <f t="shared" si="175"/>
        <v>85</v>
      </c>
      <c r="X365" s="21">
        <f t="shared" si="170"/>
        <v>62</v>
      </c>
      <c r="Y365" s="37">
        <f t="shared" si="176"/>
        <v>88.5714285714286</v>
      </c>
    </row>
    <row r="366" ht="15.6" hidden="1" outlineLevel="2" spans="1:25">
      <c r="A366" s="6">
        <v>109</v>
      </c>
      <c r="B366" s="6">
        <v>8</v>
      </c>
      <c r="C366" s="29" t="s">
        <v>412</v>
      </c>
      <c r="D366" s="29" t="s">
        <v>11</v>
      </c>
      <c r="E366" s="6">
        <v>12.7</v>
      </c>
      <c r="F366" s="1">
        <f>LOOKUP(E366,{0,-4,-3,-2,-1,0,1,2.4,3.8,5.2,6.6,8,9.4,10.8,12.2,13.6,15,17.2,19.4,21.5,23.6},{0,10,20,30,40,50,60,62,64,66,68,70,72,74,76,78,80,85,90,95,100})</f>
        <v>76</v>
      </c>
      <c r="G366" s="6">
        <v>260</v>
      </c>
      <c r="H366" s="1">
        <f>LOOKUP(G366,{0,170,175,180,185,190,195,199,203,207,211,215,219,223,227,231,235,243,250,255,260},{0,10,20,30,40,50,60,62,64,66,68,70,72,74,76,78,80,85,90,95,100})</f>
        <v>100</v>
      </c>
      <c r="I366" s="6">
        <v>17</v>
      </c>
      <c r="J366" s="1">
        <f>LOOKUP(I366,{0,2,3,4,5,6,7,8,9,10,11,12,13,14,15,16},{0,10,20,30,40,50,60,64,68,72,76,80,85,90,95,100})</f>
        <v>100</v>
      </c>
      <c r="K366" s="7">
        <f t="shared" si="171"/>
        <v>1</v>
      </c>
      <c r="L366" s="40">
        <f>LOOKUP(K366,{0,1,2,3,4,5,6,7,8,9,10},{0,1,2,3,4,5,6,7,8,9,10})</f>
        <v>1</v>
      </c>
      <c r="M366" s="21">
        <f t="shared" si="172"/>
        <v>101</v>
      </c>
      <c r="N366" s="6">
        <v>6.5</v>
      </c>
      <c r="O366" s="43">
        <f t="shared" si="173"/>
        <v>6.5</v>
      </c>
      <c r="P366" s="1">
        <f>LOOKUP(O366,{0,2.5,2.7,2.9,3.1,3.3,3.5,3.7,3.9,4.1,4.3,4.5,4.7,4.9,5.1,5.3,5.5,5.6,5.7,5.8,5.9},{0,10,20,30,40,50,60,62,64,66,68,70,72,74,76,78,80,85,90,95,100})</f>
        <v>100</v>
      </c>
      <c r="Q366" s="6">
        <v>3.1</v>
      </c>
      <c r="R366" s="6">
        <f t="shared" si="174"/>
        <v>6.9</v>
      </c>
      <c r="S366" s="1">
        <f>LOOKUP(R366,{0,3.75,3.95,4.55,4.75,4.95,5.55,5.6,5.65,5.7,5.75,5.8,5.85,5.9,5.95,6,6.45,6.53,6.6,6.65,6.7},{0,10,20,30,40,50,60,62,64,66,68,70,72,74,76,78,80,85,90,95,100})</f>
        <v>100</v>
      </c>
      <c r="T366" s="7">
        <f>3.3-Q366</f>
        <v>0.2</v>
      </c>
      <c r="U366" s="40">
        <f>LOOKUP(T366,{0,0.04,0.08,0.12,0.16,0.2,0.23,0.26,0.29,0.32,0.35},{0,1,2,3,4,5,6,7,8,9,10})</f>
        <v>4</v>
      </c>
      <c r="V366" s="21">
        <f t="shared" si="175"/>
        <v>104</v>
      </c>
      <c r="X366" s="21">
        <f t="shared" si="170"/>
        <v>67.6</v>
      </c>
      <c r="Y366" s="37">
        <f t="shared" si="176"/>
        <v>101.571428571429</v>
      </c>
    </row>
    <row r="367" ht="15.6" hidden="1" outlineLevel="2" spans="1:25">
      <c r="A367" s="6">
        <v>109</v>
      </c>
      <c r="B367" s="6">
        <v>9</v>
      </c>
      <c r="C367" s="29" t="s">
        <v>413</v>
      </c>
      <c r="D367" s="29" t="s">
        <v>11</v>
      </c>
      <c r="E367" s="6">
        <v>13.5</v>
      </c>
      <c r="F367" s="1">
        <f>LOOKUP(E367,{0,-4,-3,-2,-1,0,1,2.4,3.8,5.2,6.6,8,9.4,10.8,12.2,13.6,15,17.2,19.4,21.5,23.6},{0,10,20,30,40,50,60,62,64,66,68,70,72,74,76,78,80,85,90,95,100})</f>
        <v>76</v>
      </c>
      <c r="G367" s="6">
        <v>245</v>
      </c>
      <c r="H367" s="1">
        <f>LOOKUP(G367,{0,170,175,180,185,190,195,199,203,207,211,215,219,223,227,231,235,243,250,255,260},{0,10,20,30,40,50,60,62,64,66,68,70,72,74,76,78,80,85,90,95,100})</f>
        <v>85</v>
      </c>
      <c r="I367" s="6">
        <v>18</v>
      </c>
      <c r="J367" s="1">
        <f>LOOKUP(I367,{0,2,3,4,5,6,7,8,9,10,11,12,13,14,15,16},{0,10,20,30,40,50,60,64,68,72,76,80,85,90,95,100})</f>
        <v>100</v>
      </c>
      <c r="K367" s="7">
        <f t="shared" si="171"/>
        <v>2</v>
      </c>
      <c r="L367" s="40">
        <f>LOOKUP(K367,{0,1,2,3,4,5,6,7,8,9,10},{0,1,2,3,4,5,6,7,8,9,10})</f>
        <v>2</v>
      </c>
      <c r="M367" s="21">
        <f t="shared" si="172"/>
        <v>102</v>
      </c>
      <c r="N367" s="6">
        <v>7.2</v>
      </c>
      <c r="O367" s="43">
        <f t="shared" si="173"/>
        <v>5.8</v>
      </c>
      <c r="P367" s="1">
        <f>LOOKUP(O367,{0,2.5,2.7,2.9,3.1,3.3,3.5,3.7,3.9,4.1,4.3,4.5,4.7,4.9,5.1,5.3,5.5,5.6,5.7,5.8,5.9},{0,10,20,30,40,50,60,62,64,66,68,70,72,74,76,78,80,85,90,95,100})</f>
        <v>95</v>
      </c>
      <c r="Q367" s="6">
        <v>3.42</v>
      </c>
      <c r="R367" s="6">
        <f t="shared" si="174"/>
        <v>6.58</v>
      </c>
      <c r="S367" s="1">
        <f>LOOKUP(R367,{0,3.75,3.95,4.55,4.75,4.95,5.55,5.6,5.65,5.7,5.75,5.8,5.85,5.9,5.95,6,6.45,6.53,6.6,6.65,6.7},{0,10,20,30,40,50,60,62,64,66,68,70,72,74,76,78,80,85,90,95,100})</f>
        <v>85</v>
      </c>
      <c r="T367" s="7"/>
      <c r="U367" s="7"/>
      <c r="V367" s="21">
        <f t="shared" si="175"/>
        <v>85</v>
      </c>
      <c r="X367" s="21">
        <f t="shared" si="170"/>
        <v>62.1</v>
      </c>
      <c r="Y367" s="37">
        <f t="shared" si="176"/>
        <v>90.7142857142857</v>
      </c>
    </row>
    <row r="368" ht="15.6" hidden="1" outlineLevel="2" spans="1:25">
      <c r="A368" s="6">
        <v>109</v>
      </c>
      <c r="B368" s="6">
        <v>10</v>
      </c>
      <c r="C368" s="29" t="s">
        <v>414</v>
      </c>
      <c r="D368" s="29" t="s">
        <v>11</v>
      </c>
      <c r="E368" s="6">
        <v>1.1</v>
      </c>
      <c r="F368" s="1">
        <f>LOOKUP(E368,{0,-4,-3,-2,-1,0,1,2.4,3.8,5.2,6.6,8,9.4,10.8,12.2,13.6,15,17.2,19.4,21.5,23.6},{0,10,20,30,40,50,60,62,64,66,68,70,72,74,76,78,80,85,90,95,100})</f>
        <v>60</v>
      </c>
      <c r="G368" s="6">
        <v>235</v>
      </c>
      <c r="H368" s="1">
        <f>LOOKUP(G368,{0,170,175,180,185,190,195,199,203,207,211,215,219,223,227,231,235,243,250,255,260},{0,10,20,30,40,50,60,62,64,66,68,70,72,74,76,78,80,85,90,95,100})</f>
        <v>80</v>
      </c>
      <c r="I368" s="6">
        <v>17</v>
      </c>
      <c r="J368" s="1">
        <f>LOOKUP(I368,{0,2,3,4,5,6,7,8,9,10,11,12,13,14,15,16},{0,10,20,30,40,50,60,64,68,72,76,80,85,90,95,100})</f>
        <v>100</v>
      </c>
      <c r="K368" s="7">
        <f t="shared" si="171"/>
        <v>1</v>
      </c>
      <c r="L368" s="40">
        <f>LOOKUP(K368,{0,1,2,3,4,5,6,7,8,9,10},{0,1,2,3,4,5,6,7,8,9,10})</f>
        <v>1</v>
      </c>
      <c r="M368" s="21">
        <f t="shared" si="172"/>
        <v>101</v>
      </c>
      <c r="N368" s="6">
        <v>7.3</v>
      </c>
      <c r="O368" s="43">
        <f t="shared" si="173"/>
        <v>5.7</v>
      </c>
      <c r="P368" s="1">
        <f>LOOKUP(O368,{0,2.5,2.7,2.9,3.1,3.3,3.5,3.7,3.9,4.1,4.3,4.5,4.7,4.9,5.1,5.3,5.5,5.6,5.7,5.8,5.9},{0,10,20,30,40,50,60,62,64,66,68,70,72,74,76,78,80,85,90,95,100})</f>
        <v>90</v>
      </c>
      <c r="Q368" s="6">
        <v>4.36</v>
      </c>
      <c r="R368" s="6">
        <f t="shared" si="174"/>
        <v>5.64</v>
      </c>
      <c r="S368" s="1">
        <f>LOOKUP(R368,{0,3.75,3.95,4.55,4.75,4.95,5.55,5.6,5.65,5.7,5.75,5.8,5.85,5.9,5.95,6,6.45,6.53,6.6,6.65,6.7},{0,10,20,30,40,50,60,62,64,66,68,70,72,74,76,78,80,85,90,95,100})</f>
        <v>62</v>
      </c>
      <c r="T368" s="7"/>
      <c r="U368" s="7"/>
      <c r="V368" s="21">
        <f t="shared" si="175"/>
        <v>62</v>
      </c>
      <c r="X368" s="21">
        <f t="shared" si="170"/>
        <v>54.4</v>
      </c>
      <c r="Y368" s="37">
        <f t="shared" si="176"/>
        <v>78.7142857142857</v>
      </c>
    </row>
    <row r="369" ht="15.6" hidden="1" outlineLevel="2" spans="1:25">
      <c r="A369" s="6">
        <v>109</v>
      </c>
      <c r="B369" s="6">
        <v>11</v>
      </c>
      <c r="C369" s="39" t="s">
        <v>416</v>
      </c>
      <c r="D369" s="29" t="s">
        <v>11</v>
      </c>
      <c r="E369" s="6">
        <v>-0.5</v>
      </c>
      <c r="F369" s="1">
        <f>LOOKUP(E369,{0,-4,-3,-2,-1,0,1,2.4,3.8,5.2,6.6,8,9.4,10.8,12.2,13.6,15,17.2,19.4,21.5,23.6},{0,10,20,30,40,50,60,62,64,66,68,70,72,74,76,78,80,85,90,95,100})</f>
        <v>40</v>
      </c>
      <c r="G369" s="6">
        <v>217</v>
      </c>
      <c r="H369" s="1">
        <f>LOOKUP(G369,{0,170,175,180,185,190,195,199,203,207,211,215,219,223,227,231,235,243,250,255,260},{0,10,20,30,40,50,60,62,64,66,68,70,72,74,76,78,80,85,90,95,100})</f>
        <v>70</v>
      </c>
      <c r="I369" s="6">
        <v>12</v>
      </c>
      <c r="J369" s="1">
        <f>LOOKUP(I369,{0,2,3,4,5,6,7,8,9,10,11,12,13,14,15,16},{0,10,20,30,40,50,60,64,68,72,76,80,85,90,95,100})</f>
        <v>80</v>
      </c>
      <c r="K369" s="7"/>
      <c r="L369" s="7"/>
      <c r="M369" s="21">
        <f t="shared" si="172"/>
        <v>80</v>
      </c>
      <c r="N369" s="6">
        <v>7.5</v>
      </c>
      <c r="O369" s="43">
        <f t="shared" si="173"/>
        <v>5.5</v>
      </c>
      <c r="P369" s="1">
        <f>LOOKUP(O369,{0,2.5,2.7,2.9,3.1,3.3,3.5,3.7,3.9,4.1,4.3,4.5,4.7,4.9,5.1,5.3,5.5,5.6,5.7,5.8,5.9},{0,10,20,30,40,50,60,62,64,66,68,70,72,74,76,78,80,85,90,95,100})</f>
        <v>80</v>
      </c>
      <c r="Q369" s="6">
        <v>5.55</v>
      </c>
      <c r="R369" s="6">
        <f t="shared" si="174"/>
        <v>4.45</v>
      </c>
      <c r="S369" s="1">
        <f>LOOKUP(R369,{0,3.75,3.95,4.55,4.75,4.95,5.55,5.6,5.65,5.7,5.75,5.8,5.85,5.9,5.95,6,6.45,6.53,6.6,6.65,6.7},{0,10,20,30,40,50,60,62,64,66,68,70,72,74,76,78,80,85,90,95,100})</f>
        <v>20</v>
      </c>
      <c r="T369" s="7"/>
      <c r="U369" s="7"/>
      <c r="V369" s="21">
        <f t="shared" si="175"/>
        <v>20</v>
      </c>
      <c r="X369" s="21">
        <f t="shared" si="170"/>
        <v>39</v>
      </c>
      <c r="Y369" s="37">
        <f t="shared" si="176"/>
        <v>55.7142857142857</v>
      </c>
    </row>
    <row r="370" s="3" customFormat="1" ht="15.6" hidden="1" outlineLevel="2" spans="1:25">
      <c r="A370" s="6">
        <v>109</v>
      </c>
      <c r="B370" s="6">
        <v>12</v>
      </c>
      <c r="C370" s="29" t="s">
        <v>417</v>
      </c>
      <c r="D370" s="29" t="s">
        <v>11</v>
      </c>
      <c r="E370" s="6"/>
      <c r="F370" s="1"/>
      <c r="G370" s="6"/>
      <c r="H370" s="1"/>
      <c r="I370" s="6"/>
      <c r="J370" s="1"/>
      <c r="K370" s="7"/>
      <c r="L370" s="7"/>
      <c r="M370" s="21"/>
      <c r="N370" s="6"/>
      <c r="O370" s="43"/>
      <c r="P370" s="1"/>
      <c r="Q370" s="6"/>
      <c r="R370" s="6"/>
      <c r="S370" s="1"/>
      <c r="T370" s="7"/>
      <c r="U370" s="40"/>
      <c r="V370" s="21"/>
      <c r="W370" s="6" t="s">
        <v>84</v>
      </c>
      <c r="X370" s="21">
        <f t="shared" si="170"/>
        <v>0</v>
      </c>
      <c r="Y370" s="37">
        <v>50</v>
      </c>
    </row>
    <row r="371" ht="15.6" hidden="1" outlineLevel="2" spans="1:25">
      <c r="A371" s="6">
        <v>109</v>
      </c>
      <c r="B371" s="6">
        <v>13</v>
      </c>
      <c r="C371" s="29" t="s">
        <v>418</v>
      </c>
      <c r="D371" s="29" t="s">
        <v>11</v>
      </c>
      <c r="E371" s="6">
        <v>15</v>
      </c>
      <c r="F371" s="1">
        <f>LOOKUP(E371,{0,-4,-3,-2,-1,0,1,2.4,3.8,5.2,6.6,8,9.4,10.8,12.2,13.6,15,17.2,19.4,21.5,23.6},{0,10,20,30,40,50,60,62,64,66,68,70,72,74,76,78,80,85,90,95,100})</f>
        <v>80</v>
      </c>
      <c r="G371" s="6">
        <v>220</v>
      </c>
      <c r="H371" s="1">
        <f>LOOKUP(G371,{0,170,175,180,185,190,195,199,203,207,211,215,219,223,227,231,235,243,250,255,260},{0,10,20,30,40,50,60,62,64,66,68,70,72,74,76,78,80,85,90,95,100})</f>
        <v>72</v>
      </c>
      <c r="I371" s="6">
        <v>23</v>
      </c>
      <c r="J371" s="1">
        <f>LOOKUP(I371,{0,2,3,4,5,6,7,8,9,10,11,12,13,14,15,16},{0,10,20,30,40,50,60,64,68,72,76,80,85,90,95,100})</f>
        <v>100</v>
      </c>
      <c r="K371" s="7">
        <f t="shared" ref="K371:K376" si="177">I371-16</f>
        <v>7</v>
      </c>
      <c r="L371" s="40">
        <f>LOOKUP(K371,{0,1,2,3,4,5,6,7,8,9,10},{0,1,2,3,4,5,6,7,8,9,10})</f>
        <v>7</v>
      </c>
      <c r="M371" s="21">
        <f t="shared" ref="M371:M378" si="178">J371+L371</f>
        <v>107</v>
      </c>
      <c r="N371" s="6">
        <v>7.7</v>
      </c>
      <c r="O371" s="43">
        <f t="shared" ref="O371:O378" si="179">13-N371</f>
        <v>5.3</v>
      </c>
      <c r="P371" s="1">
        <f>LOOKUP(O371,{0,2.5,2.7,2.9,3.1,3.3,3.5,3.7,3.9,4.1,4.3,4.5,4.7,4.9,5.1,5.3,5.5,5.6,5.7,5.8,5.9},{0,10,20,30,40,50,60,62,64,66,68,70,72,74,76,78,80,85,90,95,100})</f>
        <v>78</v>
      </c>
      <c r="Q371" s="6">
        <v>3.37</v>
      </c>
      <c r="R371" s="6">
        <f t="shared" ref="R371:R378" si="180">10-Q371</f>
        <v>6.63</v>
      </c>
      <c r="S371" s="1">
        <f>LOOKUP(R371,{0,3.75,3.95,4.55,4.75,4.95,5.55,5.6,5.65,5.7,5.75,5.8,5.85,5.9,5.95,6,6.45,6.53,6.6,6.65,6.7},{0,10,20,30,40,50,60,62,64,66,68,70,72,74,76,78,80,85,90,95,100})</f>
        <v>90</v>
      </c>
      <c r="T371" s="7"/>
      <c r="U371" s="7"/>
      <c r="V371" s="21">
        <f t="shared" ref="V371:V378" si="181">S371+U371</f>
        <v>90</v>
      </c>
      <c r="X371" s="21">
        <f t="shared" si="170"/>
        <v>58.8</v>
      </c>
      <c r="Y371" s="37">
        <f t="shared" ref="Y371:Y378" si="182">X371/0.7+L371+U371</f>
        <v>91</v>
      </c>
    </row>
    <row r="372" ht="15.6" hidden="1" outlineLevel="2" spans="1:25">
      <c r="A372" s="6">
        <v>109</v>
      </c>
      <c r="B372" s="6">
        <v>14</v>
      </c>
      <c r="C372" s="29" t="s">
        <v>419</v>
      </c>
      <c r="D372" s="29" t="s">
        <v>11</v>
      </c>
      <c r="E372" s="6">
        <v>3.8</v>
      </c>
      <c r="F372" s="1">
        <f>LOOKUP(E372,{0,-4,-3,-2,-1,0,1,2.4,3.8,5.2,6.6,8,9.4,10.8,12.2,13.6,15,17.2,19.4,21.5,23.6},{0,10,20,30,40,50,60,62,64,66,68,70,72,74,76,78,80,85,90,95,100})</f>
        <v>64</v>
      </c>
      <c r="G372" s="6">
        <v>205</v>
      </c>
      <c r="H372" s="1">
        <f>LOOKUP(G372,{0,170,175,180,185,190,195,199,203,207,211,215,219,223,227,231,235,243,250,255,260},{0,10,20,30,40,50,60,62,64,66,68,70,72,74,76,78,80,85,90,95,100})</f>
        <v>64</v>
      </c>
      <c r="I372" s="6">
        <v>3</v>
      </c>
      <c r="J372" s="1">
        <f>LOOKUP(I372,{0,2,3,4,5,6,7,8,9,10,11,12,13,14,15,16},{0,10,20,30,40,50,60,64,68,72,76,80,85,90,95,100})</f>
        <v>20</v>
      </c>
      <c r="K372" s="7"/>
      <c r="L372" s="7"/>
      <c r="M372" s="21">
        <f t="shared" si="178"/>
        <v>20</v>
      </c>
      <c r="N372" s="6">
        <v>7.5</v>
      </c>
      <c r="O372" s="43">
        <f t="shared" si="179"/>
        <v>5.5</v>
      </c>
      <c r="P372" s="1">
        <f>LOOKUP(O372,{0,2.5,2.7,2.9,3.1,3.3,3.5,3.7,3.9,4.1,4.3,4.5,4.7,4.9,5.1,5.3,5.5,5.6,5.7,5.8,5.9},{0,10,20,30,40,50,60,62,64,66,68,70,72,74,76,78,80,85,90,95,100})</f>
        <v>80</v>
      </c>
      <c r="Q372" s="6">
        <v>3.48</v>
      </c>
      <c r="R372" s="6">
        <f t="shared" si="180"/>
        <v>6.52</v>
      </c>
      <c r="S372" s="1">
        <f>LOOKUP(R372,{0,3.75,3.95,4.55,4.75,4.95,5.55,5.6,5.65,5.7,5.75,5.8,5.85,5.9,5.95,6,6.45,6.53,6.6,6.65,6.7},{0,10,20,30,40,50,60,62,64,66,68,70,72,74,76,78,80,85,90,95,100})</f>
        <v>80</v>
      </c>
      <c r="T372" s="7"/>
      <c r="U372" s="7"/>
      <c r="V372" s="21">
        <f t="shared" si="181"/>
        <v>80</v>
      </c>
      <c r="X372" s="21">
        <f t="shared" si="170"/>
        <v>46.8</v>
      </c>
      <c r="Y372" s="37">
        <f t="shared" si="182"/>
        <v>66.8571428571429</v>
      </c>
    </row>
    <row r="373" ht="15.6" hidden="1" outlineLevel="2" spans="1:25">
      <c r="A373" s="6">
        <v>109</v>
      </c>
      <c r="B373" s="6">
        <v>15</v>
      </c>
      <c r="C373" s="29" t="s">
        <v>420</v>
      </c>
      <c r="D373" s="29" t="s">
        <v>11</v>
      </c>
      <c r="E373" s="6">
        <v>0.4</v>
      </c>
      <c r="F373" s="1">
        <f>LOOKUP(E373,{0,-4,-3,-2,-1,0,1,2.4,3.8,5.2,6.6,8,9.4,10.8,12.2,13.6,15,17.2,19.4,21.5,23.6},{0,10,20,30,40,50,60,62,64,66,68,70,72,74,76,78,80,85,90,95,100})</f>
        <v>50</v>
      </c>
      <c r="G373" s="6">
        <v>215</v>
      </c>
      <c r="H373" s="1">
        <f>LOOKUP(G373,{0,170,175,180,185,190,195,199,203,207,211,215,219,223,227,231,235,243,250,255,260},{0,10,20,30,40,50,60,62,64,66,68,70,72,74,76,78,80,85,90,95,100})</f>
        <v>70</v>
      </c>
      <c r="I373" s="6">
        <v>0</v>
      </c>
      <c r="J373" s="1">
        <f>LOOKUP(I373,{0,2,3,4,5,6,7,8,9,10,11,12,13,14,15,16},{0,10,20,30,40,50,60,64,68,72,76,80,85,90,95,100})</f>
        <v>0</v>
      </c>
      <c r="K373" s="7"/>
      <c r="L373" s="7"/>
      <c r="M373" s="21">
        <f t="shared" si="178"/>
        <v>0</v>
      </c>
      <c r="N373" s="6">
        <v>7.3</v>
      </c>
      <c r="O373" s="43">
        <f t="shared" si="179"/>
        <v>5.7</v>
      </c>
      <c r="P373" s="1">
        <f>LOOKUP(O373,{0,2.5,2.7,2.9,3.1,3.3,3.5,3.7,3.9,4.1,4.3,4.5,4.7,4.9,5.1,5.3,5.5,5.6,5.7,5.8,5.9},{0,10,20,30,40,50,60,62,64,66,68,70,72,74,76,78,80,85,90,95,100})</f>
        <v>90</v>
      </c>
      <c r="Q373" s="6">
        <v>4.38</v>
      </c>
      <c r="R373" s="6">
        <f t="shared" si="180"/>
        <v>5.62</v>
      </c>
      <c r="S373" s="1">
        <f>LOOKUP(R373,{0,3.75,3.95,4.55,4.75,4.95,5.55,5.6,5.65,5.7,5.75,5.8,5.85,5.9,5.95,6,6.45,6.53,6.6,6.65,6.7},{0,10,20,30,40,50,60,62,64,66,68,70,72,74,76,78,80,85,90,95,100})</f>
        <v>62</v>
      </c>
      <c r="T373" s="7"/>
      <c r="U373" s="7"/>
      <c r="V373" s="21">
        <f t="shared" si="181"/>
        <v>62</v>
      </c>
      <c r="X373" s="21">
        <f t="shared" si="170"/>
        <v>42.4</v>
      </c>
      <c r="Y373" s="37">
        <f t="shared" si="182"/>
        <v>60.5714285714286</v>
      </c>
    </row>
    <row r="374" ht="15.6" hidden="1" outlineLevel="2" spans="1:25">
      <c r="A374" s="6">
        <v>109</v>
      </c>
      <c r="B374" s="6">
        <v>16</v>
      </c>
      <c r="C374" s="29" t="s">
        <v>421</v>
      </c>
      <c r="D374" s="29" t="s">
        <v>11</v>
      </c>
      <c r="E374" s="6">
        <v>4.2</v>
      </c>
      <c r="F374" s="1">
        <f>LOOKUP(E374,{0,-4,-3,-2,-1,0,1,2.4,3.8,5.2,6.6,8,9.4,10.8,12.2,13.6,15,17.2,19.4,21.5,23.6},{0,10,20,30,40,50,60,62,64,66,68,70,72,74,76,78,80,85,90,95,100})</f>
        <v>64</v>
      </c>
      <c r="G374" s="6">
        <v>255</v>
      </c>
      <c r="H374" s="1">
        <f>LOOKUP(G374,{0,170,175,180,185,190,195,199,203,207,211,215,219,223,227,231,235,243,250,255,260},{0,10,20,30,40,50,60,62,64,66,68,70,72,74,76,78,80,85,90,95,100})</f>
        <v>95</v>
      </c>
      <c r="I374" s="6">
        <v>12</v>
      </c>
      <c r="J374" s="1">
        <f>LOOKUP(I374,{0,2,3,4,5,6,7,8,9,10,11,12,13,14,15,16},{0,10,20,30,40,50,60,64,68,72,76,80,85,90,95,100})</f>
        <v>80</v>
      </c>
      <c r="K374" s="7"/>
      <c r="L374" s="7"/>
      <c r="M374" s="21">
        <f t="shared" si="178"/>
        <v>80</v>
      </c>
      <c r="N374" s="6">
        <v>6.7</v>
      </c>
      <c r="O374" s="43">
        <f t="shared" si="179"/>
        <v>6.3</v>
      </c>
      <c r="P374" s="1">
        <f>LOOKUP(O374,{0,2.5,2.7,2.9,3.1,3.3,3.5,3.7,3.9,4.1,4.3,4.5,4.7,4.9,5.1,5.3,5.5,5.6,5.7,5.8,5.9},{0,10,20,30,40,50,60,62,64,66,68,70,72,74,76,78,80,85,90,95,100})</f>
        <v>100</v>
      </c>
      <c r="Q374" s="6">
        <v>3.28</v>
      </c>
      <c r="R374" s="6">
        <f t="shared" si="180"/>
        <v>6.72</v>
      </c>
      <c r="S374" s="1">
        <f>LOOKUP(R374,{0,3.75,3.95,4.55,4.75,4.95,5.55,5.6,5.65,5.7,5.75,5.8,5.85,5.9,5.95,6,6.45,6.53,6.6,6.65,6.7},{0,10,20,30,40,50,60,62,64,66,68,70,72,74,76,78,80,85,90,95,100})</f>
        <v>100</v>
      </c>
      <c r="T374" s="7">
        <f t="shared" ref="T374:T376" si="183">3.3-Q374</f>
        <v>0.02</v>
      </c>
      <c r="U374" s="40">
        <f>LOOKUP(T374,{0,0.04,0.08,0.12,0.16,0.2,0.23,0.26,0.29,0.32,0.35},{0,1,2,3,4,5,6,7,8,9,10})</f>
        <v>0</v>
      </c>
      <c r="V374" s="21">
        <f t="shared" si="181"/>
        <v>100</v>
      </c>
      <c r="X374" s="21">
        <f t="shared" si="170"/>
        <v>63.9</v>
      </c>
      <c r="Y374" s="37">
        <f t="shared" si="182"/>
        <v>91.2857142857143</v>
      </c>
    </row>
    <row r="375" ht="15.6" hidden="1" outlineLevel="2" spans="1:25">
      <c r="A375" s="6">
        <v>109</v>
      </c>
      <c r="B375" s="6">
        <v>17</v>
      </c>
      <c r="C375" s="29" t="s">
        <v>422</v>
      </c>
      <c r="D375" s="29" t="s">
        <v>11</v>
      </c>
      <c r="E375" s="6">
        <v>25</v>
      </c>
      <c r="F375" s="1">
        <f>LOOKUP(E375,{0,-4,-3,-2,-1,0,1,2.4,3.8,5.2,6.6,8,9.4,10.8,12.2,13.6,15,17.2,19.4,21.5,23.6},{0,10,20,30,40,50,60,62,64,66,68,70,72,74,76,78,80,85,90,95,100})</f>
        <v>100</v>
      </c>
      <c r="G375" s="6">
        <v>250</v>
      </c>
      <c r="H375" s="1">
        <f>LOOKUP(G375,{0,170,175,180,185,190,195,199,203,207,211,215,219,223,227,231,235,243,250,255,260},{0,10,20,30,40,50,60,62,64,66,68,70,72,74,76,78,80,85,90,95,100})</f>
        <v>90</v>
      </c>
      <c r="I375" s="6">
        <v>35</v>
      </c>
      <c r="J375" s="1">
        <f>LOOKUP(I375,{0,2,3,4,5,6,7,8,9,10,11,12,13,14,15,16},{0,10,20,30,40,50,60,64,68,72,76,80,85,90,95,100})</f>
        <v>100</v>
      </c>
      <c r="K375" s="7">
        <f t="shared" si="177"/>
        <v>19</v>
      </c>
      <c r="L375" s="40">
        <f>LOOKUP(K375,{0,1,2,3,4,5,6,7,8,9,10},{0,1,2,3,4,5,6,7,8,9,10})</f>
        <v>10</v>
      </c>
      <c r="M375" s="21">
        <f t="shared" si="178"/>
        <v>110</v>
      </c>
      <c r="N375" s="6">
        <v>7</v>
      </c>
      <c r="O375" s="43">
        <f t="shared" si="179"/>
        <v>6</v>
      </c>
      <c r="P375" s="1">
        <f>LOOKUP(O375,{0,2.5,2.7,2.9,3.1,3.3,3.5,3.7,3.9,4.1,4.3,4.5,4.7,4.9,5.1,5.3,5.5,5.6,5.7,5.8,5.9},{0,10,20,30,40,50,60,62,64,66,68,70,72,74,76,78,80,85,90,95,100})</f>
        <v>100</v>
      </c>
      <c r="Q375" s="6">
        <v>3.23</v>
      </c>
      <c r="R375" s="6">
        <f t="shared" si="180"/>
        <v>6.77</v>
      </c>
      <c r="S375" s="1">
        <f>LOOKUP(R375,{0,3.75,3.95,4.55,4.75,4.95,5.55,5.6,5.65,5.7,5.75,5.8,5.85,5.9,5.95,6,6.45,6.53,6.6,6.65,6.7},{0,10,20,30,40,50,60,62,64,66,68,70,72,74,76,78,80,85,90,95,100})</f>
        <v>100</v>
      </c>
      <c r="T375" s="7">
        <f t="shared" si="183"/>
        <v>0.0699999999999998</v>
      </c>
      <c r="U375" s="40">
        <f>LOOKUP(T375,{0,0.04,0.08,0.12,0.16,0.2,0.23,0.26,0.29,0.32,0.35},{0,1,2,3,4,5,6,7,8,9,10})</f>
        <v>1</v>
      </c>
      <c r="V375" s="21">
        <f t="shared" si="181"/>
        <v>101</v>
      </c>
      <c r="X375" s="21">
        <f t="shared" si="170"/>
        <v>69</v>
      </c>
      <c r="Y375" s="37">
        <f t="shared" si="182"/>
        <v>109.571428571429</v>
      </c>
    </row>
    <row r="376" ht="15.6" hidden="1" outlineLevel="2" spans="1:25">
      <c r="A376" s="6">
        <v>109</v>
      </c>
      <c r="B376" s="6">
        <v>18</v>
      </c>
      <c r="C376" s="29" t="s">
        <v>423</v>
      </c>
      <c r="D376" s="29" t="s">
        <v>11</v>
      </c>
      <c r="E376" s="6">
        <v>21.8</v>
      </c>
      <c r="F376" s="1">
        <f>LOOKUP(E376,{0,-4,-3,-2,-1,0,1,2.4,3.8,5.2,6.6,8,9.4,10.8,12.2,13.6,15,17.2,19.4,21.5,23.6},{0,10,20,30,40,50,60,62,64,66,68,70,72,74,76,78,80,85,90,95,100})</f>
        <v>95</v>
      </c>
      <c r="G376" s="6">
        <v>260</v>
      </c>
      <c r="H376" s="1">
        <f>LOOKUP(G376,{0,170,175,180,185,190,195,199,203,207,211,215,219,223,227,231,235,243,250,255,260},{0,10,20,30,40,50,60,62,64,66,68,70,72,74,76,78,80,85,90,95,100})</f>
        <v>100</v>
      </c>
      <c r="I376" s="6">
        <v>26</v>
      </c>
      <c r="J376" s="1">
        <f>LOOKUP(I376,{0,2,3,4,5,6,7,8,9,10,11,12,13,14,15,16},{0,10,20,30,40,50,60,64,68,72,76,80,85,90,95,100})</f>
        <v>100</v>
      </c>
      <c r="K376" s="7">
        <f t="shared" si="177"/>
        <v>10</v>
      </c>
      <c r="L376" s="40">
        <f>LOOKUP(K376,{0,1,2,3,4,5,6,7,8,9,10},{0,1,2,3,4,5,6,7,8,9,10})</f>
        <v>10</v>
      </c>
      <c r="M376" s="21">
        <f t="shared" si="178"/>
        <v>110</v>
      </c>
      <c r="N376" s="6">
        <v>7</v>
      </c>
      <c r="O376" s="43">
        <f t="shared" si="179"/>
        <v>6</v>
      </c>
      <c r="P376" s="1">
        <f>LOOKUP(O376,{0,2.5,2.7,2.9,3.1,3.3,3.5,3.7,3.9,4.1,4.3,4.5,4.7,4.9,5.1,5.3,5.5,5.6,5.7,5.8,5.9},{0,10,20,30,40,50,60,62,64,66,68,70,72,74,76,78,80,85,90,95,100})</f>
        <v>100</v>
      </c>
      <c r="Q376" s="6">
        <v>3.24</v>
      </c>
      <c r="R376" s="6">
        <f t="shared" si="180"/>
        <v>6.76</v>
      </c>
      <c r="S376" s="1">
        <f>LOOKUP(R376,{0,3.75,3.95,4.55,4.75,4.95,5.55,5.6,5.65,5.7,5.75,5.8,5.85,5.9,5.95,6,6.45,6.53,6.6,6.65,6.7},{0,10,20,30,40,50,60,62,64,66,68,70,72,74,76,78,80,85,90,95,100})</f>
        <v>100</v>
      </c>
      <c r="T376" s="7">
        <f t="shared" si="183"/>
        <v>0.0599999999999996</v>
      </c>
      <c r="U376" s="40">
        <f>LOOKUP(T376,{0,0.04,0.08,0.12,0.16,0.2,0.23,0.26,0.29,0.32,0.35},{0,1,2,3,4,5,6,7,8,9,10})</f>
        <v>1</v>
      </c>
      <c r="V376" s="21">
        <f t="shared" si="181"/>
        <v>101</v>
      </c>
      <c r="X376" s="21">
        <f t="shared" si="170"/>
        <v>69.5</v>
      </c>
      <c r="Y376" s="37">
        <f t="shared" si="182"/>
        <v>110.285714285714</v>
      </c>
    </row>
    <row r="377" ht="15.6" hidden="1" outlineLevel="2" spans="1:25">
      <c r="A377" s="6">
        <v>109</v>
      </c>
      <c r="B377" s="6">
        <v>19</v>
      </c>
      <c r="C377" s="29" t="s">
        <v>424</v>
      </c>
      <c r="D377" s="29" t="s">
        <v>11</v>
      </c>
      <c r="E377" s="6">
        <v>17</v>
      </c>
      <c r="F377" s="1">
        <f>LOOKUP(E377,{0,-4,-3,-2,-1,0,1,2.4,3.8,5.2,6.6,8,9.4,10.8,12.2,13.6,15,17.2,19.4,21.5,23.6},{0,10,20,30,40,50,60,62,64,66,68,70,72,74,76,78,80,85,90,95,100})</f>
        <v>80</v>
      </c>
      <c r="G377" s="6">
        <v>243</v>
      </c>
      <c r="H377" s="1">
        <f>LOOKUP(G377,{0,170,175,180,185,190,195,199,203,207,211,215,219,223,227,231,235,243,250,255,260},{0,10,20,30,40,50,60,62,64,66,68,70,72,74,76,78,80,85,90,95,100})</f>
        <v>85</v>
      </c>
      <c r="I377" s="6">
        <v>14</v>
      </c>
      <c r="J377" s="1">
        <f>LOOKUP(I377,{0,2,3,4,5,6,7,8,9,10,11,12,13,14,15,16},{0,10,20,30,40,50,60,64,68,72,76,80,85,90,95,100})</f>
        <v>90</v>
      </c>
      <c r="K377" s="7"/>
      <c r="L377" s="7"/>
      <c r="M377" s="21">
        <f t="shared" si="178"/>
        <v>90</v>
      </c>
      <c r="N377" s="6">
        <v>7.1</v>
      </c>
      <c r="O377" s="43">
        <f t="shared" si="179"/>
        <v>5.9</v>
      </c>
      <c r="P377" s="1">
        <f>LOOKUP(O377,{0,2.5,2.7,2.9,3.1,3.3,3.5,3.7,3.9,4.1,4.3,4.5,4.7,4.9,5.1,5.3,5.5,5.6,5.7,5.8,5.9},{0,10,20,30,40,50,60,62,64,66,68,70,72,74,76,78,80,85,90,95,100})</f>
        <v>100</v>
      </c>
      <c r="Q377" s="6">
        <v>4</v>
      </c>
      <c r="R377" s="6">
        <f t="shared" si="180"/>
        <v>6</v>
      </c>
      <c r="S377" s="1">
        <f>LOOKUP(R377,{0,3.75,3.95,4.55,4.75,4.95,5.55,5.6,5.65,5.7,5.75,5.8,5.85,5.9,5.95,6,6.45,6.53,6.6,6.65,6.7},{0,10,20,30,40,50,60,62,64,66,68,70,72,74,76,78,80,85,90,95,100})</f>
        <v>78</v>
      </c>
      <c r="T377" s="7"/>
      <c r="U377" s="7"/>
      <c r="V377" s="21">
        <f t="shared" si="181"/>
        <v>78</v>
      </c>
      <c r="X377" s="21">
        <f t="shared" si="170"/>
        <v>61.1</v>
      </c>
      <c r="Y377" s="37">
        <f t="shared" si="182"/>
        <v>87.2857142857143</v>
      </c>
    </row>
    <row r="378" ht="15.6" hidden="1" outlineLevel="2" spans="1:25">
      <c r="A378" s="6">
        <v>109</v>
      </c>
      <c r="B378" s="6">
        <v>20</v>
      </c>
      <c r="C378" s="39" t="s">
        <v>426</v>
      </c>
      <c r="D378" s="29" t="s">
        <v>11</v>
      </c>
      <c r="E378" s="6">
        <v>16</v>
      </c>
      <c r="F378" s="1">
        <f>LOOKUP(E378,{0,-4,-3,-2,-1,0,1,2.4,3.8,5.2,6.6,8,9.4,10.8,12.2,13.6,15,17.2,19.4,21.5,23.6},{0,10,20,30,40,50,60,62,64,66,68,70,72,74,76,78,80,85,90,95,100})</f>
        <v>80</v>
      </c>
      <c r="G378" s="6">
        <v>242</v>
      </c>
      <c r="H378" s="1">
        <f>LOOKUP(G378,{0,170,175,180,185,190,195,199,203,207,211,215,219,223,227,231,235,243,250,255,260},{0,10,20,30,40,50,60,62,64,66,68,70,72,74,76,78,80,85,90,95,100})</f>
        <v>80</v>
      </c>
      <c r="I378" s="6">
        <v>11</v>
      </c>
      <c r="J378" s="1">
        <f>LOOKUP(I378,{0,2,3,4,5,6,7,8,9,10,11,12,13,14,15,16},{0,10,20,30,40,50,60,64,68,72,76,80,85,90,95,100})</f>
        <v>76</v>
      </c>
      <c r="K378" s="7"/>
      <c r="L378" s="7"/>
      <c r="M378" s="21">
        <f t="shared" si="178"/>
        <v>76</v>
      </c>
      <c r="N378" s="6">
        <v>6.9</v>
      </c>
      <c r="O378" s="43">
        <f t="shared" si="179"/>
        <v>6.1</v>
      </c>
      <c r="P378" s="1">
        <f>LOOKUP(O378,{0,2.5,2.7,2.9,3.1,3.3,3.5,3.7,3.9,4.1,4.3,4.5,4.7,4.9,5.1,5.3,5.5,5.6,5.7,5.8,5.9},{0,10,20,30,40,50,60,62,64,66,68,70,72,74,76,78,80,85,90,95,100})</f>
        <v>100</v>
      </c>
      <c r="Q378" s="6">
        <v>3.32</v>
      </c>
      <c r="R378" s="6">
        <f t="shared" si="180"/>
        <v>6.68</v>
      </c>
      <c r="S378" s="1">
        <f>LOOKUP(R378,{0,3.75,3.95,4.55,4.75,4.95,5.55,5.6,5.65,5.7,5.75,5.8,5.85,5.9,5.95,6,6.45,6.53,6.6,6.65,6.7},{0,10,20,30,40,50,60,62,64,66,68,70,72,74,76,78,80,85,90,95,100})</f>
        <v>95</v>
      </c>
      <c r="T378" s="7"/>
      <c r="U378" s="7"/>
      <c r="V378" s="21">
        <f t="shared" si="181"/>
        <v>95</v>
      </c>
      <c r="X378" s="21">
        <f t="shared" si="170"/>
        <v>62.6</v>
      </c>
      <c r="Y378" s="37">
        <f t="shared" si="182"/>
        <v>89.4285714285714</v>
      </c>
    </row>
    <row r="379" ht="15.6" hidden="1" outlineLevel="2" spans="1:25">
      <c r="A379" s="6">
        <v>109</v>
      </c>
      <c r="B379" s="6">
        <v>21</v>
      </c>
      <c r="C379" s="29" t="s">
        <v>427</v>
      </c>
      <c r="D379" s="29" t="s">
        <v>11</v>
      </c>
      <c r="F379" s="1"/>
      <c r="H379" s="1"/>
      <c r="J379" s="1"/>
      <c r="K379" s="7"/>
      <c r="L379" s="7"/>
      <c r="M379" s="21"/>
      <c r="O379" s="43"/>
      <c r="P379" s="1"/>
      <c r="S379" s="1"/>
      <c r="T379" s="7"/>
      <c r="U379" s="40"/>
      <c r="V379" s="21"/>
      <c r="X379" s="21">
        <f t="shared" si="170"/>
        <v>0</v>
      </c>
      <c r="Y379" s="51">
        <v>50</v>
      </c>
    </row>
    <row r="380" ht="15.6" hidden="1" outlineLevel="2" spans="1:25">
      <c r="A380" s="6">
        <v>109</v>
      </c>
      <c r="B380" s="6">
        <v>22</v>
      </c>
      <c r="C380" s="29" t="s">
        <v>428</v>
      </c>
      <c r="D380" s="29" t="s">
        <v>11</v>
      </c>
      <c r="E380" s="6">
        <v>5.5</v>
      </c>
      <c r="F380" s="1">
        <f>LOOKUP(E380,{0,-4,-3,-2,-1,0,1,2.4,3.8,5.2,6.6,8,9.4,10.8,12.2,13.6,15,17.2,19.4,21.5,23.6},{0,10,20,30,40,50,60,62,64,66,68,70,72,74,76,78,80,85,90,95,100})</f>
        <v>66</v>
      </c>
      <c r="G380" s="6">
        <v>185</v>
      </c>
      <c r="H380" s="1">
        <f>LOOKUP(G380,{0,170,175,180,185,190,195,199,203,207,211,215,219,223,227,231,235,243,250,255,260},{0,10,20,30,40,50,60,62,64,66,68,70,72,74,76,78,80,85,90,95,100})</f>
        <v>40</v>
      </c>
      <c r="I380" s="6">
        <v>0</v>
      </c>
      <c r="J380" s="1">
        <f>LOOKUP(I380,{0,2,3,4,5,6,7,8,9,10,11,12,13,14,15,16},{0,10,20,30,40,50,60,64,68,72,76,80,85,90,95,100})</f>
        <v>0</v>
      </c>
      <c r="K380" s="7"/>
      <c r="L380" s="7"/>
      <c r="M380" s="21">
        <f t="shared" ref="M380:M405" si="184">J380+L380</f>
        <v>0</v>
      </c>
      <c r="N380" s="6">
        <v>8.6</v>
      </c>
      <c r="O380" s="43">
        <f t="shared" ref="O380:O389" si="185">13-N380</f>
        <v>4.4</v>
      </c>
      <c r="P380" s="1">
        <f>LOOKUP(O380,{0,2.5,2.7,2.9,3.1,3.3,3.5,3.7,3.9,4.1,4.3,4.5,4.7,4.9,5.1,5.3,5.5,5.6,5.7,5.8,5.9},{0,10,20,30,40,50,60,62,64,66,68,70,72,74,76,78,80,85,90,95,100})</f>
        <v>68</v>
      </c>
      <c r="Q380" s="6">
        <v>5.57</v>
      </c>
      <c r="R380" s="6">
        <f t="shared" ref="R380:R405" si="186">10-Q380</f>
        <v>4.43</v>
      </c>
      <c r="S380" s="1">
        <f>LOOKUP(R380,{0,3.75,3.95,4.55,4.75,4.95,5.55,5.6,5.65,5.7,5.75,5.8,5.85,5.9,5.95,6,6.45,6.53,6.6,6.65,6.7},{0,10,20,30,40,50,60,62,64,66,68,70,72,74,76,78,80,85,90,95,100})</f>
        <v>20</v>
      </c>
      <c r="T380" s="7"/>
      <c r="U380" s="7"/>
      <c r="V380" s="21">
        <f t="shared" ref="V380:V405" si="187">S380+U380</f>
        <v>20</v>
      </c>
      <c r="X380" s="21">
        <f t="shared" si="170"/>
        <v>28.2</v>
      </c>
      <c r="Y380" s="37">
        <f t="shared" ref="Y380:Y389" si="188">X380/0.7+L380+U380</f>
        <v>40.2857142857143</v>
      </c>
    </row>
    <row r="381" ht="15.6" hidden="1" outlineLevel="2" spans="1:25">
      <c r="A381" s="6">
        <v>109</v>
      </c>
      <c r="B381" s="6">
        <v>23</v>
      </c>
      <c r="C381" s="29" t="s">
        <v>429</v>
      </c>
      <c r="D381" s="29" t="s">
        <v>11</v>
      </c>
      <c r="E381" s="6">
        <v>15.5</v>
      </c>
      <c r="F381" s="1">
        <f>LOOKUP(E381,{0,-4,-3,-2,-1,0,1,2.4,3.8,5.2,6.6,8,9.4,10.8,12.2,13.6,15,17.2,19.4,21.5,23.6},{0,10,20,30,40,50,60,62,64,66,68,70,72,74,76,78,80,85,90,95,100})</f>
        <v>80</v>
      </c>
      <c r="G381" s="6">
        <v>166</v>
      </c>
      <c r="H381" s="1">
        <f>LOOKUP(G381,{0,170,175,180,185,190,195,199,203,207,211,215,219,223,227,231,235,243,250,255,260},{0,10,20,30,40,50,60,62,64,66,68,70,72,74,76,78,80,85,90,95,100})</f>
        <v>0</v>
      </c>
      <c r="I381" s="6">
        <v>0</v>
      </c>
      <c r="J381" s="1">
        <f>LOOKUP(I381,{0,2,3,4,5,6,7,8,9,10,11,12,13,14,15,16},{0,10,20,30,40,50,60,64,68,72,76,80,85,90,95,100})</f>
        <v>0</v>
      </c>
      <c r="K381" s="7"/>
      <c r="L381" s="7"/>
      <c r="M381" s="21">
        <f t="shared" si="184"/>
        <v>0</v>
      </c>
      <c r="N381" s="6">
        <v>7.6</v>
      </c>
      <c r="O381" s="43">
        <f t="shared" si="185"/>
        <v>5.4</v>
      </c>
      <c r="P381" s="1">
        <f>LOOKUP(O381,{0,2.5,2.7,2.9,3.1,3.3,3.5,3.7,3.9,4.1,4.3,4.5,4.7,4.9,5.1,5.3,5.5,5.6,5.7,5.8,5.9},{0,10,20,30,40,50,60,62,64,66,68,70,72,74,76,78,80,85,90,95,100})</f>
        <v>78</v>
      </c>
      <c r="Q381" s="6">
        <v>4.07</v>
      </c>
      <c r="R381" s="6">
        <f t="shared" si="186"/>
        <v>5.93</v>
      </c>
      <c r="S381" s="1">
        <f>LOOKUP(R381,{0,3.75,3.95,4.55,4.75,4.95,5.55,5.6,5.65,5.7,5.75,5.8,5.85,5.9,5.95,6,6.45,6.53,6.6,6.65,6.7},{0,10,20,30,40,50,60,62,64,66,68,70,72,74,76,78,80,85,90,95,100})</f>
        <v>74</v>
      </c>
      <c r="T381" s="7"/>
      <c r="U381" s="7"/>
      <c r="V381" s="21">
        <f t="shared" si="187"/>
        <v>74</v>
      </c>
      <c r="X381" s="21">
        <f t="shared" si="170"/>
        <v>38.4</v>
      </c>
      <c r="Y381" s="37">
        <f t="shared" si="188"/>
        <v>54.8571428571429</v>
      </c>
    </row>
    <row r="382" s="3" customFormat="1" ht="15.6" hidden="1" outlineLevel="2" spans="1:25">
      <c r="A382" s="6">
        <v>109</v>
      </c>
      <c r="B382" s="6">
        <v>24</v>
      </c>
      <c r="C382" s="29" t="s">
        <v>430</v>
      </c>
      <c r="D382" s="29" t="s">
        <v>11</v>
      </c>
      <c r="E382" s="6">
        <v>-7</v>
      </c>
      <c r="F382" s="1">
        <v>0</v>
      </c>
      <c r="G382" s="6">
        <v>254</v>
      </c>
      <c r="H382" s="1">
        <f>LOOKUP(G382,{0,170,175,180,185,190,195,199,203,207,211,215,219,223,227,231,235,243,250,255,260},{0,10,20,30,40,50,60,62,64,66,68,70,72,74,76,78,80,85,90,95,100})</f>
        <v>90</v>
      </c>
      <c r="I382" s="6">
        <v>6</v>
      </c>
      <c r="J382" s="1">
        <f>LOOKUP(I382,{0,2,3,4,5,6,7,8,9,10,11,12,13,14,15,16},{0,10,20,30,40,50,60,64,68,72,76,80,85,90,95,100})</f>
        <v>50</v>
      </c>
      <c r="K382" s="7"/>
      <c r="L382" s="7"/>
      <c r="M382" s="21">
        <f t="shared" si="184"/>
        <v>50</v>
      </c>
      <c r="N382" s="6">
        <v>6.9</v>
      </c>
      <c r="O382" s="43">
        <f t="shared" si="185"/>
        <v>6.1</v>
      </c>
      <c r="P382" s="1">
        <f>LOOKUP(O382,{0,2.5,2.7,2.9,3.1,3.3,3.5,3.7,3.9,4.1,4.3,4.5,4.7,4.9,5.1,5.3,5.5,5.6,5.7,5.8,5.9},{0,10,20,30,40,50,60,62,64,66,68,70,72,74,76,78,80,85,90,95,100})</f>
        <v>100</v>
      </c>
      <c r="Q382" s="6">
        <v>3.36</v>
      </c>
      <c r="R382" s="6">
        <f t="shared" si="186"/>
        <v>6.64</v>
      </c>
      <c r="S382" s="1">
        <f>LOOKUP(R382,{0,3.75,3.95,4.55,4.75,4.95,5.55,5.6,5.65,5.7,5.75,5.8,5.85,5.9,5.95,6,6.45,6.53,6.6,6.65,6.7},{0,10,20,30,40,50,60,62,64,66,68,70,72,74,76,78,80,85,90,95,100})</f>
        <v>90</v>
      </c>
      <c r="T382" s="7"/>
      <c r="U382" s="7"/>
      <c r="V382" s="21">
        <f t="shared" si="187"/>
        <v>90</v>
      </c>
      <c r="W382" s="6"/>
      <c r="X382" s="21">
        <f t="shared" si="170"/>
        <v>52</v>
      </c>
      <c r="Y382" s="37">
        <f t="shared" si="188"/>
        <v>74.2857142857143</v>
      </c>
    </row>
    <row r="383" ht="15.6" hidden="1" outlineLevel="2" spans="1:25">
      <c r="A383" s="6">
        <v>109</v>
      </c>
      <c r="B383" s="6">
        <v>25</v>
      </c>
      <c r="C383" s="29" t="s">
        <v>431</v>
      </c>
      <c r="D383" s="29" t="s">
        <v>11</v>
      </c>
      <c r="E383" s="6">
        <v>16.5</v>
      </c>
      <c r="F383" s="1">
        <f>LOOKUP(E383,{0,-4,-3,-2,-1,0,1,2.4,3.8,5.2,6.6,8,9.4,10.8,12.2,13.6,15,17.2,19.4,21.5,23.6},{0,10,20,30,40,50,60,62,64,66,68,70,72,74,76,78,80,85,90,95,100})</f>
        <v>80</v>
      </c>
      <c r="G383" s="6">
        <v>267</v>
      </c>
      <c r="H383" s="1">
        <f>LOOKUP(G383,{0,170,175,180,185,190,195,199,203,207,211,215,219,223,227,231,235,243,250,255,260},{0,10,20,30,40,50,60,62,64,66,68,70,72,74,76,78,80,85,90,95,100})</f>
        <v>100</v>
      </c>
      <c r="I383" s="6">
        <v>4</v>
      </c>
      <c r="J383" s="1">
        <f>LOOKUP(I383,{0,2,3,4,5,6,7,8,9,10,11,12,13,14,15,16},{0,10,20,30,40,50,60,64,68,72,76,80,85,90,95,100})</f>
        <v>30</v>
      </c>
      <c r="K383" s="7"/>
      <c r="L383" s="7"/>
      <c r="M383" s="21">
        <f t="shared" si="184"/>
        <v>30</v>
      </c>
      <c r="N383" s="6">
        <v>7.2</v>
      </c>
      <c r="O383" s="43">
        <f t="shared" si="185"/>
        <v>5.8</v>
      </c>
      <c r="P383" s="1">
        <f>LOOKUP(O383,{0,2.5,2.7,2.9,3.1,3.3,3.5,3.7,3.9,4.1,4.3,4.5,4.7,4.9,5.1,5.3,5.5,5.6,5.7,5.8,5.9},{0,10,20,30,40,50,60,62,64,66,68,70,72,74,76,78,80,85,90,95,100})</f>
        <v>95</v>
      </c>
      <c r="Q383" s="6">
        <v>3.47</v>
      </c>
      <c r="R383" s="6">
        <f t="shared" si="186"/>
        <v>6.53</v>
      </c>
      <c r="S383" s="1">
        <f>LOOKUP(R383,{0,3.75,3.95,4.55,4.75,4.95,5.55,5.6,5.65,5.7,5.75,5.8,5.85,5.9,5.95,6,6.45,6.53,6.6,6.65,6.7},{0,10,20,30,40,50,60,62,64,66,68,70,72,74,76,78,80,85,90,95,100})</f>
        <v>85</v>
      </c>
      <c r="T383" s="7"/>
      <c r="U383" s="7"/>
      <c r="V383" s="21">
        <f t="shared" si="187"/>
        <v>85</v>
      </c>
      <c r="X383" s="21">
        <f t="shared" si="170"/>
        <v>57</v>
      </c>
      <c r="Y383" s="37">
        <f t="shared" si="188"/>
        <v>81.4285714285714</v>
      </c>
    </row>
    <row r="384" ht="15.6" hidden="1" outlineLevel="2" spans="1:25">
      <c r="A384" s="6">
        <v>109</v>
      </c>
      <c r="B384" s="6">
        <v>26</v>
      </c>
      <c r="C384" s="29" t="s">
        <v>432</v>
      </c>
      <c r="D384" s="29" t="s">
        <v>11</v>
      </c>
      <c r="E384" s="6">
        <v>11.2</v>
      </c>
      <c r="F384" s="1">
        <f>LOOKUP(E384,{0,-4,-3,-2,-1,0,1,2.4,3.8,5.2,6.6,8,9.4,10.8,12.2,13.6,15,17.2,19.4,21.5,23.6},{0,10,20,30,40,50,60,62,64,66,68,70,72,74,76,78,80,85,90,95,100})</f>
        <v>74</v>
      </c>
      <c r="G384" s="6">
        <v>226</v>
      </c>
      <c r="H384" s="1">
        <f>LOOKUP(G384,{0,170,175,180,185,190,195,199,203,207,211,215,219,223,227,231,235,243,250,255,260},{0,10,20,30,40,50,60,62,64,66,68,70,72,74,76,78,80,85,90,95,100})</f>
        <v>74</v>
      </c>
      <c r="I384" s="6">
        <v>0</v>
      </c>
      <c r="J384" s="1">
        <f>LOOKUP(I384,{0,2,3,4,5,6,7,8,9,10,11,12,13,14,15,16},{0,10,20,30,40,50,60,64,68,72,76,80,85,90,95,100})</f>
        <v>0</v>
      </c>
      <c r="K384" s="7"/>
      <c r="L384" s="7"/>
      <c r="M384" s="21">
        <f t="shared" si="184"/>
        <v>0</v>
      </c>
      <c r="N384" s="6">
        <v>7.5</v>
      </c>
      <c r="O384" s="43">
        <f t="shared" si="185"/>
        <v>5.5</v>
      </c>
      <c r="P384" s="1">
        <f>LOOKUP(O384,{0,2.5,2.7,2.9,3.1,3.3,3.5,3.7,3.9,4.1,4.3,4.5,4.7,4.9,5.1,5.3,5.5,5.6,5.7,5.8,5.9},{0,10,20,30,40,50,60,62,64,66,68,70,72,74,76,78,80,85,90,95,100})</f>
        <v>80</v>
      </c>
      <c r="Q384" s="6">
        <v>5.36</v>
      </c>
      <c r="R384" s="6">
        <f t="shared" si="186"/>
        <v>4.64</v>
      </c>
      <c r="S384" s="1">
        <f>LOOKUP(R384,{0,3.75,3.95,4.55,4.75,4.95,5.55,5.6,5.65,5.7,5.75,5.8,5.85,5.9,5.95,6,6.45,6.53,6.6,6.65,6.7},{0,10,20,30,40,50,60,62,64,66,68,70,72,74,76,78,80,85,90,95,100})</f>
        <v>30</v>
      </c>
      <c r="T384" s="7"/>
      <c r="U384" s="7"/>
      <c r="V384" s="21">
        <f t="shared" si="187"/>
        <v>30</v>
      </c>
      <c r="X384" s="21">
        <f t="shared" si="170"/>
        <v>36.8</v>
      </c>
      <c r="Y384" s="37">
        <f t="shared" si="188"/>
        <v>52.5714285714286</v>
      </c>
    </row>
    <row r="385" ht="15.6" hidden="1" outlineLevel="2" spans="1:25">
      <c r="A385" s="6">
        <v>109</v>
      </c>
      <c r="B385" s="6">
        <v>27</v>
      </c>
      <c r="C385" s="29" t="s">
        <v>433</v>
      </c>
      <c r="D385" s="29" t="s">
        <v>11</v>
      </c>
      <c r="E385" s="6">
        <v>18.3</v>
      </c>
      <c r="F385" s="1">
        <f>LOOKUP(E385,{0,-4,-3,-2,-1,0,1,2.4,3.8,5.2,6.6,8,9.4,10.8,12.2,13.6,15,17.2,19.4,21.5,23.6},{0,10,20,30,40,50,60,62,64,66,68,70,72,74,76,78,80,85,90,95,100})</f>
        <v>85</v>
      </c>
      <c r="G385" s="6">
        <v>212</v>
      </c>
      <c r="H385" s="1">
        <f>LOOKUP(G385,{0,170,175,180,185,190,195,199,203,207,211,215,219,223,227,231,235,243,250,255,260},{0,10,20,30,40,50,60,62,64,66,68,70,72,74,76,78,80,85,90,95,100})</f>
        <v>68</v>
      </c>
      <c r="I385" s="6">
        <v>0</v>
      </c>
      <c r="J385" s="1">
        <f>LOOKUP(I385,{0,2,3,4,5,6,7,8,9,10,11,12,13,14,15,16},{0,10,20,30,40,50,60,64,68,72,76,80,85,90,95,100})</f>
        <v>0</v>
      </c>
      <c r="K385" s="7"/>
      <c r="L385" s="7"/>
      <c r="M385" s="21">
        <f t="shared" si="184"/>
        <v>0</v>
      </c>
      <c r="N385" s="6">
        <v>7.9</v>
      </c>
      <c r="O385" s="43">
        <f t="shared" si="185"/>
        <v>5.1</v>
      </c>
      <c r="P385" s="1">
        <f>LOOKUP(O385,{0,2.5,2.7,2.9,3.1,3.3,3.5,3.7,3.9,4.1,4.3,4.5,4.7,4.9,5.1,5.3,5.5,5.6,5.7,5.8,5.9},{0,10,20,30,40,50,60,62,64,66,68,70,72,74,76,78,80,85,90,95,100})</f>
        <v>76</v>
      </c>
      <c r="Q385" s="6">
        <v>4.18</v>
      </c>
      <c r="R385" s="6">
        <f t="shared" si="186"/>
        <v>5.82</v>
      </c>
      <c r="S385" s="1">
        <f>LOOKUP(R385,{0,3.75,3.95,4.55,4.75,4.95,5.55,5.6,5.65,5.7,5.75,5.8,5.85,5.9,5.95,6,6.45,6.53,6.6,6.65,6.7},{0,10,20,30,40,50,60,62,64,66,68,70,72,74,76,78,80,85,90,95,100})</f>
        <v>70</v>
      </c>
      <c r="T385" s="7"/>
      <c r="U385" s="7"/>
      <c r="V385" s="21">
        <f t="shared" si="187"/>
        <v>70</v>
      </c>
      <c r="X385" s="21">
        <f t="shared" si="170"/>
        <v>44.5</v>
      </c>
      <c r="Y385" s="37">
        <f t="shared" si="188"/>
        <v>63.5714285714286</v>
      </c>
    </row>
    <row r="386" ht="15.6" hidden="1" outlineLevel="2" spans="1:25">
      <c r="A386" s="6">
        <v>109</v>
      </c>
      <c r="B386" s="6">
        <v>28</v>
      </c>
      <c r="C386" s="29" t="s">
        <v>434</v>
      </c>
      <c r="D386" s="29" t="s">
        <v>11</v>
      </c>
      <c r="E386" s="6">
        <v>-13.5</v>
      </c>
      <c r="F386" s="1">
        <v>0</v>
      </c>
      <c r="G386" s="6">
        <v>172</v>
      </c>
      <c r="H386" s="1">
        <f>LOOKUP(G386,{0,170,175,180,185,190,195,199,203,207,211,215,219,223,227,231,235,243,250,255,260},{0,10,20,30,40,50,60,62,64,66,68,70,72,74,76,78,80,85,90,95,100})</f>
        <v>10</v>
      </c>
      <c r="I386" s="6">
        <v>3</v>
      </c>
      <c r="J386" s="1">
        <f>LOOKUP(I386,{0,2,3,4,5,6,7,8,9,10,11,12,13,14,15,16},{0,10,20,30,40,50,60,64,68,72,76,80,85,90,95,100})</f>
        <v>20</v>
      </c>
      <c r="K386" s="7"/>
      <c r="L386" s="7"/>
      <c r="M386" s="21">
        <f t="shared" si="184"/>
        <v>20</v>
      </c>
      <c r="N386" s="6">
        <v>7.9</v>
      </c>
      <c r="O386" s="43">
        <f t="shared" si="185"/>
        <v>5.1</v>
      </c>
      <c r="P386" s="1">
        <f>LOOKUP(O386,{0,2.5,2.7,2.9,3.1,3.3,3.5,3.7,3.9,4.1,4.3,4.5,4.7,4.9,5.1,5.3,5.5,5.6,5.7,5.8,5.9},{0,10,20,30,40,50,60,62,64,66,68,70,72,74,76,78,80,85,90,95,100})</f>
        <v>76</v>
      </c>
      <c r="Q386" s="6">
        <v>4.24</v>
      </c>
      <c r="R386" s="6">
        <f t="shared" si="186"/>
        <v>5.76</v>
      </c>
      <c r="S386" s="1">
        <f>LOOKUP(R386,{0,3.75,3.95,4.55,4.75,4.95,5.55,5.6,5.65,5.7,5.75,5.8,5.85,5.9,5.95,6,6.45,6.53,6.6,6.65,6.7},{0,10,20,30,40,50,60,62,64,66,68,70,72,74,76,78,80,85,90,95,100})</f>
        <v>68</v>
      </c>
      <c r="T386" s="7"/>
      <c r="U386" s="7"/>
      <c r="V386" s="21">
        <f t="shared" si="187"/>
        <v>68</v>
      </c>
      <c r="X386" s="21">
        <f t="shared" si="170"/>
        <v>31.8</v>
      </c>
      <c r="Y386" s="37">
        <f t="shared" si="188"/>
        <v>45.4285714285714</v>
      </c>
    </row>
    <row r="387" ht="15.6" hidden="1" outlineLevel="2" spans="1:25">
      <c r="A387" s="6">
        <v>109</v>
      </c>
      <c r="B387" s="6">
        <v>29</v>
      </c>
      <c r="C387" s="39" t="s">
        <v>436</v>
      </c>
      <c r="D387" s="29" t="s">
        <v>46</v>
      </c>
      <c r="E387" s="6">
        <v>15</v>
      </c>
      <c r="F387" s="1">
        <f>LOOKUP(E387,{0,0.4,1.2,2,2.8,3.6,4.4,5.7,7,8.3,9.6,10.9,12.2,13.5,14.8,16.1,17.4,19.1,20.8,22.5,24.2},{0,10,20,30,40,50,60,62,64,66,68,70,72,74,76,78,80,85,90,95,100})</f>
        <v>76</v>
      </c>
      <c r="G387" s="6">
        <v>183</v>
      </c>
      <c r="H387" s="1">
        <f>LOOKUP(G387,{0,123,128,133,138,143,148,151,154,157,160,163,166,169,172,175,178,185,192,198,204},{0,10,20,30,40,50,60,62,64,66,68,70,72,74,76,78,80,85,90,95,100})</f>
        <v>80</v>
      </c>
      <c r="I387" s="6">
        <v>53</v>
      </c>
      <c r="J387" s="1">
        <f>LOOKUP(I387,{0,13,15,17,19,21,23,25,27,29,31,33,35,37,39,41,43,46,49,51,53},{0,10,20,30,40,50,60,62,64,66,68,70,72,74,76,78,80,85,90,95,100})</f>
        <v>100</v>
      </c>
      <c r="K387" s="45">
        <f>I387-53</f>
        <v>0</v>
      </c>
      <c r="L387" s="40">
        <f>LOOKUP(K387,{0,2,4,6,7,8,9,10,11,12,13},{0,1,2,3,4,5,6,7,8,9,10})</f>
        <v>0</v>
      </c>
      <c r="M387" s="21">
        <f t="shared" si="184"/>
        <v>100</v>
      </c>
      <c r="N387" s="6">
        <v>8.8</v>
      </c>
      <c r="O387" s="43">
        <f t="shared" si="185"/>
        <v>4.2</v>
      </c>
      <c r="P387" s="1">
        <f>LOOKUP(O387,{0,1.4,1.6,1.8,2,2.2,2.4,2.6,2.8,3,3.2,3.4,3.6,3.8,4,4.2,4.4,4.7,5,5.1,5.2},{0,10,20,30,40,50,60,62,64,66,68,70,72,74,76,78,80,85,90,95,100})</f>
        <v>78</v>
      </c>
      <c r="Q387" s="6">
        <v>3.22</v>
      </c>
      <c r="R387" s="6">
        <f t="shared" si="186"/>
        <v>6.78</v>
      </c>
      <c r="S387" s="1">
        <f>LOOKUP(R387,{0,4.7,4.8,4.9,5,5.5,5.6,5.65,5.7,5.75,5.8,5.85,5.9,5.95,6,6.45,6.5,6.57,6.64,6.7,6.76},{0,10,20,30,40,50,60,62,64,66,68,70,72,74,76,78,80,85,90,95,100})</f>
        <v>100</v>
      </c>
      <c r="T387" s="48">
        <f>3.24-Q387</f>
        <v>0.02</v>
      </c>
      <c r="U387" s="40">
        <f>LOOKUP(T387,{0,0.05,0.1,0.15,0.2,0.25,0.3,0.35,0.4,0.45,0.5},{0,1,2,3,4,5,6,7,8,9,10})</f>
        <v>0</v>
      </c>
      <c r="V387" s="21">
        <f t="shared" si="187"/>
        <v>100</v>
      </c>
      <c r="X387" s="21">
        <f t="shared" si="170"/>
        <v>61.2</v>
      </c>
      <c r="Y387" s="37">
        <f t="shared" si="188"/>
        <v>87.4285714285714</v>
      </c>
    </row>
    <row r="388" ht="15.6" hidden="1" outlineLevel="2" spans="1:25">
      <c r="A388" s="6">
        <v>109</v>
      </c>
      <c r="B388" s="6">
        <v>30</v>
      </c>
      <c r="C388" s="29" t="s">
        <v>437</v>
      </c>
      <c r="D388" s="29" t="s">
        <v>46</v>
      </c>
      <c r="E388" s="6">
        <v>14.9</v>
      </c>
      <c r="F388" s="1">
        <f>LOOKUP(E388,{0,0.4,1.2,2,2.8,3.6,4.4,5.7,7,8.3,9.6,10.9,12.2,13.5,14.8,16.1,17.4,19.1,20.8,22.5,24.2},{0,10,20,30,40,50,60,62,64,66,68,70,72,74,76,78,80,85,90,95,100})</f>
        <v>76</v>
      </c>
      <c r="G388" s="6">
        <v>181</v>
      </c>
      <c r="H388" s="1">
        <f>LOOKUP(G388,{0,123,128,133,138,143,148,151,154,157,160,163,166,169,172,175,178,185,192,198,204},{0,10,20,30,40,50,60,62,64,66,68,70,72,74,76,78,80,85,90,95,100})</f>
        <v>80</v>
      </c>
      <c r="I388" s="6">
        <v>45</v>
      </c>
      <c r="J388" s="1">
        <f>LOOKUP(I388,{0,13,15,17,19,21,23,25,27,29,31,33,35,37,39,41,43,46,49,51,53},{0,10,20,30,40,50,60,62,64,66,68,70,72,74,76,78,80,85,90,95,100})</f>
        <v>80</v>
      </c>
      <c r="K388" s="45"/>
      <c r="L388" s="45"/>
      <c r="M388" s="21">
        <f t="shared" si="184"/>
        <v>80</v>
      </c>
      <c r="N388" s="6">
        <v>8.4</v>
      </c>
      <c r="O388" s="43">
        <f t="shared" si="185"/>
        <v>4.6</v>
      </c>
      <c r="P388" s="1">
        <f>LOOKUP(O388,{0,1.4,1.6,1.8,2,2.2,2.4,2.6,2.8,3,3.2,3.4,3.6,3.8,4,4.2,4.4,4.7,5,5.1,5.2},{0,10,20,30,40,50,60,62,64,66,68,70,72,74,76,78,80,85,90,95,100})</f>
        <v>80</v>
      </c>
      <c r="Q388" s="6">
        <v>3.48</v>
      </c>
      <c r="R388" s="6">
        <f t="shared" si="186"/>
        <v>6.52</v>
      </c>
      <c r="S388" s="1">
        <f>LOOKUP(R388,{0,4.7,4.8,4.9,5,5.5,5.6,5.65,5.7,5.75,5.8,5.85,5.9,5.95,6,6.45,6.5,6.57,6.64,6.7,6.76},{0,10,20,30,40,50,60,62,64,66,68,70,72,74,76,78,80,85,90,95,100})</f>
        <v>80</v>
      </c>
      <c r="T388" s="45"/>
      <c r="U388" s="45"/>
      <c r="V388" s="21">
        <f t="shared" si="187"/>
        <v>80</v>
      </c>
      <c r="X388" s="21">
        <f t="shared" si="170"/>
        <v>55.6</v>
      </c>
      <c r="Y388" s="37">
        <f t="shared" si="188"/>
        <v>79.4285714285714</v>
      </c>
    </row>
    <row r="389" ht="15.6" hidden="1" outlineLevel="2" spans="1:25">
      <c r="A389" s="6">
        <v>109</v>
      </c>
      <c r="B389" s="6">
        <v>31</v>
      </c>
      <c r="C389" s="29" t="s">
        <v>438</v>
      </c>
      <c r="D389" s="29" t="s">
        <v>46</v>
      </c>
      <c r="E389" s="6">
        <v>12.8</v>
      </c>
      <c r="F389" s="1">
        <f>LOOKUP(E389,{0,0.4,1.2,2,2.8,3.6,4.4,5.7,7,8.3,9.6,10.9,12.2,13.5,14.8,16.1,17.4,19.1,20.8,22.5,24.2},{0,10,20,30,40,50,60,62,64,66,68,70,72,74,76,78,80,85,90,95,100})</f>
        <v>72</v>
      </c>
      <c r="G389" s="6">
        <v>162</v>
      </c>
      <c r="H389" s="1">
        <f>LOOKUP(G389,{0,123,128,133,138,143,148,151,154,157,160,163,166,169,172,175,178,185,192,198,204},{0,10,20,30,40,50,60,62,64,66,68,70,72,74,76,78,80,85,90,95,100})</f>
        <v>68</v>
      </c>
      <c r="I389" s="6">
        <v>36</v>
      </c>
      <c r="J389" s="1">
        <f>LOOKUP(I389,{0,13,15,17,19,21,23,25,27,29,31,33,35,37,39,41,43,46,49,51,53},{0,10,20,30,40,50,60,62,64,66,68,70,72,74,76,78,80,85,90,95,100})</f>
        <v>72</v>
      </c>
      <c r="K389" s="45"/>
      <c r="L389" s="45"/>
      <c r="M389" s="21">
        <f t="shared" si="184"/>
        <v>72</v>
      </c>
      <c r="N389" s="6">
        <v>9.4</v>
      </c>
      <c r="O389" s="43">
        <f t="shared" si="185"/>
        <v>3.6</v>
      </c>
      <c r="P389" s="1">
        <f>LOOKUP(O389,{0,1.4,1.6,1.8,2,2.2,2.4,2.6,2.8,3,3.2,3.4,3.6,3.8,4,4.2,4.4,4.7,5,5.1,5.2},{0,10,20,30,40,50,60,62,64,66,68,70,72,74,76,78,80,85,90,95,100})</f>
        <v>72</v>
      </c>
      <c r="Q389" s="6">
        <v>4.13</v>
      </c>
      <c r="R389" s="6">
        <f t="shared" si="186"/>
        <v>5.87</v>
      </c>
      <c r="S389" s="1">
        <f>LOOKUP(R389,{0,4.7,4.8,4.9,5,5.5,5.6,5.65,5.7,5.75,5.8,5.85,5.9,5.95,6,6.45,6.5,6.57,6.64,6.7,6.76},{0,10,20,30,40,50,60,62,64,66,68,70,72,74,76,78,80,85,90,95,100})</f>
        <v>70</v>
      </c>
      <c r="T389" s="45"/>
      <c r="U389" s="45"/>
      <c r="V389" s="21">
        <f t="shared" si="187"/>
        <v>70</v>
      </c>
      <c r="X389" s="21">
        <f t="shared" si="170"/>
        <v>49.6</v>
      </c>
      <c r="Y389" s="37">
        <f t="shared" si="188"/>
        <v>70.8571428571429</v>
      </c>
    </row>
    <row r="390" ht="15.6" hidden="1" outlineLevel="2" spans="1:25">
      <c r="A390" s="6">
        <v>109</v>
      </c>
      <c r="B390" s="6">
        <v>33</v>
      </c>
      <c r="C390" s="29" t="s">
        <v>441</v>
      </c>
      <c r="D390" s="29" t="s">
        <v>46</v>
      </c>
      <c r="E390" s="6">
        <v>12.6</v>
      </c>
      <c r="F390" s="1">
        <f>LOOKUP(E390,{0,0.4,1.2,2,2.8,3.6,4.4,5.7,7,8.3,9.6,10.9,12.2,13.5,14.8,16.1,17.4,19.1,20.8,22.5,24.2},{0,10,20,30,40,50,60,62,64,66,68,70,72,74,76,78,80,85,90,95,100})</f>
        <v>72</v>
      </c>
      <c r="G390" s="6">
        <v>178</v>
      </c>
      <c r="H390" s="1">
        <f>LOOKUP(G390,{0,123,128,133,138,143,148,151,154,157,160,163,166,169,172,175,178,185,192,198,204},{0,10,20,30,40,50,60,62,64,66,68,70,72,74,76,78,80,85,90,95,100})</f>
        <v>80</v>
      </c>
      <c r="I390" s="6">
        <v>38</v>
      </c>
      <c r="J390" s="1">
        <f>LOOKUP(I390,{0,13,15,17,19,21,23,25,27,29,31,33,35,37,39,41,43,46,49,51,53},{0,10,20,30,40,50,60,62,64,66,68,70,72,74,76,78,80,85,90,95,100})</f>
        <v>74</v>
      </c>
      <c r="K390" s="45"/>
      <c r="L390" s="45"/>
      <c r="M390" s="21">
        <f t="shared" si="184"/>
        <v>74</v>
      </c>
      <c r="N390" s="6">
        <v>9.4</v>
      </c>
      <c r="O390" s="43">
        <f t="shared" ref="O390:O420" si="189">13-N390</f>
        <v>3.6</v>
      </c>
      <c r="P390" s="1">
        <f>LOOKUP(O390,{0,1.4,1.6,1.8,2,2.2,2.4,2.6,2.8,3,3.2,3.4,3.6,3.8,4,4.2,4.4,4.7,5,5.1,5.2},{0,10,20,30,40,50,60,62,64,66,68,70,72,74,76,78,80,85,90,95,100})</f>
        <v>72</v>
      </c>
      <c r="Q390" s="6">
        <v>4.13</v>
      </c>
      <c r="R390" s="6">
        <f t="shared" si="186"/>
        <v>5.87</v>
      </c>
      <c r="S390" s="1">
        <f>LOOKUP(R390,{0,4.7,4.8,4.9,5,5.5,5.6,5.65,5.7,5.75,5.8,5.85,5.9,5.95,6,6.45,6.5,6.57,6.64,6.7,6.76},{0,10,20,30,40,50,60,62,64,66,68,70,72,74,76,78,80,85,90,95,100})</f>
        <v>70</v>
      </c>
      <c r="T390" s="45"/>
      <c r="U390" s="45"/>
      <c r="V390" s="21">
        <f t="shared" si="187"/>
        <v>70</v>
      </c>
      <c r="X390" s="21">
        <f t="shared" si="170"/>
        <v>51</v>
      </c>
      <c r="Y390" s="37">
        <f t="shared" ref="Y390:Y420" si="190">X390/0.7+L390+U390</f>
        <v>72.8571428571429</v>
      </c>
    </row>
    <row r="391" ht="15.6" hidden="1" outlineLevel="2" spans="1:25">
      <c r="A391" s="6">
        <v>109</v>
      </c>
      <c r="B391" s="6">
        <v>34</v>
      </c>
      <c r="C391" s="29" t="s">
        <v>442</v>
      </c>
      <c r="D391" s="29" t="s">
        <v>46</v>
      </c>
      <c r="E391" s="6">
        <v>17.4</v>
      </c>
      <c r="F391" s="1">
        <f>LOOKUP(E391,{0,0.4,1.2,2,2.8,3.6,4.4,5.7,7,8.3,9.6,10.9,12.2,13.5,14.8,16.1,17.4,19.1,20.8,22.5,24.2},{0,10,20,30,40,50,60,62,64,66,68,70,72,74,76,78,80,85,90,95,100})</f>
        <v>80</v>
      </c>
      <c r="G391" s="6">
        <v>192</v>
      </c>
      <c r="H391" s="1">
        <f>LOOKUP(G391,{0,123,128,133,138,143,148,151,154,157,160,163,166,169,172,175,178,185,192,198,204},{0,10,20,30,40,50,60,62,64,66,68,70,72,74,76,78,80,85,90,95,100})</f>
        <v>90</v>
      </c>
      <c r="I391" s="6">
        <v>44</v>
      </c>
      <c r="J391" s="1">
        <f>LOOKUP(I391,{0,13,15,17,19,21,23,25,27,29,31,33,35,37,39,41,43,46,49,51,53},{0,10,20,30,40,50,60,62,64,66,68,70,72,74,76,78,80,85,90,95,100})</f>
        <v>80</v>
      </c>
      <c r="K391" s="45"/>
      <c r="L391" s="45"/>
      <c r="M391" s="21">
        <f t="shared" si="184"/>
        <v>80</v>
      </c>
      <c r="N391" s="6">
        <v>8.3</v>
      </c>
      <c r="O391" s="43">
        <f t="shared" si="189"/>
        <v>4.7</v>
      </c>
      <c r="P391" s="1">
        <f>LOOKUP(O391,{0,1.4,1.6,1.8,2,2.2,2.4,2.6,2.8,3,3.2,3.4,3.6,3.8,4,4.2,4.4,4.7,5,5.1,5.2},{0,10,20,30,40,50,60,62,64,66,68,70,72,74,76,78,80,85,90,95,100})</f>
        <v>85</v>
      </c>
      <c r="Q391" s="6">
        <v>3.44</v>
      </c>
      <c r="R391" s="6">
        <f t="shared" si="186"/>
        <v>6.56</v>
      </c>
      <c r="S391" s="1">
        <f>LOOKUP(R391,{0,4.7,4.8,4.9,5,5.5,5.6,5.65,5.7,5.75,5.8,5.85,5.9,5.95,6,6.45,6.5,6.57,6.64,6.7,6.76},{0,10,20,30,40,50,60,62,64,66,68,70,72,74,76,78,80,85,90,95,100})</f>
        <v>80</v>
      </c>
      <c r="T391" s="45"/>
      <c r="U391" s="45"/>
      <c r="V391" s="21">
        <f t="shared" si="187"/>
        <v>80</v>
      </c>
      <c r="X391" s="21">
        <f t="shared" si="170"/>
        <v>58</v>
      </c>
      <c r="Y391" s="37">
        <f t="shared" si="190"/>
        <v>82.8571428571429</v>
      </c>
    </row>
    <row r="392" s="3" customFormat="1" ht="15.6" hidden="1" outlineLevel="2" spans="1:25">
      <c r="A392" s="6">
        <v>109</v>
      </c>
      <c r="B392" s="6">
        <v>35</v>
      </c>
      <c r="C392" s="29" t="s">
        <v>443</v>
      </c>
      <c r="D392" s="29" t="s">
        <v>46</v>
      </c>
      <c r="E392" s="6">
        <v>17</v>
      </c>
      <c r="F392" s="1">
        <f>LOOKUP(E392,{0,0.4,1.2,2,2.8,3.6,4.4,5.7,7,8.3,9.6,10.9,12.2,13.5,14.8,16.1,17.4,19.1,20.8,22.5,24.2},{0,10,20,30,40,50,60,62,64,66,68,70,72,74,76,78,80,85,90,95,100})</f>
        <v>78</v>
      </c>
      <c r="G392" s="6">
        <v>161</v>
      </c>
      <c r="H392" s="1">
        <f>LOOKUP(G392,{0,123,128,133,138,143,148,151,154,157,160,163,166,169,172,175,178,185,192,198,204},{0,10,20,30,40,50,60,62,64,66,68,70,72,74,76,78,80,85,90,95,100})</f>
        <v>68</v>
      </c>
      <c r="I392" s="6">
        <v>33</v>
      </c>
      <c r="J392" s="1">
        <f>LOOKUP(I392,{0,13,15,17,19,21,23,25,27,29,31,33,35,37,39,41,43,46,49,51,53},{0,10,20,30,40,50,60,62,64,66,68,70,72,74,76,78,80,85,90,95,100})</f>
        <v>70</v>
      </c>
      <c r="K392" s="45"/>
      <c r="L392" s="45"/>
      <c r="M392" s="21">
        <f t="shared" si="184"/>
        <v>70</v>
      </c>
      <c r="N392" s="6">
        <v>9.5</v>
      </c>
      <c r="O392" s="43">
        <f t="shared" si="189"/>
        <v>3.5</v>
      </c>
      <c r="P392" s="1">
        <f>LOOKUP(O392,{0,1.4,1.6,1.8,2,2.2,2.4,2.6,2.8,3,3.2,3.4,3.6,3.8,4,4.2,4.4,4.7,5,5.1,5.2},{0,10,20,30,40,50,60,62,64,66,68,70,72,74,76,78,80,85,90,95,100})</f>
        <v>70</v>
      </c>
      <c r="Q392" s="6">
        <v>3.55</v>
      </c>
      <c r="R392" s="6">
        <f t="shared" si="186"/>
        <v>6.45</v>
      </c>
      <c r="S392" s="1">
        <f>LOOKUP(R392,{0,4.7,4.8,4.9,5,5.5,5.6,5.65,5.7,5.75,5.8,5.85,5.9,5.95,6,6.45,6.5,6.57,6.64,6.7,6.76},{0,10,20,30,40,50,60,62,64,66,68,70,72,74,76,78,80,85,90,95,100})</f>
        <v>78</v>
      </c>
      <c r="T392" s="45"/>
      <c r="U392" s="45"/>
      <c r="V392" s="21">
        <f t="shared" si="187"/>
        <v>78</v>
      </c>
      <c r="W392" s="6"/>
      <c r="X392" s="21">
        <f t="shared" si="170"/>
        <v>51.2</v>
      </c>
      <c r="Y392" s="37">
        <f t="shared" si="190"/>
        <v>73.1428571428572</v>
      </c>
    </row>
    <row r="393" ht="15.6" hidden="1" outlineLevel="2" spans="1:25">
      <c r="A393" s="6">
        <v>109</v>
      </c>
      <c r="B393" s="6">
        <v>36</v>
      </c>
      <c r="C393" s="29" t="s">
        <v>444</v>
      </c>
      <c r="D393" s="29" t="s">
        <v>46</v>
      </c>
      <c r="E393" s="6">
        <v>17.1</v>
      </c>
      <c r="F393" s="1">
        <f>LOOKUP(E393,{0,0.4,1.2,2,2.8,3.6,4.4,5.7,7,8.3,9.6,10.9,12.2,13.5,14.8,16.1,17.4,19.1,20.8,22.5,24.2},{0,10,20,30,40,50,60,62,64,66,68,70,72,74,76,78,80,85,90,95,100})</f>
        <v>78</v>
      </c>
      <c r="G393" s="6">
        <v>186</v>
      </c>
      <c r="H393" s="1">
        <f>LOOKUP(G393,{0,123,128,133,138,143,148,151,154,157,160,163,166,169,172,175,178,185,192,198,204},{0,10,20,30,40,50,60,62,64,66,68,70,72,74,76,78,80,85,90,95,100})</f>
        <v>85</v>
      </c>
      <c r="I393" s="6">
        <v>52</v>
      </c>
      <c r="J393" s="1">
        <f>LOOKUP(I393,{0,13,15,17,19,21,23,25,27,29,31,33,35,37,39,41,43,46,49,51,53},{0,10,20,30,40,50,60,62,64,66,68,70,72,74,76,78,80,85,90,95,100})</f>
        <v>95</v>
      </c>
      <c r="K393" s="45"/>
      <c r="L393" s="45"/>
      <c r="M393" s="21">
        <f t="shared" si="184"/>
        <v>95</v>
      </c>
      <c r="N393" s="6">
        <v>9.5</v>
      </c>
      <c r="O393" s="43">
        <f t="shared" si="189"/>
        <v>3.5</v>
      </c>
      <c r="P393" s="1">
        <f>LOOKUP(O393,{0,1.4,1.6,1.8,2,2.2,2.4,2.6,2.8,3,3.2,3.4,3.6,3.8,4,4.2,4.4,4.7,5,5.1,5.2},{0,10,20,30,40,50,60,62,64,66,68,70,72,74,76,78,80,85,90,95,100})</f>
        <v>70</v>
      </c>
      <c r="Q393" s="6">
        <v>3.37</v>
      </c>
      <c r="R393" s="6">
        <f t="shared" si="186"/>
        <v>6.63</v>
      </c>
      <c r="S393" s="1">
        <f>LOOKUP(R393,{0,4.7,4.8,4.9,5,5.5,5.6,5.65,5.7,5.75,5.8,5.85,5.9,5.95,6,6.45,6.5,6.57,6.64,6.7,6.76},{0,10,20,30,40,50,60,62,64,66,68,70,72,74,76,78,80,85,90,95,100})</f>
        <v>85</v>
      </c>
      <c r="T393" s="45"/>
      <c r="U393" s="45"/>
      <c r="V393" s="21">
        <f t="shared" si="187"/>
        <v>85</v>
      </c>
      <c r="X393" s="21">
        <f t="shared" si="170"/>
        <v>56.8</v>
      </c>
      <c r="Y393" s="37">
        <f t="shared" si="190"/>
        <v>81.1428571428571</v>
      </c>
    </row>
    <row r="394" ht="15.6" hidden="1" outlineLevel="2" spans="1:25">
      <c r="A394" s="6">
        <v>109</v>
      </c>
      <c r="B394" s="6">
        <v>37</v>
      </c>
      <c r="C394" s="29" t="s">
        <v>445</v>
      </c>
      <c r="D394" s="29" t="s">
        <v>46</v>
      </c>
      <c r="E394" s="6">
        <v>20.1</v>
      </c>
      <c r="F394" s="1">
        <f>LOOKUP(E394,{0,0.4,1.2,2,2.8,3.6,4.4,5.7,7,8.3,9.6,10.9,12.2,13.5,14.8,16.1,17.4,19.1,20.8,22.5,24.2},{0,10,20,30,40,50,60,62,64,66,68,70,72,74,76,78,80,85,90,95,100})</f>
        <v>85</v>
      </c>
      <c r="G394" s="6">
        <v>173</v>
      </c>
      <c r="H394" s="1">
        <f>LOOKUP(G394,{0,123,128,133,138,143,148,151,154,157,160,163,166,169,172,175,178,185,192,198,204},{0,10,20,30,40,50,60,62,64,66,68,70,72,74,76,78,80,85,90,95,100})</f>
        <v>76</v>
      </c>
      <c r="I394" s="6">
        <v>53</v>
      </c>
      <c r="J394" s="1">
        <f>LOOKUP(I394,{0,13,15,17,19,21,23,25,27,29,31,33,35,37,39,41,43,46,49,51,53},{0,10,20,30,40,50,60,62,64,66,68,70,72,74,76,78,80,85,90,95,100})</f>
        <v>100</v>
      </c>
      <c r="K394" s="45">
        <f>I394-53</f>
        <v>0</v>
      </c>
      <c r="L394" s="40">
        <f>LOOKUP(K394,{0,2,4,6,7,8,9,10,11,12,13},{0,1,2,3,4,5,6,7,8,9,10})</f>
        <v>0</v>
      </c>
      <c r="M394" s="21">
        <f t="shared" si="184"/>
        <v>100</v>
      </c>
      <c r="N394" s="6">
        <v>9.5</v>
      </c>
      <c r="O394" s="43">
        <f t="shared" si="189"/>
        <v>3.5</v>
      </c>
      <c r="P394" s="1">
        <f>LOOKUP(O394,{0,1.4,1.6,1.8,2,2.2,2.4,2.6,2.8,3,3.2,3.4,3.6,3.8,4,4.2,4.4,4.7,5,5.1,5.2},{0,10,20,30,40,50,60,62,64,66,68,70,72,74,76,78,80,85,90,95,100})</f>
        <v>70</v>
      </c>
      <c r="Q394" s="6">
        <v>3.38</v>
      </c>
      <c r="R394" s="6">
        <f t="shared" si="186"/>
        <v>6.62</v>
      </c>
      <c r="S394" s="1">
        <f>LOOKUP(R394,{0,4.7,4.8,4.9,5,5.5,5.6,5.65,5.7,5.75,5.8,5.85,5.9,5.95,6,6.45,6.5,6.57,6.64,6.7,6.76},{0,10,20,30,40,50,60,62,64,66,68,70,72,74,76,78,80,85,90,95,100})</f>
        <v>85</v>
      </c>
      <c r="T394" s="45"/>
      <c r="U394" s="45"/>
      <c r="V394" s="21">
        <f t="shared" si="187"/>
        <v>85</v>
      </c>
      <c r="X394" s="21">
        <f t="shared" si="170"/>
        <v>57.1</v>
      </c>
      <c r="Y394" s="37">
        <f t="shared" si="190"/>
        <v>81.5714285714286</v>
      </c>
    </row>
    <row r="395" ht="15.6" hidden="1" outlineLevel="2" spans="1:25">
      <c r="A395" s="6">
        <v>109</v>
      </c>
      <c r="B395" s="6">
        <v>38</v>
      </c>
      <c r="C395" s="29" t="s">
        <v>446</v>
      </c>
      <c r="D395" s="29" t="s">
        <v>46</v>
      </c>
      <c r="E395" s="6">
        <v>7</v>
      </c>
      <c r="F395" s="1">
        <f>LOOKUP(E395,{0,0.4,1.2,2,2.8,3.6,4.4,5.7,7,8.3,9.6,10.9,12.2,13.5,14.8,16.1,17.4,19.1,20.8,22.5,24.2},{0,10,20,30,40,50,60,62,64,66,68,70,72,74,76,78,80,85,90,95,100})</f>
        <v>64</v>
      </c>
      <c r="G395" s="6">
        <v>192</v>
      </c>
      <c r="H395" s="1">
        <f>LOOKUP(G395,{0,123,128,133,138,143,148,151,154,157,160,163,166,169,172,175,178,185,192,198,204},{0,10,20,30,40,50,60,62,64,66,68,70,72,74,76,78,80,85,90,95,100})</f>
        <v>90</v>
      </c>
      <c r="I395" s="6">
        <v>50</v>
      </c>
      <c r="J395" s="1">
        <f>LOOKUP(I395,{0,13,15,17,19,21,23,25,27,29,31,33,35,37,39,41,43,46,49,51,53},{0,10,20,30,40,50,60,62,64,66,68,70,72,74,76,78,80,85,90,95,100})</f>
        <v>90</v>
      </c>
      <c r="K395" s="45"/>
      <c r="L395" s="45"/>
      <c r="M395" s="21">
        <f t="shared" si="184"/>
        <v>90</v>
      </c>
      <c r="N395" s="6">
        <v>8.4</v>
      </c>
      <c r="O395" s="43">
        <f t="shared" si="189"/>
        <v>4.6</v>
      </c>
      <c r="P395" s="1">
        <f>LOOKUP(O395,{0,1.4,1.6,1.8,2,2.2,2.4,2.6,2.8,3,3.2,3.4,3.6,3.8,4,4.2,4.4,4.7,5,5.1,5.2},{0,10,20,30,40,50,60,62,64,66,68,70,72,74,76,78,80,85,90,95,100})</f>
        <v>80</v>
      </c>
      <c r="Q395" s="6">
        <v>3.12</v>
      </c>
      <c r="R395" s="6">
        <f t="shared" si="186"/>
        <v>6.88</v>
      </c>
      <c r="S395" s="1">
        <f>LOOKUP(R395,{0,4.7,4.8,4.9,5,5.5,5.6,5.65,5.7,5.75,5.8,5.85,5.9,5.95,6,6.45,6.5,6.57,6.64,6.7,6.76},{0,10,20,30,40,50,60,62,64,66,68,70,72,74,76,78,80,85,90,95,100})</f>
        <v>100</v>
      </c>
      <c r="T395" s="48">
        <f>3.24-Q395</f>
        <v>0.12</v>
      </c>
      <c r="U395" s="40">
        <f>LOOKUP(T395,{0,0.05,0.1,0.15,0.2,0.25,0.3,0.35,0.4,0.45,0.5},{0,1,2,3,4,5,6,7,8,9,10})</f>
        <v>2</v>
      </c>
      <c r="V395" s="21">
        <f t="shared" si="187"/>
        <v>102</v>
      </c>
      <c r="X395" s="21">
        <f t="shared" si="170"/>
        <v>60.4</v>
      </c>
      <c r="Y395" s="37">
        <f t="shared" si="190"/>
        <v>88.2857142857143</v>
      </c>
    </row>
    <row r="396" ht="15.6" hidden="1" outlineLevel="2" spans="1:25">
      <c r="A396" s="6">
        <v>109</v>
      </c>
      <c r="B396" s="6">
        <v>39</v>
      </c>
      <c r="C396" s="39" t="s">
        <v>448</v>
      </c>
      <c r="D396" s="29" t="s">
        <v>46</v>
      </c>
      <c r="E396" s="6">
        <v>14</v>
      </c>
      <c r="F396" s="1">
        <f>LOOKUP(E396,{0,0.4,1.2,2,2.8,3.6,4.4,5.7,7,8.3,9.6,10.9,12.2,13.5,14.8,16.1,17.4,19.1,20.8,22.5,24.2},{0,10,20,30,40,50,60,62,64,66,68,70,72,74,76,78,80,85,90,95,100})</f>
        <v>74</v>
      </c>
      <c r="G396" s="6">
        <v>166</v>
      </c>
      <c r="H396" s="1">
        <f>LOOKUP(G396,{0,123,128,133,138,143,148,151,154,157,160,163,166,169,172,175,178,185,192,198,204},{0,10,20,30,40,50,60,62,64,66,68,70,72,74,76,78,80,85,90,95,100})</f>
        <v>72</v>
      </c>
      <c r="I396" s="6">
        <v>58</v>
      </c>
      <c r="J396" s="1">
        <f>LOOKUP(I396,{0,13,15,17,19,21,23,25,27,29,31,33,35,37,39,41,43,46,49,51,53},{0,10,20,30,40,50,60,62,64,66,68,70,72,74,76,78,80,85,90,95,100})</f>
        <v>100</v>
      </c>
      <c r="K396" s="45">
        <f>I396-53</f>
        <v>5</v>
      </c>
      <c r="L396" s="40">
        <f>LOOKUP(K396,{0,2,4,6,7,8,9,10,11,12,13},{0,1,2,3,4,5,6,7,8,9,10})</f>
        <v>2</v>
      </c>
      <c r="M396" s="21">
        <f t="shared" si="184"/>
        <v>102</v>
      </c>
      <c r="N396" s="6">
        <v>8.6</v>
      </c>
      <c r="O396" s="43">
        <f t="shared" si="189"/>
        <v>4.4</v>
      </c>
      <c r="P396" s="1">
        <f>LOOKUP(O396,{0,1.4,1.6,1.8,2,2.2,2.4,2.6,2.8,3,3.2,3.4,3.6,3.8,4,4.2,4.4,4.7,5,5.1,5.2},{0,10,20,30,40,50,60,62,64,66,68,70,72,74,76,78,80,85,90,95,100})</f>
        <v>80</v>
      </c>
      <c r="Q396" s="6">
        <v>3.59</v>
      </c>
      <c r="R396" s="6">
        <f t="shared" si="186"/>
        <v>6.41</v>
      </c>
      <c r="S396" s="1">
        <f>LOOKUP(R396,{0,4.7,4.8,4.9,5,5.5,5.6,5.65,5.7,5.75,5.8,5.85,5.9,5.95,6,6.45,6.5,6.57,6.64,6.7,6.76},{0,10,20,30,40,50,60,62,64,66,68,70,72,74,76,78,80,85,90,95,100})</f>
        <v>76</v>
      </c>
      <c r="T396" s="45"/>
      <c r="U396" s="45"/>
      <c r="V396" s="21">
        <f t="shared" si="187"/>
        <v>76</v>
      </c>
      <c r="X396" s="21">
        <f t="shared" si="170"/>
        <v>55.8</v>
      </c>
      <c r="Y396" s="37">
        <f t="shared" si="190"/>
        <v>81.7142857142857</v>
      </c>
    </row>
    <row r="397" ht="15.6" hidden="1" outlineLevel="2" spans="1:25">
      <c r="A397" s="6">
        <v>109</v>
      </c>
      <c r="B397" s="6">
        <v>40</v>
      </c>
      <c r="C397" s="29" t="s">
        <v>449</v>
      </c>
      <c r="D397" s="29" t="s">
        <v>46</v>
      </c>
      <c r="E397" s="6">
        <v>24.4</v>
      </c>
      <c r="F397" s="1">
        <f>LOOKUP(E397,{0,0.4,1.2,2,2.8,3.6,4.4,5.7,7,8.3,9.6,10.9,12.2,13.5,14.8,16.1,17.4,19.1,20.8,22.5,24.2},{0,10,20,30,40,50,60,62,64,66,68,70,72,74,76,78,80,85,90,95,100})</f>
        <v>100</v>
      </c>
      <c r="G397" s="6">
        <v>195</v>
      </c>
      <c r="H397" s="1">
        <f>LOOKUP(G397,{0,123,128,133,138,143,148,151,154,157,160,163,166,169,172,175,178,185,192,198,204},{0,10,20,30,40,50,60,62,64,66,68,70,72,74,76,78,80,85,90,95,100})</f>
        <v>90</v>
      </c>
      <c r="I397" s="6">
        <v>39</v>
      </c>
      <c r="J397" s="1">
        <f>LOOKUP(I397,{0,13,15,17,19,21,23,25,27,29,31,33,35,37,39,41,43,46,49,51,53},{0,10,20,30,40,50,60,62,64,66,68,70,72,74,76,78,80,85,90,95,100})</f>
        <v>76</v>
      </c>
      <c r="K397" s="45"/>
      <c r="L397" s="45"/>
      <c r="M397" s="21">
        <f t="shared" si="184"/>
        <v>76</v>
      </c>
      <c r="N397" s="6">
        <v>8.5</v>
      </c>
      <c r="O397" s="43">
        <f t="shared" si="189"/>
        <v>4.5</v>
      </c>
      <c r="P397" s="1">
        <f>LOOKUP(O397,{0,1.4,1.6,1.8,2,2.2,2.4,2.6,2.8,3,3.2,3.4,3.6,3.8,4,4.2,4.4,4.7,5,5.1,5.2},{0,10,20,30,40,50,60,62,64,66,68,70,72,74,76,78,80,85,90,95,100})</f>
        <v>80</v>
      </c>
      <c r="Q397" s="6">
        <v>3.56</v>
      </c>
      <c r="R397" s="6">
        <f t="shared" si="186"/>
        <v>6.44</v>
      </c>
      <c r="S397" s="1">
        <f>LOOKUP(R397,{0,4.7,4.8,4.9,5,5.5,5.6,5.65,5.7,5.75,5.8,5.85,5.9,5.95,6,6.45,6.5,6.57,6.64,6.7,6.76},{0,10,20,30,40,50,60,62,64,66,68,70,72,74,76,78,80,85,90,95,100})</f>
        <v>76</v>
      </c>
      <c r="T397" s="45"/>
      <c r="U397" s="45"/>
      <c r="V397" s="21">
        <f t="shared" si="187"/>
        <v>76</v>
      </c>
      <c r="X397" s="21">
        <f t="shared" si="170"/>
        <v>57.8</v>
      </c>
      <c r="Y397" s="37">
        <f t="shared" si="190"/>
        <v>82.5714285714286</v>
      </c>
    </row>
    <row r="398" ht="15.6" hidden="1" outlineLevel="2" spans="1:25">
      <c r="A398" s="6">
        <v>109</v>
      </c>
      <c r="B398" s="6">
        <v>41</v>
      </c>
      <c r="C398" s="29" t="s">
        <v>450</v>
      </c>
      <c r="D398" s="29" t="s">
        <v>46</v>
      </c>
      <c r="E398" s="6">
        <v>23</v>
      </c>
      <c r="F398" s="1">
        <f>LOOKUP(E398,{0,0.4,1.2,2,2.8,3.6,4.4,5.7,7,8.3,9.6,10.9,12.2,13.5,14.8,16.1,17.4,19.1,20.8,22.5,24.2},{0,10,20,30,40,50,60,62,64,66,68,70,72,74,76,78,80,85,90,95,100})</f>
        <v>95</v>
      </c>
      <c r="G398" s="6">
        <v>190</v>
      </c>
      <c r="H398" s="1">
        <f>LOOKUP(G398,{0,123,128,133,138,143,148,151,154,157,160,163,166,169,172,175,178,185,192,198,204},{0,10,20,30,40,50,60,62,64,66,68,70,72,74,76,78,80,85,90,95,100})</f>
        <v>85</v>
      </c>
      <c r="I398" s="6">
        <v>49</v>
      </c>
      <c r="J398" s="1">
        <f>LOOKUP(I398,{0,13,15,17,19,21,23,25,27,29,31,33,35,37,39,41,43,46,49,51,53},{0,10,20,30,40,50,60,62,64,66,68,70,72,74,76,78,80,85,90,95,100})</f>
        <v>90</v>
      </c>
      <c r="K398" s="45"/>
      <c r="L398" s="45"/>
      <c r="M398" s="21">
        <f t="shared" si="184"/>
        <v>90</v>
      </c>
      <c r="N398" s="6">
        <v>8.9</v>
      </c>
      <c r="O398" s="43">
        <f t="shared" si="189"/>
        <v>4.1</v>
      </c>
      <c r="P398" s="1">
        <f>LOOKUP(O398,{0,1.4,1.6,1.8,2,2.2,2.4,2.6,2.8,3,3.2,3.4,3.6,3.8,4,4.2,4.4,4.7,5,5.1,5.2},{0,10,20,30,40,50,60,62,64,66,68,70,72,74,76,78,80,85,90,95,100})</f>
        <v>76</v>
      </c>
      <c r="Q398" s="6">
        <v>3.34</v>
      </c>
      <c r="R398" s="6">
        <f t="shared" si="186"/>
        <v>6.66</v>
      </c>
      <c r="S398" s="1">
        <f>LOOKUP(R398,{0,4.7,4.8,4.9,5,5.5,5.6,5.65,5.7,5.75,5.8,5.85,5.9,5.95,6,6.45,6.5,6.57,6.64,6.7,6.76},{0,10,20,30,40,50,60,62,64,66,68,70,72,74,76,78,80,85,90,95,100})</f>
        <v>90</v>
      </c>
      <c r="T398" s="45"/>
      <c r="U398" s="45"/>
      <c r="V398" s="21">
        <f t="shared" si="187"/>
        <v>90</v>
      </c>
      <c r="X398" s="21">
        <f t="shared" si="170"/>
        <v>60.2</v>
      </c>
      <c r="Y398" s="37">
        <f t="shared" si="190"/>
        <v>86</v>
      </c>
    </row>
    <row r="399" ht="15.6" hidden="1" outlineLevel="2" spans="1:25">
      <c r="A399" s="6">
        <v>109</v>
      </c>
      <c r="B399" s="6">
        <v>42</v>
      </c>
      <c r="C399" s="29" t="s">
        <v>451</v>
      </c>
      <c r="D399" s="29" t="s">
        <v>46</v>
      </c>
      <c r="E399" s="6">
        <v>9.4</v>
      </c>
      <c r="F399" s="1">
        <f>LOOKUP(E399,{0,0.4,1.2,2,2.8,3.6,4.4,5.7,7,8.3,9.6,10.9,12.2,13.5,14.8,16.1,17.4,19.1,20.8,22.5,24.2},{0,10,20,30,40,50,60,62,64,66,68,70,72,74,76,78,80,85,90,95,100})</f>
        <v>66</v>
      </c>
      <c r="G399" s="6">
        <v>181</v>
      </c>
      <c r="H399" s="1">
        <f>LOOKUP(G399,{0,123,128,133,138,143,148,151,154,157,160,163,166,169,172,175,178,185,192,198,204},{0,10,20,30,40,50,60,62,64,66,68,70,72,74,76,78,80,85,90,95,100})</f>
        <v>80</v>
      </c>
      <c r="I399" s="6">
        <v>48</v>
      </c>
      <c r="J399" s="1">
        <f>LOOKUP(I399,{0,13,15,17,19,21,23,25,27,29,31,33,35,37,39,41,43,46,49,51,53},{0,10,20,30,40,50,60,62,64,66,68,70,72,74,76,78,80,85,90,95,100})</f>
        <v>85</v>
      </c>
      <c r="K399" s="45"/>
      <c r="L399" s="45"/>
      <c r="M399" s="21">
        <f t="shared" si="184"/>
        <v>85</v>
      </c>
      <c r="N399" s="6">
        <v>8.6</v>
      </c>
      <c r="O399" s="43">
        <f t="shared" si="189"/>
        <v>4.4</v>
      </c>
      <c r="P399" s="1">
        <f>LOOKUP(O399,{0,1.4,1.6,1.8,2,2.2,2.4,2.6,2.8,3,3.2,3.4,3.6,3.8,4,4.2,4.4,4.7,5,5.1,5.2},{0,10,20,30,40,50,60,62,64,66,68,70,72,74,76,78,80,85,90,95,100})</f>
        <v>80</v>
      </c>
      <c r="Q399" s="6">
        <v>3.52</v>
      </c>
      <c r="R399" s="6">
        <f t="shared" si="186"/>
        <v>6.48</v>
      </c>
      <c r="S399" s="1">
        <f>LOOKUP(R399,{0,4.7,4.8,4.9,5,5.5,5.6,5.65,5.7,5.75,5.8,5.85,5.9,5.95,6,6.45,6.5,6.57,6.64,6.7,6.76},{0,10,20,30,40,50,60,62,64,66,68,70,72,74,76,78,80,85,90,95,100})</f>
        <v>78</v>
      </c>
      <c r="T399" s="45"/>
      <c r="U399" s="45"/>
      <c r="V399" s="21">
        <f t="shared" si="187"/>
        <v>78</v>
      </c>
      <c r="X399" s="21">
        <f t="shared" si="170"/>
        <v>54.7</v>
      </c>
      <c r="Y399" s="37">
        <f t="shared" si="190"/>
        <v>78.1428571428572</v>
      </c>
    </row>
    <row r="400" ht="15.6" hidden="1" outlineLevel="2" spans="1:25">
      <c r="A400" s="6">
        <v>109</v>
      </c>
      <c r="B400" s="6">
        <v>43</v>
      </c>
      <c r="C400" s="29" t="s">
        <v>452</v>
      </c>
      <c r="D400" s="29" t="s">
        <v>46</v>
      </c>
      <c r="E400" s="6">
        <v>20</v>
      </c>
      <c r="F400" s="1">
        <f>LOOKUP(E400,{0,0.4,1.2,2,2.8,3.6,4.4,5.7,7,8.3,9.6,10.9,12.2,13.5,14.8,16.1,17.4,19.1,20.8,22.5,24.2},{0,10,20,30,40,50,60,62,64,66,68,70,72,74,76,78,80,85,90,95,100})</f>
        <v>85</v>
      </c>
      <c r="G400" s="6">
        <v>157</v>
      </c>
      <c r="H400" s="1">
        <f>LOOKUP(G400,{0,123,128,133,138,143,148,151,154,157,160,163,166,169,172,175,178,185,192,198,204},{0,10,20,30,40,50,60,62,64,66,68,70,72,74,76,78,80,85,90,95,100})</f>
        <v>66</v>
      </c>
      <c r="I400" s="6">
        <v>44</v>
      </c>
      <c r="J400" s="1">
        <f>LOOKUP(I400,{0,13,15,17,19,21,23,25,27,29,31,33,35,37,39,41,43,46,49,51,53},{0,10,20,30,40,50,60,62,64,66,68,70,72,74,76,78,80,85,90,95,100})</f>
        <v>80</v>
      </c>
      <c r="K400" s="45"/>
      <c r="L400" s="45"/>
      <c r="M400" s="21">
        <f t="shared" si="184"/>
        <v>80</v>
      </c>
      <c r="N400" s="6">
        <v>9.1</v>
      </c>
      <c r="O400" s="43">
        <f t="shared" si="189"/>
        <v>3.9</v>
      </c>
      <c r="P400" s="1">
        <f>LOOKUP(O400,{0,1.4,1.6,1.8,2,2.2,2.4,2.6,2.8,3,3.2,3.4,3.6,3.8,4,4.2,4.4,4.7,5,5.1,5.2},{0,10,20,30,40,50,60,62,64,66,68,70,72,74,76,78,80,85,90,95,100})</f>
        <v>74</v>
      </c>
      <c r="Q400" s="6">
        <v>3.5</v>
      </c>
      <c r="R400" s="6">
        <f t="shared" si="186"/>
        <v>6.5</v>
      </c>
      <c r="S400" s="1">
        <f>LOOKUP(R400,{0,4.7,4.8,4.9,5,5.5,5.6,5.65,5.7,5.75,5.8,5.85,5.9,5.95,6,6.45,6.5,6.57,6.64,6.7,6.76},{0,10,20,30,40,50,60,62,64,66,68,70,72,74,76,78,80,85,90,95,100})</f>
        <v>80</v>
      </c>
      <c r="T400" s="45"/>
      <c r="U400" s="45"/>
      <c r="V400" s="21">
        <f t="shared" si="187"/>
        <v>80</v>
      </c>
      <c r="X400" s="21">
        <f t="shared" si="170"/>
        <v>53.9</v>
      </c>
      <c r="Y400" s="37">
        <f t="shared" si="190"/>
        <v>77</v>
      </c>
    </row>
    <row r="401" ht="15.6" hidden="1" outlineLevel="2" spans="1:25">
      <c r="A401" s="6">
        <v>109</v>
      </c>
      <c r="B401" s="6">
        <v>44</v>
      </c>
      <c r="C401" s="29" t="s">
        <v>453</v>
      </c>
      <c r="D401" s="29" t="s">
        <v>46</v>
      </c>
      <c r="E401" s="6">
        <v>15.8</v>
      </c>
      <c r="F401" s="1">
        <f>LOOKUP(E401,{0,0.4,1.2,2,2.8,3.6,4.4,5.7,7,8.3,9.6,10.9,12.2,13.5,14.8,16.1,17.4,19.1,20.8,22.5,24.2},{0,10,20,30,40,50,60,62,64,66,68,70,72,74,76,78,80,85,90,95,100})</f>
        <v>76</v>
      </c>
      <c r="G401" s="6">
        <v>180</v>
      </c>
      <c r="H401" s="1">
        <f>LOOKUP(G401,{0,123,128,133,138,143,148,151,154,157,160,163,166,169,172,175,178,185,192,198,204},{0,10,20,30,40,50,60,62,64,66,68,70,72,74,76,78,80,85,90,95,100})</f>
        <v>80</v>
      </c>
      <c r="I401" s="6">
        <v>46</v>
      </c>
      <c r="J401" s="1">
        <f>LOOKUP(I401,{0,13,15,17,19,21,23,25,27,29,31,33,35,37,39,41,43,46,49,51,53},{0,10,20,30,40,50,60,62,64,66,68,70,72,74,76,78,80,85,90,95,100})</f>
        <v>85</v>
      </c>
      <c r="K401" s="45"/>
      <c r="L401" s="45"/>
      <c r="M401" s="21">
        <f t="shared" si="184"/>
        <v>85</v>
      </c>
      <c r="N401" s="6">
        <v>8.5</v>
      </c>
      <c r="O401" s="43">
        <f t="shared" si="189"/>
        <v>4.5</v>
      </c>
      <c r="P401" s="1">
        <f>LOOKUP(O401,{0,1.4,1.6,1.8,2,2.2,2.4,2.6,2.8,3,3.2,3.4,3.6,3.8,4,4.2,4.4,4.7,5,5.1,5.2},{0,10,20,30,40,50,60,62,64,66,68,70,72,74,76,78,80,85,90,95,100})</f>
        <v>80</v>
      </c>
      <c r="Q401" s="6">
        <v>3.46</v>
      </c>
      <c r="R401" s="6">
        <f t="shared" si="186"/>
        <v>6.54</v>
      </c>
      <c r="S401" s="1">
        <f>LOOKUP(R401,{0,4.7,4.8,4.9,5,5.5,5.6,5.65,5.7,5.75,5.8,5.85,5.9,5.95,6,6.45,6.5,6.57,6.64,6.7,6.76},{0,10,20,30,40,50,60,62,64,66,68,70,72,74,76,78,80,85,90,95,100})</f>
        <v>80</v>
      </c>
      <c r="T401" s="45"/>
      <c r="U401" s="45"/>
      <c r="V401" s="21">
        <f t="shared" si="187"/>
        <v>80</v>
      </c>
      <c r="X401" s="21">
        <f t="shared" si="170"/>
        <v>56.1</v>
      </c>
      <c r="Y401" s="37">
        <f t="shared" si="190"/>
        <v>80.1428571428572</v>
      </c>
    </row>
    <row r="402" ht="15.6" hidden="1" outlineLevel="2" spans="1:25">
      <c r="A402" s="6">
        <v>109</v>
      </c>
      <c r="B402" s="6">
        <v>45</v>
      </c>
      <c r="C402" s="29" t="s">
        <v>454</v>
      </c>
      <c r="D402" s="29" t="s">
        <v>46</v>
      </c>
      <c r="E402" s="6">
        <v>25.3</v>
      </c>
      <c r="F402" s="1">
        <f>LOOKUP(E402,{0,0.4,1.2,2,2.8,3.6,4.4,5.7,7,8.3,9.6,10.9,12.2,13.5,14.8,16.1,17.4,19.1,20.8,22.5,24.2},{0,10,20,30,40,50,60,62,64,66,68,70,72,74,76,78,80,85,90,95,100})</f>
        <v>100</v>
      </c>
      <c r="G402" s="6">
        <v>145</v>
      </c>
      <c r="H402" s="1">
        <f>LOOKUP(G402,{0,123,128,133,138,143,148,151,154,157,160,163,166,169,172,175,178,185,192,198,204},{0,10,20,30,40,50,60,62,64,66,68,70,72,74,76,78,80,85,90,95,100})</f>
        <v>50</v>
      </c>
      <c r="I402" s="6">
        <v>49</v>
      </c>
      <c r="J402" s="1">
        <f>LOOKUP(I402,{0,13,15,17,19,21,23,25,27,29,31,33,35,37,39,41,43,46,49,51,53},{0,10,20,30,40,50,60,62,64,66,68,70,72,74,76,78,80,85,90,95,100})</f>
        <v>90</v>
      </c>
      <c r="K402" s="45"/>
      <c r="L402" s="45"/>
      <c r="M402" s="21">
        <f t="shared" si="184"/>
        <v>90</v>
      </c>
      <c r="N402" s="6">
        <v>9.4</v>
      </c>
      <c r="O402" s="43">
        <f t="shared" si="189"/>
        <v>3.6</v>
      </c>
      <c r="P402" s="1">
        <f>LOOKUP(O402,{0,1.4,1.6,1.8,2,2.2,2.4,2.6,2.8,3,3.2,3.4,3.6,3.8,4,4.2,4.4,4.7,5,5.1,5.2},{0,10,20,30,40,50,60,62,64,66,68,70,72,74,76,78,80,85,90,95,100})</f>
        <v>72</v>
      </c>
      <c r="Q402" s="6">
        <v>4.02</v>
      </c>
      <c r="R402" s="6">
        <f t="shared" si="186"/>
        <v>5.98</v>
      </c>
      <c r="S402" s="1">
        <f>LOOKUP(R402,{0,4.7,4.8,4.9,5,5.5,5.6,5.65,5.7,5.75,5.8,5.85,5.9,5.95,6,6.45,6.5,6.57,6.64,6.7,6.76},{0,10,20,30,40,50,60,62,64,66,68,70,72,74,76,78,80,85,90,95,100})</f>
        <v>74</v>
      </c>
      <c r="T402" s="45"/>
      <c r="U402" s="45"/>
      <c r="V402" s="21">
        <f t="shared" si="187"/>
        <v>74</v>
      </c>
      <c r="X402" s="21">
        <f t="shared" si="170"/>
        <v>53.2</v>
      </c>
      <c r="Y402" s="37">
        <f t="shared" si="190"/>
        <v>76</v>
      </c>
    </row>
    <row r="403" ht="15.6" hidden="1" outlineLevel="2" spans="1:25">
      <c r="A403" s="6">
        <v>109</v>
      </c>
      <c r="B403" s="6">
        <v>46</v>
      </c>
      <c r="C403" s="29" t="s">
        <v>455</v>
      </c>
      <c r="D403" s="29" t="s">
        <v>46</v>
      </c>
      <c r="E403" s="6">
        <v>12</v>
      </c>
      <c r="F403" s="1">
        <f>LOOKUP(E403,{0,0.4,1.2,2,2.8,3.6,4.4,5.7,7,8.3,9.6,10.9,12.2,13.5,14.8,16.1,17.4,19.1,20.8,22.5,24.2},{0,10,20,30,40,50,60,62,64,66,68,70,72,74,76,78,80,85,90,95,100})</f>
        <v>70</v>
      </c>
      <c r="G403" s="6">
        <v>160</v>
      </c>
      <c r="H403" s="1">
        <f>LOOKUP(G403,{0,123,128,133,138,143,148,151,154,157,160,163,166,169,172,175,178,185,192,198,204},{0,10,20,30,40,50,60,62,64,66,68,70,72,74,76,78,80,85,90,95,100})</f>
        <v>68</v>
      </c>
      <c r="I403" s="6">
        <v>48</v>
      </c>
      <c r="J403" s="1">
        <f>LOOKUP(I403,{0,13,15,17,19,21,23,25,27,29,31,33,35,37,39,41,43,46,49,51,53},{0,10,20,30,40,50,60,62,64,66,68,70,72,74,76,78,80,85,90,95,100})</f>
        <v>85</v>
      </c>
      <c r="K403" s="45"/>
      <c r="L403" s="45"/>
      <c r="M403" s="21">
        <f t="shared" si="184"/>
        <v>85</v>
      </c>
      <c r="N403" s="6">
        <v>9.6</v>
      </c>
      <c r="O403" s="43">
        <f t="shared" si="189"/>
        <v>3.4</v>
      </c>
      <c r="P403" s="1">
        <f>LOOKUP(O403,{0,1.4,1.6,1.8,2,2.2,2.4,2.6,2.8,3,3.2,3.4,3.6,3.8,4,4.2,4.4,4.7,5,5.1,5.2},{0,10,20,30,40,50,60,62,64,66,68,70,72,74,76,78,80,85,90,95,100})</f>
        <v>70</v>
      </c>
      <c r="Q403" s="6">
        <v>4.3</v>
      </c>
      <c r="R403" s="6">
        <f t="shared" si="186"/>
        <v>5.7</v>
      </c>
      <c r="S403" s="1">
        <f>LOOKUP(R403,{0,4.7,4.8,4.9,5,5.5,5.6,5.65,5.7,5.75,5.8,5.85,5.9,5.95,6,6.45,6.5,6.57,6.64,6.7,6.76},{0,10,20,30,40,50,60,62,64,66,68,70,72,74,76,78,80,85,90,95,100})</f>
        <v>64</v>
      </c>
      <c r="T403" s="45"/>
      <c r="U403" s="45"/>
      <c r="V403" s="21">
        <f t="shared" si="187"/>
        <v>64</v>
      </c>
      <c r="X403" s="21">
        <f t="shared" si="170"/>
        <v>49.1</v>
      </c>
      <c r="Y403" s="37">
        <f t="shared" si="190"/>
        <v>70.1428571428571</v>
      </c>
    </row>
    <row r="404" ht="15.6" hidden="1" outlineLevel="2" spans="1:25">
      <c r="A404" s="6">
        <v>109</v>
      </c>
      <c r="B404" s="6">
        <v>47</v>
      </c>
      <c r="C404" s="29" t="s">
        <v>456</v>
      </c>
      <c r="D404" s="29" t="s">
        <v>46</v>
      </c>
      <c r="E404" s="6">
        <v>13.9</v>
      </c>
      <c r="F404" s="1">
        <f>LOOKUP(E404,{0,0.4,1.2,2,2.8,3.6,4.4,5.7,7,8.3,9.6,10.9,12.2,13.5,14.8,16.1,17.4,19.1,20.8,22.5,24.2},{0,10,20,30,40,50,60,62,64,66,68,70,72,74,76,78,80,85,90,95,100})</f>
        <v>74</v>
      </c>
      <c r="G404" s="6">
        <v>175</v>
      </c>
      <c r="H404" s="1">
        <f>LOOKUP(G404,{0,123,128,133,138,143,148,151,154,157,160,163,166,169,172,175,178,185,192,198,204},{0,10,20,30,40,50,60,62,64,66,68,70,72,74,76,78,80,85,90,95,100})</f>
        <v>78</v>
      </c>
      <c r="I404" s="6">
        <v>53</v>
      </c>
      <c r="J404" s="1">
        <f>LOOKUP(I404,{0,13,15,17,19,21,23,25,27,29,31,33,35,37,39,41,43,46,49,51,53},{0,10,20,30,40,50,60,62,64,66,68,70,72,74,76,78,80,85,90,95,100})</f>
        <v>100</v>
      </c>
      <c r="K404" s="45">
        <f>I404-53</f>
        <v>0</v>
      </c>
      <c r="L404" s="40">
        <f>LOOKUP(K404,{0,2,4,6,7,8,9,10,11,12,13},{0,1,2,3,4,5,6,7,8,9,10})</f>
        <v>0</v>
      </c>
      <c r="M404" s="21">
        <f t="shared" si="184"/>
        <v>100</v>
      </c>
      <c r="N404" s="6">
        <v>7.9</v>
      </c>
      <c r="O404" s="43">
        <f t="shared" si="189"/>
        <v>5.1</v>
      </c>
      <c r="P404" s="1">
        <f>LOOKUP(O404,{0,1.4,1.6,1.8,2,2.2,2.4,2.6,2.8,3,3.2,3.4,3.6,3.8,4,4.2,4.4,4.7,5,5.1,5.2},{0,10,20,30,40,50,60,62,64,66,68,70,72,74,76,78,80,85,90,95,100})</f>
        <v>95</v>
      </c>
      <c r="Q404" s="6">
        <v>3.11</v>
      </c>
      <c r="R404" s="6">
        <f t="shared" si="186"/>
        <v>6.89</v>
      </c>
      <c r="S404" s="1">
        <f>LOOKUP(R404,{0,4.7,4.8,4.9,5,5.5,5.6,5.65,5.7,5.75,5.8,5.85,5.9,5.95,6,6.45,6.5,6.57,6.64,6.7,6.76},{0,10,20,30,40,50,60,62,64,66,68,70,72,74,76,78,80,85,90,95,100})</f>
        <v>100</v>
      </c>
      <c r="T404" s="48">
        <f>3.24-Q404</f>
        <v>0.13</v>
      </c>
      <c r="U404" s="40">
        <f>LOOKUP(T404,{0,0.05,0.1,0.15,0.2,0.25,0.3,0.35,0.4,0.45,0.5},{0,1,2,3,4,5,6,7,8,9,10})</f>
        <v>2</v>
      </c>
      <c r="V404" s="21">
        <f t="shared" si="187"/>
        <v>102</v>
      </c>
      <c r="X404" s="21">
        <f t="shared" si="170"/>
        <v>64.2</v>
      </c>
      <c r="Y404" s="37">
        <f t="shared" si="190"/>
        <v>93.7142857142857</v>
      </c>
    </row>
    <row r="405" s="3" customFormat="1" ht="15.6" hidden="1" outlineLevel="2" spans="1:25">
      <c r="A405" s="6">
        <v>109</v>
      </c>
      <c r="B405" s="6">
        <v>48</v>
      </c>
      <c r="C405" s="30" t="s">
        <v>457</v>
      </c>
      <c r="D405" s="30" t="s">
        <v>46</v>
      </c>
      <c r="E405" s="6">
        <v>24.5</v>
      </c>
      <c r="F405" s="1">
        <f>LOOKUP(E405,{0,0.4,1.2,2,2.8,3.6,4.4,5.7,7,8.3,9.6,10.9,12.2,13.5,14.8,16.1,17.4,19.1,20.8,22.5,24.2},{0,10,20,30,40,50,60,62,64,66,68,70,72,74,76,78,80,85,90,95,100})</f>
        <v>100</v>
      </c>
      <c r="G405" s="6">
        <v>160</v>
      </c>
      <c r="H405" s="1">
        <f>LOOKUP(G405,{0,123,128,133,138,143,148,151,154,157,160,163,166,169,172,175,178,185,192,198,204},{0,10,20,30,40,50,60,62,64,66,68,70,72,74,76,78,80,85,90,95,100})</f>
        <v>68</v>
      </c>
      <c r="I405" s="6">
        <v>37</v>
      </c>
      <c r="J405" s="1">
        <f>LOOKUP(I405,{0,13,15,17,19,21,23,25,27,29,31,33,35,37,39,41,43,46,49,51,53},{0,10,20,30,40,50,60,62,64,66,68,70,72,74,76,78,80,85,90,95,100})</f>
        <v>74</v>
      </c>
      <c r="K405" s="45"/>
      <c r="L405" s="45"/>
      <c r="M405" s="21">
        <f t="shared" si="184"/>
        <v>74</v>
      </c>
      <c r="N405" s="6">
        <v>9.3</v>
      </c>
      <c r="O405" s="43">
        <f t="shared" si="189"/>
        <v>3.7</v>
      </c>
      <c r="P405" s="1">
        <f>LOOKUP(O405,{0,1.4,1.6,1.8,2,2.2,2.4,2.6,2.8,3,3.2,3.4,3.6,3.8,4,4.2,4.4,4.7,5,5.1,5.2},{0,10,20,30,40,50,60,62,64,66,68,70,72,74,76,78,80,85,90,95,100})</f>
        <v>72</v>
      </c>
      <c r="Q405" s="6">
        <v>4.23</v>
      </c>
      <c r="R405" s="6">
        <f t="shared" si="186"/>
        <v>5.77</v>
      </c>
      <c r="S405" s="1">
        <f>LOOKUP(R405,{0,4.7,4.8,4.9,5,5.5,5.6,5.65,5.7,5.75,5.8,5.85,5.9,5.95,6,6.45,6.5,6.57,6.64,6.7,6.76},{0,10,20,30,40,50,60,62,64,66,68,70,72,74,76,78,80,85,90,95,100})</f>
        <v>66</v>
      </c>
      <c r="T405" s="45"/>
      <c r="U405" s="45"/>
      <c r="V405" s="21">
        <f t="shared" si="187"/>
        <v>66</v>
      </c>
      <c r="W405" s="6"/>
      <c r="X405" s="21">
        <f t="shared" si="170"/>
        <v>51.8</v>
      </c>
      <c r="Y405" s="37">
        <f t="shared" si="190"/>
        <v>74</v>
      </c>
    </row>
    <row r="406" s="3" customFormat="1" ht="15.6" outlineLevel="1" collapsed="1" spans="1:25">
      <c r="A406" s="42" t="s">
        <v>850</v>
      </c>
      <c r="B406" s="6"/>
      <c r="C406" s="30"/>
      <c r="D406" s="30"/>
      <c r="E406" s="6"/>
      <c r="F406" s="1">
        <f>SUBTOTAL(1,F359:F405)</f>
        <v>73.5</v>
      </c>
      <c r="G406" s="6"/>
      <c r="H406" s="1">
        <f>SUBTOTAL(1,H359:H405)</f>
        <v>74.7272727272727</v>
      </c>
      <c r="I406" s="6"/>
      <c r="J406" s="1">
        <f>SUBTOTAL(1,J359:J405)</f>
        <v>68.2272727272727</v>
      </c>
      <c r="K406" s="45"/>
      <c r="L406" s="45"/>
      <c r="M406" s="21">
        <f>SUBTOTAL(1,M359:M405)</f>
        <v>69.3181818181818</v>
      </c>
      <c r="N406" s="6"/>
      <c r="O406" s="43"/>
      <c r="P406" s="1">
        <f>SUBTOTAL(1,P359:P405)</f>
        <v>83.7045454545455</v>
      </c>
      <c r="Q406" s="6"/>
      <c r="R406" s="6"/>
      <c r="S406" s="1">
        <f>SUBTOTAL(1,S359:S405)</f>
        <v>76.0454545454545</v>
      </c>
      <c r="T406" s="45"/>
      <c r="U406" s="45"/>
      <c r="V406" s="21">
        <f>SUBTOTAL(1,V359:V405)</f>
        <v>76.4318181818182</v>
      </c>
      <c r="W406" s="6"/>
      <c r="X406" s="21">
        <f>SUBTOTAL(1,X359:X405)</f>
        <v>50.1744680851064</v>
      </c>
      <c r="Y406" s="37">
        <f>SUBTOTAL(1,Y359:Y405)</f>
        <v>76.2522796352584</v>
      </c>
    </row>
    <row r="407" ht="15.6" hidden="1" outlineLevel="2" spans="1:25">
      <c r="A407" s="6">
        <v>110</v>
      </c>
      <c r="B407" s="6">
        <v>1</v>
      </c>
      <c r="C407" s="39" t="s">
        <v>459</v>
      </c>
      <c r="D407" s="29" t="s">
        <v>11</v>
      </c>
      <c r="E407" s="6">
        <v>5.8</v>
      </c>
      <c r="F407" s="1">
        <f>LOOKUP(E407,{0,-4,-3,-2,-1,0,1,2.4,3.8,5.2,6.6,8,9.4,10.8,12.2,13.6,15,17.2,19.4,21.5,23.6},{0,10,20,30,40,50,60,62,64,66,68,70,72,74,76,78,80,85,90,95,100})</f>
        <v>66</v>
      </c>
      <c r="G407" s="6">
        <v>256</v>
      </c>
      <c r="H407" s="1">
        <f>LOOKUP(G407,{0,170,175,180,185,190,195,199,203,207,211,215,219,223,227,231,235,243,250,255,260},{0,10,20,30,40,50,60,62,64,66,68,70,72,74,76,78,80,85,90,95,100})</f>
        <v>95</v>
      </c>
      <c r="I407" s="6">
        <v>6</v>
      </c>
      <c r="J407" s="1">
        <f>LOOKUP(I407,{0,2,3,4,5,6,7,8,9,10,11,12,13,14,15,16},{0,10,20,30,40,50,60,64,68,72,76,80,85,90,95,100})</f>
        <v>50</v>
      </c>
      <c r="K407" s="7"/>
      <c r="L407" s="7"/>
      <c r="M407" s="21">
        <f t="shared" ref="M407:M426" si="191">J407+L407</f>
        <v>50</v>
      </c>
      <c r="N407" s="6">
        <v>6.9</v>
      </c>
      <c r="O407" s="43">
        <f t="shared" ref="O407:O421" si="192">13-N407</f>
        <v>6.1</v>
      </c>
      <c r="P407" s="1">
        <f>LOOKUP(O407,{0,2.5,2.7,2.9,3.1,3.3,3.5,3.7,3.9,4.1,4.3,4.5,4.7,4.9,5.1,5.3,5.5,5.6,5.7,5.8,5.9},{0,10,20,30,40,50,60,62,64,66,68,70,72,74,76,78,80,85,90,95,100})</f>
        <v>100</v>
      </c>
      <c r="Q407" s="6">
        <v>3.23</v>
      </c>
      <c r="R407" s="6">
        <f t="shared" ref="R407:R426" si="193">10-Q407</f>
        <v>6.77</v>
      </c>
      <c r="S407" s="1">
        <f>LOOKUP(R407,{0,3.75,3.95,4.55,4.75,4.95,5.55,5.6,5.65,5.7,5.75,5.8,5.85,5.9,5.95,6,6.45,6.53,6.6,6.65,6.7},{0,10,20,30,40,50,60,62,64,66,68,70,72,74,76,78,80,85,90,95,100})</f>
        <v>100</v>
      </c>
      <c r="T407" s="7">
        <f>3.3-Q407</f>
        <v>0.0699999999999998</v>
      </c>
      <c r="U407" s="40">
        <f>LOOKUP(T407,{0,0.04,0.08,0.12,0.16,0.2,0.23,0.26,0.29,0.32,0.35},{0,1,2,3,4,5,6,7,8,9,10})</f>
        <v>1</v>
      </c>
      <c r="V407" s="21">
        <f t="shared" ref="V407:V426" si="194">S407+U407</f>
        <v>101</v>
      </c>
      <c r="X407" s="21">
        <f t="shared" ref="X407:X453" si="195">F407*0.1+H407*0.1+J407*0.1+P407*0.2+S407*0.2</f>
        <v>61.1</v>
      </c>
      <c r="Y407" s="37">
        <f t="shared" ref="Y407:Y421" si="196">X407/0.7+L407+U407</f>
        <v>88.2857142857143</v>
      </c>
    </row>
    <row r="408" ht="15.6" hidden="1" outlineLevel="2" spans="1:25">
      <c r="A408" s="6">
        <v>110</v>
      </c>
      <c r="B408" s="6">
        <v>2</v>
      </c>
      <c r="C408" s="29" t="s">
        <v>460</v>
      </c>
      <c r="D408" s="29" t="s">
        <v>11</v>
      </c>
      <c r="E408" s="6">
        <v>17</v>
      </c>
      <c r="F408" s="1">
        <f>LOOKUP(E408,{0,-4,-3,-2,-1,0,1,2.4,3.8,5.2,6.6,8,9.4,10.8,12.2,13.6,15,17.2,19.4,21.5,23.6},{0,10,20,30,40,50,60,62,64,66,68,70,72,74,76,78,80,85,90,95,100})</f>
        <v>80</v>
      </c>
      <c r="G408" s="6">
        <v>212</v>
      </c>
      <c r="H408" s="1">
        <f>LOOKUP(G408,{0,170,175,180,185,190,195,199,203,207,211,215,219,223,227,231,235,243,250,255,260},{0,10,20,30,40,50,60,62,64,66,68,70,72,74,76,78,80,85,90,95,100})</f>
        <v>68</v>
      </c>
      <c r="I408" s="6">
        <v>1</v>
      </c>
      <c r="J408" s="1">
        <f>LOOKUP(I408,{0,2,3,4,5,6,7,8,9,10,11,12,13,14,15,16},{0,10,20,30,40,50,60,64,68,72,76,80,85,90,95,100})</f>
        <v>0</v>
      </c>
      <c r="K408" s="7"/>
      <c r="L408" s="7"/>
      <c r="M408" s="21">
        <f t="shared" si="191"/>
        <v>0</v>
      </c>
      <c r="N408" s="6">
        <v>7.8</v>
      </c>
      <c r="O408" s="43">
        <f t="shared" si="192"/>
        <v>5.2</v>
      </c>
      <c r="P408" s="1">
        <f>LOOKUP(O408,{0,2.5,2.7,2.9,3.1,3.3,3.5,3.7,3.9,4.1,4.3,4.5,4.7,4.9,5.1,5.3,5.5,5.6,5.7,5.8,5.9},{0,10,20,30,40,50,60,62,64,66,68,70,72,74,76,78,80,85,90,95,100})</f>
        <v>76</v>
      </c>
      <c r="Q408" s="6">
        <v>4.07</v>
      </c>
      <c r="R408" s="6">
        <f t="shared" si="193"/>
        <v>5.93</v>
      </c>
      <c r="S408" s="1">
        <f>LOOKUP(R408,{0,3.75,3.95,4.55,4.75,4.95,5.55,5.6,5.65,5.7,5.75,5.8,5.85,5.9,5.95,6,6.45,6.53,6.6,6.65,6.7},{0,10,20,30,40,50,60,62,64,66,68,70,72,74,76,78,80,85,90,95,100})</f>
        <v>74</v>
      </c>
      <c r="T408" s="7"/>
      <c r="U408" s="7"/>
      <c r="V408" s="21">
        <f t="shared" si="194"/>
        <v>74</v>
      </c>
      <c r="X408" s="21">
        <f t="shared" si="195"/>
        <v>44.8</v>
      </c>
      <c r="Y408" s="37">
        <f t="shared" si="196"/>
        <v>64</v>
      </c>
    </row>
    <row r="409" ht="15.6" hidden="1" outlineLevel="2" spans="1:25">
      <c r="A409" s="6">
        <v>110</v>
      </c>
      <c r="B409" s="6">
        <v>3</v>
      </c>
      <c r="C409" s="29" t="s">
        <v>461</v>
      </c>
      <c r="D409" s="29" t="s">
        <v>11</v>
      </c>
      <c r="E409" s="6">
        <v>7</v>
      </c>
      <c r="F409" s="1">
        <f>LOOKUP(E409,{0,-4,-3,-2,-1,0,1,2.4,3.8,5.2,6.6,8,9.4,10.8,12.2,13.6,15,17.2,19.4,21.5,23.6},{0,10,20,30,40,50,60,62,64,66,68,70,72,74,76,78,80,85,90,95,100})</f>
        <v>68</v>
      </c>
      <c r="G409" s="6">
        <v>257</v>
      </c>
      <c r="H409" s="1">
        <f>LOOKUP(G409,{0,170,175,180,185,190,195,199,203,207,211,215,219,223,227,231,235,243,250,255,260},{0,10,20,30,40,50,60,62,64,66,68,70,72,74,76,78,80,85,90,95,100})</f>
        <v>95</v>
      </c>
      <c r="I409" s="6">
        <v>17</v>
      </c>
      <c r="J409" s="1">
        <f>LOOKUP(I409,{0,2,3,4,5,6,7,8,9,10,11,12,13,14,15,16},{0,10,20,30,40,50,60,64,68,72,76,80,85,90,95,100})</f>
        <v>100</v>
      </c>
      <c r="K409" s="7">
        <f t="shared" ref="K409:K411" si="197">I409-16</f>
        <v>1</v>
      </c>
      <c r="L409" s="40">
        <f>LOOKUP(K409,{0,1,2,3,4,5,6,7,8,9,10},{0,1,2,3,4,5,6,7,8,9,10})</f>
        <v>1</v>
      </c>
      <c r="M409" s="21">
        <f t="shared" si="191"/>
        <v>101</v>
      </c>
      <c r="N409" s="6">
        <v>6.9</v>
      </c>
      <c r="O409" s="43">
        <f t="shared" si="192"/>
        <v>6.1</v>
      </c>
      <c r="P409" s="1">
        <f>LOOKUP(O409,{0,2.5,2.7,2.9,3.1,3.3,3.5,3.7,3.9,4.1,4.3,4.5,4.7,4.9,5.1,5.3,5.5,5.6,5.7,5.8,5.9},{0,10,20,30,40,50,60,62,64,66,68,70,72,74,76,78,80,85,90,95,100})</f>
        <v>100</v>
      </c>
      <c r="Q409" s="6">
        <v>3.47</v>
      </c>
      <c r="R409" s="6">
        <f t="shared" si="193"/>
        <v>6.53</v>
      </c>
      <c r="S409" s="1">
        <f>LOOKUP(R409,{0,3.75,3.95,4.55,4.75,4.95,5.55,5.6,5.65,5.7,5.75,5.8,5.85,5.9,5.95,6,6.45,6.53,6.6,6.65,6.7},{0,10,20,30,40,50,60,62,64,66,68,70,72,74,76,78,80,85,90,95,100})</f>
        <v>85</v>
      </c>
      <c r="T409" s="7"/>
      <c r="U409" s="7"/>
      <c r="V409" s="21">
        <f t="shared" si="194"/>
        <v>85</v>
      </c>
      <c r="X409" s="21">
        <f t="shared" si="195"/>
        <v>63.3</v>
      </c>
      <c r="Y409" s="37">
        <f t="shared" si="196"/>
        <v>91.4285714285714</v>
      </c>
    </row>
    <row r="410" ht="15.6" hidden="1" outlineLevel="2" spans="1:25">
      <c r="A410" s="6">
        <v>110</v>
      </c>
      <c r="B410" s="6">
        <v>4</v>
      </c>
      <c r="C410" s="29" t="s">
        <v>462</v>
      </c>
      <c r="D410" s="29" t="s">
        <v>11</v>
      </c>
      <c r="E410" s="6">
        <v>21</v>
      </c>
      <c r="F410" s="1">
        <f>LOOKUP(E410,{0,-4,-3,-2,-1,0,1,2.4,3.8,5.2,6.6,8,9.4,10.8,12.2,13.6,15,17.2,19.4,21.5,23.6},{0,10,20,30,40,50,60,62,64,66,68,70,72,74,76,78,80,85,90,95,100})</f>
        <v>90</v>
      </c>
      <c r="G410" s="6">
        <v>253</v>
      </c>
      <c r="H410" s="1">
        <f>LOOKUP(G410,{0,170,175,180,185,190,195,199,203,207,211,215,219,223,227,231,235,243,250,255,260},{0,10,20,30,40,50,60,62,64,66,68,70,72,74,76,78,80,85,90,95,100})</f>
        <v>90</v>
      </c>
      <c r="I410" s="6">
        <v>20</v>
      </c>
      <c r="J410" s="1">
        <f>LOOKUP(I410,{0,2,3,4,5,6,7,8,9,10,11,12,13,14,15,16},{0,10,20,30,40,50,60,64,68,72,76,80,85,90,95,100})</f>
        <v>100</v>
      </c>
      <c r="K410" s="7">
        <f t="shared" si="197"/>
        <v>4</v>
      </c>
      <c r="L410" s="40">
        <f>LOOKUP(K410,{0,1,2,3,4,5,6,7,8,9,10},{0,1,2,3,4,5,6,7,8,9,10})</f>
        <v>4</v>
      </c>
      <c r="M410" s="21">
        <f t="shared" si="191"/>
        <v>104</v>
      </c>
      <c r="N410" s="6">
        <v>7.2</v>
      </c>
      <c r="O410" s="43">
        <f t="shared" si="192"/>
        <v>5.8</v>
      </c>
      <c r="P410" s="1">
        <f>LOOKUP(O410,{0,2.5,2.7,2.9,3.1,3.3,3.5,3.7,3.9,4.1,4.3,4.5,4.7,4.9,5.1,5.3,5.5,5.6,5.7,5.8,5.9},{0,10,20,30,40,50,60,62,64,66,68,70,72,74,76,78,80,85,90,95,100})</f>
        <v>95</v>
      </c>
      <c r="Q410" s="6">
        <v>3.4</v>
      </c>
      <c r="R410" s="6">
        <f t="shared" si="193"/>
        <v>6.6</v>
      </c>
      <c r="S410" s="1">
        <f>LOOKUP(R410,{0,3.75,3.95,4.55,4.75,4.95,5.55,5.6,5.65,5.7,5.75,5.8,5.85,5.9,5.95,6,6.45,6.53,6.6,6.65,6.7},{0,10,20,30,40,50,60,62,64,66,68,70,72,74,76,78,80,85,90,95,100})</f>
        <v>90</v>
      </c>
      <c r="T410" s="7"/>
      <c r="U410" s="7"/>
      <c r="V410" s="21">
        <f t="shared" si="194"/>
        <v>90</v>
      </c>
      <c r="X410" s="21">
        <f t="shared" si="195"/>
        <v>65</v>
      </c>
      <c r="Y410" s="37">
        <f t="shared" si="196"/>
        <v>96.8571428571429</v>
      </c>
    </row>
    <row r="411" ht="15.6" hidden="1" outlineLevel="2" spans="1:25">
      <c r="A411" s="6">
        <v>110</v>
      </c>
      <c r="B411" s="6">
        <v>5</v>
      </c>
      <c r="C411" s="29" t="s">
        <v>463</v>
      </c>
      <c r="D411" s="29" t="s">
        <v>11</v>
      </c>
      <c r="E411" s="6">
        <v>11.5</v>
      </c>
      <c r="F411" s="1">
        <f>LOOKUP(E411,{0,-4,-3,-2,-1,0,1,2.4,3.8,5.2,6.6,8,9.4,10.8,12.2,13.6,15,17.2,19.4,21.5,23.6},{0,10,20,30,40,50,60,62,64,66,68,70,72,74,76,78,80,85,90,95,100})</f>
        <v>74</v>
      </c>
      <c r="G411" s="6">
        <v>243</v>
      </c>
      <c r="H411" s="1">
        <f>LOOKUP(G411,{0,170,175,180,185,190,195,199,203,207,211,215,219,223,227,231,235,243,250,255,260},{0,10,20,30,40,50,60,62,64,66,68,70,72,74,76,78,80,85,90,95,100})</f>
        <v>85</v>
      </c>
      <c r="I411" s="6">
        <v>26</v>
      </c>
      <c r="J411" s="1">
        <f>LOOKUP(I411,{0,2,3,4,5,6,7,8,9,10,11,12,13,14,15,16},{0,10,20,30,40,50,60,64,68,72,76,80,85,90,95,100})</f>
        <v>100</v>
      </c>
      <c r="K411" s="7">
        <f t="shared" si="197"/>
        <v>10</v>
      </c>
      <c r="L411" s="40">
        <f>LOOKUP(K411,{0,1,2,3,4,5,6,7,8,9,10},{0,1,2,3,4,5,6,7,8,9,10})</f>
        <v>10</v>
      </c>
      <c r="M411" s="21">
        <f t="shared" si="191"/>
        <v>110</v>
      </c>
      <c r="N411" s="6">
        <v>7</v>
      </c>
      <c r="O411" s="43">
        <f t="shared" si="192"/>
        <v>6</v>
      </c>
      <c r="P411" s="1">
        <f>LOOKUP(O411,{0,2.5,2.7,2.9,3.1,3.3,3.5,3.7,3.9,4.1,4.3,4.5,4.7,4.9,5.1,5.3,5.5,5.6,5.7,5.8,5.9},{0,10,20,30,40,50,60,62,64,66,68,70,72,74,76,78,80,85,90,95,100})</f>
        <v>100</v>
      </c>
      <c r="Q411" s="6">
        <v>3.53</v>
      </c>
      <c r="R411" s="6">
        <f t="shared" si="193"/>
        <v>6.47</v>
      </c>
      <c r="S411" s="1">
        <f>LOOKUP(R411,{0,3.75,3.95,4.55,4.75,4.95,5.55,5.6,5.65,5.7,5.75,5.8,5.85,5.9,5.95,6,6.45,6.53,6.6,6.65,6.7},{0,10,20,30,40,50,60,62,64,66,68,70,72,74,76,78,80,85,90,95,100})</f>
        <v>80</v>
      </c>
      <c r="T411" s="7"/>
      <c r="U411" s="7"/>
      <c r="V411" s="21">
        <f t="shared" si="194"/>
        <v>80</v>
      </c>
      <c r="X411" s="21">
        <f t="shared" si="195"/>
        <v>61.9</v>
      </c>
      <c r="Y411" s="37">
        <f t="shared" si="196"/>
        <v>98.4285714285714</v>
      </c>
    </row>
    <row r="412" ht="15.6" hidden="1" outlineLevel="2" spans="1:25">
      <c r="A412" s="6">
        <v>110</v>
      </c>
      <c r="B412" s="6">
        <v>6</v>
      </c>
      <c r="C412" s="29" t="s">
        <v>464</v>
      </c>
      <c r="D412" s="29" t="s">
        <v>11</v>
      </c>
      <c r="E412" s="6">
        <v>16.3</v>
      </c>
      <c r="F412" s="1">
        <f>LOOKUP(E412,{0,-4,-3,-2,-1,0,1,2.4,3.8,5.2,6.6,8,9.4,10.8,12.2,13.6,15,17.2,19.4,21.5,23.6},{0,10,20,30,40,50,60,62,64,66,68,70,72,74,76,78,80,85,90,95,100})</f>
        <v>80</v>
      </c>
      <c r="G412" s="6">
        <v>228</v>
      </c>
      <c r="H412" s="1">
        <f>LOOKUP(G412,{0,170,175,180,185,190,195,199,203,207,211,215,219,223,227,231,235,243,250,255,260},{0,10,20,30,40,50,60,62,64,66,68,70,72,74,76,78,80,85,90,95,100})</f>
        <v>76</v>
      </c>
      <c r="I412" s="6">
        <v>1</v>
      </c>
      <c r="J412" s="1">
        <f>LOOKUP(I412,{0,2,3,4,5,6,7,8,9,10,11,12,13,14,15,16},{0,10,20,30,40,50,60,64,68,72,76,80,85,90,95,100})</f>
        <v>0</v>
      </c>
      <c r="K412" s="7"/>
      <c r="L412" s="7"/>
      <c r="M412" s="21">
        <f t="shared" si="191"/>
        <v>0</v>
      </c>
      <c r="N412" s="6">
        <v>7.1</v>
      </c>
      <c r="O412" s="43">
        <f t="shared" si="192"/>
        <v>5.9</v>
      </c>
      <c r="P412" s="1">
        <f>LOOKUP(O412,{0,2.5,2.7,2.9,3.1,3.3,3.5,3.7,3.9,4.1,4.3,4.5,4.7,4.9,5.1,5.3,5.5,5.6,5.7,5.8,5.9},{0,10,20,30,40,50,60,62,64,66,68,70,72,74,76,78,80,85,90,95,100})</f>
        <v>100</v>
      </c>
      <c r="Q412" s="6">
        <v>3.5</v>
      </c>
      <c r="R412" s="6">
        <f t="shared" si="193"/>
        <v>6.5</v>
      </c>
      <c r="S412" s="1">
        <f>LOOKUP(R412,{0,3.75,3.95,4.55,4.75,4.95,5.55,5.6,5.65,5.7,5.75,5.8,5.85,5.9,5.95,6,6.45,6.53,6.6,6.65,6.7},{0,10,20,30,40,50,60,62,64,66,68,70,72,74,76,78,80,85,90,95,100})</f>
        <v>80</v>
      </c>
      <c r="T412" s="7"/>
      <c r="U412" s="7"/>
      <c r="V412" s="21">
        <f t="shared" si="194"/>
        <v>80</v>
      </c>
      <c r="X412" s="21">
        <f t="shared" si="195"/>
        <v>51.6</v>
      </c>
      <c r="Y412" s="37">
        <f t="shared" si="196"/>
        <v>73.7142857142857</v>
      </c>
    </row>
    <row r="413" ht="15.6" hidden="1" outlineLevel="2" spans="1:25">
      <c r="A413" s="6">
        <v>110</v>
      </c>
      <c r="B413" s="6">
        <v>7</v>
      </c>
      <c r="C413" s="29" t="s">
        <v>465</v>
      </c>
      <c r="D413" s="29" t="s">
        <v>11</v>
      </c>
      <c r="E413" s="6">
        <v>18.5</v>
      </c>
      <c r="F413" s="1">
        <f>LOOKUP(E413,{0,-4,-3,-2,-1,0,1,2.4,3.8,5.2,6.6,8,9.4,10.8,12.2,13.6,15,17.2,19.4,21.5,23.6},{0,10,20,30,40,50,60,62,64,66,68,70,72,74,76,78,80,85,90,95,100})</f>
        <v>85</v>
      </c>
      <c r="G413" s="6">
        <v>246</v>
      </c>
      <c r="H413" s="1">
        <f>LOOKUP(G413,{0,170,175,180,185,190,195,199,203,207,211,215,219,223,227,231,235,243,250,255,260},{0,10,20,30,40,50,60,62,64,66,68,70,72,74,76,78,80,85,90,95,100})</f>
        <v>85</v>
      </c>
      <c r="I413" s="6">
        <v>11</v>
      </c>
      <c r="J413" s="1">
        <f>LOOKUP(I413,{0,2,3,4,5,6,7,8,9,10,11,12,13,14,15,16},{0,10,20,30,40,50,60,64,68,72,76,80,85,90,95,100})</f>
        <v>76</v>
      </c>
      <c r="K413" s="7"/>
      <c r="L413" s="7"/>
      <c r="M413" s="21">
        <f t="shared" si="191"/>
        <v>76</v>
      </c>
      <c r="N413" s="6">
        <v>7</v>
      </c>
      <c r="O413" s="43">
        <f t="shared" si="192"/>
        <v>6</v>
      </c>
      <c r="P413" s="1">
        <f>LOOKUP(O413,{0,2.5,2.7,2.9,3.1,3.3,3.5,3.7,3.9,4.1,4.3,4.5,4.7,4.9,5.1,5.3,5.5,5.6,5.7,5.8,5.9},{0,10,20,30,40,50,60,62,64,66,68,70,72,74,76,78,80,85,90,95,100})</f>
        <v>100</v>
      </c>
      <c r="Q413" s="6">
        <v>3.37</v>
      </c>
      <c r="R413" s="6">
        <f t="shared" si="193"/>
        <v>6.63</v>
      </c>
      <c r="S413" s="1">
        <f>LOOKUP(R413,{0,3.75,3.95,4.55,4.75,4.95,5.55,5.6,5.65,5.7,5.75,5.8,5.85,5.9,5.95,6,6.45,6.53,6.6,6.65,6.7},{0,10,20,30,40,50,60,62,64,66,68,70,72,74,76,78,80,85,90,95,100})</f>
        <v>90</v>
      </c>
      <c r="T413" s="7"/>
      <c r="U413" s="7"/>
      <c r="V413" s="21">
        <f t="shared" si="194"/>
        <v>90</v>
      </c>
      <c r="X413" s="21">
        <f t="shared" si="195"/>
        <v>62.6</v>
      </c>
      <c r="Y413" s="37">
        <f t="shared" si="196"/>
        <v>89.4285714285714</v>
      </c>
    </row>
    <row r="414" ht="15.6" hidden="1" outlineLevel="2" spans="1:25">
      <c r="A414" s="6">
        <v>110</v>
      </c>
      <c r="B414" s="6">
        <v>8</v>
      </c>
      <c r="C414" s="29" t="s">
        <v>466</v>
      </c>
      <c r="D414" s="29" t="s">
        <v>11</v>
      </c>
      <c r="E414" s="6">
        <v>10.1</v>
      </c>
      <c r="F414" s="1">
        <f>LOOKUP(E414,{0,-4,-3,-2,-1,0,1,2.4,3.8,5.2,6.6,8,9.4,10.8,12.2,13.6,15,17.2,19.4,21.5,23.6},{0,10,20,30,40,50,60,62,64,66,68,70,72,74,76,78,80,85,90,95,100})</f>
        <v>72</v>
      </c>
      <c r="G414" s="6">
        <v>220</v>
      </c>
      <c r="H414" s="1">
        <f>LOOKUP(G414,{0,170,175,180,185,190,195,199,203,207,211,215,219,223,227,231,235,243,250,255,260},{0,10,20,30,40,50,60,62,64,66,68,70,72,74,76,78,80,85,90,95,100})</f>
        <v>72</v>
      </c>
      <c r="I414" s="6">
        <v>6</v>
      </c>
      <c r="J414" s="1">
        <f>LOOKUP(I414,{0,2,3,4,5,6,7,8,9,10,11,12,13,14,15,16},{0,10,20,30,40,50,60,64,68,72,76,80,85,90,95,100})</f>
        <v>50</v>
      </c>
      <c r="K414" s="7"/>
      <c r="L414" s="7"/>
      <c r="M414" s="21">
        <f t="shared" si="191"/>
        <v>50</v>
      </c>
      <c r="N414" s="6">
        <v>7.6</v>
      </c>
      <c r="O414" s="43">
        <f t="shared" si="192"/>
        <v>5.4</v>
      </c>
      <c r="P414" s="1">
        <f>LOOKUP(O414,{0,2.5,2.7,2.9,3.1,3.3,3.5,3.7,3.9,4.1,4.3,4.5,4.7,4.9,5.1,5.3,5.5,5.6,5.7,5.8,5.9},{0,10,20,30,40,50,60,62,64,66,68,70,72,74,76,78,80,85,90,95,100})</f>
        <v>78</v>
      </c>
      <c r="Q414" s="6">
        <v>4.02</v>
      </c>
      <c r="R414" s="6">
        <f t="shared" si="193"/>
        <v>5.98</v>
      </c>
      <c r="S414" s="1">
        <f>LOOKUP(R414,{0,3.75,3.95,4.55,4.75,4.95,5.55,5.6,5.65,5.7,5.75,5.8,5.85,5.9,5.95,6,6.45,6.53,6.6,6.65,6.7},{0,10,20,30,40,50,60,62,64,66,68,70,72,74,76,78,80,85,90,95,100})</f>
        <v>76</v>
      </c>
      <c r="T414" s="7"/>
      <c r="U414" s="7"/>
      <c r="V414" s="21">
        <f t="shared" si="194"/>
        <v>76</v>
      </c>
      <c r="X414" s="21">
        <f t="shared" si="195"/>
        <v>50.2</v>
      </c>
      <c r="Y414" s="37">
        <f t="shared" si="196"/>
        <v>71.7142857142857</v>
      </c>
    </row>
    <row r="415" ht="15.6" hidden="1" outlineLevel="2" spans="1:25">
      <c r="A415" s="6">
        <v>110</v>
      </c>
      <c r="B415" s="6">
        <v>9</v>
      </c>
      <c r="C415" s="29" t="s">
        <v>467</v>
      </c>
      <c r="D415" s="29" t="s">
        <v>11</v>
      </c>
      <c r="E415" s="6">
        <v>20.2</v>
      </c>
      <c r="F415" s="1">
        <f>LOOKUP(E415,{0,-4,-3,-2,-1,0,1,2.4,3.8,5.2,6.6,8,9.4,10.8,12.2,13.6,15,17.2,19.4,21.5,23.6},{0,10,20,30,40,50,60,62,64,66,68,70,72,74,76,78,80,85,90,95,100})</f>
        <v>90</v>
      </c>
      <c r="G415" s="6">
        <v>252</v>
      </c>
      <c r="H415" s="1">
        <f>LOOKUP(G415,{0,170,175,180,185,190,195,199,203,207,211,215,219,223,227,231,235,243,250,255,260},{0,10,20,30,40,50,60,62,64,66,68,70,72,74,76,78,80,85,90,95,100})</f>
        <v>90</v>
      </c>
      <c r="I415" s="6">
        <v>25</v>
      </c>
      <c r="J415" s="1">
        <f>LOOKUP(I415,{0,2,3,4,5,6,7,8,9,10,11,12,13,14,15,16},{0,10,20,30,40,50,60,64,68,72,76,80,85,90,95,100})</f>
        <v>100</v>
      </c>
      <c r="K415" s="7">
        <f t="shared" ref="K415:K417" si="198">I415-16</f>
        <v>9</v>
      </c>
      <c r="L415" s="40">
        <f>LOOKUP(K415,{0,1,2,3,4,5,6,7,8,9,10},{0,1,2,3,4,5,6,7,8,9,10})</f>
        <v>9</v>
      </c>
      <c r="M415" s="21">
        <f t="shared" si="191"/>
        <v>109</v>
      </c>
      <c r="N415" s="6">
        <v>7</v>
      </c>
      <c r="O415" s="43">
        <f t="shared" si="192"/>
        <v>6</v>
      </c>
      <c r="P415" s="1">
        <f>LOOKUP(O415,{0,2.5,2.7,2.9,3.1,3.3,3.5,3.7,3.9,4.1,4.3,4.5,4.7,4.9,5.1,5.3,5.5,5.6,5.7,5.8,5.9},{0,10,20,30,40,50,60,62,64,66,68,70,72,74,76,78,80,85,90,95,100})</f>
        <v>100</v>
      </c>
      <c r="Q415" s="6">
        <v>4.03</v>
      </c>
      <c r="R415" s="6">
        <f t="shared" si="193"/>
        <v>5.97</v>
      </c>
      <c r="S415" s="1">
        <f>LOOKUP(R415,{0,3.75,3.95,4.55,4.75,4.95,5.55,5.6,5.65,5.7,5.75,5.8,5.85,5.9,5.95,6,6.45,6.53,6.6,6.65,6.7},{0,10,20,30,40,50,60,62,64,66,68,70,72,74,76,78,80,85,90,95,100})</f>
        <v>76</v>
      </c>
      <c r="T415" s="7"/>
      <c r="U415" s="7"/>
      <c r="V415" s="21">
        <f t="shared" si="194"/>
        <v>76</v>
      </c>
      <c r="X415" s="21">
        <f t="shared" si="195"/>
        <v>63.2</v>
      </c>
      <c r="Y415" s="37">
        <f t="shared" si="196"/>
        <v>99.2857142857143</v>
      </c>
    </row>
    <row r="416" ht="15.6" hidden="1" outlineLevel="2" spans="1:25">
      <c r="A416" s="6">
        <v>110</v>
      </c>
      <c r="B416" s="6">
        <v>10</v>
      </c>
      <c r="C416" s="29" t="s">
        <v>468</v>
      </c>
      <c r="D416" s="29" t="s">
        <v>11</v>
      </c>
      <c r="E416" s="6">
        <v>6.5</v>
      </c>
      <c r="F416" s="1">
        <f>LOOKUP(E416,{0,-4,-3,-2,-1,0,1,2.4,3.8,5.2,6.6,8,9.4,10.8,12.2,13.6,15,17.2,19.4,21.5,23.6},{0,10,20,30,40,50,60,62,64,66,68,70,72,74,76,78,80,85,90,95,100})</f>
        <v>66</v>
      </c>
      <c r="G416" s="6">
        <v>248</v>
      </c>
      <c r="H416" s="1">
        <f>LOOKUP(G416,{0,170,175,180,185,190,195,199,203,207,211,215,219,223,227,231,235,243,250,255,260},{0,10,20,30,40,50,60,62,64,66,68,70,72,74,76,78,80,85,90,95,100})</f>
        <v>85</v>
      </c>
      <c r="I416" s="6">
        <v>26</v>
      </c>
      <c r="J416" s="1">
        <f>LOOKUP(I416,{0,2,3,4,5,6,7,8,9,10,11,12,13,14,15,16},{0,10,20,30,40,50,60,64,68,72,76,80,85,90,95,100})</f>
        <v>100</v>
      </c>
      <c r="K416" s="7">
        <f t="shared" si="198"/>
        <v>10</v>
      </c>
      <c r="L416" s="40">
        <f>LOOKUP(K416,{0,1,2,3,4,5,6,7,8,9,10},{0,1,2,3,4,5,6,7,8,9,10})</f>
        <v>10</v>
      </c>
      <c r="M416" s="21">
        <f t="shared" si="191"/>
        <v>110</v>
      </c>
      <c r="N416" s="6">
        <v>7.2</v>
      </c>
      <c r="O416" s="43">
        <f t="shared" si="192"/>
        <v>5.8</v>
      </c>
      <c r="P416" s="1">
        <f>LOOKUP(O416,{0,2.5,2.7,2.9,3.1,3.3,3.5,3.7,3.9,4.1,4.3,4.5,4.7,4.9,5.1,5.3,5.5,5.6,5.7,5.8,5.9},{0,10,20,30,40,50,60,62,64,66,68,70,72,74,76,78,80,85,90,95,100})</f>
        <v>95</v>
      </c>
      <c r="Q416" s="6">
        <v>4.07</v>
      </c>
      <c r="R416" s="6">
        <f t="shared" si="193"/>
        <v>5.93</v>
      </c>
      <c r="S416" s="1">
        <f>LOOKUP(R416,{0,3.75,3.95,4.55,4.75,4.95,5.55,5.6,5.65,5.7,5.75,5.8,5.85,5.9,5.95,6,6.45,6.53,6.6,6.65,6.7},{0,10,20,30,40,50,60,62,64,66,68,70,72,74,76,78,80,85,90,95,100})</f>
        <v>74</v>
      </c>
      <c r="T416" s="7"/>
      <c r="U416" s="7"/>
      <c r="V416" s="21">
        <f t="shared" si="194"/>
        <v>74</v>
      </c>
      <c r="X416" s="21">
        <f t="shared" si="195"/>
        <v>58.9</v>
      </c>
      <c r="Y416" s="37">
        <f t="shared" si="196"/>
        <v>94.1428571428572</v>
      </c>
    </row>
    <row r="417" s="3" customFormat="1" ht="15.6" hidden="1" outlineLevel="2" spans="1:25">
      <c r="A417" s="6">
        <v>110</v>
      </c>
      <c r="B417" s="6">
        <v>11</v>
      </c>
      <c r="C417" s="29" t="s">
        <v>470</v>
      </c>
      <c r="D417" s="29" t="s">
        <v>11</v>
      </c>
      <c r="E417" s="6">
        <v>10.4</v>
      </c>
      <c r="F417" s="1">
        <f>LOOKUP(E417,{0,-4,-3,-2,-1,0,1,2.4,3.8,5.2,6.6,8,9.4,10.8,12.2,13.6,15,17.2,19.4,21.5,23.6},{0,10,20,30,40,50,60,62,64,66,68,70,72,74,76,78,80,85,90,95,100})</f>
        <v>72</v>
      </c>
      <c r="G417" s="6">
        <v>260</v>
      </c>
      <c r="H417" s="1">
        <f>LOOKUP(G417,{0,170,175,180,185,190,195,199,203,207,211,215,219,223,227,231,235,243,250,255,260},{0,10,20,30,40,50,60,62,64,66,68,70,72,74,76,78,80,85,90,95,100})</f>
        <v>100</v>
      </c>
      <c r="I417" s="6">
        <v>18</v>
      </c>
      <c r="J417" s="1">
        <f>LOOKUP(I417,{0,2,3,4,5,6,7,8,9,10,11,12,13,14,15,16},{0,10,20,30,40,50,60,64,68,72,76,80,85,90,95,100})</f>
        <v>100</v>
      </c>
      <c r="K417" s="7">
        <f t="shared" si="198"/>
        <v>2</v>
      </c>
      <c r="L417" s="40">
        <f>LOOKUP(K417,{0,1,2,3,4,5,6,7,8,9,10},{0,1,2,3,4,5,6,7,8,9,10})</f>
        <v>2</v>
      </c>
      <c r="M417" s="21">
        <f t="shared" si="191"/>
        <v>102</v>
      </c>
      <c r="N417" s="6">
        <v>6.7</v>
      </c>
      <c r="O417" s="43">
        <f t="shared" si="192"/>
        <v>6.3</v>
      </c>
      <c r="P417" s="1">
        <f>LOOKUP(O417,{0,2.5,2.7,2.9,3.1,3.3,3.5,3.7,3.9,4.1,4.3,4.5,4.7,4.9,5.1,5.3,5.5,5.6,5.7,5.8,5.9},{0,10,20,30,40,50,60,62,64,66,68,70,72,74,76,78,80,85,90,95,100})</f>
        <v>100</v>
      </c>
      <c r="Q417" s="6">
        <v>3.29</v>
      </c>
      <c r="R417" s="6">
        <f t="shared" si="193"/>
        <v>6.71</v>
      </c>
      <c r="S417" s="1">
        <f>LOOKUP(R417,{0,3.75,3.95,4.55,4.75,4.95,5.55,5.6,5.65,5.7,5.75,5.8,5.85,5.9,5.95,6,6.45,6.53,6.6,6.65,6.7},{0,10,20,30,40,50,60,62,64,66,68,70,72,74,76,78,80,85,90,95,100})</f>
        <v>100</v>
      </c>
      <c r="T417" s="7">
        <f>3.3-Q417</f>
        <v>0.00999999999999979</v>
      </c>
      <c r="U417" s="40">
        <f>LOOKUP(T417,{0,0.04,0.08,0.12,0.16,0.2,0.23,0.26,0.29,0.32,0.35},{0,1,2,3,4,5,6,7,8,9,10})</f>
        <v>0</v>
      </c>
      <c r="V417" s="21">
        <f t="shared" si="194"/>
        <v>100</v>
      </c>
      <c r="W417" s="6"/>
      <c r="X417" s="21">
        <f t="shared" si="195"/>
        <v>67.2</v>
      </c>
      <c r="Y417" s="37">
        <f t="shared" si="196"/>
        <v>98</v>
      </c>
    </row>
    <row r="418" ht="15.6" hidden="1" outlineLevel="2" spans="1:25">
      <c r="A418" s="6">
        <v>110</v>
      </c>
      <c r="B418" s="6">
        <v>12</v>
      </c>
      <c r="C418" s="29" t="s">
        <v>471</v>
      </c>
      <c r="D418" s="29" t="s">
        <v>11</v>
      </c>
      <c r="E418" s="6">
        <v>23</v>
      </c>
      <c r="F418" s="1">
        <f>LOOKUP(E418,{0,-4,-3,-2,-1,0,1,2.4,3.8,5.2,6.6,8,9.4,10.8,12.2,13.6,15,17.2,19.4,21.5,23.6},{0,10,20,30,40,50,60,62,64,66,68,70,72,74,76,78,80,85,90,95,100})</f>
        <v>95</v>
      </c>
      <c r="G418" s="6">
        <v>235</v>
      </c>
      <c r="H418" s="1">
        <f>LOOKUP(G418,{0,170,175,180,185,190,195,199,203,207,211,215,219,223,227,231,235,243,250,255,260},{0,10,20,30,40,50,60,62,64,66,68,70,72,74,76,78,80,85,90,95,100})</f>
        <v>80</v>
      </c>
      <c r="I418" s="6">
        <v>1</v>
      </c>
      <c r="J418" s="1">
        <f>LOOKUP(I418,{0,2,3,4,5,6,7,8,9,10,11,12,13,14,15,16},{0,10,20,30,40,50,60,64,68,72,76,80,85,90,95,100})</f>
        <v>0</v>
      </c>
      <c r="K418" s="7"/>
      <c r="L418" s="7"/>
      <c r="M418" s="21">
        <f t="shared" si="191"/>
        <v>0</v>
      </c>
      <c r="N418" s="6">
        <v>7.2</v>
      </c>
      <c r="O418" s="43">
        <f t="shared" si="192"/>
        <v>5.8</v>
      </c>
      <c r="P418" s="1">
        <f>LOOKUP(O418,{0,2.5,2.7,2.9,3.1,3.3,3.5,3.7,3.9,4.1,4.3,4.5,4.7,4.9,5.1,5.3,5.5,5.6,5.7,5.8,5.9},{0,10,20,30,40,50,60,62,64,66,68,70,72,74,76,78,80,85,90,95,100})</f>
        <v>95</v>
      </c>
      <c r="Q418" s="6">
        <v>4.11</v>
      </c>
      <c r="R418" s="6">
        <f t="shared" si="193"/>
        <v>5.89</v>
      </c>
      <c r="S418" s="1">
        <f>LOOKUP(R418,{0,3.75,3.95,4.55,4.75,4.95,5.55,5.6,5.65,5.7,5.75,5.8,5.85,5.9,5.95,6,6.45,6.53,6.6,6.65,6.7},{0,10,20,30,40,50,60,62,64,66,68,70,72,74,76,78,80,85,90,95,100})</f>
        <v>72</v>
      </c>
      <c r="T418" s="7"/>
      <c r="U418" s="7"/>
      <c r="V418" s="21">
        <f t="shared" si="194"/>
        <v>72</v>
      </c>
      <c r="X418" s="21">
        <f t="shared" si="195"/>
        <v>50.9</v>
      </c>
      <c r="Y418" s="37">
        <f t="shared" si="196"/>
        <v>72.7142857142857</v>
      </c>
    </row>
    <row r="419" ht="15.6" hidden="1" outlineLevel="2" spans="1:25">
      <c r="A419" s="6">
        <v>110</v>
      </c>
      <c r="B419" s="6">
        <v>13</v>
      </c>
      <c r="C419" s="29" t="s">
        <v>472</v>
      </c>
      <c r="D419" s="29" t="s">
        <v>11</v>
      </c>
      <c r="E419" s="6">
        <v>8.5</v>
      </c>
      <c r="F419" s="1">
        <f>LOOKUP(E419,{0,-4,-3,-2,-1,0,1,2.4,3.8,5.2,6.6,8,9.4,10.8,12.2,13.6,15,17.2,19.4,21.5,23.6},{0,10,20,30,40,50,60,62,64,66,68,70,72,74,76,78,80,85,90,95,100})</f>
        <v>70</v>
      </c>
      <c r="G419" s="6">
        <v>210</v>
      </c>
      <c r="H419" s="1">
        <f>LOOKUP(G419,{0,170,175,180,185,190,195,199,203,207,211,215,219,223,227,231,235,243,250,255,260},{0,10,20,30,40,50,60,62,64,66,68,70,72,74,76,78,80,85,90,95,100})</f>
        <v>66</v>
      </c>
      <c r="I419" s="6">
        <v>0</v>
      </c>
      <c r="J419" s="1">
        <f>LOOKUP(I419,{0,2,3,4,5,6,7,8,9,10,11,12,13,14,15,16},{0,10,20,30,40,50,60,64,68,72,76,80,85,90,95,100})</f>
        <v>0</v>
      </c>
      <c r="K419" s="7"/>
      <c r="L419" s="7"/>
      <c r="M419" s="21">
        <f t="shared" si="191"/>
        <v>0</v>
      </c>
      <c r="N419" s="6">
        <v>8</v>
      </c>
      <c r="O419" s="43">
        <f t="shared" si="192"/>
        <v>5</v>
      </c>
      <c r="P419" s="1">
        <f>LOOKUP(O419,{0,2.5,2.7,2.9,3.1,3.3,3.5,3.7,3.9,4.1,4.3,4.5,4.7,4.9,5.1,5.3,5.5,5.6,5.7,5.8,5.9},{0,10,20,30,40,50,60,62,64,66,68,70,72,74,76,78,80,85,90,95,100})</f>
        <v>74</v>
      </c>
      <c r="Q419" s="6">
        <v>4.17</v>
      </c>
      <c r="R419" s="6">
        <f t="shared" si="193"/>
        <v>5.83</v>
      </c>
      <c r="S419" s="1">
        <f>LOOKUP(R419,{0,3.75,3.95,4.55,4.75,4.95,5.55,5.6,5.65,5.7,5.75,5.8,5.85,5.9,5.95,6,6.45,6.53,6.6,6.65,6.7},{0,10,20,30,40,50,60,62,64,66,68,70,72,74,76,78,80,85,90,95,100})</f>
        <v>70</v>
      </c>
      <c r="T419" s="7"/>
      <c r="U419" s="7"/>
      <c r="V419" s="21">
        <f t="shared" si="194"/>
        <v>70</v>
      </c>
      <c r="X419" s="21">
        <f t="shared" si="195"/>
        <v>42.4</v>
      </c>
      <c r="Y419" s="37">
        <f t="shared" si="196"/>
        <v>60.5714285714286</v>
      </c>
    </row>
    <row r="420" ht="15.6" hidden="1" outlineLevel="2" spans="1:25">
      <c r="A420" s="6">
        <v>110</v>
      </c>
      <c r="B420" s="6">
        <v>14</v>
      </c>
      <c r="C420" s="29" t="s">
        <v>473</v>
      </c>
      <c r="D420" s="29" t="s">
        <v>11</v>
      </c>
      <c r="E420" s="6">
        <v>6</v>
      </c>
      <c r="F420" s="1">
        <f>LOOKUP(E420,{0,-4,-3,-2,-1,0,1,2.4,3.8,5.2,6.6,8,9.4,10.8,12.2,13.6,15,17.2,19.4,21.5,23.6},{0,10,20,30,40,50,60,62,64,66,68,70,72,74,76,78,80,85,90,95,100})</f>
        <v>66</v>
      </c>
      <c r="G420" s="6">
        <v>198</v>
      </c>
      <c r="H420" s="1">
        <f>LOOKUP(G420,{0,170,175,180,185,190,195,199,203,207,211,215,219,223,227,231,235,243,250,255,260},{0,10,20,30,40,50,60,62,64,66,68,70,72,74,76,78,80,85,90,95,100})</f>
        <v>60</v>
      </c>
      <c r="I420" s="6">
        <v>0</v>
      </c>
      <c r="J420" s="1">
        <f>LOOKUP(I420,{0,2,3,4,5,6,7,8,9,10,11,12,13,14,15,16},{0,10,20,30,40,50,60,64,68,72,76,80,85,90,95,100})</f>
        <v>0</v>
      </c>
      <c r="K420" s="7"/>
      <c r="L420" s="7"/>
      <c r="M420" s="21">
        <f t="shared" si="191"/>
        <v>0</v>
      </c>
      <c r="N420" s="6">
        <v>7.7</v>
      </c>
      <c r="O420" s="43">
        <f t="shared" si="192"/>
        <v>5.3</v>
      </c>
      <c r="P420" s="1">
        <f>LOOKUP(O420,{0,2.5,2.7,2.9,3.1,3.3,3.5,3.7,3.9,4.1,4.3,4.5,4.7,4.9,5.1,5.3,5.5,5.6,5.7,5.8,5.9},{0,10,20,30,40,50,60,62,64,66,68,70,72,74,76,78,80,85,90,95,100})</f>
        <v>78</v>
      </c>
      <c r="Q420" s="6">
        <v>4.56</v>
      </c>
      <c r="R420" s="6">
        <f t="shared" si="193"/>
        <v>5.44</v>
      </c>
      <c r="S420" s="1">
        <f>LOOKUP(R420,{0,3.75,3.95,4.55,4.75,4.95,5.55,5.6,5.65,5.7,5.75,5.8,5.85,5.9,5.95,6,6.45,6.53,6.6,6.65,6.7},{0,10,20,30,40,50,60,62,64,66,68,70,72,74,76,78,80,85,90,95,100})</f>
        <v>50</v>
      </c>
      <c r="T420" s="7"/>
      <c r="U420" s="7"/>
      <c r="V420" s="21">
        <f t="shared" si="194"/>
        <v>50</v>
      </c>
      <c r="X420" s="21">
        <f t="shared" si="195"/>
        <v>38.2</v>
      </c>
      <c r="Y420" s="37">
        <f t="shared" si="196"/>
        <v>54.5714285714286</v>
      </c>
    </row>
    <row r="421" ht="15.6" hidden="1" outlineLevel="2" spans="1:25">
      <c r="A421" s="6">
        <v>110</v>
      </c>
      <c r="B421" s="6">
        <v>15</v>
      </c>
      <c r="C421" s="29" t="s">
        <v>474</v>
      </c>
      <c r="D421" s="29" t="s">
        <v>11</v>
      </c>
      <c r="E421" s="6">
        <v>14.7</v>
      </c>
      <c r="F421" s="1">
        <f>LOOKUP(E421,{0,-4,-3,-2,-1,0,1,2.4,3.8,5.2,6.6,8,9.4,10.8,12.2,13.6,15,17.2,19.4,21.5,23.6},{0,10,20,30,40,50,60,62,64,66,68,70,72,74,76,78,80,85,90,95,100})</f>
        <v>78</v>
      </c>
      <c r="G421" s="6">
        <v>220</v>
      </c>
      <c r="H421" s="1">
        <f>LOOKUP(G421,{0,170,175,180,185,190,195,199,203,207,211,215,219,223,227,231,235,243,250,255,260},{0,10,20,30,40,50,60,62,64,66,68,70,72,74,76,78,80,85,90,95,100})</f>
        <v>72</v>
      </c>
      <c r="I421" s="6">
        <v>0</v>
      </c>
      <c r="J421" s="1">
        <f>LOOKUP(I421,{0,2,3,4,5,6,7,8,9,10,11,12,13,14,15,16},{0,10,20,30,40,50,60,64,68,72,76,80,85,90,95,100})</f>
        <v>0</v>
      </c>
      <c r="K421" s="7"/>
      <c r="L421" s="7"/>
      <c r="M421" s="21">
        <f t="shared" si="191"/>
        <v>0</v>
      </c>
      <c r="N421" s="6">
        <v>7.6</v>
      </c>
      <c r="O421" s="43">
        <f t="shared" si="192"/>
        <v>5.4</v>
      </c>
      <c r="P421" s="1">
        <f>LOOKUP(O421,{0,2.5,2.7,2.9,3.1,3.3,3.5,3.7,3.9,4.1,4.3,4.5,4.7,4.9,5.1,5.3,5.5,5.6,5.7,5.8,5.9},{0,10,20,30,40,50,60,62,64,66,68,70,72,74,76,78,80,85,90,95,100})</f>
        <v>78</v>
      </c>
      <c r="Q421" s="6">
        <v>4.21</v>
      </c>
      <c r="R421" s="6">
        <f t="shared" si="193"/>
        <v>5.79</v>
      </c>
      <c r="S421" s="1">
        <f>LOOKUP(R421,{0,3.75,3.95,4.55,4.75,4.95,5.55,5.6,5.65,5.7,5.75,5.8,5.85,5.9,5.95,6,6.45,6.53,6.6,6.65,6.7},{0,10,20,30,40,50,60,62,64,66,68,70,72,74,76,78,80,85,90,95,100})</f>
        <v>68</v>
      </c>
      <c r="T421" s="7"/>
      <c r="U421" s="7"/>
      <c r="V421" s="21">
        <f t="shared" si="194"/>
        <v>68</v>
      </c>
      <c r="X421" s="21">
        <f t="shared" si="195"/>
        <v>44.2</v>
      </c>
      <c r="Y421" s="37">
        <f t="shared" si="196"/>
        <v>63.1428571428572</v>
      </c>
    </row>
    <row r="422" ht="15.6" hidden="1" outlineLevel="2" spans="1:25">
      <c r="A422" s="6">
        <v>110</v>
      </c>
      <c r="B422" s="6">
        <v>16</v>
      </c>
      <c r="C422" s="29" t="s">
        <v>475</v>
      </c>
      <c r="D422" s="29" t="s">
        <v>11</v>
      </c>
      <c r="E422" s="6">
        <v>12.5</v>
      </c>
      <c r="F422" s="1">
        <f>LOOKUP(E422,{0,-4,-3,-2,-1,0,1,2.4,3.8,5.2,6.6,8,9.4,10.8,12.2,13.6,15,17.2,19.4,21.5,23.6},{0,10,20,30,40,50,60,62,64,66,68,70,72,74,76,78,80,85,90,95,100})</f>
        <v>76</v>
      </c>
      <c r="G422" s="6">
        <v>238</v>
      </c>
      <c r="H422" s="1">
        <f>LOOKUP(G422,{0,170,175,180,185,190,195,199,203,207,211,215,219,223,227,231,235,243,250,255,260},{0,10,20,30,40,50,60,62,64,66,68,70,72,74,76,78,80,85,90,95,100})</f>
        <v>80</v>
      </c>
      <c r="I422" s="6">
        <v>3</v>
      </c>
      <c r="J422" s="1">
        <f>LOOKUP(I422,{0,2,3,4,5,6,7,8,9,10,11,12,13,14,15,16},{0,10,20,30,40,50,60,64,68,72,76,80,85,90,95,100})</f>
        <v>20</v>
      </c>
      <c r="K422" s="7"/>
      <c r="L422" s="7"/>
      <c r="M422" s="21">
        <f t="shared" si="191"/>
        <v>20</v>
      </c>
      <c r="O422" s="43"/>
      <c r="P422" s="1"/>
      <c r="Q422" s="6">
        <v>3.43</v>
      </c>
      <c r="R422" s="6">
        <f t="shared" si="193"/>
        <v>6.57</v>
      </c>
      <c r="S422" s="1">
        <f>LOOKUP(R422,{0,3.75,3.95,4.55,4.75,4.95,5.55,5.6,5.65,5.7,5.75,5.8,5.85,5.9,5.95,6,6.45,6.53,6.6,6.65,6.7},{0,10,20,30,40,50,60,62,64,66,68,70,72,74,76,78,80,85,90,95,100})</f>
        <v>85</v>
      </c>
      <c r="T422" s="7"/>
      <c r="U422" s="7"/>
      <c r="V422" s="21">
        <f t="shared" si="194"/>
        <v>85</v>
      </c>
      <c r="X422" s="21">
        <f t="shared" si="195"/>
        <v>34.6</v>
      </c>
      <c r="Y422" s="51">
        <v>50</v>
      </c>
    </row>
    <row r="423" ht="15.6" hidden="1" outlineLevel="2" spans="1:25">
      <c r="A423" s="6">
        <v>110</v>
      </c>
      <c r="B423" s="6">
        <v>17</v>
      </c>
      <c r="C423" s="29" t="s">
        <v>476</v>
      </c>
      <c r="D423" s="29" t="s">
        <v>11</v>
      </c>
      <c r="E423" s="6">
        <v>14</v>
      </c>
      <c r="F423" s="1">
        <f>LOOKUP(E423,{0,-4,-3,-2,-1,0,1,2.4,3.8,5.2,6.6,8,9.4,10.8,12.2,13.6,15,17.2,19.4,21.5,23.6},{0,10,20,30,40,50,60,62,64,66,68,70,72,74,76,78,80,85,90,95,100})</f>
        <v>78</v>
      </c>
      <c r="G423" s="6">
        <v>260</v>
      </c>
      <c r="H423" s="1">
        <f>LOOKUP(G423,{0,170,175,180,185,190,195,199,203,207,211,215,219,223,227,231,235,243,250,255,260},{0,10,20,30,40,50,60,62,64,66,68,70,72,74,76,78,80,85,90,95,100})</f>
        <v>100</v>
      </c>
      <c r="I423" s="6">
        <v>16</v>
      </c>
      <c r="J423" s="1">
        <f>LOOKUP(I423,{0,2,3,4,5,6,7,8,9,10,11,12,13,14,15,16},{0,10,20,30,40,50,60,64,68,72,76,80,85,90,95,100})</f>
        <v>100</v>
      </c>
      <c r="K423" s="7">
        <f t="shared" ref="K423:K426" si="199">I423-16</f>
        <v>0</v>
      </c>
      <c r="L423" s="40">
        <f>LOOKUP(K423,{0,1,2,3,4,5,6,7,8,9,10},{0,1,2,3,4,5,6,7,8,9,10})</f>
        <v>0</v>
      </c>
      <c r="M423" s="21">
        <f t="shared" si="191"/>
        <v>100</v>
      </c>
      <c r="N423" s="6">
        <v>6.4</v>
      </c>
      <c r="O423" s="43">
        <f t="shared" ref="O423:O426" si="200">13-N423</f>
        <v>6.6</v>
      </c>
      <c r="P423" s="1">
        <f>LOOKUP(O423,{0,2.5,2.7,2.9,3.1,3.3,3.5,3.7,3.9,4.1,4.3,4.5,4.7,4.9,5.1,5.3,5.5,5.6,5.7,5.8,5.9},{0,10,20,30,40,50,60,62,64,66,68,70,72,74,76,78,80,85,90,95,100})</f>
        <v>100</v>
      </c>
      <c r="Q423" s="6">
        <v>3.33</v>
      </c>
      <c r="R423" s="6">
        <f t="shared" si="193"/>
        <v>6.67</v>
      </c>
      <c r="S423" s="1">
        <f>LOOKUP(R423,{0,3.75,3.95,4.55,4.75,4.95,5.55,5.6,5.65,5.7,5.75,5.8,5.85,5.9,5.95,6,6.45,6.53,6.6,6.65,6.7},{0,10,20,30,40,50,60,62,64,66,68,70,72,74,76,78,80,85,90,95,100})</f>
        <v>95</v>
      </c>
      <c r="T423" s="7"/>
      <c r="U423" s="7"/>
      <c r="V423" s="21">
        <f t="shared" si="194"/>
        <v>95</v>
      </c>
      <c r="X423" s="21">
        <f t="shared" si="195"/>
        <v>66.8</v>
      </c>
      <c r="Y423" s="37">
        <f t="shared" ref="Y423:Y426" si="201">X423/0.7+L423+U423</f>
        <v>95.4285714285714</v>
      </c>
    </row>
    <row r="424" ht="15.6" hidden="1" outlineLevel="2" spans="1:25">
      <c r="A424" s="6">
        <v>110</v>
      </c>
      <c r="B424" s="6">
        <v>18</v>
      </c>
      <c r="C424" s="29" t="s">
        <v>477</v>
      </c>
      <c r="D424" s="29" t="s">
        <v>11</v>
      </c>
      <c r="E424" s="6">
        <v>4.5</v>
      </c>
      <c r="F424" s="1">
        <f>LOOKUP(E424,{0,-4,-3,-2,-1,0,1,2.4,3.8,5.2,6.6,8,9.4,10.8,12.2,13.6,15,17.2,19.4,21.5,23.6},{0,10,20,30,40,50,60,62,64,66,68,70,72,74,76,78,80,85,90,95,100})</f>
        <v>64</v>
      </c>
      <c r="G424" s="6">
        <v>248</v>
      </c>
      <c r="H424" s="1">
        <f>LOOKUP(G424,{0,170,175,180,185,190,195,199,203,207,211,215,219,223,227,231,235,243,250,255,260},{0,10,20,30,40,50,60,62,64,66,68,70,72,74,76,78,80,85,90,95,100})</f>
        <v>85</v>
      </c>
      <c r="I424" s="6">
        <v>26</v>
      </c>
      <c r="J424" s="1">
        <f>LOOKUP(I424,{0,2,3,4,5,6,7,8,9,10,11,12,13,14,15,16},{0,10,20,30,40,50,60,64,68,72,76,80,85,90,95,100})</f>
        <v>100</v>
      </c>
      <c r="K424" s="7">
        <f t="shared" si="199"/>
        <v>10</v>
      </c>
      <c r="L424" s="40">
        <f>LOOKUP(K424,{0,1,2,3,4,5,6,7,8,9,10},{0,1,2,3,4,5,6,7,8,9,10})</f>
        <v>10</v>
      </c>
      <c r="M424" s="21">
        <f t="shared" si="191"/>
        <v>110</v>
      </c>
      <c r="N424" s="6">
        <v>7.7</v>
      </c>
      <c r="O424" s="43">
        <f t="shared" si="200"/>
        <v>5.3</v>
      </c>
      <c r="P424" s="1">
        <f>LOOKUP(O424,{0,2.5,2.7,2.9,3.1,3.3,3.5,3.7,3.9,4.1,4.3,4.5,4.7,4.9,5.1,5.3,5.5,5.6,5.7,5.8,5.9},{0,10,20,30,40,50,60,62,64,66,68,70,72,74,76,78,80,85,90,95,100})</f>
        <v>78</v>
      </c>
      <c r="Q424" s="6">
        <v>3.35</v>
      </c>
      <c r="R424" s="6">
        <f t="shared" si="193"/>
        <v>6.65</v>
      </c>
      <c r="S424" s="1">
        <f>LOOKUP(R424,{0,3.75,3.95,4.55,4.75,4.95,5.55,5.6,5.65,5.7,5.75,5.8,5.85,5.9,5.95,6,6.45,6.53,6.6,6.65,6.7},{0,10,20,30,40,50,60,62,64,66,68,70,72,74,76,78,80,85,90,95,100})</f>
        <v>95</v>
      </c>
      <c r="T424" s="7"/>
      <c r="U424" s="7"/>
      <c r="V424" s="21">
        <f t="shared" si="194"/>
        <v>95</v>
      </c>
      <c r="X424" s="21">
        <f t="shared" si="195"/>
        <v>59.5</v>
      </c>
      <c r="Y424" s="37">
        <f t="shared" si="201"/>
        <v>95</v>
      </c>
    </row>
    <row r="425" ht="15.6" hidden="1" outlineLevel="2" spans="1:25">
      <c r="A425" s="6">
        <v>110</v>
      </c>
      <c r="B425" s="6">
        <v>19</v>
      </c>
      <c r="C425" s="29" t="s">
        <v>478</v>
      </c>
      <c r="D425" s="29" t="s">
        <v>11</v>
      </c>
      <c r="E425" s="6">
        <v>24</v>
      </c>
      <c r="F425" s="1">
        <f>LOOKUP(E425,{0,-4,-3,-2,-1,0,1,2.4,3.8,5.2,6.6,8,9.4,10.8,12.2,13.6,15,17.2,19.4,21.5,23.6},{0,10,20,30,40,50,60,62,64,66,68,70,72,74,76,78,80,85,90,95,100})</f>
        <v>100</v>
      </c>
      <c r="G425" s="6">
        <v>268</v>
      </c>
      <c r="H425" s="1">
        <f>LOOKUP(G425,{0,170,175,180,185,190,195,199,203,207,211,215,219,223,227,231,235,243,250,255,260},{0,10,20,30,40,50,60,62,64,66,68,70,72,74,76,78,80,85,90,95,100})</f>
        <v>100</v>
      </c>
      <c r="I425" s="6">
        <v>16</v>
      </c>
      <c r="J425" s="1">
        <f>LOOKUP(I425,{0,2,3,4,5,6,7,8,9,10,11,12,13,14,15,16},{0,10,20,30,40,50,60,64,68,72,76,80,85,90,95,100})</f>
        <v>100</v>
      </c>
      <c r="K425" s="7">
        <f t="shared" si="199"/>
        <v>0</v>
      </c>
      <c r="L425" s="40">
        <f>LOOKUP(K425,{0,1,2,3,4,5,6,7,8,9,10},{0,1,2,3,4,5,6,7,8,9,10})</f>
        <v>0</v>
      </c>
      <c r="M425" s="21">
        <f t="shared" si="191"/>
        <v>100</v>
      </c>
      <c r="N425" s="6">
        <v>7.2</v>
      </c>
      <c r="O425" s="43">
        <f t="shared" si="200"/>
        <v>5.8</v>
      </c>
      <c r="P425" s="1">
        <f>LOOKUP(O425,{0,2.5,2.7,2.9,3.1,3.3,3.5,3.7,3.9,4.1,4.3,4.5,4.7,4.9,5.1,5.3,5.5,5.6,5.7,5.8,5.9},{0,10,20,30,40,50,60,62,64,66,68,70,72,74,76,78,80,85,90,95,100})</f>
        <v>95</v>
      </c>
      <c r="Q425" s="6">
        <v>3.51</v>
      </c>
      <c r="R425" s="6">
        <f t="shared" si="193"/>
        <v>6.49</v>
      </c>
      <c r="S425" s="1">
        <f>LOOKUP(R425,{0,3.75,3.95,4.55,4.75,4.95,5.55,5.6,5.65,5.7,5.75,5.8,5.85,5.9,5.95,6,6.45,6.53,6.6,6.65,6.7},{0,10,20,30,40,50,60,62,64,66,68,70,72,74,76,78,80,85,90,95,100})</f>
        <v>80</v>
      </c>
      <c r="T425" s="7"/>
      <c r="U425" s="7"/>
      <c r="V425" s="21">
        <f t="shared" si="194"/>
        <v>80</v>
      </c>
      <c r="X425" s="21">
        <f t="shared" si="195"/>
        <v>65</v>
      </c>
      <c r="Y425" s="37">
        <f t="shared" si="201"/>
        <v>92.8571428571429</v>
      </c>
    </row>
    <row r="426" ht="15.6" hidden="1" outlineLevel="2" spans="1:25">
      <c r="A426" s="6">
        <v>110</v>
      </c>
      <c r="B426" s="6">
        <v>20</v>
      </c>
      <c r="C426" s="39" t="s">
        <v>480</v>
      </c>
      <c r="D426" s="29" t="s">
        <v>11</v>
      </c>
      <c r="E426" s="6">
        <v>20</v>
      </c>
      <c r="F426" s="1">
        <f>LOOKUP(E426,{0,-4,-3,-2,-1,0,1,2.4,3.8,5.2,6.6,8,9.4,10.8,12.2,13.6,15,17.2,19.4,21.5,23.6},{0,10,20,30,40,50,60,62,64,66,68,70,72,74,76,78,80,85,90,95,100})</f>
        <v>90</v>
      </c>
      <c r="G426" s="6">
        <v>251</v>
      </c>
      <c r="H426" s="1">
        <f>LOOKUP(G426,{0,170,175,180,185,190,195,199,203,207,211,215,219,223,227,231,235,243,250,255,260},{0,10,20,30,40,50,60,62,64,66,68,70,72,74,76,78,80,85,90,95,100})</f>
        <v>90</v>
      </c>
      <c r="I426" s="6">
        <v>22</v>
      </c>
      <c r="J426" s="1">
        <f>LOOKUP(I426,{0,2,3,4,5,6,7,8,9,10,11,12,13,14,15,16},{0,10,20,30,40,50,60,64,68,72,76,80,85,90,95,100})</f>
        <v>100</v>
      </c>
      <c r="K426" s="7">
        <f t="shared" si="199"/>
        <v>6</v>
      </c>
      <c r="L426" s="40">
        <f>LOOKUP(K426,{0,1,2,3,4,5,6,7,8,9,10},{0,1,2,3,4,5,6,7,8,9,10})</f>
        <v>6</v>
      </c>
      <c r="M426" s="21">
        <f t="shared" si="191"/>
        <v>106</v>
      </c>
      <c r="N426" s="6">
        <v>6.7</v>
      </c>
      <c r="O426" s="43">
        <f t="shared" si="200"/>
        <v>6.3</v>
      </c>
      <c r="P426" s="1">
        <f>LOOKUP(O426,{0,2.5,2.7,2.9,3.1,3.3,3.5,3.7,3.9,4.1,4.3,4.5,4.7,4.9,5.1,5.3,5.5,5.6,5.7,5.8,5.9},{0,10,20,30,40,50,60,62,64,66,68,70,72,74,76,78,80,85,90,95,100})</f>
        <v>100</v>
      </c>
      <c r="Q426" s="6">
        <v>3.3</v>
      </c>
      <c r="R426" s="6">
        <f t="shared" si="193"/>
        <v>6.7</v>
      </c>
      <c r="S426" s="1">
        <f>LOOKUP(R426,{0,3.75,3.95,4.55,4.75,4.95,5.55,5.6,5.65,5.7,5.75,5.8,5.85,5.9,5.95,6,6.45,6.53,6.6,6.65,6.7},{0,10,20,30,40,50,60,62,64,66,68,70,72,74,76,78,80,85,90,95,100})</f>
        <v>100</v>
      </c>
      <c r="T426" s="7">
        <f>3.3-Q426</f>
        <v>0</v>
      </c>
      <c r="U426" s="40">
        <f>LOOKUP(T426,{0,0.04,0.08,0.12,0.16,0.2,0.23,0.26,0.29,0.32,0.35},{0,1,2,3,4,5,6,7,8,9,10})</f>
        <v>0</v>
      </c>
      <c r="V426" s="21">
        <f t="shared" si="194"/>
        <v>100</v>
      </c>
      <c r="X426" s="21">
        <f t="shared" si="195"/>
        <v>68</v>
      </c>
      <c r="Y426" s="37">
        <f t="shared" si="201"/>
        <v>103.142857142857</v>
      </c>
    </row>
    <row r="427" s="3" customFormat="1" ht="15.6" hidden="1" outlineLevel="2" spans="1:25">
      <c r="A427" s="6">
        <v>110</v>
      </c>
      <c r="B427" s="6">
        <v>22</v>
      </c>
      <c r="C427" s="29" t="s">
        <v>483</v>
      </c>
      <c r="D427" s="29" t="s">
        <v>11</v>
      </c>
      <c r="E427" s="6">
        <v>13.5</v>
      </c>
      <c r="F427" s="1">
        <f>LOOKUP(E427,{0,-4,-3,-2,-1,0,1,2.4,3.8,5.2,6.6,8,9.4,10.8,12.2,13.6,15,17.2,19.4,21.5,23.6},{0,10,20,30,40,50,60,62,64,66,68,70,72,74,76,78,80,85,90,95,100})</f>
        <v>76</v>
      </c>
      <c r="G427" s="6">
        <v>223</v>
      </c>
      <c r="H427" s="1">
        <f>LOOKUP(G427,{0,170,175,180,185,190,195,199,203,207,211,215,219,223,227,231,235,243,250,255,260},{0,10,20,30,40,50,60,62,64,66,68,70,72,74,76,78,80,85,90,95,100})</f>
        <v>74</v>
      </c>
      <c r="I427" s="6">
        <v>1</v>
      </c>
      <c r="J427" s="1">
        <f>LOOKUP(I427,{0,2,3,4,5,6,7,8,9,10,11,12,13,14,15,16},{0,10,20,30,40,50,60,64,68,72,76,80,85,90,95,100})</f>
        <v>0</v>
      </c>
      <c r="K427" s="7"/>
      <c r="L427" s="7"/>
      <c r="M427" s="21">
        <f t="shared" ref="M427:M452" si="202">J427+L427</f>
        <v>0</v>
      </c>
      <c r="N427" s="6">
        <v>7.8</v>
      </c>
      <c r="O427" s="43">
        <f t="shared" ref="O427:O453" si="203">13-N427</f>
        <v>5.2</v>
      </c>
      <c r="P427" s="1">
        <f>LOOKUP(O427,{0,2.5,2.7,2.9,3.1,3.3,3.5,3.7,3.9,4.1,4.3,4.5,4.7,4.9,5.1,5.3,5.5,5.6,5.7,5.8,5.9},{0,10,20,30,40,50,60,62,64,66,68,70,72,74,76,78,80,85,90,95,100})</f>
        <v>76</v>
      </c>
      <c r="Q427" s="6">
        <v>3.53</v>
      </c>
      <c r="R427" s="6">
        <f t="shared" ref="R427:R438" si="204">10-Q427</f>
        <v>6.47</v>
      </c>
      <c r="S427" s="1">
        <f>LOOKUP(R427,{0,3.75,3.95,4.55,4.75,4.95,5.55,5.6,5.65,5.7,5.75,5.8,5.85,5.9,5.95,6,6.45,6.53,6.6,6.65,6.7},{0,10,20,30,40,50,60,62,64,66,68,70,72,74,76,78,80,85,90,95,100})</f>
        <v>80</v>
      </c>
      <c r="T427" s="7"/>
      <c r="U427" s="7"/>
      <c r="V427" s="21">
        <f t="shared" ref="V427:V438" si="205">S427+U427</f>
        <v>80</v>
      </c>
      <c r="W427" s="6"/>
      <c r="X427" s="21">
        <f t="shared" si="195"/>
        <v>46.2</v>
      </c>
      <c r="Y427" s="37">
        <f t="shared" ref="Y427:Y452" si="206">X427/0.7+L427+U427</f>
        <v>66</v>
      </c>
    </row>
    <row r="428" ht="15.6" hidden="1" outlineLevel="2" spans="1:25">
      <c r="A428" s="6">
        <v>110</v>
      </c>
      <c r="B428" s="6">
        <v>23</v>
      </c>
      <c r="C428" s="29" t="s">
        <v>484</v>
      </c>
      <c r="D428" s="29" t="s">
        <v>11</v>
      </c>
      <c r="E428" s="6">
        <v>2.5</v>
      </c>
      <c r="F428" s="1">
        <f>LOOKUP(E428,{0,-4,-3,-2,-1,0,1,2.4,3.8,5.2,6.6,8,9.4,10.8,12.2,13.6,15,17.2,19.4,21.5,23.6},{0,10,20,30,40,50,60,62,64,66,68,70,72,74,76,78,80,85,90,95,100})</f>
        <v>62</v>
      </c>
      <c r="G428" s="6">
        <v>201</v>
      </c>
      <c r="H428" s="1">
        <f>LOOKUP(G428,{0,170,175,180,185,190,195,199,203,207,211,215,219,223,227,231,235,243,250,255,260},{0,10,20,30,40,50,60,62,64,66,68,70,72,74,76,78,80,85,90,95,100})</f>
        <v>62</v>
      </c>
      <c r="I428" s="6">
        <v>1</v>
      </c>
      <c r="J428" s="1">
        <f>LOOKUP(I428,{0,2,3,4,5,6,7,8,9,10,11,12,13,14,15,16},{0,10,20,30,40,50,60,64,68,72,76,80,85,90,95,100})</f>
        <v>0</v>
      </c>
      <c r="K428" s="7"/>
      <c r="L428" s="7"/>
      <c r="M428" s="21">
        <f t="shared" si="202"/>
        <v>0</v>
      </c>
      <c r="N428" s="6">
        <v>7.9</v>
      </c>
      <c r="O428" s="43">
        <f t="shared" si="203"/>
        <v>5.1</v>
      </c>
      <c r="P428" s="1">
        <f>LOOKUP(O428,{0,2.5,2.7,2.9,3.1,3.3,3.5,3.7,3.9,4.1,4.3,4.5,4.7,4.9,5.1,5.3,5.5,5.6,5.7,5.8,5.9},{0,10,20,30,40,50,60,62,64,66,68,70,72,74,76,78,80,85,90,95,100})</f>
        <v>76</v>
      </c>
      <c r="Q428" s="6">
        <v>4.25</v>
      </c>
      <c r="R428" s="6">
        <f t="shared" si="204"/>
        <v>5.75</v>
      </c>
      <c r="S428" s="1">
        <f>LOOKUP(R428,{0,3.75,3.95,4.55,4.75,4.95,5.55,5.6,5.65,5.7,5.75,5.8,5.85,5.9,5.95,6,6.45,6.53,6.6,6.65,6.7},{0,10,20,30,40,50,60,62,64,66,68,70,72,74,76,78,80,85,90,95,100})</f>
        <v>68</v>
      </c>
      <c r="T428" s="7"/>
      <c r="U428" s="7"/>
      <c r="V428" s="21">
        <f t="shared" si="205"/>
        <v>68</v>
      </c>
      <c r="X428" s="21">
        <f t="shared" si="195"/>
        <v>41.2</v>
      </c>
      <c r="Y428" s="37">
        <f t="shared" si="206"/>
        <v>58.8571428571429</v>
      </c>
    </row>
    <row r="429" ht="15.6" hidden="1" outlineLevel="2" spans="1:25">
      <c r="A429" s="6">
        <v>110</v>
      </c>
      <c r="B429" s="6">
        <v>24</v>
      </c>
      <c r="C429" s="29" t="s">
        <v>485</v>
      </c>
      <c r="D429" s="29" t="s">
        <v>11</v>
      </c>
      <c r="E429" s="6">
        <v>4</v>
      </c>
      <c r="F429" s="1">
        <f>LOOKUP(E429,{0,-4,-3,-2,-1,0,1,2.4,3.8,5.2,6.6,8,9.4,10.8,12.2,13.6,15,17.2,19.4,21.5,23.6},{0,10,20,30,40,50,60,62,64,66,68,70,72,74,76,78,80,85,90,95,100})</f>
        <v>64</v>
      </c>
      <c r="G429" s="6">
        <v>221</v>
      </c>
      <c r="H429" s="1">
        <f>LOOKUP(G429,{0,170,175,180,185,190,195,199,203,207,211,215,219,223,227,231,235,243,250,255,260},{0,10,20,30,40,50,60,62,64,66,68,70,72,74,76,78,80,85,90,95,100})</f>
        <v>72</v>
      </c>
      <c r="I429" s="6">
        <v>7</v>
      </c>
      <c r="J429" s="1">
        <f>LOOKUP(I429,{0,2,3,4,5,6,7,8,9,10,11,12,13,14,15,16},{0,10,20,30,40,50,60,64,68,72,76,80,85,90,95,100})</f>
        <v>60</v>
      </c>
      <c r="K429" s="7"/>
      <c r="L429" s="7"/>
      <c r="M429" s="21">
        <f t="shared" si="202"/>
        <v>60</v>
      </c>
      <c r="N429" s="6">
        <v>7.9</v>
      </c>
      <c r="O429" s="43">
        <f t="shared" si="203"/>
        <v>5.1</v>
      </c>
      <c r="P429" s="1">
        <f>LOOKUP(O429,{0,2.5,2.7,2.9,3.1,3.3,3.5,3.7,3.9,4.1,4.3,4.5,4.7,4.9,5.1,5.3,5.5,5.6,5.7,5.8,5.9},{0,10,20,30,40,50,60,62,64,66,68,70,72,74,76,78,80,85,90,95,100})</f>
        <v>76</v>
      </c>
      <c r="Q429" s="6">
        <v>4.43</v>
      </c>
      <c r="R429" s="6">
        <f t="shared" si="204"/>
        <v>5.57</v>
      </c>
      <c r="S429" s="1">
        <f>LOOKUP(R429,{0,3.75,3.95,4.55,4.75,4.95,5.55,5.6,5.65,5.7,5.75,5.8,5.85,5.9,5.95,6,6.45,6.53,6.6,6.65,6.7},{0,10,20,30,40,50,60,62,64,66,68,70,72,74,76,78,80,85,90,95,100})</f>
        <v>60</v>
      </c>
      <c r="T429" s="7"/>
      <c r="U429" s="7"/>
      <c r="V429" s="21">
        <f t="shared" si="205"/>
        <v>60</v>
      </c>
      <c r="X429" s="21">
        <f t="shared" si="195"/>
        <v>46.8</v>
      </c>
      <c r="Y429" s="37">
        <f t="shared" si="206"/>
        <v>66.8571428571429</v>
      </c>
    </row>
    <row r="430" ht="15.6" hidden="1" outlineLevel="2" spans="1:25">
      <c r="A430" s="6">
        <v>110</v>
      </c>
      <c r="B430" s="6">
        <v>25</v>
      </c>
      <c r="C430" s="29" t="s">
        <v>486</v>
      </c>
      <c r="D430" s="29" t="s">
        <v>11</v>
      </c>
      <c r="E430" s="6">
        <v>13</v>
      </c>
      <c r="F430" s="1">
        <f>LOOKUP(E430,{0,-4,-3,-2,-1,0,1,2.4,3.8,5.2,6.6,8,9.4,10.8,12.2,13.6,15,17.2,19.4,21.5,23.6},{0,10,20,30,40,50,60,62,64,66,68,70,72,74,76,78,80,85,90,95,100})</f>
        <v>76</v>
      </c>
      <c r="G430" s="6">
        <v>225</v>
      </c>
      <c r="H430" s="1">
        <f>LOOKUP(G430,{0,170,175,180,185,190,195,199,203,207,211,215,219,223,227,231,235,243,250,255,260},{0,10,20,30,40,50,60,62,64,66,68,70,72,74,76,78,80,85,90,95,100})</f>
        <v>74</v>
      </c>
      <c r="I430" s="6">
        <v>0</v>
      </c>
      <c r="J430" s="1">
        <f>LOOKUP(I430,{0,2,3,4,5,6,7,8,9,10,11,12,13,14,15,16},{0,10,20,30,40,50,60,64,68,72,76,80,85,90,95,100})</f>
        <v>0</v>
      </c>
      <c r="K430" s="7"/>
      <c r="L430" s="7"/>
      <c r="M430" s="21">
        <f t="shared" si="202"/>
        <v>0</v>
      </c>
      <c r="N430" s="6">
        <v>8</v>
      </c>
      <c r="O430" s="43">
        <f t="shared" si="203"/>
        <v>5</v>
      </c>
      <c r="P430" s="1">
        <f>LOOKUP(O430,{0,2.5,2.7,2.9,3.1,3.3,3.5,3.7,3.9,4.1,4.3,4.5,4.7,4.9,5.1,5.3,5.5,5.6,5.7,5.8,5.9},{0,10,20,30,40,50,60,62,64,66,68,70,72,74,76,78,80,85,90,95,100})</f>
        <v>74</v>
      </c>
      <c r="Q430" s="6">
        <v>3.52</v>
      </c>
      <c r="R430" s="6">
        <f t="shared" si="204"/>
        <v>6.48</v>
      </c>
      <c r="S430" s="1">
        <f>LOOKUP(R430,{0,3.75,3.95,4.55,4.75,4.95,5.55,5.6,5.65,5.7,5.75,5.8,5.85,5.9,5.95,6,6.45,6.53,6.6,6.65,6.7},{0,10,20,30,40,50,60,62,64,66,68,70,72,74,76,78,80,85,90,95,100})</f>
        <v>80</v>
      </c>
      <c r="T430" s="7"/>
      <c r="U430" s="7"/>
      <c r="V430" s="21">
        <f t="shared" si="205"/>
        <v>80</v>
      </c>
      <c r="X430" s="21">
        <f t="shared" si="195"/>
        <v>45.8</v>
      </c>
      <c r="Y430" s="37">
        <f t="shared" si="206"/>
        <v>65.4285714285714</v>
      </c>
    </row>
    <row r="431" ht="15.6" hidden="1" outlineLevel="2" spans="1:25">
      <c r="A431" s="6">
        <v>110</v>
      </c>
      <c r="B431" s="6">
        <v>26</v>
      </c>
      <c r="C431" s="29" t="s">
        <v>487</v>
      </c>
      <c r="D431" s="29" t="s">
        <v>11</v>
      </c>
      <c r="E431" s="6">
        <v>18</v>
      </c>
      <c r="F431" s="1">
        <f>LOOKUP(E431,{0,-4,-3,-2,-1,0,1,2.4,3.8,5.2,6.6,8,9.4,10.8,12.2,13.6,15,17.2,19.4,21.5,23.6},{0,10,20,30,40,50,60,62,64,66,68,70,72,74,76,78,80,85,90,95,100})</f>
        <v>85</v>
      </c>
      <c r="G431" s="6">
        <v>263</v>
      </c>
      <c r="H431" s="1">
        <f>LOOKUP(G431,{0,170,175,180,185,190,195,199,203,207,211,215,219,223,227,231,235,243,250,255,260},{0,10,20,30,40,50,60,62,64,66,68,70,72,74,76,78,80,85,90,95,100})</f>
        <v>100</v>
      </c>
      <c r="I431" s="6">
        <v>10</v>
      </c>
      <c r="J431" s="1">
        <f>LOOKUP(I431,{0,2,3,4,5,6,7,8,9,10,11,12,13,14,15,16},{0,10,20,30,40,50,60,64,68,72,76,80,85,90,95,100})</f>
        <v>72</v>
      </c>
      <c r="K431" s="7"/>
      <c r="L431" s="7"/>
      <c r="M431" s="21">
        <f t="shared" si="202"/>
        <v>72</v>
      </c>
      <c r="N431" s="6">
        <v>7.2</v>
      </c>
      <c r="O431" s="43">
        <f t="shared" si="203"/>
        <v>5.8</v>
      </c>
      <c r="P431" s="1">
        <f>LOOKUP(O431,{0,2.5,2.7,2.9,3.1,3.3,3.5,3.7,3.9,4.1,4.3,4.5,4.7,4.9,5.1,5.3,5.5,5.6,5.7,5.8,5.9},{0,10,20,30,40,50,60,62,64,66,68,70,72,74,76,78,80,85,90,95,100})</f>
        <v>95</v>
      </c>
      <c r="Q431" s="6">
        <v>3.56</v>
      </c>
      <c r="R431" s="6">
        <f t="shared" si="204"/>
        <v>6.44</v>
      </c>
      <c r="S431" s="1">
        <f>LOOKUP(R431,{0,3.75,3.95,4.55,4.75,4.95,5.55,5.6,5.65,5.7,5.75,5.8,5.85,5.9,5.95,6,6.45,6.53,6.6,6.65,6.7},{0,10,20,30,40,50,60,62,64,66,68,70,72,74,76,78,80,85,90,95,100})</f>
        <v>78</v>
      </c>
      <c r="T431" s="7"/>
      <c r="U431" s="7"/>
      <c r="V431" s="21">
        <f t="shared" si="205"/>
        <v>78</v>
      </c>
      <c r="X431" s="21">
        <f t="shared" si="195"/>
        <v>60.3</v>
      </c>
      <c r="Y431" s="37">
        <f t="shared" si="206"/>
        <v>86.1428571428572</v>
      </c>
    </row>
    <row r="432" ht="15.6" hidden="1" outlineLevel="2" spans="1:25">
      <c r="A432" s="6">
        <v>110</v>
      </c>
      <c r="B432" s="6">
        <v>27</v>
      </c>
      <c r="C432" s="29" t="s">
        <v>488</v>
      </c>
      <c r="D432" s="29" t="s">
        <v>11</v>
      </c>
      <c r="E432" s="6">
        <v>14.5</v>
      </c>
      <c r="F432" s="1">
        <f>LOOKUP(E432,{0,-4,-3,-2,-1,0,1,2.4,3.8,5.2,6.6,8,9.4,10.8,12.2,13.6,15,17.2,19.4,21.5,23.6},{0,10,20,30,40,50,60,62,64,66,68,70,72,74,76,78,80,85,90,95,100})</f>
        <v>78</v>
      </c>
      <c r="G432" s="6">
        <v>245</v>
      </c>
      <c r="H432" s="1">
        <f>LOOKUP(G432,{0,170,175,180,185,190,195,199,203,207,211,215,219,223,227,231,235,243,250,255,260},{0,10,20,30,40,50,60,62,64,66,68,70,72,74,76,78,80,85,90,95,100})</f>
        <v>85</v>
      </c>
      <c r="I432" s="6">
        <v>27</v>
      </c>
      <c r="J432" s="1">
        <f>LOOKUP(I432,{0,2,3,4,5,6,7,8,9,10,11,12,13,14,15,16},{0,10,20,30,40,50,60,64,68,72,76,80,85,90,95,100})</f>
        <v>100</v>
      </c>
      <c r="K432" s="7">
        <f>I432-16</f>
        <v>11</v>
      </c>
      <c r="L432" s="40">
        <f>LOOKUP(K432,{0,1,2,3,4,5,6,7,8,9,10},{0,1,2,3,4,5,6,7,8,9,10})</f>
        <v>10</v>
      </c>
      <c r="M432" s="21">
        <f t="shared" si="202"/>
        <v>110</v>
      </c>
      <c r="N432" s="6">
        <v>6.8</v>
      </c>
      <c r="O432" s="43">
        <f t="shared" si="203"/>
        <v>6.2</v>
      </c>
      <c r="P432" s="1">
        <f>LOOKUP(O432,{0,2.5,2.7,2.9,3.1,3.3,3.5,3.7,3.9,4.1,4.3,4.5,4.7,4.9,5.1,5.3,5.5,5.6,5.7,5.8,5.9},{0,10,20,30,40,50,60,62,64,66,68,70,72,74,76,78,80,85,90,95,100})</f>
        <v>100</v>
      </c>
      <c r="Q432" s="6">
        <v>3.28</v>
      </c>
      <c r="R432" s="6">
        <f t="shared" si="204"/>
        <v>6.72</v>
      </c>
      <c r="S432" s="1">
        <f>LOOKUP(R432,{0,3.75,3.95,4.55,4.75,4.95,5.55,5.6,5.65,5.7,5.75,5.8,5.85,5.9,5.95,6,6.45,6.53,6.6,6.65,6.7},{0,10,20,30,40,50,60,62,64,66,68,70,72,74,76,78,80,85,90,95,100})</f>
        <v>100</v>
      </c>
      <c r="T432" s="7">
        <f>3.3-Q432</f>
        <v>0.02</v>
      </c>
      <c r="U432" s="40">
        <f>LOOKUP(T432,{0,0.04,0.08,0.12,0.16,0.2,0.23,0.26,0.29,0.32,0.35},{0,1,2,3,4,5,6,7,8,9,10})</f>
        <v>0</v>
      </c>
      <c r="V432" s="21">
        <f t="shared" si="205"/>
        <v>100</v>
      </c>
      <c r="X432" s="21">
        <f t="shared" si="195"/>
        <v>66.3</v>
      </c>
      <c r="Y432" s="37">
        <f t="shared" si="206"/>
        <v>104.714285714286</v>
      </c>
    </row>
    <row r="433" ht="15.6" hidden="1" outlineLevel="2" spans="1:25">
      <c r="A433" s="6">
        <v>110</v>
      </c>
      <c r="B433" s="6">
        <v>28</v>
      </c>
      <c r="C433" s="29" t="s">
        <v>489</v>
      </c>
      <c r="D433" s="29" t="s">
        <v>11</v>
      </c>
      <c r="E433" s="6">
        <v>23.5</v>
      </c>
      <c r="F433" s="1">
        <f>LOOKUP(E433,{0,-4,-3,-2,-1,0,1,2.4,3.8,5.2,6.6,8,9.4,10.8,12.2,13.6,15,17.2,19.4,21.5,23.6},{0,10,20,30,40,50,60,62,64,66,68,70,72,74,76,78,80,85,90,95,100})</f>
        <v>95</v>
      </c>
      <c r="G433" s="6">
        <v>235</v>
      </c>
      <c r="H433" s="1">
        <f>LOOKUP(G433,{0,170,175,180,185,190,195,199,203,207,211,215,219,223,227,231,235,243,250,255,260},{0,10,20,30,40,50,60,62,64,66,68,70,72,74,76,78,80,85,90,95,100})</f>
        <v>80</v>
      </c>
      <c r="I433" s="6">
        <v>12</v>
      </c>
      <c r="J433" s="1">
        <f>LOOKUP(I433,{0,2,3,4,5,6,7,8,9,10,11,12,13,14,15,16},{0,10,20,30,40,50,60,64,68,72,76,80,85,90,95,100})</f>
        <v>80</v>
      </c>
      <c r="K433" s="7"/>
      <c r="L433" s="7"/>
      <c r="M433" s="21">
        <f t="shared" si="202"/>
        <v>80</v>
      </c>
      <c r="N433" s="6">
        <v>7.9</v>
      </c>
      <c r="O433" s="43">
        <f t="shared" si="203"/>
        <v>5.1</v>
      </c>
      <c r="P433" s="1">
        <f>LOOKUP(O433,{0,2.5,2.7,2.9,3.1,3.3,3.5,3.7,3.9,4.1,4.3,4.5,4.7,4.9,5.1,5.3,5.5,5.6,5.7,5.8,5.9},{0,10,20,30,40,50,60,62,64,66,68,70,72,74,76,78,80,85,90,95,100})</f>
        <v>76</v>
      </c>
      <c r="Q433" s="6">
        <v>3.47</v>
      </c>
      <c r="R433" s="6">
        <f t="shared" si="204"/>
        <v>6.53</v>
      </c>
      <c r="S433" s="1">
        <f>LOOKUP(R433,{0,3.75,3.95,4.55,4.75,4.95,5.55,5.6,5.65,5.7,5.75,5.8,5.85,5.9,5.95,6,6.45,6.53,6.6,6.65,6.7},{0,10,20,30,40,50,60,62,64,66,68,70,72,74,76,78,80,85,90,95,100})</f>
        <v>85</v>
      </c>
      <c r="T433" s="7"/>
      <c r="U433" s="7"/>
      <c r="V433" s="21">
        <f t="shared" si="205"/>
        <v>85</v>
      </c>
      <c r="X433" s="21">
        <f t="shared" si="195"/>
        <v>57.7</v>
      </c>
      <c r="Y433" s="37">
        <f t="shared" si="206"/>
        <v>82.4285714285714</v>
      </c>
    </row>
    <row r="434" ht="15.6" hidden="1" outlineLevel="2" spans="1:25">
      <c r="A434" s="6">
        <v>110</v>
      </c>
      <c r="B434" s="6">
        <v>29</v>
      </c>
      <c r="C434" s="39" t="s">
        <v>491</v>
      </c>
      <c r="D434" s="29" t="s">
        <v>46</v>
      </c>
      <c r="E434" s="6">
        <v>18</v>
      </c>
      <c r="F434" s="1">
        <f>LOOKUP(E434,{0,0.4,1.2,2,2.8,3.6,4.4,5.7,7,8.3,9.6,10.9,12.2,13.5,14.8,16.1,17.4,19.1,20.8,22.5,24.2},{0,10,20,30,40,50,60,62,64,66,68,70,72,74,76,78,80,85,90,95,100})</f>
        <v>80</v>
      </c>
      <c r="G434" s="6">
        <v>170</v>
      </c>
      <c r="H434" s="1">
        <f>LOOKUP(G434,{0,123,128,133,138,143,148,151,154,157,160,163,166,169,172,175,178,185,192,198,204},{0,10,20,30,40,50,60,62,64,66,68,70,72,74,76,78,80,85,90,95,100})</f>
        <v>74</v>
      </c>
      <c r="I434" s="6">
        <v>45</v>
      </c>
      <c r="J434" s="1">
        <f>LOOKUP(I434,{0,13,15,17,19,21,23,25,27,29,31,33,35,37,39,41,43,46,49,51,53},{0,10,20,30,40,50,60,62,64,66,68,70,72,74,76,78,80,85,90,95,100})</f>
        <v>80</v>
      </c>
      <c r="K434" s="45"/>
      <c r="L434" s="45"/>
      <c r="M434" s="21">
        <f t="shared" si="202"/>
        <v>80</v>
      </c>
      <c r="N434" s="6">
        <v>8.7</v>
      </c>
      <c r="O434" s="43">
        <f t="shared" si="203"/>
        <v>4.3</v>
      </c>
      <c r="P434" s="1">
        <f>LOOKUP(O434,{0,1.4,1.6,1.8,2,2.2,2.4,2.6,2.8,3,3.2,3.4,3.6,3.8,4,4.2,4.4,4.7,5,5.1,5.2},{0,10,20,30,40,50,60,62,64,66,68,70,72,74,76,78,80,85,90,95,100})</f>
        <v>78</v>
      </c>
      <c r="Q434" s="6">
        <v>3.56</v>
      </c>
      <c r="R434" s="6">
        <f t="shared" si="204"/>
        <v>6.44</v>
      </c>
      <c r="S434" s="1">
        <f>LOOKUP(R434,{0,4.7,4.8,4.9,5,5.5,5.6,5.65,5.7,5.75,5.8,5.85,5.9,5.95,6,6.45,6.5,6.57,6.64,6.7,6.76},{0,10,20,30,40,50,60,62,64,66,68,70,72,74,76,78,80,85,90,95,100})</f>
        <v>76</v>
      </c>
      <c r="T434" s="45"/>
      <c r="U434" s="45"/>
      <c r="V434" s="21">
        <f t="shared" si="205"/>
        <v>76</v>
      </c>
      <c r="X434" s="21">
        <f t="shared" si="195"/>
        <v>54.2</v>
      </c>
      <c r="Y434" s="37">
        <f t="shared" si="206"/>
        <v>77.4285714285714</v>
      </c>
    </row>
    <row r="435" ht="15.6" hidden="1" outlineLevel="2" spans="1:25">
      <c r="A435" s="6">
        <v>110</v>
      </c>
      <c r="B435" s="6">
        <v>30</v>
      </c>
      <c r="C435" s="29" t="s">
        <v>492</v>
      </c>
      <c r="D435" s="29" t="s">
        <v>46</v>
      </c>
      <c r="E435" s="6">
        <v>17</v>
      </c>
      <c r="F435" s="1">
        <f>LOOKUP(E435,{0,0.4,1.2,2,2.8,3.6,4.4,5.7,7,8.3,9.6,10.9,12.2,13.5,14.8,16.1,17.4,19.1,20.8,22.5,24.2},{0,10,20,30,40,50,60,62,64,66,68,70,72,74,76,78,80,85,90,95,100})</f>
        <v>78</v>
      </c>
      <c r="G435" s="6">
        <v>177</v>
      </c>
      <c r="H435" s="1">
        <f>LOOKUP(G435,{0,123,128,133,138,143,148,151,154,157,160,163,166,169,172,175,178,185,192,198,204},{0,10,20,30,40,50,60,62,64,66,68,70,72,74,76,78,80,85,90,95,100})</f>
        <v>78</v>
      </c>
      <c r="I435" s="6">
        <v>47</v>
      </c>
      <c r="J435" s="1">
        <f>LOOKUP(I435,{0,13,15,17,19,21,23,25,27,29,31,33,35,37,39,41,43,46,49,51,53},{0,10,20,30,40,50,60,62,64,66,68,70,72,74,76,78,80,85,90,95,100})</f>
        <v>85</v>
      </c>
      <c r="K435" s="45"/>
      <c r="L435" s="45"/>
      <c r="M435" s="21">
        <f t="shared" si="202"/>
        <v>85</v>
      </c>
      <c r="N435" s="6">
        <v>8.7</v>
      </c>
      <c r="O435" s="43">
        <f t="shared" si="203"/>
        <v>4.3</v>
      </c>
      <c r="P435" s="1">
        <f>LOOKUP(O435,{0,1.4,1.6,1.8,2,2.2,2.4,2.6,2.8,3,3.2,3.4,3.6,3.8,4,4.2,4.4,4.7,5,5.1,5.2},{0,10,20,30,40,50,60,62,64,66,68,70,72,74,76,78,80,85,90,95,100})</f>
        <v>78</v>
      </c>
      <c r="Q435" s="6">
        <v>3.52</v>
      </c>
      <c r="R435" s="6">
        <f t="shared" si="204"/>
        <v>6.48</v>
      </c>
      <c r="S435" s="1">
        <f>LOOKUP(R435,{0,4.7,4.8,4.9,5,5.5,5.6,5.65,5.7,5.75,5.8,5.85,5.9,5.95,6,6.45,6.5,6.57,6.64,6.7,6.76},{0,10,20,30,40,50,60,62,64,66,68,70,72,74,76,78,80,85,90,95,100})</f>
        <v>78</v>
      </c>
      <c r="T435" s="45"/>
      <c r="U435" s="45"/>
      <c r="V435" s="21">
        <f t="shared" si="205"/>
        <v>78</v>
      </c>
      <c r="X435" s="21">
        <f t="shared" si="195"/>
        <v>55.3</v>
      </c>
      <c r="Y435" s="37">
        <f t="shared" si="206"/>
        <v>79</v>
      </c>
    </row>
    <row r="436" ht="15.6" hidden="1" outlineLevel="2" spans="1:25">
      <c r="A436" s="6">
        <v>110</v>
      </c>
      <c r="B436" s="6">
        <v>31</v>
      </c>
      <c r="C436" s="29" t="s">
        <v>493</v>
      </c>
      <c r="D436" s="29" t="s">
        <v>46</v>
      </c>
      <c r="E436" s="6">
        <v>15</v>
      </c>
      <c r="F436" s="1">
        <f>LOOKUP(E436,{0,0.4,1.2,2,2.8,3.6,4.4,5.7,7,8.3,9.6,10.9,12.2,13.5,14.8,16.1,17.4,19.1,20.8,22.5,24.2},{0,10,20,30,40,50,60,62,64,66,68,70,72,74,76,78,80,85,90,95,100})</f>
        <v>76</v>
      </c>
      <c r="G436" s="6">
        <v>160</v>
      </c>
      <c r="H436" s="1">
        <f>LOOKUP(G436,{0,123,128,133,138,143,148,151,154,157,160,163,166,169,172,175,178,185,192,198,204},{0,10,20,30,40,50,60,62,64,66,68,70,72,74,76,78,80,85,90,95,100})</f>
        <v>68</v>
      </c>
      <c r="I436" s="6">
        <v>44</v>
      </c>
      <c r="J436" s="1">
        <f>LOOKUP(I436,{0,13,15,17,19,21,23,25,27,29,31,33,35,37,39,41,43,46,49,51,53},{0,10,20,30,40,50,60,62,64,66,68,70,72,74,76,78,80,85,90,95,100})</f>
        <v>80</v>
      </c>
      <c r="K436" s="45"/>
      <c r="L436" s="45"/>
      <c r="M436" s="21">
        <f t="shared" si="202"/>
        <v>80</v>
      </c>
      <c r="N436" s="6">
        <v>10.4</v>
      </c>
      <c r="O436" s="43">
        <f t="shared" si="203"/>
        <v>2.6</v>
      </c>
      <c r="P436" s="1">
        <f>LOOKUP(O436,{0,1.4,1.6,1.8,2,2.2,2.4,2.6,2.8,3,3.2,3.4,3.6,3.8,4,4.2,4.4,4.7,5,5.1,5.2},{0,10,20,30,40,50,60,62,64,66,68,70,72,74,76,78,80,85,90,95,100})</f>
        <v>62</v>
      </c>
      <c r="Q436" s="6">
        <v>4.32</v>
      </c>
      <c r="R436" s="6">
        <f t="shared" si="204"/>
        <v>5.68</v>
      </c>
      <c r="S436" s="1">
        <f>LOOKUP(R436,{0,4.7,4.8,4.9,5,5.5,5.6,5.65,5.7,5.75,5.8,5.85,5.9,5.95,6,6.45,6.5,6.57,6.64,6.7,6.76},{0,10,20,30,40,50,60,62,64,66,68,70,72,74,76,78,80,85,90,95,100})</f>
        <v>62</v>
      </c>
      <c r="T436" s="45"/>
      <c r="U436" s="45"/>
      <c r="V436" s="21">
        <f t="shared" si="205"/>
        <v>62</v>
      </c>
      <c r="X436" s="21">
        <f t="shared" si="195"/>
        <v>47.2</v>
      </c>
      <c r="Y436" s="37">
        <f t="shared" si="206"/>
        <v>67.4285714285714</v>
      </c>
    </row>
    <row r="437" ht="15.6" hidden="1" outlineLevel="2" spans="1:25">
      <c r="A437" s="6">
        <v>110</v>
      </c>
      <c r="B437" s="6">
        <v>32</v>
      </c>
      <c r="C437" s="29" t="s">
        <v>494</v>
      </c>
      <c r="D437" s="29" t="s">
        <v>46</v>
      </c>
      <c r="E437" s="6">
        <v>15</v>
      </c>
      <c r="F437" s="1">
        <f>LOOKUP(E437,{0,0.4,1.2,2,2.8,3.6,4.4,5.7,7,8.3,9.6,10.9,12.2,13.5,14.8,16.1,17.4,19.1,20.8,22.5,24.2},{0,10,20,30,40,50,60,62,64,66,68,70,72,74,76,78,80,85,90,95,100})</f>
        <v>76</v>
      </c>
      <c r="G437" s="6">
        <v>169</v>
      </c>
      <c r="H437" s="1">
        <f>LOOKUP(G437,{0,123,128,133,138,143,148,151,154,157,160,163,166,169,172,175,178,185,192,198,204},{0,10,20,30,40,50,60,62,64,66,68,70,72,74,76,78,80,85,90,95,100})</f>
        <v>74</v>
      </c>
      <c r="I437" s="6">
        <v>44</v>
      </c>
      <c r="J437" s="1">
        <f>LOOKUP(I437,{0,13,15,17,19,21,23,25,27,29,31,33,35,37,39,41,43,46,49,51,53},{0,10,20,30,40,50,60,62,64,66,68,70,72,74,76,78,80,85,90,95,100})</f>
        <v>80</v>
      </c>
      <c r="K437" s="45"/>
      <c r="L437" s="45"/>
      <c r="M437" s="21">
        <f t="shared" si="202"/>
        <v>80</v>
      </c>
      <c r="N437" s="6">
        <v>9</v>
      </c>
      <c r="O437" s="43">
        <f t="shared" si="203"/>
        <v>4</v>
      </c>
      <c r="P437" s="1">
        <f>LOOKUP(O437,{0,1.4,1.6,1.8,2,2.2,2.4,2.6,2.8,3,3.2,3.4,3.6,3.8,4,4.2,4.4,4.7,5,5.1,5.2},{0,10,20,30,40,50,60,62,64,66,68,70,72,74,76,78,80,85,90,95,100})</f>
        <v>76</v>
      </c>
      <c r="Q437" s="6">
        <v>4.07</v>
      </c>
      <c r="R437" s="6">
        <f t="shared" si="204"/>
        <v>5.93</v>
      </c>
      <c r="S437" s="1">
        <f>LOOKUP(R437,{0,4.7,4.8,4.9,5,5.5,5.6,5.65,5.7,5.75,5.8,5.85,5.9,5.95,6,6.45,6.5,6.57,6.64,6.7,6.76},{0,10,20,30,40,50,60,62,64,66,68,70,72,74,76,78,80,85,90,95,100})</f>
        <v>72</v>
      </c>
      <c r="T437" s="45"/>
      <c r="U437" s="45"/>
      <c r="V437" s="21">
        <f t="shared" si="205"/>
        <v>72</v>
      </c>
      <c r="X437" s="21">
        <f t="shared" si="195"/>
        <v>52.6</v>
      </c>
      <c r="Y437" s="37">
        <f t="shared" si="206"/>
        <v>75.1428571428572</v>
      </c>
    </row>
    <row r="438" ht="15.6" hidden="1" outlineLevel="2" spans="1:25">
      <c r="A438" s="6">
        <v>110</v>
      </c>
      <c r="B438" s="6">
        <v>33</v>
      </c>
      <c r="C438" s="29" t="s">
        <v>495</v>
      </c>
      <c r="D438" s="29" t="s">
        <v>46</v>
      </c>
      <c r="E438" s="6">
        <v>14</v>
      </c>
      <c r="F438" s="1">
        <f>LOOKUP(E438,{0,0.4,1.2,2,2.8,3.6,4.4,5.7,7,8.3,9.6,10.9,12.2,13.5,14.8,16.1,17.4,19.1,20.8,22.5,24.2},{0,10,20,30,40,50,60,62,64,66,68,70,72,74,76,78,80,85,90,95,100})</f>
        <v>74</v>
      </c>
      <c r="G438" s="6">
        <v>150</v>
      </c>
      <c r="H438" s="1">
        <f>LOOKUP(G438,{0,123,128,133,138,143,148,151,154,157,160,163,166,169,172,175,178,185,192,198,204},{0,10,20,30,40,50,60,62,64,66,68,70,72,74,76,78,80,85,90,95,100})</f>
        <v>60</v>
      </c>
      <c r="I438" s="6">
        <v>32</v>
      </c>
      <c r="J438" s="1">
        <f>LOOKUP(I438,{0,13,15,17,19,21,23,25,27,29,31,33,35,37,39,41,43,46,49,51,53},{0,10,20,30,40,50,60,62,64,66,68,70,72,74,76,78,80,85,90,95,100})</f>
        <v>68</v>
      </c>
      <c r="K438" s="45"/>
      <c r="L438" s="45"/>
      <c r="M438" s="21">
        <f t="shared" si="202"/>
        <v>68</v>
      </c>
      <c r="N438" s="6">
        <v>9.7</v>
      </c>
      <c r="O438" s="43">
        <f t="shared" si="203"/>
        <v>3.3</v>
      </c>
      <c r="P438" s="1">
        <f>LOOKUP(O438,{0,1.4,1.6,1.8,2,2.2,2.4,2.6,2.8,3,3.2,3.4,3.6,3.8,4,4.2,4.4,4.7,5,5.1,5.2},{0,10,20,30,40,50,60,62,64,66,68,70,72,74,76,78,80,85,90,95,100})</f>
        <v>68</v>
      </c>
      <c r="Q438" s="6">
        <v>5.09</v>
      </c>
      <c r="R438" s="6">
        <f t="shared" si="204"/>
        <v>4.91</v>
      </c>
      <c r="S438" s="1">
        <f>LOOKUP(R438,{0,4.7,4.8,4.9,5,5.5,5.6,5.65,5.7,5.75,5.8,5.85,5.9,5.95,6,6.45,6.5,6.57,6.64,6.7,6.76},{0,10,20,30,40,50,60,62,64,66,68,70,72,74,76,78,80,85,90,95,100})</f>
        <v>30</v>
      </c>
      <c r="T438" s="45"/>
      <c r="U438" s="45"/>
      <c r="V438" s="21">
        <f t="shared" si="205"/>
        <v>30</v>
      </c>
      <c r="X438" s="21">
        <f t="shared" si="195"/>
        <v>39.8</v>
      </c>
      <c r="Y438" s="37">
        <f t="shared" si="206"/>
        <v>56.8571428571429</v>
      </c>
    </row>
    <row r="439" s="3" customFormat="1" ht="15.6" hidden="1" outlineLevel="2" spans="1:25">
      <c r="A439" s="6">
        <v>110</v>
      </c>
      <c r="B439" s="6">
        <v>34</v>
      </c>
      <c r="C439" s="29" t="s">
        <v>496</v>
      </c>
      <c r="D439" s="29" t="s">
        <v>46</v>
      </c>
      <c r="E439" s="6">
        <v>21</v>
      </c>
      <c r="F439" s="1">
        <f>LOOKUP(E439,{0,0.4,1.2,2,2.8,3.6,4.4,5.7,7,8.3,9.6,10.9,12.2,13.5,14.8,16.1,17.4,19.1,20.8,22.5,24.2},{0,10,20,30,40,50,60,62,64,66,68,70,72,74,76,78,80,85,90,95,100})</f>
        <v>90</v>
      </c>
      <c r="G439" s="6">
        <v>196</v>
      </c>
      <c r="H439" s="1">
        <f>LOOKUP(G439,{0,123,128,133,138,143,148,151,154,157,160,163,166,169,172,175,178,185,192,198,204},{0,10,20,30,40,50,60,62,64,66,68,70,72,74,76,78,80,85,90,95,100})</f>
        <v>90</v>
      </c>
      <c r="I439" s="6">
        <v>50</v>
      </c>
      <c r="J439" s="1">
        <f>LOOKUP(I439,{0,13,15,17,19,21,23,25,27,29,31,33,35,37,39,41,43,46,49,51,53},{0,10,20,30,40,50,60,62,64,66,68,70,72,74,76,78,80,85,90,95,100})</f>
        <v>90</v>
      </c>
      <c r="K439" s="45"/>
      <c r="L439" s="45"/>
      <c r="M439" s="21">
        <f t="shared" si="202"/>
        <v>90</v>
      </c>
      <c r="N439" s="6">
        <v>8.5</v>
      </c>
      <c r="O439" s="43">
        <f t="shared" si="203"/>
        <v>4.5</v>
      </c>
      <c r="P439" s="1">
        <f>LOOKUP(O439,{0,1.4,1.6,1.8,2,2.2,2.4,2.6,2.8,3,3.2,3.4,3.6,3.8,4,4.2,4.4,4.7,5,5.1,5.2},{0,10,20,30,40,50,60,62,64,66,68,70,72,74,76,78,80,85,90,95,100})</f>
        <v>80</v>
      </c>
      <c r="Q439" s="6"/>
      <c r="R439" s="6"/>
      <c r="S439" s="1"/>
      <c r="T439" s="48"/>
      <c r="U439" s="40"/>
      <c r="V439" s="21"/>
      <c r="W439" s="6" t="s">
        <v>497</v>
      </c>
      <c r="X439" s="21">
        <f t="shared" si="195"/>
        <v>43</v>
      </c>
      <c r="Y439" s="37">
        <f t="shared" si="206"/>
        <v>61.4285714285714</v>
      </c>
    </row>
    <row r="440" ht="15.6" hidden="1" outlineLevel="2" spans="1:25">
      <c r="A440" s="6">
        <v>110</v>
      </c>
      <c r="B440" s="6">
        <v>35</v>
      </c>
      <c r="C440" s="29" t="s">
        <v>498</v>
      </c>
      <c r="D440" s="29" t="s">
        <v>46</v>
      </c>
      <c r="E440" s="6">
        <v>19</v>
      </c>
      <c r="F440" s="1">
        <f>LOOKUP(E440,{0,0.4,1.2,2,2.8,3.6,4.4,5.7,7,8.3,9.6,10.9,12.2,13.5,14.8,16.1,17.4,19.1,20.8,22.5,24.2},{0,10,20,30,40,50,60,62,64,66,68,70,72,74,76,78,80,85,90,95,100})</f>
        <v>80</v>
      </c>
      <c r="G440" s="6">
        <v>153</v>
      </c>
      <c r="H440" s="1">
        <f>LOOKUP(G440,{0,123,128,133,138,143,148,151,154,157,160,163,166,169,172,175,178,185,192,198,204},{0,10,20,30,40,50,60,62,64,66,68,70,72,74,76,78,80,85,90,95,100})</f>
        <v>62</v>
      </c>
      <c r="I440" s="6">
        <v>43</v>
      </c>
      <c r="J440" s="1">
        <f>LOOKUP(I440,{0,13,15,17,19,21,23,25,27,29,31,33,35,37,39,41,43,46,49,51,53},{0,10,20,30,40,50,60,62,64,66,68,70,72,74,76,78,80,85,90,95,100})</f>
        <v>80</v>
      </c>
      <c r="K440" s="45"/>
      <c r="L440" s="45"/>
      <c r="M440" s="21">
        <f t="shared" si="202"/>
        <v>80</v>
      </c>
      <c r="N440" s="6">
        <v>9</v>
      </c>
      <c r="O440" s="43">
        <f t="shared" si="203"/>
        <v>4</v>
      </c>
      <c r="P440" s="1">
        <f>LOOKUP(O440,{0,1.4,1.6,1.8,2,2.2,2.4,2.6,2.8,3,3.2,3.4,3.6,3.8,4,4.2,4.4,4.7,5,5.1,5.2},{0,10,20,30,40,50,60,62,64,66,68,70,72,74,76,78,80,85,90,95,100})</f>
        <v>76</v>
      </c>
      <c r="Q440" s="6">
        <v>3.42</v>
      </c>
      <c r="R440" s="6">
        <f t="shared" ref="R440:R452" si="207">10-Q440</f>
        <v>6.58</v>
      </c>
      <c r="S440" s="1">
        <f>LOOKUP(R440,{0,4.7,4.8,4.9,5,5.5,5.6,5.65,5.7,5.75,5.8,5.85,5.9,5.95,6,6.45,6.5,6.57,6.64,6.7,6.76},{0,10,20,30,40,50,60,62,64,66,68,70,72,74,76,78,80,85,90,95,100})</f>
        <v>85</v>
      </c>
      <c r="T440" s="45"/>
      <c r="U440" s="45"/>
      <c r="V440" s="21">
        <f t="shared" ref="V440:V452" si="208">S440+U440</f>
        <v>85</v>
      </c>
      <c r="X440" s="21">
        <f t="shared" si="195"/>
        <v>54.4</v>
      </c>
      <c r="Y440" s="37">
        <f t="shared" si="206"/>
        <v>77.7142857142857</v>
      </c>
    </row>
    <row r="441" ht="15.6" hidden="1" outlineLevel="2" spans="1:25">
      <c r="A441" s="6">
        <v>110</v>
      </c>
      <c r="B441" s="6">
        <v>36</v>
      </c>
      <c r="C441" s="29" t="s">
        <v>499</v>
      </c>
      <c r="D441" s="29" t="s">
        <v>46</v>
      </c>
      <c r="E441" s="6">
        <v>15</v>
      </c>
      <c r="F441" s="1">
        <f>LOOKUP(E441,{0,0.4,1.2,2,2.8,3.6,4.4,5.7,7,8.3,9.6,10.9,12.2,13.5,14.8,16.1,17.4,19.1,20.8,22.5,24.2},{0,10,20,30,40,50,60,62,64,66,68,70,72,74,76,78,80,85,90,95,100})</f>
        <v>76</v>
      </c>
      <c r="G441" s="6">
        <v>163</v>
      </c>
      <c r="H441" s="1">
        <f>LOOKUP(G441,{0,123,128,133,138,143,148,151,154,157,160,163,166,169,172,175,178,185,192,198,204},{0,10,20,30,40,50,60,62,64,66,68,70,72,74,76,78,80,85,90,95,100})</f>
        <v>70</v>
      </c>
      <c r="I441" s="6">
        <v>53</v>
      </c>
      <c r="J441" s="1">
        <f>LOOKUP(I441,{0,13,15,17,19,21,23,25,27,29,31,33,35,37,39,41,43,46,49,51,53},{0,10,20,30,40,50,60,62,64,66,68,70,72,74,76,78,80,85,90,95,100})</f>
        <v>100</v>
      </c>
      <c r="K441" s="45">
        <f>I441-53</f>
        <v>0</v>
      </c>
      <c r="L441" s="40">
        <f>LOOKUP(K441,{0,2,4,6,7,8,9,10,11,12,13},{0,1,2,3,4,5,6,7,8,9,10})</f>
        <v>0</v>
      </c>
      <c r="M441" s="21">
        <f t="shared" si="202"/>
        <v>100</v>
      </c>
      <c r="N441" s="6">
        <v>8.3</v>
      </c>
      <c r="O441" s="43">
        <f t="shared" si="203"/>
        <v>4.7</v>
      </c>
      <c r="P441" s="1">
        <f>LOOKUP(O441,{0,1.4,1.6,1.8,2,2.2,2.4,2.6,2.8,3,3.2,3.4,3.6,3.8,4,4.2,4.4,4.7,5,5.1,5.2},{0,10,20,30,40,50,60,62,64,66,68,70,72,74,76,78,80,85,90,95,100})</f>
        <v>85</v>
      </c>
      <c r="Q441" s="6">
        <v>3.26</v>
      </c>
      <c r="R441" s="6">
        <f t="shared" si="207"/>
        <v>6.74</v>
      </c>
      <c r="S441" s="1">
        <f>LOOKUP(R441,{0,4.7,4.8,4.9,5,5.5,5.6,5.65,5.7,5.75,5.8,5.85,5.9,5.95,6,6.45,6.5,6.57,6.64,6.7,6.76},{0,10,20,30,40,50,60,62,64,66,68,70,72,74,76,78,80,85,90,95,100})</f>
        <v>95</v>
      </c>
      <c r="T441" s="45"/>
      <c r="U441" s="45"/>
      <c r="V441" s="21">
        <f t="shared" si="208"/>
        <v>95</v>
      </c>
      <c r="X441" s="21">
        <f t="shared" si="195"/>
        <v>60.6</v>
      </c>
      <c r="Y441" s="37">
        <f t="shared" si="206"/>
        <v>86.5714285714286</v>
      </c>
    </row>
    <row r="442" ht="15.6" hidden="1" outlineLevel="2" spans="1:25">
      <c r="A442" s="6">
        <v>110</v>
      </c>
      <c r="B442" s="6">
        <v>37</v>
      </c>
      <c r="C442" s="29" t="s">
        <v>500</v>
      </c>
      <c r="D442" s="29" t="s">
        <v>46</v>
      </c>
      <c r="E442" s="6">
        <v>15</v>
      </c>
      <c r="F442" s="1">
        <f>LOOKUP(E442,{0,0.4,1.2,2,2.8,3.6,4.4,5.7,7,8.3,9.6,10.9,12.2,13.5,14.8,16.1,17.4,19.1,20.8,22.5,24.2},{0,10,20,30,40,50,60,62,64,66,68,70,72,74,76,78,80,85,90,95,100})</f>
        <v>76</v>
      </c>
      <c r="G442" s="6">
        <v>180</v>
      </c>
      <c r="H442" s="1">
        <f>LOOKUP(G442,{0,123,128,133,138,143,148,151,154,157,160,163,166,169,172,175,178,185,192,198,204},{0,10,20,30,40,50,60,62,64,66,68,70,72,74,76,78,80,85,90,95,100})</f>
        <v>80</v>
      </c>
      <c r="I442" s="6">
        <v>43</v>
      </c>
      <c r="J442" s="1">
        <f>LOOKUP(I442,{0,13,15,17,19,21,23,25,27,29,31,33,35,37,39,41,43,46,49,51,53},{0,10,20,30,40,50,60,62,64,66,68,70,72,74,76,78,80,85,90,95,100})</f>
        <v>80</v>
      </c>
      <c r="K442" s="45"/>
      <c r="L442" s="45"/>
      <c r="M442" s="21">
        <f t="shared" si="202"/>
        <v>80</v>
      </c>
      <c r="N442" s="6">
        <v>8.8</v>
      </c>
      <c r="O442" s="43">
        <f t="shared" si="203"/>
        <v>4.2</v>
      </c>
      <c r="P442" s="1">
        <f>LOOKUP(O442,{0,1.4,1.6,1.8,2,2.2,2.4,2.6,2.8,3,3.2,3.4,3.6,3.8,4,4.2,4.4,4.7,5,5.1,5.2},{0,10,20,30,40,50,60,62,64,66,68,70,72,74,76,78,80,85,90,95,100})</f>
        <v>78</v>
      </c>
      <c r="Q442" s="6">
        <v>3.55</v>
      </c>
      <c r="R442" s="6">
        <f t="shared" si="207"/>
        <v>6.45</v>
      </c>
      <c r="S442" s="1">
        <f>LOOKUP(R442,{0,4.7,4.8,4.9,5,5.5,5.6,5.65,5.7,5.75,5.8,5.85,5.9,5.95,6,6.45,6.5,6.57,6.64,6.7,6.76},{0,10,20,30,40,50,60,62,64,66,68,70,72,74,76,78,80,85,90,95,100})</f>
        <v>78</v>
      </c>
      <c r="T442" s="45"/>
      <c r="U442" s="45"/>
      <c r="V442" s="21">
        <f t="shared" si="208"/>
        <v>78</v>
      </c>
      <c r="X442" s="21">
        <f t="shared" si="195"/>
        <v>54.8</v>
      </c>
      <c r="Y442" s="37">
        <f t="shared" si="206"/>
        <v>78.2857142857143</v>
      </c>
    </row>
    <row r="443" ht="15.6" hidden="1" outlineLevel="2" spans="1:25">
      <c r="A443" s="6">
        <v>110</v>
      </c>
      <c r="B443" s="6">
        <v>38</v>
      </c>
      <c r="C443" s="29" t="s">
        <v>501</v>
      </c>
      <c r="D443" s="29" t="s">
        <v>46</v>
      </c>
      <c r="E443" s="6">
        <v>17</v>
      </c>
      <c r="F443" s="1">
        <f>LOOKUP(E443,{0,0.4,1.2,2,2.8,3.6,4.4,5.7,7,8.3,9.6,10.9,12.2,13.5,14.8,16.1,17.4,19.1,20.8,22.5,24.2},{0,10,20,30,40,50,60,62,64,66,68,70,72,74,76,78,80,85,90,95,100})</f>
        <v>78</v>
      </c>
      <c r="G443" s="6">
        <v>176</v>
      </c>
      <c r="H443" s="1">
        <f>LOOKUP(G443,{0,123,128,133,138,143,148,151,154,157,160,163,166,169,172,175,178,185,192,198,204},{0,10,20,30,40,50,60,62,64,66,68,70,72,74,76,78,80,85,90,95,100})</f>
        <v>78</v>
      </c>
      <c r="I443" s="6">
        <v>46</v>
      </c>
      <c r="J443" s="1">
        <f>LOOKUP(I443,{0,13,15,17,19,21,23,25,27,29,31,33,35,37,39,41,43,46,49,51,53},{0,10,20,30,40,50,60,62,64,66,68,70,72,74,76,78,80,85,90,95,100})</f>
        <v>85</v>
      </c>
      <c r="K443" s="45"/>
      <c r="L443" s="45"/>
      <c r="M443" s="21">
        <f t="shared" si="202"/>
        <v>85</v>
      </c>
      <c r="N443" s="6">
        <v>8.6</v>
      </c>
      <c r="O443" s="43">
        <f t="shared" si="203"/>
        <v>4.4</v>
      </c>
      <c r="P443" s="1">
        <f>LOOKUP(O443,{0,1.4,1.6,1.8,2,2.2,2.4,2.6,2.8,3,3.2,3.4,3.6,3.8,4,4.2,4.4,4.7,5,5.1,5.2},{0,10,20,30,40,50,60,62,64,66,68,70,72,74,76,78,80,85,90,95,100})</f>
        <v>80</v>
      </c>
      <c r="Q443" s="6">
        <v>3.43</v>
      </c>
      <c r="R443" s="6">
        <f t="shared" si="207"/>
        <v>6.57</v>
      </c>
      <c r="S443" s="1">
        <f>LOOKUP(R443,{0,4.7,4.8,4.9,5,5.5,5.6,5.65,5.7,5.75,5.8,5.85,5.9,5.95,6,6.45,6.5,6.57,6.64,6.7,6.76},{0,10,20,30,40,50,60,62,64,66,68,70,72,74,76,78,80,85,90,95,100})</f>
        <v>85</v>
      </c>
      <c r="T443" s="45"/>
      <c r="U443" s="45"/>
      <c r="V443" s="21">
        <f t="shared" si="208"/>
        <v>85</v>
      </c>
      <c r="X443" s="21">
        <f t="shared" si="195"/>
        <v>57.1</v>
      </c>
      <c r="Y443" s="37">
        <f t="shared" si="206"/>
        <v>81.5714285714286</v>
      </c>
    </row>
    <row r="444" s="5" customFormat="1" ht="15.6" hidden="1" outlineLevel="2" spans="1:25">
      <c r="A444" s="6">
        <v>110</v>
      </c>
      <c r="B444" s="6">
        <v>39</v>
      </c>
      <c r="C444" s="29" t="s">
        <v>502</v>
      </c>
      <c r="D444" s="29" t="s">
        <v>46</v>
      </c>
      <c r="E444" s="6">
        <v>11</v>
      </c>
      <c r="F444" s="1">
        <f>LOOKUP(E444,{0,0.4,1.2,2,2.8,3.6,4.4,5.7,7,8.3,9.6,10.9,12.2,13.5,14.8,16.1,17.4,19.1,20.8,22.5,24.2},{0,10,20,30,40,50,60,62,64,66,68,70,72,74,76,78,80,85,90,95,100})</f>
        <v>70</v>
      </c>
      <c r="G444" s="6">
        <v>145</v>
      </c>
      <c r="H444" s="1">
        <f>LOOKUP(G444,{0,123,128,133,138,143,148,151,154,157,160,163,166,169,172,175,178,185,192,198,204},{0,10,20,30,40,50,60,62,64,66,68,70,72,74,76,78,80,85,90,95,100})</f>
        <v>50</v>
      </c>
      <c r="I444" s="6">
        <v>47</v>
      </c>
      <c r="J444" s="1">
        <f>LOOKUP(I444,{0,13,15,17,19,21,23,25,27,29,31,33,35,37,39,41,43,46,49,51,53},{0,10,20,30,40,50,60,62,64,66,68,70,72,74,76,78,80,85,90,95,100})</f>
        <v>85</v>
      </c>
      <c r="K444" s="45"/>
      <c r="L444" s="45"/>
      <c r="M444" s="21">
        <f t="shared" si="202"/>
        <v>85</v>
      </c>
      <c r="N444" s="6">
        <v>9.7</v>
      </c>
      <c r="O444" s="43">
        <f t="shared" si="203"/>
        <v>3.3</v>
      </c>
      <c r="P444" s="1">
        <f>LOOKUP(O444,{0,1.4,1.6,1.8,2,2.2,2.4,2.6,2.8,3,3.2,3.4,3.6,3.8,4,4.2,4.4,4.7,5,5.1,5.2},{0,10,20,30,40,50,60,62,64,66,68,70,72,74,76,78,80,85,90,95,100})</f>
        <v>68</v>
      </c>
      <c r="Q444" s="6">
        <v>4.19</v>
      </c>
      <c r="R444" s="6">
        <f t="shared" si="207"/>
        <v>5.81</v>
      </c>
      <c r="S444" s="1">
        <f>LOOKUP(R444,{0,4.7,4.8,4.9,5,5.5,5.6,5.65,5.7,5.75,5.8,5.85,5.9,5.95,6,6.45,6.5,6.57,6.64,6.7,6.76},{0,10,20,30,40,50,60,62,64,66,68,70,72,74,76,78,80,85,90,95,100})</f>
        <v>68</v>
      </c>
      <c r="T444" s="45"/>
      <c r="U444" s="45"/>
      <c r="V444" s="21">
        <f t="shared" si="208"/>
        <v>68</v>
      </c>
      <c r="W444" s="6"/>
      <c r="X444" s="21">
        <f t="shared" si="195"/>
        <v>47.7</v>
      </c>
      <c r="Y444" s="37">
        <f t="shared" si="206"/>
        <v>68.1428571428572</v>
      </c>
    </row>
    <row r="445" s="5" customFormat="1" ht="15.6" hidden="1" outlineLevel="2" spans="1:25">
      <c r="A445" s="6">
        <v>110</v>
      </c>
      <c r="B445" s="6">
        <v>40</v>
      </c>
      <c r="C445" s="39" t="s">
        <v>504</v>
      </c>
      <c r="D445" s="29" t="s">
        <v>46</v>
      </c>
      <c r="E445" s="6">
        <v>30</v>
      </c>
      <c r="F445" s="1">
        <f>LOOKUP(E445,{0,0.4,1.2,2,2.8,3.6,4.4,5.7,7,8.3,9.6,10.9,12.2,13.5,14.8,16.1,17.4,19.1,20.8,22.5,24.2},{0,10,20,30,40,50,60,62,64,66,68,70,72,74,76,78,80,85,90,95,100})</f>
        <v>100</v>
      </c>
      <c r="G445" s="6">
        <v>208</v>
      </c>
      <c r="H445" s="1">
        <f>LOOKUP(G445,{0,123,128,133,138,143,148,151,154,157,160,163,166,169,172,175,178,185,192,198,204},{0,10,20,30,40,50,60,62,64,66,68,70,72,74,76,78,80,85,90,95,100})</f>
        <v>100</v>
      </c>
      <c r="I445" s="6">
        <v>38</v>
      </c>
      <c r="J445" s="1">
        <f>LOOKUP(I445,{0,13,15,17,19,21,23,25,27,29,31,33,35,37,39,41,43,46,49,51,53},{0,10,20,30,40,50,60,62,64,66,68,70,72,74,76,78,80,85,90,95,100})</f>
        <v>74</v>
      </c>
      <c r="K445" s="45"/>
      <c r="L445" s="45"/>
      <c r="M445" s="21">
        <f t="shared" si="202"/>
        <v>74</v>
      </c>
      <c r="N445" s="6">
        <v>9</v>
      </c>
      <c r="O445" s="43">
        <f t="shared" si="203"/>
        <v>4</v>
      </c>
      <c r="P445" s="1">
        <f>LOOKUP(O445,{0,1.4,1.6,1.8,2,2.2,2.4,2.6,2.8,3,3.2,3.4,3.6,3.8,4,4.2,4.4,4.7,5,5.1,5.2},{0,10,20,30,40,50,60,62,64,66,68,70,72,74,76,78,80,85,90,95,100})</f>
        <v>76</v>
      </c>
      <c r="Q445" s="6">
        <v>3.19</v>
      </c>
      <c r="R445" s="6">
        <f t="shared" si="207"/>
        <v>6.81</v>
      </c>
      <c r="S445" s="1">
        <f>LOOKUP(R445,{0,4.7,4.8,4.9,5,5.5,5.6,5.65,5.7,5.75,5.8,5.85,5.9,5.95,6,6.45,6.5,6.57,6.64,6.7,6.76},{0,10,20,30,40,50,60,62,64,66,68,70,72,74,76,78,80,85,90,95,100})</f>
        <v>100</v>
      </c>
      <c r="T445" s="48">
        <f>3.24-Q445</f>
        <v>0.0500000000000003</v>
      </c>
      <c r="U445" s="40">
        <f>LOOKUP(T445,{0,0.05,0.1,0.15,0.2,0.25,0.3,0.35,0.4,0.45,0.5},{0,1,2,3,4,5,6,7,8,9,10})</f>
        <v>1</v>
      </c>
      <c r="V445" s="21">
        <f t="shared" si="208"/>
        <v>101</v>
      </c>
      <c r="W445" s="6"/>
      <c r="X445" s="21">
        <f t="shared" si="195"/>
        <v>62.6</v>
      </c>
      <c r="Y445" s="37">
        <f t="shared" si="206"/>
        <v>90.4285714285714</v>
      </c>
    </row>
    <row r="446" ht="15.6" hidden="1" outlineLevel="2" spans="1:25">
      <c r="A446" s="6">
        <v>110</v>
      </c>
      <c r="B446" s="6">
        <v>41</v>
      </c>
      <c r="C446" s="29" t="s">
        <v>505</v>
      </c>
      <c r="D446" s="29" t="s">
        <v>46</v>
      </c>
      <c r="E446" s="6">
        <v>24</v>
      </c>
      <c r="F446" s="1">
        <f>LOOKUP(E446,{0,0.4,1.2,2,2.8,3.6,4.4,5.7,7,8.3,9.6,10.9,12.2,13.5,14.8,16.1,17.4,19.1,20.8,22.5,24.2},{0,10,20,30,40,50,60,62,64,66,68,70,72,74,76,78,80,85,90,95,100})</f>
        <v>95</v>
      </c>
      <c r="G446" s="6">
        <v>196</v>
      </c>
      <c r="H446" s="1">
        <f>LOOKUP(G446,{0,123,128,133,138,143,148,151,154,157,160,163,166,169,172,175,178,185,192,198,204},{0,10,20,30,40,50,60,62,64,66,68,70,72,74,76,78,80,85,90,95,100})</f>
        <v>90</v>
      </c>
      <c r="I446" s="6">
        <v>33</v>
      </c>
      <c r="J446" s="1">
        <f>LOOKUP(I446,{0,13,15,17,19,21,23,25,27,29,31,33,35,37,39,41,43,46,49,51,53},{0,10,20,30,40,50,60,62,64,66,68,70,72,74,76,78,80,85,90,95,100})</f>
        <v>70</v>
      </c>
      <c r="K446" s="45"/>
      <c r="L446" s="45"/>
      <c r="M446" s="21">
        <f t="shared" si="202"/>
        <v>70</v>
      </c>
      <c r="N446" s="6">
        <v>8.8</v>
      </c>
      <c r="O446" s="43">
        <f t="shared" si="203"/>
        <v>4.2</v>
      </c>
      <c r="P446" s="1">
        <f>LOOKUP(O446,{0,1.4,1.6,1.8,2,2.2,2.4,2.6,2.8,3,3.2,3.4,3.6,3.8,4,4.2,4.4,4.7,5,5.1,5.2},{0,10,20,30,40,50,60,62,64,66,68,70,72,74,76,78,80,85,90,95,100})</f>
        <v>78</v>
      </c>
      <c r="Q446" s="6">
        <v>3.23</v>
      </c>
      <c r="R446" s="6">
        <f t="shared" si="207"/>
        <v>6.77</v>
      </c>
      <c r="S446" s="1">
        <f>LOOKUP(R446,{0,4.7,4.8,4.9,5,5.5,5.6,5.65,5.7,5.75,5.8,5.85,5.9,5.95,6,6.45,6.5,6.57,6.64,6.7,6.76},{0,10,20,30,40,50,60,62,64,66,68,70,72,74,76,78,80,85,90,95,100})</f>
        <v>100</v>
      </c>
      <c r="T446" s="48">
        <f>3.24-Q446</f>
        <v>0.0100000000000002</v>
      </c>
      <c r="U446" s="40">
        <f>LOOKUP(T446,{0,0.05,0.1,0.15,0.2,0.25,0.3,0.35,0.4,0.45,0.5},{0,1,2,3,4,5,6,7,8,9,10})</f>
        <v>0</v>
      </c>
      <c r="V446" s="21">
        <f t="shared" si="208"/>
        <v>100</v>
      </c>
      <c r="X446" s="21">
        <f t="shared" si="195"/>
        <v>61.1</v>
      </c>
      <c r="Y446" s="37">
        <f t="shared" si="206"/>
        <v>87.2857142857143</v>
      </c>
    </row>
    <row r="447" ht="15.6" hidden="1" outlineLevel="2" spans="1:25">
      <c r="A447" s="6">
        <v>110</v>
      </c>
      <c r="B447" s="6">
        <v>42</v>
      </c>
      <c r="C447" s="29" t="s">
        <v>506</v>
      </c>
      <c r="D447" s="29" t="s">
        <v>46</v>
      </c>
      <c r="E447" s="6">
        <v>8</v>
      </c>
      <c r="F447" s="1">
        <f>LOOKUP(E447,{0,0.4,1.2,2,2.8,3.6,4.4,5.7,7,8.3,9.6,10.9,12.2,13.5,14.8,16.1,17.4,19.1,20.8,22.5,24.2},{0,10,20,30,40,50,60,62,64,66,68,70,72,74,76,78,80,85,90,95,100})</f>
        <v>64</v>
      </c>
      <c r="G447" s="6">
        <v>172</v>
      </c>
      <c r="H447" s="1">
        <f>LOOKUP(G447,{0,123,128,133,138,143,148,151,154,157,160,163,166,169,172,175,178,185,192,198,204},{0,10,20,30,40,50,60,62,64,66,68,70,72,74,76,78,80,85,90,95,100})</f>
        <v>76</v>
      </c>
      <c r="I447" s="6">
        <v>46</v>
      </c>
      <c r="J447" s="1">
        <f>LOOKUP(I447,{0,13,15,17,19,21,23,25,27,29,31,33,35,37,39,41,43,46,49,51,53},{0,10,20,30,40,50,60,62,64,66,68,70,72,74,76,78,80,85,90,95,100})</f>
        <v>85</v>
      </c>
      <c r="K447" s="45"/>
      <c r="L447" s="45"/>
      <c r="M447" s="21">
        <f t="shared" si="202"/>
        <v>85</v>
      </c>
      <c r="N447" s="6">
        <v>9</v>
      </c>
      <c r="O447" s="43">
        <f t="shared" si="203"/>
        <v>4</v>
      </c>
      <c r="P447" s="1">
        <f>LOOKUP(O447,{0,1.4,1.6,1.8,2,2.2,2.4,2.6,2.8,3,3.2,3.4,3.6,3.8,4,4.2,4.4,4.7,5,5.1,5.2},{0,10,20,30,40,50,60,62,64,66,68,70,72,74,76,78,80,85,90,95,100})</f>
        <v>76</v>
      </c>
      <c r="Q447" s="6">
        <v>3.52</v>
      </c>
      <c r="R447" s="6">
        <f t="shared" si="207"/>
        <v>6.48</v>
      </c>
      <c r="S447" s="1">
        <f>LOOKUP(R447,{0,4.7,4.8,4.9,5,5.5,5.6,5.65,5.7,5.75,5.8,5.85,5.9,5.95,6,6.45,6.5,6.57,6.64,6.7,6.76},{0,10,20,30,40,50,60,62,64,66,68,70,72,74,76,78,80,85,90,95,100})</f>
        <v>78</v>
      </c>
      <c r="T447" s="45"/>
      <c r="U447" s="45"/>
      <c r="V447" s="21">
        <f t="shared" si="208"/>
        <v>78</v>
      </c>
      <c r="X447" s="21">
        <f t="shared" si="195"/>
        <v>53.3</v>
      </c>
      <c r="Y447" s="37">
        <f t="shared" si="206"/>
        <v>76.1428571428572</v>
      </c>
    </row>
    <row r="448" ht="15.6" hidden="1" outlineLevel="2" spans="1:25">
      <c r="A448" s="6">
        <v>110</v>
      </c>
      <c r="B448" s="6">
        <v>43</v>
      </c>
      <c r="C448" s="29" t="s">
        <v>507</v>
      </c>
      <c r="D448" s="29" t="s">
        <v>46</v>
      </c>
      <c r="E448" s="6">
        <v>15</v>
      </c>
      <c r="F448" s="1">
        <f>LOOKUP(E448,{0,0.4,1.2,2,2.8,3.6,4.4,5.7,7,8.3,9.6,10.9,12.2,13.5,14.8,16.1,17.4,19.1,20.8,22.5,24.2},{0,10,20,30,40,50,60,62,64,66,68,70,72,74,76,78,80,85,90,95,100})</f>
        <v>76</v>
      </c>
      <c r="G448" s="6">
        <v>180</v>
      </c>
      <c r="H448" s="1">
        <f>LOOKUP(G448,{0,123,128,133,138,143,148,151,154,157,160,163,166,169,172,175,178,185,192,198,204},{0,10,20,30,40,50,60,62,64,66,68,70,72,74,76,78,80,85,90,95,100})</f>
        <v>80</v>
      </c>
      <c r="I448" s="6">
        <v>54</v>
      </c>
      <c r="J448" s="1">
        <f>LOOKUP(I448,{0,13,15,17,19,21,23,25,27,29,31,33,35,37,39,41,43,46,49,51,53},{0,10,20,30,40,50,60,62,64,66,68,70,72,74,76,78,80,85,90,95,100})</f>
        <v>100</v>
      </c>
      <c r="K448" s="45">
        <f>I448-53</f>
        <v>1</v>
      </c>
      <c r="L448" s="40">
        <f>LOOKUP(K448,{0,2,4,6,7,8,9,10,11,12,13},{0,1,2,3,4,5,6,7,8,9,10})</f>
        <v>0</v>
      </c>
      <c r="M448" s="21">
        <f t="shared" si="202"/>
        <v>100</v>
      </c>
      <c r="N448" s="6">
        <v>8.6</v>
      </c>
      <c r="O448" s="43">
        <f t="shared" si="203"/>
        <v>4.4</v>
      </c>
      <c r="P448" s="1">
        <f>LOOKUP(O448,{0,1.4,1.6,1.8,2,2.2,2.4,2.6,2.8,3,3.2,3.4,3.6,3.8,4,4.2,4.4,4.7,5,5.1,5.2},{0,10,20,30,40,50,60,62,64,66,68,70,72,74,76,78,80,85,90,95,100})</f>
        <v>80</v>
      </c>
      <c r="Q448" s="6">
        <v>3.37</v>
      </c>
      <c r="R448" s="6">
        <f t="shared" si="207"/>
        <v>6.63</v>
      </c>
      <c r="S448" s="1">
        <f>LOOKUP(R448,{0,4.7,4.8,4.9,5,5.5,5.6,5.65,5.7,5.75,5.8,5.85,5.9,5.95,6,6.45,6.5,6.57,6.64,6.7,6.76},{0,10,20,30,40,50,60,62,64,66,68,70,72,74,76,78,80,85,90,95,100})</f>
        <v>85</v>
      </c>
      <c r="T448" s="45"/>
      <c r="U448" s="45"/>
      <c r="V448" s="21">
        <f t="shared" si="208"/>
        <v>85</v>
      </c>
      <c r="X448" s="21">
        <f t="shared" si="195"/>
        <v>58.6</v>
      </c>
      <c r="Y448" s="37">
        <f t="shared" si="206"/>
        <v>83.7142857142857</v>
      </c>
    </row>
    <row r="449" ht="15.6" hidden="1" outlineLevel="2" spans="1:25">
      <c r="A449" s="6">
        <v>110</v>
      </c>
      <c r="B449" s="6">
        <v>44</v>
      </c>
      <c r="C449" s="29" t="s">
        <v>508</v>
      </c>
      <c r="D449" s="29" t="s">
        <v>46</v>
      </c>
      <c r="E449" s="6">
        <v>12</v>
      </c>
      <c r="F449" s="1">
        <f>LOOKUP(E449,{0,0.4,1.2,2,2.8,3.6,4.4,5.7,7,8.3,9.6,10.9,12.2,13.5,14.8,16.1,17.4,19.1,20.8,22.5,24.2},{0,10,20,30,40,50,60,62,64,66,68,70,72,74,76,78,80,85,90,95,100})</f>
        <v>70</v>
      </c>
      <c r="G449" s="6">
        <v>173</v>
      </c>
      <c r="H449" s="1">
        <f>LOOKUP(G449,{0,123,128,133,138,143,148,151,154,157,160,163,166,169,172,175,178,185,192,198,204},{0,10,20,30,40,50,60,62,64,66,68,70,72,74,76,78,80,85,90,95,100})</f>
        <v>76</v>
      </c>
      <c r="I449" s="6">
        <v>47</v>
      </c>
      <c r="J449" s="1">
        <f>LOOKUP(I449,{0,13,15,17,19,21,23,25,27,29,31,33,35,37,39,41,43,46,49,51,53},{0,10,20,30,40,50,60,62,64,66,68,70,72,74,76,78,80,85,90,95,100})</f>
        <v>85</v>
      </c>
      <c r="K449" s="45"/>
      <c r="L449" s="45"/>
      <c r="M449" s="21">
        <f t="shared" si="202"/>
        <v>85</v>
      </c>
      <c r="N449" s="6">
        <v>8.8</v>
      </c>
      <c r="O449" s="43">
        <f t="shared" si="203"/>
        <v>4.2</v>
      </c>
      <c r="P449" s="1">
        <f>LOOKUP(O449,{0,1.4,1.6,1.8,2,2.2,2.4,2.6,2.8,3,3.2,3.4,3.6,3.8,4,4.2,4.4,4.7,5,5.1,5.2},{0,10,20,30,40,50,60,62,64,66,68,70,72,74,76,78,80,85,90,95,100})</f>
        <v>78</v>
      </c>
      <c r="Q449" s="6">
        <v>3.39</v>
      </c>
      <c r="R449" s="6">
        <f t="shared" si="207"/>
        <v>6.61</v>
      </c>
      <c r="S449" s="1">
        <f>LOOKUP(R449,{0,4.7,4.8,4.9,5,5.5,5.6,5.65,5.7,5.75,5.8,5.85,5.9,5.95,6,6.45,6.5,6.57,6.64,6.7,6.76},{0,10,20,30,40,50,60,62,64,66,68,70,72,74,76,78,80,85,90,95,100})</f>
        <v>85</v>
      </c>
      <c r="T449" s="45"/>
      <c r="U449" s="45"/>
      <c r="V449" s="21">
        <f t="shared" si="208"/>
        <v>85</v>
      </c>
      <c r="X449" s="21">
        <f t="shared" si="195"/>
        <v>55.7</v>
      </c>
      <c r="Y449" s="37">
        <f t="shared" si="206"/>
        <v>79.5714285714286</v>
      </c>
    </row>
    <row r="450" ht="15.6" hidden="1" outlineLevel="2" spans="1:25">
      <c r="A450" s="6">
        <v>110</v>
      </c>
      <c r="B450" s="6">
        <v>45</v>
      </c>
      <c r="C450" s="29" t="s">
        <v>509</v>
      </c>
      <c r="D450" s="29" t="s">
        <v>46</v>
      </c>
      <c r="E450" s="6">
        <v>17</v>
      </c>
      <c r="F450" s="1">
        <f>LOOKUP(E450,{0,0.4,1.2,2,2.8,3.6,4.4,5.7,7,8.3,9.6,10.9,12.2,13.5,14.8,16.1,17.4,19.1,20.8,22.5,24.2},{0,10,20,30,40,50,60,62,64,66,68,70,72,74,76,78,80,85,90,95,100})</f>
        <v>78</v>
      </c>
      <c r="G450" s="6">
        <v>196</v>
      </c>
      <c r="H450" s="1">
        <f>LOOKUP(G450,{0,123,128,133,138,143,148,151,154,157,160,163,166,169,172,175,178,185,192,198,204},{0,10,20,30,40,50,60,62,64,66,68,70,72,74,76,78,80,85,90,95,100})</f>
        <v>90</v>
      </c>
      <c r="I450" s="6">
        <v>54</v>
      </c>
      <c r="J450" s="1">
        <f>LOOKUP(I450,{0,13,15,17,19,21,23,25,27,29,31,33,35,37,39,41,43,46,49,51,53},{0,10,20,30,40,50,60,62,64,66,68,70,72,74,76,78,80,85,90,95,100})</f>
        <v>100</v>
      </c>
      <c r="K450" s="45">
        <f>I450-53</f>
        <v>1</v>
      </c>
      <c r="L450" s="40">
        <f>LOOKUP(K450,{0,2,4,6,7,8,9,10,11,12,13},{0,1,2,3,4,5,6,7,8,9,10})</f>
        <v>0</v>
      </c>
      <c r="M450" s="21">
        <f t="shared" si="202"/>
        <v>100</v>
      </c>
      <c r="N450" s="6">
        <v>9.2</v>
      </c>
      <c r="O450" s="43">
        <f t="shared" si="203"/>
        <v>3.8</v>
      </c>
      <c r="P450" s="1">
        <f>LOOKUP(O450,{0,1.4,1.6,1.8,2,2.2,2.4,2.6,2.8,3,3.2,3.4,3.6,3.8,4,4.2,4.4,4.7,5,5.1,5.2},{0,10,20,30,40,50,60,62,64,66,68,70,72,74,76,78,80,85,90,95,100})</f>
        <v>74</v>
      </c>
      <c r="Q450" s="6">
        <v>4.22</v>
      </c>
      <c r="R450" s="6">
        <f t="shared" si="207"/>
        <v>5.78</v>
      </c>
      <c r="S450" s="1">
        <f>LOOKUP(R450,{0,4.7,4.8,4.9,5,5.5,5.6,5.65,5.7,5.75,5.8,5.85,5.9,5.95,6,6.45,6.5,6.57,6.64,6.7,6.76},{0,10,20,30,40,50,60,62,64,66,68,70,72,74,76,78,80,85,90,95,100})</f>
        <v>66</v>
      </c>
      <c r="T450" s="45"/>
      <c r="U450" s="45"/>
      <c r="V450" s="21">
        <f t="shared" si="208"/>
        <v>66</v>
      </c>
      <c r="X450" s="21">
        <f t="shared" si="195"/>
        <v>54.8</v>
      </c>
      <c r="Y450" s="37">
        <f t="shared" si="206"/>
        <v>78.2857142857143</v>
      </c>
    </row>
    <row r="451" ht="15.6" hidden="1" outlineLevel="2" spans="1:25">
      <c r="A451" s="6">
        <v>110</v>
      </c>
      <c r="B451" s="6">
        <v>46</v>
      </c>
      <c r="C451" s="29" t="s">
        <v>510</v>
      </c>
      <c r="D451" s="29" t="s">
        <v>46</v>
      </c>
      <c r="E451" s="6">
        <v>10</v>
      </c>
      <c r="F451" s="1">
        <f>LOOKUP(E451,{0,0.4,1.2,2,2.8,3.6,4.4,5.7,7,8.3,9.6,10.9,12.2,13.5,14.8,16.1,17.4,19.1,20.8,22.5,24.2},{0,10,20,30,40,50,60,62,64,66,68,70,72,74,76,78,80,85,90,95,100})</f>
        <v>68</v>
      </c>
      <c r="G451" s="6">
        <v>178</v>
      </c>
      <c r="H451" s="1">
        <f>LOOKUP(G451,{0,123,128,133,138,143,148,151,154,157,160,163,166,169,172,175,178,185,192,198,204},{0,10,20,30,40,50,60,62,64,66,68,70,72,74,76,78,80,85,90,95,100})</f>
        <v>80</v>
      </c>
      <c r="I451" s="6">
        <v>45</v>
      </c>
      <c r="J451" s="1">
        <f>LOOKUP(I451,{0,13,15,17,19,21,23,25,27,29,31,33,35,37,39,41,43,46,49,51,53},{0,10,20,30,40,50,60,62,64,66,68,70,72,74,76,78,80,85,90,95,100})</f>
        <v>80</v>
      </c>
      <c r="K451" s="45"/>
      <c r="L451" s="45"/>
      <c r="M451" s="21">
        <f t="shared" si="202"/>
        <v>80</v>
      </c>
      <c r="N451" s="6">
        <v>8.8</v>
      </c>
      <c r="O451" s="43">
        <f t="shared" si="203"/>
        <v>4.2</v>
      </c>
      <c r="P451" s="1">
        <f>LOOKUP(O451,{0,1.4,1.6,1.8,2,2.2,2.4,2.6,2.8,3,3.2,3.4,3.6,3.8,4,4.2,4.4,4.7,5,5.1,5.2},{0,10,20,30,40,50,60,62,64,66,68,70,72,74,76,78,80,85,90,95,100})</f>
        <v>78</v>
      </c>
      <c r="Q451" s="6">
        <v>4.04</v>
      </c>
      <c r="R451" s="6">
        <f t="shared" si="207"/>
        <v>5.96</v>
      </c>
      <c r="S451" s="1">
        <f>LOOKUP(R451,{0,4.7,4.8,4.9,5,5.5,5.6,5.65,5.7,5.75,5.8,5.85,5.9,5.95,6,6.45,6.5,6.57,6.64,6.7,6.76},{0,10,20,30,40,50,60,62,64,66,68,70,72,74,76,78,80,85,90,95,100})</f>
        <v>74</v>
      </c>
      <c r="T451" s="45"/>
      <c r="U451" s="45"/>
      <c r="V451" s="21">
        <f t="shared" si="208"/>
        <v>74</v>
      </c>
      <c r="X451" s="21">
        <f t="shared" si="195"/>
        <v>53.2</v>
      </c>
      <c r="Y451" s="37">
        <f t="shared" si="206"/>
        <v>76</v>
      </c>
    </row>
    <row r="452" s="3" customFormat="1" ht="15.6" hidden="1" outlineLevel="2" spans="1:25">
      <c r="A452" s="6">
        <v>110</v>
      </c>
      <c r="B452" s="6">
        <v>47</v>
      </c>
      <c r="C452" s="29" t="s">
        <v>511</v>
      </c>
      <c r="D452" s="29" t="s">
        <v>46</v>
      </c>
      <c r="E452" s="6">
        <v>-4</v>
      </c>
      <c r="F452" s="1">
        <v>0</v>
      </c>
      <c r="G452" s="6">
        <v>145</v>
      </c>
      <c r="H452" s="1">
        <f>LOOKUP(G452,{0,123,128,133,138,143,148,151,154,157,160,163,166,169,172,175,178,185,192,198,204},{0,10,20,30,40,50,60,62,64,66,68,70,72,74,76,78,80,85,90,95,100})</f>
        <v>50</v>
      </c>
      <c r="I452" s="6">
        <v>31</v>
      </c>
      <c r="J452" s="1">
        <f>LOOKUP(I452,{0,13,15,17,19,21,23,25,27,29,31,33,35,37,39,41,43,46,49,51,53},{0,10,20,30,40,50,60,62,64,66,68,70,72,74,76,78,80,85,90,95,100})</f>
        <v>68</v>
      </c>
      <c r="K452" s="45"/>
      <c r="L452" s="45"/>
      <c r="M452" s="21">
        <f t="shared" si="202"/>
        <v>68</v>
      </c>
      <c r="N452" s="6">
        <v>9.5</v>
      </c>
      <c r="O452" s="43">
        <f t="shared" si="203"/>
        <v>3.5</v>
      </c>
      <c r="P452" s="1">
        <f>LOOKUP(O452,{0,1.4,1.6,1.8,2,2.2,2.4,2.6,2.8,3,3.2,3.4,3.6,3.8,4,4.2,4.4,4.7,5,5.1,5.2},{0,10,20,30,40,50,60,62,64,66,68,70,72,74,76,78,80,85,90,95,100})</f>
        <v>70</v>
      </c>
      <c r="Q452" s="6">
        <v>4.38</v>
      </c>
      <c r="R452" s="6">
        <f t="shared" si="207"/>
        <v>5.62</v>
      </c>
      <c r="S452" s="1">
        <f>LOOKUP(R452,{0,4.7,4.8,4.9,5,5.5,5.6,5.65,5.7,5.75,5.8,5.85,5.9,5.95,6,6.45,6.5,6.57,6.64,6.7,6.76},{0,10,20,30,40,50,60,62,64,66,68,70,72,74,76,78,80,85,90,95,100})</f>
        <v>60</v>
      </c>
      <c r="T452" s="45"/>
      <c r="U452" s="45"/>
      <c r="V452" s="21">
        <f t="shared" si="208"/>
        <v>60</v>
      </c>
      <c r="W452" s="6"/>
      <c r="X452" s="21">
        <f t="shared" si="195"/>
        <v>37.8</v>
      </c>
      <c r="Y452" s="37">
        <f t="shared" si="206"/>
        <v>54</v>
      </c>
    </row>
    <row r="453" ht="15.6" hidden="1" outlineLevel="2" spans="1:25">
      <c r="A453" s="6">
        <v>110</v>
      </c>
      <c r="B453" s="6">
        <v>48</v>
      </c>
      <c r="C453" s="30" t="s">
        <v>512</v>
      </c>
      <c r="D453" s="30" t="s">
        <v>46</v>
      </c>
      <c r="F453" s="1"/>
      <c r="H453" s="1"/>
      <c r="J453" s="1"/>
      <c r="K453" s="45"/>
      <c r="L453" s="45"/>
      <c r="M453" s="21"/>
      <c r="N453" s="6">
        <v>10.1</v>
      </c>
      <c r="O453" s="43">
        <f t="shared" si="203"/>
        <v>2.9</v>
      </c>
      <c r="P453" s="1">
        <f>LOOKUP(O453,{0,1.4,1.6,1.8,2,2.2,2.4,2.6,2.8,3,3.2,3.4,3.6,3.8,4,4.2,4.4,4.7,5,5.1,5.2},{0,10,20,30,40,50,60,62,64,66,68,70,72,74,76,78,80,85,90,95,100})</f>
        <v>64</v>
      </c>
      <c r="S453" s="1"/>
      <c r="T453" s="48"/>
      <c r="U453" s="40"/>
      <c r="V453" s="21"/>
      <c r="W453" s="6" t="s">
        <v>513</v>
      </c>
      <c r="X453" s="21">
        <f t="shared" si="195"/>
        <v>12.8</v>
      </c>
      <c r="Y453" s="37">
        <v>50</v>
      </c>
    </row>
    <row r="454" ht="15.6" outlineLevel="1" collapsed="1" spans="1:25">
      <c r="A454" s="42" t="s">
        <v>851</v>
      </c>
      <c r="C454" s="30"/>
      <c r="D454" s="30"/>
      <c r="F454" s="1">
        <f>SUBTOTAL(1,F407:F453)</f>
        <v>76.1086956521739</v>
      </c>
      <c r="H454" s="1">
        <f>SUBTOTAL(1,H407:H453)</f>
        <v>79.2826086956522</v>
      </c>
      <c r="J454" s="1">
        <f>SUBTOTAL(1,J407:J453)</f>
        <v>67.0217391304348</v>
      </c>
      <c r="K454" s="45"/>
      <c r="L454" s="45"/>
      <c r="M454" s="21">
        <f>SUBTOTAL(1,M407:M453)</f>
        <v>68.3695652173913</v>
      </c>
      <c r="O454" s="43"/>
      <c r="P454" s="1">
        <f>SUBTOTAL(1,P407:P453)</f>
        <v>83</v>
      </c>
      <c r="S454" s="1">
        <f>SUBTOTAL(1,S407:S453)</f>
        <v>79.2888888888889</v>
      </c>
      <c r="T454" s="48"/>
      <c r="U454" s="40"/>
      <c r="V454" s="21">
        <f>SUBTOTAL(1,V407:V453)</f>
        <v>79.3333333333333</v>
      </c>
      <c r="X454" s="21">
        <f>SUBTOTAL(1,X407:X453)</f>
        <v>53.1978723404255</v>
      </c>
      <c r="Y454" s="37">
        <f>SUBTOTAL(1,Y407:Y453)</f>
        <v>78.0455927051672</v>
      </c>
    </row>
    <row r="455" ht="15.6" hidden="1" outlineLevel="2" spans="1:25">
      <c r="A455" s="6">
        <v>111</v>
      </c>
      <c r="B455" s="6">
        <v>1</v>
      </c>
      <c r="C455" s="39" t="s">
        <v>515</v>
      </c>
      <c r="D455" s="29" t="s">
        <v>11</v>
      </c>
      <c r="F455" s="1"/>
      <c r="H455" s="1"/>
      <c r="J455" s="1"/>
      <c r="K455" s="7"/>
      <c r="L455" s="7"/>
      <c r="M455" s="21"/>
      <c r="O455" s="43"/>
      <c r="P455" s="1"/>
      <c r="S455" s="1"/>
      <c r="T455" s="7"/>
      <c r="U455" s="40"/>
      <c r="V455" s="21"/>
      <c r="W455" s="6" t="s">
        <v>84</v>
      </c>
      <c r="X455" s="21">
        <f t="shared" ref="X455:X479" si="209">F455*0.1+H455*0.1+J455*0.1+P455*0.2+S455*0.2</f>
        <v>0</v>
      </c>
      <c r="Y455" s="37">
        <v>50</v>
      </c>
    </row>
    <row r="456" ht="15.6" hidden="1" outlineLevel="2" spans="1:25">
      <c r="A456" s="6">
        <v>111</v>
      </c>
      <c r="B456" s="6">
        <v>2</v>
      </c>
      <c r="C456" s="29" t="s">
        <v>516</v>
      </c>
      <c r="D456" s="29" t="s">
        <v>11</v>
      </c>
      <c r="E456" s="6">
        <v>1.5</v>
      </c>
      <c r="F456" s="1">
        <f>LOOKUP(E456,{0,-4,-3,-2,-1,0,1,2.4,3.8,5.2,6.6,8,9.4,10.8,12.2,13.6,15,17.2,19.4,21.5,23.6},{0,10,20,30,40,50,60,62,64,66,68,70,72,74,76,78,80,85,90,95,100})</f>
        <v>60</v>
      </c>
      <c r="G456" s="6">
        <v>205</v>
      </c>
      <c r="H456" s="1">
        <f>LOOKUP(G456,{0,170,175,180,185,190,195,199,203,207,211,215,219,223,227,231,235,243,250,255,260},{0,10,20,30,40,50,60,62,64,66,68,70,72,74,76,78,80,85,90,95,100})</f>
        <v>64</v>
      </c>
      <c r="I456" s="6">
        <v>0</v>
      </c>
      <c r="J456" s="1">
        <f>LOOKUP(I456,{0,2,3,4,5,6,7,8,9,10,11,12,13,14,15,16},{0,10,20,30,40,50,60,64,68,72,76,80,85,90,95,100})</f>
        <v>0</v>
      </c>
      <c r="K456" s="7"/>
      <c r="L456" s="7"/>
      <c r="M456" s="21">
        <f t="shared" ref="M456:M460" si="210">J456+L456</f>
        <v>0</v>
      </c>
      <c r="N456" s="6">
        <v>7.7</v>
      </c>
      <c r="O456" s="43">
        <f t="shared" ref="O456:O460" si="211">13-N456</f>
        <v>5.3</v>
      </c>
      <c r="P456" s="1">
        <f>LOOKUP(O456,{0,2.5,2.7,2.9,3.1,3.3,3.5,3.7,3.9,4.1,4.3,4.5,4.7,4.9,5.1,5.3,5.5,5.6,5.7,5.8,5.9},{0,10,20,30,40,50,60,62,64,66,68,70,72,74,76,78,80,85,90,95,100})</f>
        <v>78</v>
      </c>
      <c r="Q456" s="6">
        <v>4.34</v>
      </c>
      <c r="R456" s="6">
        <f t="shared" ref="R456:R460" si="212">10-Q456</f>
        <v>5.66</v>
      </c>
      <c r="S456" s="1">
        <f>LOOKUP(R456,{0,3.75,3.95,4.55,4.75,4.95,5.55,5.6,5.65,5.7,5.75,5.8,5.85,5.9,5.95,6,6.45,6.53,6.6,6.65,6.7},{0,10,20,30,40,50,60,62,64,66,68,70,72,74,76,78,80,85,90,95,100})</f>
        <v>64</v>
      </c>
      <c r="T456" s="7"/>
      <c r="U456" s="7"/>
      <c r="V456" s="21">
        <f t="shared" ref="V456:V460" si="213">S456+U456</f>
        <v>64</v>
      </c>
      <c r="X456" s="21">
        <f t="shared" si="209"/>
        <v>40.8</v>
      </c>
      <c r="Y456" s="37">
        <f t="shared" ref="Y456:Y460" si="214">X456/0.7+L456+U456</f>
        <v>58.2857142857143</v>
      </c>
    </row>
    <row r="457" ht="15.6" hidden="1" outlineLevel="2" spans="1:25">
      <c r="A457" s="6">
        <v>111</v>
      </c>
      <c r="B457" s="6">
        <v>3</v>
      </c>
      <c r="C457" s="29" t="s">
        <v>517</v>
      </c>
      <c r="D457" s="29" t="s">
        <v>11</v>
      </c>
      <c r="E457" s="6">
        <v>8.5</v>
      </c>
      <c r="F457" s="1">
        <f>LOOKUP(E457,{0,-4,-3,-2,-1,0,1,2.4,3.8,5.2,6.6,8,9.4,10.8,12.2,13.6,15,17.2,19.4,21.5,23.6},{0,10,20,30,40,50,60,62,64,66,68,70,72,74,76,78,80,85,90,95,100})</f>
        <v>70</v>
      </c>
      <c r="G457" s="6">
        <v>230</v>
      </c>
      <c r="H457" s="1">
        <f>LOOKUP(G457,{0,170,175,180,185,190,195,199,203,207,211,215,219,223,227,231,235,243,250,255,260},{0,10,20,30,40,50,60,62,64,66,68,70,72,74,76,78,80,85,90,95,100})</f>
        <v>76</v>
      </c>
      <c r="I457" s="6">
        <v>7</v>
      </c>
      <c r="J457" s="1">
        <f>LOOKUP(I457,{0,2,3,4,5,6,7,8,9,10,11,12,13,14,15,16},{0,10,20,30,40,50,60,64,68,72,76,80,85,90,95,100})</f>
        <v>60</v>
      </c>
      <c r="K457" s="7"/>
      <c r="L457" s="7"/>
      <c r="M457" s="21">
        <f t="shared" si="210"/>
        <v>60</v>
      </c>
      <c r="N457" s="6">
        <v>7.5</v>
      </c>
      <c r="O457" s="43">
        <f t="shared" si="211"/>
        <v>5.5</v>
      </c>
      <c r="P457" s="1">
        <f>LOOKUP(O457,{0,2.5,2.7,2.9,3.1,3.3,3.5,3.7,3.9,4.1,4.3,4.5,4.7,4.9,5.1,5.3,5.5,5.6,5.7,5.8,5.9},{0,10,20,30,40,50,60,62,64,66,68,70,72,74,76,78,80,85,90,95,100})</f>
        <v>80</v>
      </c>
      <c r="Q457" s="6">
        <v>3.55</v>
      </c>
      <c r="R457" s="6">
        <f t="shared" si="212"/>
        <v>6.45</v>
      </c>
      <c r="S457" s="1">
        <f>LOOKUP(R457,{0,3.75,3.95,4.55,4.75,4.95,5.55,5.6,5.65,5.7,5.75,5.8,5.85,5.9,5.95,6,6.45,6.53,6.6,6.65,6.7},{0,10,20,30,40,50,60,62,64,66,68,70,72,74,76,78,80,85,90,95,100})</f>
        <v>80</v>
      </c>
      <c r="T457" s="7"/>
      <c r="U457" s="7"/>
      <c r="V457" s="21">
        <f t="shared" si="213"/>
        <v>80</v>
      </c>
      <c r="X457" s="21">
        <f t="shared" si="209"/>
        <v>52.6</v>
      </c>
      <c r="Y457" s="37">
        <f t="shared" si="214"/>
        <v>75.1428571428572</v>
      </c>
    </row>
    <row r="458" ht="15.6" hidden="1" outlineLevel="2" spans="1:25">
      <c r="A458" s="6">
        <v>111</v>
      </c>
      <c r="B458" s="6">
        <v>4</v>
      </c>
      <c r="C458" s="29" t="s">
        <v>518</v>
      </c>
      <c r="D458" s="29" t="s">
        <v>11</v>
      </c>
      <c r="E458" s="6">
        <v>4.6</v>
      </c>
      <c r="F458" s="1">
        <f>LOOKUP(E458,{0,-4,-3,-2,-1,0,1,2.4,3.8,5.2,6.6,8,9.4,10.8,12.2,13.6,15,17.2,19.4,21.5,23.6},{0,10,20,30,40,50,60,62,64,66,68,70,72,74,76,78,80,85,90,95,100})</f>
        <v>64</v>
      </c>
      <c r="G458" s="6">
        <v>228</v>
      </c>
      <c r="H458" s="1">
        <f>LOOKUP(G458,{0,170,175,180,185,190,195,199,203,207,211,215,219,223,227,231,235,243,250,255,260},{0,10,20,30,40,50,60,62,64,66,68,70,72,74,76,78,80,85,90,95,100})</f>
        <v>76</v>
      </c>
      <c r="I458" s="6">
        <v>5</v>
      </c>
      <c r="J458" s="1">
        <f>LOOKUP(I458,{0,2,3,4,5,6,7,8,9,10,11,12,13,14,15,16},{0,10,20,30,40,50,60,64,68,72,76,80,85,90,95,100})</f>
        <v>40</v>
      </c>
      <c r="K458" s="7"/>
      <c r="L458" s="7"/>
      <c r="M458" s="21">
        <f t="shared" si="210"/>
        <v>40</v>
      </c>
      <c r="N458" s="6">
        <v>7.4</v>
      </c>
      <c r="O458" s="43">
        <f t="shared" si="211"/>
        <v>5.6</v>
      </c>
      <c r="P458" s="1">
        <f>LOOKUP(O458,{0,2.5,2.7,2.9,3.1,3.3,3.5,3.7,3.9,4.1,4.3,4.5,4.7,4.9,5.1,5.3,5.5,5.6,5.7,5.8,5.9},{0,10,20,30,40,50,60,62,64,66,68,70,72,74,76,78,80,85,90,95,100})</f>
        <v>85</v>
      </c>
      <c r="Q458" s="6">
        <v>4</v>
      </c>
      <c r="R458" s="6">
        <f t="shared" si="212"/>
        <v>6</v>
      </c>
      <c r="S458" s="1">
        <f>LOOKUP(R458,{0,3.75,3.95,4.55,4.75,4.95,5.55,5.6,5.65,5.7,5.75,5.8,5.85,5.9,5.95,6,6.45,6.53,6.6,6.65,6.7},{0,10,20,30,40,50,60,62,64,66,68,70,72,74,76,78,80,85,90,95,100})</f>
        <v>78</v>
      </c>
      <c r="T458" s="7"/>
      <c r="U458" s="7"/>
      <c r="V458" s="21">
        <f t="shared" si="213"/>
        <v>78</v>
      </c>
      <c r="X458" s="21">
        <f t="shared" si="209"/>
        <v>50.6</v>
      </c>
      <c r="Y458" s="37">
        <f t="shared" si="214"/>
        <v>72.2857142857143</v>
      </c>
    </row>
    <row r="459" ht="15.6" hidden="1" outlineLevel="2" spans="1:25">
      <c r="A459" s="6">
        <v>111</v>
      </c>
      <c r="B459" s="6">
        <v>5</v>
      </c>
      <c r="C459" s="29" t="s">
        <v>519</v>
      </c>
      <c r="D459" s="29" t="s">
        <v>11</v>
      </c>
      <c r="E459" s="6">
        <v>8.7</v>
      </c>
      <c r="F459" s="1">
        <f>LOOKUP(E459,{0,-4,-3,-2,-1,0,1,2.4,3.8,5.2,6.6,8,9.4,10.8,12.2,13.6,15,17.2,19.4,21.5,23.6},{0,10,20,30,40,50,60,62,64,66,68,70,72,74,76,78,80,85,90,95,100})</f>
        <v>70</v>
      </c>
      <c r="G459" s="6">
        <v>250</v>
      </c>
      <c r="H459" s="1">
        <f>LOOKUP(G459,{0,170,175,180,185,190,195,199,203,207,211,215,219,223,227,231,235,243,250,255,260},{0,10,20,30,40,50,60,62,64,66,68,70,72,74,76,78,80,85,90,95,100})</f>
        <v>90</v>
      </c>
      <c r="I459" s="6">
        <v>11</v>
      </c>
      <c r="J459" s="1">
        <f>LOOKUP(I459,{0,2,3,4,5,6,7,8,9,10,11,12,13,14,15,16},{0,10,20,30,40,50,60,64,68,72,76,80,85,90,95,100})</f>
        <v>76</v>
      </c>
      <c r="K459" s="7"/>
      <c r="L459" s="7"/>
      <c r="M459" s="21">
        <f t="shared" si="210"/>
        <v>76</v>
      </c>
      <c r="N459" s="6">
        <v>7.2</v>
      </c>
      <c r="O459" s="43">
        <f t="shared" si="211"/>
        <v>5.8</v>
      </c>
      <c r="P459" s="1">
        <f>LOOKUP(O459,{0,2.5,2.7,2.9,3.1,3.3,3.5,3.7,3.9,4.1,4.3,4.5,4.7,4.9,5.1,5.3,5.5,5.6,5.7,5.8,5.9},{0,10,20,30,40,50,60,62,64,66,68,70,72,74,76,78,80,85,90,95,100})</f>
        <v>95</v>
      </c>
      <c r="Q459" s="6">
        <v>3.45</v>
      </c>
      <c r="R459" s="6">
        <f t="shared" si="212"/>
        <v>6.55</v>
      </c>
      <c r="S459" s="1">
        <f>LOOKUP(R459,{0,3.75,3.95,4.55,4.75,4.95,5.55,5.6,5.65,5.7,5.75,5.8,5.85,5.9,5.95,6,6.45,6.53,6.6,6.65,6.7},{0,10,20,30,40,50,60,62,64,66,68,70,72,74,76,78,80,85,90,95,100})</f>
        <v>85</v>
      </c>
      <c r="T459" s="7"/>
      <c r="U459" s="7"/>
      <c r="V459" s="21">
        <f t="shared" si="213"/>
        <v>85</v>
      </c>
      <c r="X459" s="21">
        <f t="shared" si="209"/>
        <v>59.6</v>
      </c>
      <c r="Y459" s="37">
        <f t="shared" si="214"/>
        <v>85.1428571428572</v>
      </c>
    </row>
    <row r="460" ht="15.6" hidden="1" outlineLevel="2" spans="1:25">
      <c r="A460" s="6">
        <v>111</v>
      </c>
      <c r="B460" s="6">
        <v>6</v>
      </c>
      <c r="C460" s="29" t="s">
        <v>520</v>
      </c>
      <c r="D460" s="29" t="s">
        <v>11</v>
      </c>
      <c r="E460" s="6">
        <v>6.7</v>
      </c>
      <c r="F460" s="1">
        <f>LOOKUP(E460,{0,-4,-3,-2,-1,0,1,2.4,3.8,5.2,6.6,8,9.4,10.8,12.2,13.6,15,17.2,19.4,21.5,23.6},{0,10,20,30,40,50,60,62,64,66,68,70,72,74,76,78,80,85,90,95,100})</f>
        <v>68</v>
      </c>
      <c r="G460" s="6">
        <v>245</v>
      </c>
      <c r="H460" s="1">
        <f>LOOKUP(G460,{0,170,175,180,185,190,195,199,203,207,211,215,219,223,227,231,235,243,250,255,260},{0,10,20,30,40,50,60,62,64,66,68,70,72,74,76,78,80,85,90,95,100})</f>
        <v>85</v>
      </c>
      <c r="I460" s="6">
        <v>14</v>
      </c>
      <c r="J460" s="1">
        <f>LOOKUP(I460,{0,2,3,4,5,6,7,8,9,10,11,12,13,14,15,16},{0,10,20,30,40,50,60,64,68,72,76,80,85,90,95,100})</f>
        <v>90</v>
      </c>
      <c r="K460" s="7"/>
      <c r="L460" s="7"/>
      <c r="M460" s="21">
        <f t="shared" si="210"/>
        <v>90</v>
      </c>
      <c r="N460" s="6">
        <v>7.1</v>
      </c>
      <c r="O460" s="43">
        <f t="shared" si="211"/>
        <v>5.9</v>
      </c>
      <c r="P460" s="1">
        <f>LOOKUP(O460,{0,2.5,2.7,2.9,3.1,3.3,3.5,3.7,3.9,4.1,4.3,4.5,4.7,4.9,5.1,5.3,5.5,5.6,5.7,5.8,5.9},{0,10,20,30,40,50,60,62,64,66,68,70,72,74,76,78,80,85,90,95,100})</f>
        <v>100</v>
      </c>
      <c r="Q460" s="6">
        <v>3.4</v>
      </c>
      <c r="R460" s="6">
        <f t="shared" si="212"/>
        <v>6.6</v>
      </c>
      <c r="S460" s="1">
        <f>LOOKUP(R460,{0,3.75,3.95,4.55,4.75,4.95,5.55,5.6,5.65,5.7,5.75,5.8,5.85,5.9,5.95,6,6.45,6.53,6.6,6.65,6.7},{0,10,20,30,40,50,60,62,64,66,68,70,72,74,76,78,80,85,90,95,100})</f>
        <v>90</v>
      </c>
      <c r="T460" s="7"/>
      <c r="U460" s="7"/>
      <c r="V460" s="21">
        <f t="shared" si="213"/>
        <v>90</v>
      </c>
      <c r="X460" s="21">
        <f t="shared" si="209"/>
        <v>62.3</v>
      </c>
      <c r="Y460" s="37">
        <f t="shared" si="214"/>
        <v>89</v>
      </c>
    </row>
    <row r="461" ht="15.6" hidden="1" outlineLevel="2" spans="1:25">
      <c r="A461" s="6">
        <v>111</v>
      </c>
      <c r="B461" s="6">
        <v>7</v>
      </c>
      <c r="C461" s="29" t="s">
        <v>521</v>
      </c>
      <c r="D461" s="29" t="s">
        <v>11</v>
      </c>
      <c r="F461" s="1"/>
      <c r="H461" s="1"/>
      <c r="J461" s="1"/>
      <c r="K461" s="7"/>
      <c r="L461" s="7"/>
      <c r="M461" s="21"/>
      <c r="O461" s="43"/>
      <c r="P461" s="1"/>
      <c r="S461" s="1"/>
      <c r="T461" s="7"/>
      <c r="U461" s="40"/>
      <c r="V461" s="21"/>
      <c r="W461" s="6" t="s">
        <v>84</v>
      </c>
      <c r="X461" s="21">
        <f t="shared" si="209"/>
        <v>0</v>
      </c>
      <c r="Y461" s="37">
        <v>50</v>
      </c>
    </row>
    <row r="462" ht="15.6" hidden="1" outlineLevel="2" spans="1:25">
      <c r="A462" s="6">
        <v>111</v>
      </c>
      <c r="B462" s="6">
        <v>8</v>
      </c>
      <c r="C462" s="29" t="s">
        <v>522</v>
      </c>
      <c r="D462" s="29" t="s">
        <v>11</v>
      </c>
      <c r="E462" s="6">
        <v>16.5</v>
      </c>
      <c r="F462" s="1">
        <f>LOOKUP(E462,{0,-4,-3,-2,-1,0,1,2.4,3.8,5.2,6.6,8,9.4,10.8,12.2,13.6,15,17.2,19.4,21.5,23.6},{0,10,20,30,40,50,60,62,64,66,68,70,72,74,76,78,80,85,90,95,100})</f>
        <v>80</v>
      </c>
      <c r="H462" s="1"/>
      <c r="I462" s="6">
        <v>20</v>
      </c>
      <c r="J462" s="1">
        <f>LOOKUP(I462,{0,2,3,4,5,6,7,8,9,10,11,12,13,14,15,16},{0,10,20,30,40,50,60,64,68,72,76,80,85,90,95,100})</f>
        <v>100</v>
      </c>
      <c r="K462" s="7">
        <f t="shared" ref="K462:K465" si="215">I462-16</f>
        <v>4</v>
      </c>
      <c r="L462" s="40">
        <f>LOOKUP(K462,{0,1,2,3,4,5,6,7,8,9,10},{0,1,2,3,4,5,6,7,8,9,10})</f>
        <v>4</v>
      </c>
      <c r="M462" s="21">
        <f t="shared" ref="M462:M479" si="216">J462+L462</f>
        <v>104</v>
      </c>
      <c r="O462" s="43"/>
      <c r="P462" s="1"/>
      <c r="S462" s="1"/>
      <c r="T462" s="7"/>
      <c r="U462" s="40"/>
      <c r="V462" s="21"/>
      <c r="W462" s="6" t="s">
        <v>84</v>
      </c>
      <c r="X462" s="21">
        <f t="shared" si="209"/>
        <v>18</v>
      </c>
      <c r="Y462" s="37">
        <v>50</v>
      </c>
    </row>
    <row r="463" s="3" customFormat="1" ht="15.6" hidden="1" outlineLevel="2" spans="1:25">
      <c r="A463" s="6">
        <v>111</v>
      </c>
      <c r="B463" s="6">
        <v>9</v>
      </c>
      <c r="C463" s="29" t="s">
        <v>523</v>
      </c>
      <c r="D463" s="29" t="s">
        <v>11</v>
      </c>
      <c r="E463" s="6">
        <v>3.8</v>
      </c>
      <c r="F463" s="1">
        <f>LOOKUP(E463,{0,-4,-3,-2,-1,0,1,2.4,3.8,5.2,6.6,8,9.4,10.8,12.2,13.6,15,17.2,19.4,21.5,23.6},{0,10,20,30,40,50,60,62,64,66,68,70,72,74,76,78,80,85,90,95,100})</f>
        <v>64</v>
      </c>
      <c r="G463" s="6">
        <v>223</v>
      </c>
      <c r="H463" s="1">
        <f>LOOKUP(G463,{0,170,175,180,185,190,195,199,203,207,211,215,219,223,227,231,235,243,250,255,260},{0,10,20,30,40,50,60,62,64,66,68,70,72,74,76,78,80,85,90,95,100})</f>
        <v>74</v>
      </c>
      <c r="I463" s="6">
        <v>7</v>
      </c>
      <c r="J463" s="1">
        <f>LOOKUP(I463,{0,2,3,4,5,6,7,8,9,10,11,12,13,14,15,16},{0,10,20,30,40,50,60,64,68,72,76,80,85,90,95,100})</f>
        <v>60</v>
      </c>
      <c r="K463" s="7"/>
      <c r="L463" s="7"/>
      <c r="M463" s="21">
        <f t="shared" si="216"/>
        <v>60</v>
      </c>
      <c r="N463" s="6">
        <v>7.7</v>
      </c>
      <c r="O463" s="43">
        <f t="shared" ref="O463:O479" si="217">13-N463</f>
        <v>5.3</v>
      </c>
      <c r="P463" s="1">
        <f>LOOKUP(O463,{0,2.5,2.7,2.9,3.1,3.3,3.5,3.7,3.9,4.1,4.3,4.5,4.7,4.9,5.1,5.3,5.5,5.6,5.7,5.8,5.9},{0,10,20,30,40,50,60,62,64,66,68,70,72,74,76,78,80,85,90,95,100})</f>
        <v>78</v>
      </c>
      <c r="Q463" s="6">
        <v>4.23</v>
      </c>
      <c r="R463" s="6">
        <f t="shared" ref="R463:R479" si="218">10-Q463</f>
        <v>5.77</v>
      </c>
      <c r="S463" s="1">
        <f>LOOKUP(R463,{0,3.75,3.95,4.55,4.75,4.95,5.55,5.6,5.65,5.7,5.75,5.8,5.85,5.9,5.95,6,6.45,6.53,6.6,6.65,6.7},{0,10,20,30,40,50,60,62,64,66,68,70,72,74,76,78,80,85,90,95,100})</f>
        <v>68</v>
      </c>
      <c r="T463" s="7"/>
      <c r="U463" s="7"/>
      <c r="V463" s="21">
        <f t="shared" ref="V463:V479" si="219">S463+U463</f>
        <v>68</v>
      </c>
      <c r="W463" s="6"/>
      <c r="X463" s="21">
        <f t="shared" si="209"/>
        <v>49</v>
      </c>
      <c r="Y463" s="37">
        <f t="shared" ref="Y463:Y479" si="220">X463/0.7+L463+U463</f>
        <v>70</v>
      </c>
    </row>
    <row r="464" ht="15.6" hidden="1" outlineLevel="2" spans="1:25">
      <c r="A464" s="6">
        <v>111</v>
      </c>
      <c r="B464" s="6">
        <v>10</v>
      </c>
      <c r="C464" s="29" t="s">
        <v>524</v>
      </c>
      <c r="D464" s="29" t="s">
        <v>11</v>
      </c>
      <c r="E464" s="6">
        <v>3</v>
      </c>
      <c r="F464" s="1">
        <f>LOOKUP(E464,{0,-4,-3,-2,-1,0,1,2.4,3.8,5.2,6.6,8,9.4,10.8,12.2,13.6,15,17.2,19.4,21.5,23.6},{0,10,20,30,40,50,60,62,64,66,68,70,72,74,76,78,80,85,90,95,100})</f>
        <v>62</v>
      </c>
      <c r="G464" s="6">
        <v>220</v>
      </c>
      <c r="H464" s="1">
        <f>LOOKUP(G464,{0,170,175,180,185,190,195,199,203,207,211,215,219,223,227,231,235,243,250,255,260},{0,10,20,30,40,50,60,62,64,66,68,70,72,74,76,78,80,85,90,95,100})</f>
        <v>72</v>
      </c>
      <c r="I464" s="6">
        <v>21</v>
      </c>
      <c r="J464" s="1">
        <f>LOOKUP(I464,{0,2,3,4,5,6,7,8,9,10,11,12,13,14,15,16},{0,10,20,30,40,50,60,64,68,72,76,80,85,90,95,100})</f>
        <v>100</v>
      </c>
      <c r="K464" s="7">
        <f t="shared" si="215"/>
        <v>5</v>
      </c>
      <c r="L464" s="40">
        <f>LOOKUP(K464,{0,1,2,3,4,5,6,7,8,9,10},{0,1,2,3,4,5,6,7,8,9,10})</f>
        <v>5</v>
      </c>
      <c r="M464" s="21">
        <f t="shared" si="216"/>
        <v>105</v>
      </c>
      <c r="N464" s="6">
        <v>7.6</v>
      </c>
      <c r="O464" s="43">
        <f t="shared" si="217"/>
        <v>5.4</v>
      </c>
      <c r="P464" s="1">
        <f>LOOKUP(O464,{0,2.5,2.7,2.9,3.1,3.3,3.5,3.7,3.9,4.1,4.3,4.5,4.7,4.9,5.1,5.3,5.5,5.6,5.7,5.8,5.9},{0,10,20,30,40,50,60,62,64,66,68,70,72,74,76,78,80,85,90,95,100})</f>
        <v>78</v>
      </c>
      <c r="Q464" s="6">
        <v>3.27</v>
      </c>
      <c r="R464" s="6">
        <f t="shared" si="218"/>
        <v>6.73</v>
      </c>
      <c r="S464" s="1">
        <f>LOOKUP(R464,{0,3.75,3.95,4.55,4.75,4.95,5.55,5.6,5.65,5.7,5.75,5.8,5.85,5.9,5.95,6,6.45,6.53,6.6,6.65,6.7},{0,10,20,30,40,50,60,62,64,66,68,70,72,74,76,78,80,85,90,95,100})</f>
        <v>100</v>
      </c>
      <c r="T464" s="7">
        <f>3.3-Q464</f>
        <v>0.0299999999999998</v>
      </c>
      <c r="U464" s="40">
        <f>LOOKUP(T464,{0,0.04,0.08,0.12,0.16,0.2,0.23,0.26,0.29,0.32,0.35},{0,1,2,3,4,5,6,7,8,9,10})</f>
        <v>0</v>
      </c>
      <c r="V464" s="21">
        <f t="shared" si="219"/>
        <v>100</v>
      </c>
      <c r="X464" s="21">
        <f t="shared" si="209"/>
        <v>59</v>
      </c>
      <c r="Y464" s="37">
        <f t="shared" si="220"/>
        <v>89.2857142857143</v>
      </c>
    </row>
    <row r="465" ht="15.6" hidden="1" outlineLevel="2" spans="1:25">
      <c r="A465" s="6">
        <v>111</v>
      </c>
      <c r="B465" s="6">
        <v>11</v>
      </c>
      <c r="C465" s="29" t="s">
        <v>525</v>
      </c>
      <c r="D465" s="29" t="s">
        <v>11</v>
      </c>
      <c r="E465" s="6">
        <v>12</v>
      </c>
      <c r="F465" s="1">
        <f>LOOKUP(E465,{0,-4,-3,-2,-1,0,1,2.4,3.8,5.2,6.6,8,9.4,10.8,12.2,13.6,15,17.2,19.4,21.5,23.6},{0,10,20,30,40,50,60,62,64,66,68,70,72,74,76,78,80,85,90,95,100})</f>
        <v>74</v>
      </c>
      <c r="G465" s="6">
        <v>245</v>
      </c>
      <c r="H465" s="1">
        <f>LOOKUP(G465,{0,170,175,180,185,190,195,199,203,207,211,215,219,223,227,231,235,243,250,255,260},{0,10,20,30,40,50,60,62,64,66,68,70,72,74,76,78,80,85,90,95,100})</f>
        <v>85</v>
      </c>
      <c r="I465" s="6">
        <v>26</v>
      </c>
      <c r="J465" s="1">
        <f>LOOKUP(I465,{0,2,3,4,5,6,7,8,9,10,11,12,13,14,15,16},{0,10,20,30,40,50,60,64,68,72,76,80,85,90,95,100})</f>
        <v>100</v>
      </c>
      <c r="K465" s="7">
        <f t="shared" si="215"/>
        <v>10</v>
      </c>
      <c r="L465" s="40">
        <f>LOOKUP(K465,{0,1,2,3,4,5,6,7,8,9,10},{0,1,2,3,4,5,6,7,8,9,10})</f>
        <v>10</v>
      </c>
      <c r="M465" s="21">
        <f t="shared" si="216"/>
        <v>110</v>
      </c>
      <c r="N465" s="6">
        <v>7.2</v>
      </c>
      <c r="O465" s="43">
        <f t="shared" si="217"/>
        <v>5.8</v>
      </c>
      <c r="P465" s="1">
        <f>LOOKUP(O465,{0,2.5,2.7,2.9,3.1,3.3,3.5,3.7,3.9,4.1,4.3,4.5,4.7,4.9,5.1,5.3,5.5,5.6,5.7,5.8,5.9},{0,10,20,30,40,50,60,62,64,66,68,70,72,74,76,78,80,85,90,95,100})</f>
        <v>95</v>
      </c>
      <c r="Q465" s="6">
        <v>3.54</v>
      </c>
      <c r="R465" s="6">
        <f t="shared" si="218"/>
        <v>6.46</v>
      </c>
      <c r="S465" s="1">
        <f>LOOKUP(R465,{0,3.75,3.95,4.55,4.75,4.95,5.55,5.6,5.65,5.7,5.75,5.8,5.85,5.9,5.95,6,6.45,6.53,6.6,6.65,6.7},{0,10,20,30,40,50,60,62,64,66,68,70,72,74,76,78,80,85,90,95,100})</f>
        <v>80</v>
      </c>
      <c r="T465" s="7"/>
      <c r="U465" s="7"/>
      <c r="V465" s="21">
        <f t="shared" si="219"/>
        <v>80</v>
      </c>
      <c r="X465" s="21">
        <f t="shared" si="209"/>
        <v>60.9</v>
      </c>
      <c r="Y465" s="37">
        <f t="shared" si="220"/>
        <v>97</v>
      </c>
    </row>
    <row r="466" ht="15.6" hidden="1" outlineLevel="2" spans="1:25">
      <c r="A466" s="6">
        <v>111</v>
      </c>
      <c r="B466" s="6">
        <v>12</v>
      </c>
      <c r="C466" s="29" t="s">
        <v>526</v>
      </c>
      <c r="D466" s="29" t="s">
        <v>11</v>
      </c>
      <c r="E466" s="6">
        <v>21.5</v>
      </c>
      <c r="F466" s="1">
        <f>LOOKUP(E466,{0,-4,-3,-2,-1,0,1,2.4,3.8,5.2,6.6,8,9.4,10.8,12.2,13.6,15,17.2,19.4,21.5,23.6},{0,10,20,30,40,50,60,62,64,66,68,70,72,74,76,78,80,85,90,95,100})</f>
        <v>95</v>
      </c>
      <c r="G466" s="6">
        <v>228</v>
      </c>
      <c r="H466" s="1">
        <f>LOOKUP(G466,{0,170,175,180,185,190,195,199,203,207,211,215,219,223,227,231,235,243,250,255,260},{0,10,20,30,40,50,60,62,64,66,68,70,72,74,76,78,80,85,90,95,100})</f>
        <v>76</v>
      </c>
      <c r="I466" s="6">
        <v>3</v>
      </c>
      <c r="J466" s="1">
        <f>LOOKUP(I466,{0,2,3,4,5,6,7,8,9,10,11,12,13,14,15,16},{0,10,20,30,40,50,60,64,68,72,76,80,85,90,95,100})</f>
        <v>20</v>
      </c>
      <c r="K466" s="7"/>
      <c r="L466" s="7"/>
      <c r="M466" s="21">
        <f t="shared" si="216"/>
        <v>20</v>
      </c>
      <c r="N466" s="6">
        <v>7.1</v>
      </c>
      <c r="O466" s="43">
        <f t="shared" si="217"/>
        <v>5.9</v>
      </c>
      <c r="P466" s="1">
        <f>LOOKUP(O466,{0,2.5,2.7,2.9,3.1,3.3,3.5,3.7,3.9,4.1,4.3,4.5,4.7,4.9,5.1,5.3,5.5,5.6,5.7,5.8,5.9},{0,10,20,30,40,50,60,62,64,66,68,70,72,74,76,78,80,85,90,95,100})</f>
        <v>100</v>
      </c>
      <c r="Q466" s="6">
        <v>4.11</v>
      </c>
      <c r="R466" s="6">
        <f t="shared" si="218"/>
        <v>5.89</v>
      </c>
      <c r="S466" s="1">
        <f>LOOKUP(R466,{0,3.75,3.95,4.55,4.75,4.95,5.55,5.6,5.65,5.7,5.75,5.8,5.85,5.9,5.95,6,6.45,6.53,6.6,6.65,6.7},{0,10,20,30,40,50,60,62,64,66,68,70,72,74,76,78,80,85,90,95,100})</f>
        <v>72</v>
      </c>
      <c r="T466" s="7"/>
      <c r="U466" s="7"/>
      <c r="V466" s="21">
        <f t="shared" si="219"/>
        <v>72</v>
      </c>
      <c r="X466" s="21">
        <f t="shared" si="209"/>
        <v>53.5</v>
      </c>
      <c r="Y466" s="37">
        <f t="shared" si="220"/>
        <v>76.4285714285714</v>
      </c>
    </row>
    <row r="467" ht="15.6" hidden="1" outlineLevel="2" spans="1:25">
      <c r="A467" s="6">
        <v>111</v>
      </c>
      <c r="B467" s="6">
        <v>13</v>
      </c>
      <c r="C467" s="29" t="s">
        <v>527</v>
      </c>
      <c r="D467" s="29" t="s">
        <v>11</v>
      </c>
      <c r="E467" s="6">
        <v>9.2</v>
      </c>
      <c r="F467" s="1">
        <f>LOOKUP(E467,{0,-4,-3,-2,-1,0,1,2.4,3.8,5.2,6.6,8,9.4,10.8,12.2,13.6,15,17.2,19.4,21.5,23.6},{0,10,20,30,40,50,60,62,64,66,68,70,72,74,76,78,80,85,90,95,100})</f>
        <v>70</v>
      </c>
      <c r="G467" s="6">
        <v>218</v>
      </c>
      <c r="H467" s="1">
        <f>LOOKUP(G467,{0,170,175,180,185,190,195,199,203,207,211,215,219,223,227,231,235,243,250,255,260},{0,10,20,30,40,50,60,62,64,66,68,70,72,74,76,78,80,85,90,95,100})</f>
        <v>70</v>
      </c>
      <c r="I467" s="6">
        <v>13</v>
      </c>
      <c r="J467" s="1">
        <f>LOOKUP(I467,{0,2,3,4,5,6,7,8,9,10,11,12,13,14,15,16},{0,10,20,30,40,50,60,64,68,72,76,80,85,90,95,100})</f>
        <v>85</v>
      </c>
      <c r="K467" s="7"/>
      <c r="L467" s="7"/>
      <c r="M467" s="21">
        <f t="shared" si="216"/>
        <v>85</v>
      </c>
      <c r="N467" s="6">
        <v>7.8</v>
      </c>
      <c r="O467" s="43">
        <f t="shared" si="217"/>
        <v>5.2</v>
      </c>
      <c r="P467" s="1">
        <f>LOOKUP(O467,{0,2.5,2.7,2.9,3.1,3.3,3.5,3.7,3.9,4.1,4.3,4.5,4.7,4.9,5.1,5.3,5.5,5.6,5.7,5.8,5.9},{0,10,20,30,40,50,60,62,64,66,68,70,72,74,76,78,80,85,90,95,100})</f>
        <v>76</v>
      </c>
      <c r="Q467" s="6">
        <v>3.52</v>
      </c>
      <c r="R467" s="6">
        <f t="shared" si="218"/>
        <v>6.48</v>
      </c>
      <c r="S467" s="1">
        <f>LOOKUP(R467,{0,3.75,3.95,4.55,4.75,4.95,5.55,5.6,5.65,5.7,5.75,5.8,5.85,5.9,5.95,6,6.45,6.53,6.6,6.65,6.7},{0,10,20,30,40,50,60,62,64,66,68,70,72,74,76,78,80,85,90,95,100})</f>
        <v>80</v>
      </c>
      <c r="T467" s="7"/>
      <c r="U467" s="7"/>
      <c r="V467" s="21">
        <f t="shared" si="219"/>
        <v>80</v>
      </c>
      <c r="X467" s="21">
        <f t="shared" si="209"/>
        <v>53.7</v>
      </c>
      <c r="Y467" s="37">
        <f t="shared" si="220"/>
        <v>76.7142857142857</v>
      </c>
    </row>
    <row r="468" ht="15.6" hidden="1" outlineLevel="2" spans="1:25">
      <c r="A468" s="6">
        <v>111</v>
      </c>
      <c r="B468" s="6">
        <v>14</v>
      </c>
      <c r="C468" s="39" t="s">
        <v>529</v>
      </c>
      <c r="D468" s="29" t="s">
        <v>11</v>
      </c>
      <c r="E468" s="6">
        <v>11.3</v>
      </c>
      <c r="F468" s="1">
        <f>LOOKUP(E468,{0,-4,-3,-2,-1,0,1,2.4,3.8,5.2,6.6,8,9.4,10.8,12.2,13.6,15,17.2,19.4,21.5,23.6},{0,10,20,30,40,50,60,62,64,66,68,70,72,74,76,78,80,85,90,95,100})</f>
        <v>74</v>
      </c>
      <c r="G468" s="6">
        <v>262</v>
      </c>
      <c r="H468" s="1">
        <f>LOOKUP(G468,{0,170,175,180,185,190,195,199,203,207,211,215,219,223,227,231,235,243,250,255,260},{0,10,20,30,40,50,60,62,64,66,68,70,72,74,76,78,80,85,90,95,100})</f>
        <v>100</v>
      </c>
      <c r="I468" s="6">
        <v>20</v>
      </c>
      <c r="J468" s="1">
        <f>LOOKUP(I468,{0,2,3,4,5,6,7,8,9,10,11,12,13,14,15,16},{0,10,20,30,40,50,60,64,68,72,76,80,85,90,95,100})</f>
        <v>100</v>
      </c>
      <c r="K468" s="7">
        <f>I468-16</f>
        <v>4</v>
      </c>
      <c r="L468" s="40">
        <f>LOOKUP(K468,{0,1,2,3,4,5,6,7,8,9,10},{0,1,2,3,4,5,6,7,8,9,10})</f>
        <v>4</v>
      </c>
      <c r="M468" s="21">
        <f t="shared" si="216"/>
        <v>104</v>
      </c>
      <c r="N468" s="6">
        <v>6.5</v>
      </c>
      <c r="O468" s="43">
        <f t="shared" si="217"/>
        <v>6.5</v>
      </c>
      <c r="P468" s="1">
        <f>LOOKUP(O468,{0,2.5,2.7,2.9,3.1,3.3,3.5,3.7,3.9,4.1,4.3,4.5,4.7,4.9,5.1,5.3,5.5,5.6,5.7,5.8,5.9},{0,10,20,30,40,50,60,62,64,66,68,70,72,74,76,78,80,85,90,95,100})</f>
        <v>100</v>
      </c>
      <c r="Q468" s="6">
        <v>3.17</v>
      </c>
      <c r="R468" s="6">
        <f t="shared" si="218"/>
        <v>6.83</v>
      </c>
      <c r="S468" s="1">
        <f>LOOKUP(R468,{0,3.75,3.95,4.55,4.75,4.95,5.55,5.6,5.65,5.7,5.75,5.8,5.85,5.9,5.95,6,6.45,6.53,6.6,6.65,6.7},{0,10,20,30,40,50,60,62,64,66,68,70,72,74,76,78,80,85,90,95,100})</f>
        <v>100</v>
      </c>
      <c r="T468" s="7">
        <f t="shared" ref="T468:T473" si="221">3.3-Q468</f>
        <v>0.13</v>
      </c>
      <c r="U468" s="40">
        <f>LOOKUP(T468,{0,0.04,0.08,0.12,0.16,0.2,0.23,0.26,0.29,0.32,0.35},{0,1,2,3,4,5,6,7,8,9,10})</f>
        <v>3</v>
      </c>
      <c r="V468" s="21">
        <f t="shared" si="219"/>
        <v>103</v>
      </c>
      <c r="X468" s="21">
        <f t="shared" si="209"/>
        <v>67.4</v>
      </c>
      <c r="Y468" s="37">
        <f t="shared" si="220"/>
        <v>103.285714285714</v>
      </c>
    </row>
    <row r="469" ht="15.6" hidden="1" outlineLevel="2" spans="1:25">
      <c r="A469" s="6">
        <v>111</v>
      </c>
      <c r="B469" s="6">
        <v>15</v>
      </c>
      <c r="C469" s="29" t="s">
        <v>530</v>
      </c>
      <c r="D469" s="29" t="s">
        <v>11</v>
      </c>
      <c r="E469" s="6">
        <v>1</v>
      </c>
      <c r="F469" s="1">
        <f>LOOKUP(E469,{0,-4,-3,-2,-1,0,1,2.4,3.8,5.2,6.6,8,9.4,10.8,12.2,13.6,15,17.2,19.4,21.5,23.6},{0,10,20,30,40,50,60,62,64,66,68,70,72,74,76,78,80,85,90,95,100})</f>
        <v>60</v>
      </c>
      <c r="G469" s="6">
        <v>210</v>
      </c>
      <c r="H469" s="1">
        <f>LOOKUP(G469,{0,170,175,180,185,190,195,199,203,207,211,215,219,223,227,231,235,243,250,255,260},{0,10,20,30,40,50,60,62,64,66,68,70,72,74,76,78,80,85,90,95,100})</f>
        <v>66</v>
      </c>
      <c r="I469" s="6">
        <v>0</v>
      </c>
      <c r="J469" s="1">
        <f>LOOKUP(I469,{0,2,3,4,5,6,7,8,9,10,11,12,13,14,15,16},{0,10,20,30,40,50,60,64,68,72,76,80,85,90,95,100})</f>
        <v>0</v>
      </c>
      <c r="K469" s="7"/>
      <c r="L469" s="7"/>
      <c r="M469" s="21">
        <f t="shared" si="216"/>
        <v>0</v>
      </c>
      <c r="N469" s="6">
        <v>7.3</v>
      </c>
      <c r="O469" s="43">
        <f t="shared" si="217"/>
        <v>5.7</v>
      </c>
      <c r="P469" s="1">
        <f>LOOKUP(O469,{0,2.5,2.7,2.9,3.1,3.3,3.5,3.7,3.9,4.1,4.3,4.5,4.7,4.9,5.1,5.3,5.5,5.6,5.7,5.8,5.9},{0,10,20,30,40,50,60,62,64,66,68,70,72,74,76,78,80,85,90,95,100})</f>
        <v>90</v>
      </c>
      <c r="Q469" s="6">
        <v>3.55</v>
      </c>
      <c r="R469" s="6">
        <f t="shared" si="218"/>
        <v>6.45</v>
      </c>
      <c r="S469" s="1">
        <f>LOOKUP(R469,{0,3.75,3.95,4.55,4.75,4.95,5.55,5.6,5.65,5.7,5.75,5.8,5.85,5.9,5.95,6,6.45,6.53,6.6,6.65,6.7},{0,10,20,30,40,50,60,62,64,66,68,70,72,74,76,78,80,85,90,95,100})</f>
        <v>80</v>
      </c>
      <c r="T469" s="7"/>
      <c r="U469" s="7"/>
      <c r="V469" s="21">
        <f t="shared" si="219"/>
        <v>80</v>
      </c>
      <c r="X469" s="21">
        <f t="shared" si="209"/>
        <v>46.6</v>
      </c>
      <c r="Y469" s="37">
        <f t="shared" si="220"/>
        <v>66.5714285714286</v>
      </c>
    </row>
    <row r="470" ht="15.6" hidden="1" outlineLevel="2" spans="1:25">
      <c r="A470" s="6">
        <v>111</v>
      </c>
      <c r="B470" s="6">
        <v>16</v>
      </c>
      <c r="C470" s="29" t="s">
        <v>531</v>
      </c>
      <c r="D470" s="29" t="s">
        <v>11</v>
      </c>
      <c r="E470" s="6">
        <v>0.2</v>
      </c>
      <c r="F470" s="1">
        <f>LOOKUP(E470,{0,-4,-3,-2,-1,0,1,2.4,3.8,5.2,6.6,8,9.4,10.8,12.2,13.6,15,17.2,19.4,21.5,23.6},{0,10,20,30,40,50,60,62,64,66,68,70,72,74,76,78,80,85,90,95,100})</f>
        <v>50</v>
      </c>
      <c r="G470" s="6">
        <v>255</v>
      </c>
      <c r="H470" s="1">
        <f>LOOKUP(G470,{0,170,175,180,185,190,195,199,203,207,211,215,219,223,227,231,235,243,250,255,260},{0,10,20,30,40,50,60,62,64,66,68,70,72,74,76,78,80,85,90,95,100})</f>
        <v>95</v>
      </c>
      <c r="I470" s="6">
        <v>1</v>
      </c>
      <c r="J470" s="1">
        <f>LOOKUP(I470,{0,2,3,4,5,6,7,8,9,10,11,12,13,14,15,16},{0,10,20,30,40,50,60,64,68,72,76,80,85,90,95,100})</f>
        <v>0</v>
      </c>
      <c r="K470" s="7"/>
      <c r="L470" s="7"/>
      <c r="M470" s="21">
        <f t="shared" si="216"/>
        <v>0</v>
      </c>
      <c r="N470" s="6">
        <v>6.9</v>
      </c>
      <c r="O470" s="43">
        <f t="shared" si="217"/>
        <v>6.1</v>
      </c>
      <c r="P470" s="1">
        <f>LOOKUP(O470,{0,2.5,2.7,2.9,3.1,3.3,3.5,3.7,3.9,4.1,4.3,4.5,4.7,4.9,5.1,5.3,5.5,5.6,5.7,5.8,5.9},{0,10,20,30,40,50,60,62,64,66,68,70,72,74,76,78,80,85,90,95,100})</f>
        <v>100</v>
      </c>
      <c r="Q470" s="6">
        <v>3.4</v>
      </c>
      <c r="R470" s="6">
        <f t="shared" si="218"/>
        <v>6.6</v>
      </c>
      <c r="S470" s="1">
        <f>LOOKUP(R470,{0,3.75,3.95,4.55,4.75,4.95,5.55,5.6,5.65,5.7,5.75,5.8,5.85,5.9,5.95,6,6.45,6.53,6.6,6.65,6.7},{0,10,20,30,40,50,60,62,64,66,68,70,72,74,76,78,80,85,90,95,100})</f>
        <v>90</v>
      </c>
      <c r="T470" s="7"/>
      <c r="U470" s="7"/>
      <c r="V470" s="21">
        <f t="shared" si="219"/>
        <v>90</v>
      </c>
      <c r="X470" s="21">
        <f t="shared" si="209"/>
        <v>52.5</v>
      </c>
      <c r="Y470" s="37">
        <f t="shared" si="220"/>
        <v>75</v>
      </c>
    </row>
    <row r="471" ht="15.6" hidden="1" outlineLevel="2" spans="1:25">
      <c r="A471" s="6">
        <v>111</v>
      </c>
      <c r="B471" s="6">
        <v>17</v>
      </c>
      <c r="C471" s="29" t="s">
        <v>532</v>
      </c>
      <c r="D471" s="29" t="s">
        <v>11</v>
      </c>
      <c r="E471" s="6">
        <v>2.2</v>
      </c>
      <c r="F471" s="1">
        <f>LOOKUP(E471,{0,-4,-3,-2,-1,0,1,2.4,3.8,5.2,6.6,8,9.4,10.8,12.2,13.6,15,17.2,19.4,21.5,23.6},{0,10,20,30,40,50,60,62,64,66,68,70,72,74,76,78,80,85,90,95,100})</f>
        <v>60</v>
      </c>
      <c r="G471" s="6">
        <v>210</v>
      </c>
      <c r="H471" s="1">
        <f>LOOKUP(G471,{0,170,175,180,185,190,195,199,203,207,211,215,219,223,227,231,235,243,250,255,260},{0,10,20,30,40,50,60,62,64,66,68,70,72,74,76,78,80,85,90,95,100})</f>
        <v>66</v>
      </c>
      <c r="I471" s="6">
        <v>6</v>
      </c>
      <c r="J471" s="1">
        <f>LOOKUP(I471,{0,2,3,4,5,6,7,8,9,10,11,12,13,14,15,16},{0,10,20,30,40,50,60,64,68,72,76,80,85,90,95,100})</f>
        <v>50</v>
      </c>
      <c r="K471" s="7"/>
      <c r="L471" s="7"/>
      <c r="M471" s="21">
        <f t="shared" si="216"/>
        <v>50</v>
      </c>
      <c r="N471" s="6">
        <v>7.3</v>
      </c>
      <c r="O471" s="43">
        <f t="shared" si="217"/>
        <v>5.7</v>
      </c>
      <c r="P471" s="1">
        <f>LOOKUP(O471,{0,2.5,2.7,2.9,3.1,3.3,3.5,3.7,3.9,4.1,4.3,4.5,4.7,4.9,5.1,5.3,5.5,5.6,5.7,5.8,5.9},{0,10,20,30,40,50,60,62,64,66,68,70,72,74,76,78,80,85,90,95,100})</f>
        <v>90</v>
      </c>
      <c r="Q471" s="6">
        <v>3.29</v>
      </c>
      <c r="R471" s="6">
        <f t="shared" si="218"/>
        <v>6.71</v>
      </c>
      <c r="S471" s="1">
        <f>LOOKUP(R471,{0,3.75,3.95,4.55,4.75,4.95,5.55,5.6,5.65,5.7,5.75,5.8,5.85,5.9,5.95,6,6.45,6.53,6.6,6.65,6.7},{0,10,20,30,40,50,60,62,64,66,68,70,72,74,76,78,80,85,90,95,100})</f>
        <v>100</v>
      </c>
      <c r="T471" s="7">
        <f t="shared" si="221"/>
        <v>0.00999999999999979</v>
      </c>
      <c r="U471" s="40">
        <f>LOOKUP(T471,{0,0.04,0.08,0.12,0.16,0.2,0.23,0.26,0.29,0.32,0.35},{0,1,2,3,4,5,6,7,8,9,10})</f>
        <v>0</v>
      </c>
      <c r="V471" s="21">
        <f t="shared" si="219"/>
        <v>100</v>
      </c>
      <c r="X471" s="21">
        <f t="shared" si="209"/>
        <v>55.6</v>
      </c>
      <c r="Y471" s="37">
        <f t="shared" si="220"/>
        <v>79.4285714285714</v>
      </c>
    </row>
    <row r="472" ht="15.6" hidden="1" outlineLevel="2" spans="1:25">
      <c r="A472" s="6">
        <v>111</v>
      </c>
      <c r="B472" s="6">
        <v>18</v>
      </c>
      <c r="C472" s="29" t="s">
        <v>533</v>
      </c>
      <c r="D472" s="29" t="s">
        <v>11</v>
      </c>
      <c r="E472" s="6">
        <v>13.7</v>
      </c>
      <c r="F472" s="1">
        <f>LOOKUP(E472,{0,-4,-3,-2,-1,0,1,2.4,3.8,5.2,6.6,8,9.4,10.8,12.2,13.6,15,17.2,19.4,21.5,23.6},{0,10,20,30,40,50,60,62,64,66,68,70,72,74,76,78,80,85,90,95,100})</f>
        <v>78</v>
      </c>
      <c r="G472" s="6">
        <v>150</v>
      </c>
      <c r="H472" s="1">
        <f>LOOKUP(G472,{0,170,175,180,185,190,195,199,203,207,211,215,219,223,227,231,235,243,250,255,260},{0,10,20,30,40,50,60,62,64,66,68,70,72,74,76,78,80,85,90,95,100})</f>
        <v>0</v>
      </c>
      <c r="I472" s="6">
        <v>0</v>
      </c>
      <c r="J472" s="1">
        <f>LOOKUP(I472,{0,2,3,4,5,6,7,8,9,10,11,12,13,14,15,16},{0,10,20,30,40,50,60,64,68,72,76,80,85,90,95,100})</f>
        <v>0</v>
      </c>
      <c r="K472" s="7"/>
      <c r="L472" s="7"/>
      <c r="M472" s="21">
        <f t="shared" si="216"/>
        <v>0</v>
      </c>
      <c r="N472" s="6">
        <v>7.7</v>
      </c>
      <c r="O472" s="43">
        <f t="shared" si="217"/>
        <v>5.3</v>
      </c>
      <c r="P472" s="1">
        <f>LOOKUP(O472,{0,2.5,2.7,2.9,3.1,3.3,3.5,3.7,3.9,4.1,4.3,4.5,4.7,4.9,5.1,5.3,5.5,5.6,5.7,5.8,5.9},{0,10,20,30,40,50,60,62,64,66,68,70,72,74,76,78,80,85,90,95,100})</f>
        <v>78</v>
      </c>
      <c r="Q472" s="6">
        <v>3.5</v>
      </c>
      <c r="R472" s="6">
        <f t="shared" si="218"/>
        <v>6.5</v>
      </c>
      <c r="S472" s="1">
        <f>LOOKUP(R472,{0,3.75,3.95,4.55,4.75,4.95,5.55,5.6,5.65,5.7,5.75,5.8,5.85,5.9,5.95,6,6.45,6.53,6.6,6.65,6.7},{0,10,20,30,40,50,60,62,64,66,68,70,72,74,76,78,80,85,90,95,100})</f>
        <v>80</v>
      </c>
      <c r="T472" s="7"/>
      <c r="U472" s="7"/>
      <c r="V472" s="21">
        <f t="shared" si="219"/>
        <v>80</v>
      </c>
      <c r="X472" s="21">
        <f t="shared" si="209"/>
        <v>39.4</v>
      </c>
      <c r="Y472" s="37">
        <f t="shared" si="220"/>
        <v>56.2857142857143</v>
      </c>
    </row>
    <row r="473" ht="15.6" hidden="1" outlineLevel="2" spans="1:25">
      <c r="A473" s="6">
        <v>111</v>
      </c>
      <c r="B473" s="6">
        <v>19</v>
      </c>
      <c r="C473" s="29" t="s">
        <v>534</v>
      </c>
      <c r="D473" s="29" t="s">
        <v>11</v>
      </c>
      <c r="E473" s="6">
        <v>26</v>
      </c>
      <c r="F473" s="1">
        <f>LOOKUP(E473,{0,-4,-3,-2,-1,0,1,2.4,3.8,5.2,6.6,8,9.4,10.8,12.2,13.6,15,17.2,19.4,21.5,23.6},{0,10,20,30,40,50,60,62,64,66,68,70,72,74,76,78,80,85,90,95,100})</f>
        <v>100</v>
      </c>
      <c r="G473" s="6">
        <v>216</v>
      </c>
      <c r="H473" s="1">
        <f>LOOKUP(G473,{0,170,175,180,185,190,195,199,203,207,211,215,219,223,227,231,235,243,250,255,260},{0,10,20,30,40,50,60,62,64,66,68,70,72,74,76,78,80,85,90,95,100})</f>
        <v>70</v>
      </c>
      <c r="I473" s="6">
        <v>14</v>
      </c>
      <c r="J473" s="1">
        <f>LOOKUP(I473,{0,2,3,4,5,6,7,8,9,10,11,12,13,14,15,16},{0,10,20,30,40,50,60,64,68,72,76,80,85,90,95,100})</f>
        <v>90</v>
      </c>
      <c r="K473" s="7"/>
      <c r="L473" s="7"/>
      <c r="M473" s="21">
        <f t="shared" si="216"/>
        <v>90</v>
      </c>
      <c r="N473" s="6">
        <v>6.5</v>
      </c>
      <c r="O473" s="43">
        <f t="shared" si="217"/>
        <v>6.5</v>
      </c>
      <c r="P473" s="1">
        <f>LOOKUP(O473,{0,2.5,2.7,2.9,3.1,3.3,3.5,3.7,3.9,4.1,4.3,4.5,4.7,4.9,5.1,5.3,5.5,5.6,5.7,5.8,5.9},{0,10,20,30,40,50,60,62,64,66,68,70,72,74,76,78,80,85,90,95,100})</f>
        <v>100</v>
      </c>
      <c r="Q473" s="6">
        <v>3.27</v>
      </c>
      <c r="R473" s="6">
        <f t="shared" si="218"/>
        <v>6.73</v>
      </c>
      <c r="S473" s="1">
        <f>LOOKUP(R473,{0,3.75,3.95,4.55,4.75,4.95,5.55,5.6,5.65,5.7,5.75,5.8,5.85,5.9,5.95,6,6.45,6.53,6.6,6.65,6.7},{0,10,20,30,40,50,60,62,64,66,68,70,72,74,76,78,80,85,90,95,100})</f>
        <v>100</v>
      </c>
      <c r="T473" s="7">
        <f t="shared" si="221"/>
        <v>0.0299999999999998</v>
      </c>
      <c r="U473" s="40">
        <f>LOOKUP(T473,{0,0.04,0.08,0.12,0.16,0.2,0.23,0.26,0.29,0.32,0.35},{0,1,2,3,4,5,6,7,8,9,10})</f>
        <v>0</v>
      </c>
      <c r="V473" s="21">
        <f t="shared" si="219"/>
        <v>100</v>
      </c>
      <c r="X473" s="21">
        <f t="shared" si="209"/>
        <v>66</v>
      </c>
      <c r="Y473" s="37">
        <f t="shared" si="220"/>
        <v>94.2857142857143</v>
      </c>
    </row>
    <row r="474" s="35" customFormat="1" ht="15.6" hidden="1" outlineLevel="2" spans="1:25">
      <c r="A474" s="6">
        <v>111</v>
      </c>
      <c r="B474" s="6">
        <v>20</v>
      </c>
      <c r="C474" s="29" t="s">
        <v>535</v>
      </c>
      <c r="D474" s="29" t="s">
        <v>11</v>
      </c>
      <c r="E474" s="6">
        <v>10.2</v>
      </c>
      <c r="F474" s="1">
        <f>LOOKUP(E474,{0,-4,-3,-2,-1,0,1,2.4,3.8,5.2,6.6,8,9.4,10.8,12.2,13.6,15,17.2,19.4,21.5,23.6},{0,10,20,30,40,50,60,62,64,66,68,70,72,74,76,78,80,85,90,95,100})</f>
        <v>72</v>
      </c>
      <c r="G474" s="6">
        <v>236</v>
      </c>
      <c r="H474" s="1">
        <f>LOOKUP(G474,{0,170,175,180,185,190,195,199,203,207,211,215,219,223,227,231,235,243,250,255,260},{0,10,20,30,40,50,60,62,64,66,68,70,72,74,76,78,80,85,90,95,100})</f>
        <v>80</v>
      </c>
      <c r="I474" s="6">
        <v>2</v>
      </c>
      <c r="J474" s="1">
        <f>LOOKUP(I474,{0,2,3,4,5,6,7,8,9,10,11,12,13,14,15,16},{0,10,20,30,40,50,60,64,68,72,76,80,85,90,95,100})</f>
        <v>10</v>
      </c>
      <c r="K474" s="7"/>
      <c r="L474" s="7"/>
      <c r="M474" s="21">
        <f t="shared" si="216"/>
        <v>10</v>
      </c>
      <c r="N474" s="6">
        <v>7.6</v>
      </c>
      <c r="O474" s="43">
        <f t="shared" si="217"/>
        <v>5.4</v>
      </c>
      <c r="P474" s="1">
        <f>LOOKUP(O474,{0,2.5,2.7,2.9,3.1,3.3,3.5,3.7,3.9,4.1,4.3,4.5,4.7,4.9,5.1,5.3,5.5,5.6,5.7,5.8,5.9},{0,10,20,30,40,50,60,62,64,66,68,70,72,74,76,78,80,85,90,95,100})</f>
        <v>78</v>
      </c>
      <c r="Q474" s="6">
        <v>4.3</v>
      </c>
      <c r="R474" s="6">
        <f t="shared" si="218"/>
        <v>5.7</v>
      </c>
      <c r="S474" s="1">
        <f>LOOKUP(R474,{0,3.75,3.95,4.55,4.75,4.95,5.55,5.6,5.65,5.7,5.75,5.8,5.85,5.9,5.95,6,6.45,6.53,6.6,6.65,6.7},{0,10,20,30,40,50,60,62,64,66,68,70,72,74,76,78,80,85,90,95,100})</f>
        <v>66</v>
      </c>
      <c r="T474" s="7"/>
      <c r="U474" s="7"/>
      <c r="V474" s="21">
        <f t="shared" si="219"/>
        <v>66</v>
      </c>
      <c r="W474" s="6"/>
      <c r="X474" s="21">
        <f t="shared" si="209"/>
        <v>45</v>
      </c>
      <c r="Y474" s="37">
        <f t="shared" si="220"/>
        <v>64.2857142857143</v>
      </c>
    </row>
    <row r="475" s="3" customFormat="1" ht="15.6" hidden="1" outlineLevel="2" spans="1:25">
      <c r="A475" s="6">
        <v>111</v>
      </c>
      <c r="B475" s="6">
        <v>21</v>
      </c>
      <c r="C475" s="29" t="s">
        <v>536</v>
      </c>
      <c r="D475" s="29" t="s">
        <v>11</v>
      </c>
      <c r="E475" s="6">
        <v>2.1</v>
      </c>
      <c r="F475" s="1">
        <f>LOOKUP(E475,{0,-4,-3,-2,-1,0,1,2.4,3.8,5.2,6.6,8,9.4,10.8,12.2,13.6,15,17.2,19.4,21.5,23.6},{0,10,20,30,40,50,60,62,64,66,68,70,72,74,76,78,80,85,90,95,100})</f>
        <v>60</v>
      </c>
      <c r="G475" s="6">
        <v>253</v>
      </c>
      <c r="H475" s="1">
        <f>LOOKUP(G475,{0,170,175,180,185,190,195,199,203,207,211,215,219,223,227,231,235,243,250,255,260},{0,10,20,30,40,50,60,62,64,66,68,70,72,74,76,78,80,85,90,95,100})</f>
        <v>90</v>
      </c>
      <c r="I475" s="6">
        <v>15</v>
      </c>
      <c r="J475" s="1">
        <f>LOOKUP(I475,{0,2,3,4,5,6,7,8,9,10,11,12,13,14,15,16},{0,10,20,30,40,50,60,64,68,72,76,80,85,90,95,100})</f>
        <v>95</v>
      </c>
      <c r="K475" s="7"/>
      <c r="L475" s="7"/>
      <c r="M475" s="21">
        <f t="shared" si="216"/>
        <v>95</v>
      </c>
      <c r="N475" s="6">
        <v>7</v>
      </c>
      <c r="O475" s="43">
        <f t="shared" si="217"/>
        <v>6</v>
      </c>
      <c r="P475" s="1">
        <f>LOOKUP(O475,{0,2.5,2.7,2.9,3.1,3.3,3.5,3.7,3.9,4.1,4.3,4.5,4.7,4.9,5.1,5.3,5.5,5.6,5.7,5.8,5.9},{0,10,20,30,40,50,60,62,64,66,68,70,72,74,76,78,80,85,90,95,100})</f>
        <v>100</v>
      </c>
      <c r="Q475" s="6">
        <v>4.06</v>
      </c>
      <c r="R475" s="6">
        <f t="shared" si="218"/>
        <v>5.94</v>
      </c>
      <c r="S475" s="1">
        <f>LOOKUP(R475,{0,3.75,3.95,4.55,4.75,4.95,5.55,5.6,5.65,5.7,5.75,5.8,5.85,5.9,5.95,6,6.45,6.53,6.6,6.65,6.7},{0,10,20,30,40,50,60,62,64,66,68,70,72,74,76,78,80,85,90,95,100})</f>
        <v>74</v>
      </c>
      <c r="T475" s="7"/>
      <c r="U475" s="7"/>
      <c r="V475" s="21">
        <f t="shared" si="219"/>
        <v>74</v>
      </c>
      <c r="W475" s="6"/>
      <c r="X475" s="21">
        <f t="shared" si="209"/>
        <v>59.3</v>
      </c>
      <c r="Y475" s="37">
        <f t="shared" si="220"/>
        <v>84.7142857142857</v>
      </c>
    </row>
    <row r="476" ht="15.6" hidden="1" outlineLevel="2" spans="1:25">
      <c r="A476" s="6">
        <v>111</v>
      </c>
      <c r="B476" s="6">
        <v>22</v>
      </c>
      <c r="C476" s="29" t="s">
        <v>537</v>
      </c>
      <c r="D476" s="29" t="s">
        <v>11</v>
      </c>
      <c r="E476" s="6">
        <v>6.3</v>
      </c>
      <c r="F476" s="1">
        <f>LOOKUP(E476,{0,-4,-3,-2,-1,0,1,2.4,3.8,5.2,6.6,8,9.4,10.8,12.2,13.6,15,17.2,19.4,21.5,23.6},{0,10,20,30,40,50,60,62,64,66,68,70,72,74,76,78,80,85,90,95,100})</f>
        <v>66</v>
      </c>
      <c r="G476" s="6">
        <v>255</v>
      </c>
      <c r="H476" s="1">
        <f>LOOKUP(G476,{0,170,175,180,185,190,195,199,203,207,211,215,219,223,227,231,235,243,250,255,260},{0,10,20,30,40,50,60,62,64,66,68,70,72,74,76,78,80,85,90,95,100})</f>
        <v>95</v>
      </c>
      <c r="I476" s="6">
        <v>16</v>
      </c>
      <c r="J476" s="1">
        <f>LOOKUP(I476,{0,2,3,4,5,6,7,8,9,10,11,12,13,14,15,16},{0,10,20,30,40,50,60,64,68,72,76,80,85,90,95,100})</f>
        <v>100</v>
      </c>
      <c r="K476" s="7">
        <f t="shared" ref="K476:K479" si="222">I476-16</f>
        <v>0</v>
      </c>
      <c r="L476" s="40">
        <f>LOOKUP(K476,{0,1,2,3,4,5,6,7,8,9,10},{0,1,2,3,4,5,6,7,8,9,10})</f>
        <v>0</v>
      </c>
      <c r="M476" s="21">
        <f t="shared" si="216"/>
        <v>100</v>
      </c>
      <c r="N476" s="6">
        <v>7.3</v>
      </c>
      <c r="O476" s="43">
        <f t="shared" si="217"/>
        <v>5.7</v>
      </c>
      <c r="P476" s="1">
        <f>LOOKUP(O476,{0,2.5,2.7,2.9,3.1,3.3,3.5,3.7,3.9,4.1,4.3,4.5,4.7,4.9,5.1,5.3,5.5,5.6,5.7,5.8,5.9},{0,10,20,30,40,50,60,62,64,66,68,70,72,74,76,78,80,85,90,95,100})</f>
        <v>90</v>
      </c>
      <c r="Q476" s="6">
        <v>3.52</v>
      </c>
      <c r="R476" s="6">
        <f t="shared" si="218"/>
        <v>6.48</v>
      </c>
      <c r="S476" s="1">
        <f>LOOKUP(R476,{0,3.75,3.95,4.55,4.75,4.95,5.55,5.6,5.65,5.7,5.75,5.8,5.85,5.9,5.95,6,6.45,6.53,6.6,6.65,6.7},{0,10,20,30,40,50,60,62,64,66,68,70,72,74,76,78,80,85,90,95,100})</f>
        <v>80</v>
      </c>
      <c r="T476" s="7"/>
      <c r="U476" s="7"/>
      <c r="V476" s="21">
        <f t="shared" si="219"/>
        <v>80</v>
      </c>
      <c r="X476" s="21">
        <f t="shared" si="209"/>
        <v>60.1</v>
      </c>
      <c r="Y476" s="37">
        <f t="shared" si="220"/>
        <v>85.8571428571429</v>
      </c>
    </row>
    <row r="477" ht="15.6" hidden="1" outlineLevel="2" spans="1:25">
      <c r="A477" s="6">
        <v>111</v>
      </c>
      <c r="B477" s="6">
        <v>23</v>
      </c>
      <c r="C477" s="29" t="s">
        <v>538</v>
      </c>
      <c r="D477" s="29" t="s">
        <v>11</v>
      </c>
      <c r="E477" s="6">
        <v>21</v>
      </c>
      <c r="F477" s="1">
        <f>LOOKUP(E477,{0,-4,-3,-2,-1,0,1,2.4,3.8,5.2,6.6,8,9.4,10.8,12.2,13.6,15,17.2,19.4,21.5,23.6},{0,10,20,30,40,50,60,62,64,66,68,70,72,74,76,78,80,85,90,95,100})</f>
        <v>90</v>
      </c>
      <c r="G477" s="6">
        <v>282</v>
      </c>
      <c r="H477" s="1">
        <f>LOOKUP(G477,{0,170,175,180,185,190,195,199,203,207,211,215,219,223,227,231,235,243,250,255,260},{0,10,20,30,40,50,60,62,64,66,68,70,72,74,76,78,80,85,90,95,100})</f>
        <v>100</v>
      </c>
      <c r="I477" s="6">
        <v>26</v>
      </c>
      <c r="J477" s="1">
        <f>LOOKUP(I477,{0,2,3,4,5,6,7,8,9,10,11,12,13,14,15,16},{0,10,20,30,40,50,60,64,68,72,76,80,85,90,95,100})</f>
        <v>100</v>
      </c>
      <c r="K477" s="7">
        <f t="shared" si="222"/>
        <v>10</v>
      </c>
      <c r="L477" s="40">
        <f>LOOKUP(K477,{0,1,2,3,4,5,6,7,8,9,10},{0,1,2,3,4,5,6,7,8,9,10})</f>
        <v>10</v>
      </c>
      <c r="M477" s="21">
        <f t="shared" si="216"/>
        <v>110</v>
      </c>
      <c r="N477" s="6">
        <v>6.6</v>
      </c>
      <c r="O477" s="43">
        <f t="shared" si="217"/>
        <v>6.4</v>
      </c>
      <c r="P477" s="1">
        <f>LOOKUP(O477,{0,2.5,2.7,2.9,3.1,3.3,3.5,3.7,3.9,4.1,4.3,4.5,4.7,4.9,5.1,5.3,5.5,5.6,5.7,5.8,5.9},{0,10,20,30,40,50,60,62,64,66,68,70,72,74,76,78,80,85,90,95,100})</f>
        <v>100</v>
      </c>
      <c r="Q477" s="6">
        <v>3.23</v>
      </c>
      <c r="R477" s="6">
        <f t="shared" si="218"/>
        <v>6.77</v>
      </c>
      <c r="S477" s="1">
        <f>LOOKUP(R477,{0,3.75,3.95,4.55,4.75,4.95,5.55,5.6,5.65,5.7,5.75,5.8,5.85,5.9,5.95,6,6.45,6.53,6.6,6.65,6.7},{0,10,20,30,40,50,60,62,64,66,68,70,72,74,76,78,80,85,90,95,100})</f>
        <v>100</v>
      </c>
      <c r="T477" s="7">
        <f>3.3-Q477</f>
        <v>0.0699999999999998</v>
      </c>
      <c r="U477" s="40">
        <f>LOOKUP(T477,{0,0.04,0.08,0.12,0.16,0.2,0.23,0.26,0.29,0.32,0.35},{0,1,2,3,4,5,6,7,8,9,10})</f>
        <v>1</v>
      </c>
      <c r="V477" s="21">
        <f t="shared" si="219"/>
        <v>101</v>
      </c>
      <c r="X477" s="21">
        <f t="shared" si="209"/>
        <v>69</v>
      </c>
      <c r="Y477" s="37">
        <f t="shared" si="220"/>
        <v>109.571428571429</v>
      </c>
    </row>
    <row r="478" ht="15.6" hidden="1" outlineLevel="2" spans="1:25">
      <c r="A478" s="6">
        <v>111</v>
      </c>
      <c r="B478" s="6">
        <v>24</v>
      </c>
      <c r="C478" s="29" t="s">
        <v>539</v>
      </c>
      <c r="D478" s="29" t="s">
        <v>11</v>
      </c>
      <c r="E478" s="6">
        <v>-2.5</v>
      </c>
      <c r="F478" s="1">
        <f>LOOKUP(E478,{0,-4,-3,-2,-1,0,1,2.4,3.8,5.2,6.6,8,9.4,10.8,12.2,13.6,15,17.2,19.4,21.5,23.6},{0,10,20,30,40,50,60,62,64,66,68,70,72,74,76,78,80,85,90,95,100})</f>
        <v>20</v>
      </c>
      <c r="G478" s="6">
        <v>206</v>
      </c>
      <c r="H478" s="1">
        <f>LOOKUP(G478,{0,170,175,180,185,190,195,199,203,207,211,215,219,223,227,231,235,243,250,255,260},{0,10,20,30,40,50,60,62,64,66,68,70,72,74,76,78,80,85,90,95,100})</f>
        <v>64</v>
      </c>
      <c r="I478" s="6">
        <v>1</v>
      </c>
      <c r="J478" s="1">
        <f>LOOKUP(I478,{0,2,3,4,5,6,7,8,9,10,11,12,13,14,15,16},{0,10,20,30,40,50,60,64,68,72,76,80,85,90,95,100})</f>
        <v>0</v>
      </c>
      <c r="K478" s="7"/>
      <c r="L478" s="7"/>
      <c r="M478" s="21">
        <f t="shared" si="216"/>
        <v>0</v>
      </c>
      <c r="N478" s="6">
        <v>8</v>
      </c>
      <c r="O478" s="43">
        <f t="shared" si="217"/>
        <v>5</v>
      </c>
      <c r="P478" s="1">
        <f>LOOKUP(O478,{0,2.5,2.7,2.9,3.1,3.3,3.5,3.7,3.9,4.1,4.3,4.5,4.7,4.9,5.1,5.3,5.5,5.6,5.7,5.8,5.9},{0,10,20,30,40,50,60,62,64,66,68,70,72,74,76,78,80,85,90,95,100})</f>
        <v>74</v>
      </c>
      <c r="Q478" s="6">
        <v>4.02</v>
      </c>
      <c r="R478" s="6">
        <f t="shared" si="218"/>
        <v>5.98</v>
      </c>
      <c r="S478" s="1">
        <f>LOOKUP(R478,{0,3.75,3.95,4.55,4.75,4.95,5.55,5.6,5.65,5.7,5.75,5.8,5.85,5.9,5.95,6,6.45,6.53,6.6,6.65,6.7},{0,10,20,30,40,50,60,62,64,66,68,70,72,74,76,78,80,85,90,95,100})</f>
        <v>76</v>
      </c>
      <c r="T478" s="7"/>
      <c r="U478" s="7"/>
      <c r="V478" s="21">
        <f t="shared" si="219"/>
        <v>76</v>
      </c>
      <c r="X478" s="21">
        <f t="shared" si="209"/>
        <v>38.4</v>
      </c>
      <c r="Y478" s="37">
        <f t="shared" si="220"/>
        <v>54.8571428571429</v>
      </c>
    </row>
    <row r="479" ht="15.6" hidden="1" outlineLevel="2" spans="1:25">
      <c r="A479" s="6">
        <v>111</v>
      </c>
      <c r="B479" s="6">
        <v>25</v>
      </c>
      <c r="C479" s="6" t="s">
        <v>540</v>
      </c>
      <c r="D479" s="30" t="s">
        <v>11</v>
      </c>
      <c r="E479" s="6">
        <v>10</v>
      </c>
      <c r="F479" s="1">
        <f>LOOKUP(E479,{0,-4,-3,-2,-1,0,1,2.4,3.8,5.2,6.6,8,9.4,10.8,12.2,13.6,15,17.2,19.4,21.5,23.6},{0,10,20,30,40,50,60,62,64,66,68,70,72,74,76,78,80,85,90,95,100})</f>
        <v>72</v>
      </c>
      <c r="G479" s="6">
        <v>241</v>
      </c>
      <c r="H479" s="1">
        <f>LOOKUP(G479,{0,170,175,180,185,190,195,199,203,207,211,215,219,223,227,231,235,243,250,255,260},{0,10,20,30,40,50,60,62,64,66,68,70,72,74,76,78,80,85,90,95,100})</f>
        <v>80</v>
      </c>
      <c r="I479" s="6">
        <v>16</v>
      </c>
      <c r="J479" s="1">
        <f>LOOKUP(I479,{0,2,3,4,5,6,7,8,9,10,11,12,13,14,15,16},{0,10,20,30,40,50,60,64,68,72,76,80,85,90,95,100})</f>
        <v>100</v>
      </c>
      <c r="K479" s="7">
        <f t="shared" si="222"/>
        <v>0</v>
      </c>
      <c r="L479" s="40">
        <f>LOOKUP(K479,{0,1,2,3,4,5,6,7,8,9,10},{0,1,2,3,4,5,6,7,8,9,10})</f>
        <v>0</v>
      </c>
      <c r="M479" s="21">
        <f t="shared" si="216"/>
        <v>100</v>
      </c>
      <c r="N479" s="6">
        <v>7</v>
      </c>
      <c r="O479" s="43">
        <f t="shared" si="217"/>
        <v>6</v>
      </c>
      <c r="P479" s="1">
        <f>LOOKUP(O479,{0,2.5,2.7,2.9,3.1,3.3,3.5,3.7,3.9,4.1,4.3,4.5,4.7,4.9,5.1,5.3,5.5,5.6,5.7,5.8,5.9},{0,10,20,30,40,50,60,62,64,66,68,70,72,74,76,78,80,85,90,95,100})</f>
        <v>100</v>
      </c>
      <c r="Q479" s="6">
        <v>4.1</v>
      </c>
      <c r="R479" s="6">
        <f t="shared" si="218"/>
        <v>5.9</v>
      </c>
      <c r="S479" s="1">
        <f>LOOKUP(R479,{0,3.75,3.95,4.55,4.75,4.95,5.55,5.6,5.65,5.7,5.75,5.8,5.85,5.9,5.95,6,6.45,6.53,6.6,6.65,6.7},{0,10,20,30,40,50,60,62,64,66,68,70,72,74,76,78,80,85,90,95,100})</f>
        <v>74</v>
      </c>
      <c r="T479" s="7"/>
      <c r="U479" s="7"/>
      <c r="V479" s="21">
        <f t="shared" si="219"/>
        <v>74</v>
      </c>
      <c r="X479" s="21">
        <f t="shared" si="209"/>
        <v>60</v>
      </c>
      <c r="Y479" s="37">
        <f t="shared" si="220"/>
        <v>85.7142857142857</v>
      </c>
    </row>
    <row r="480" ht="15.6" hidden="1" outlineLevel="2" spans="1:25">
      <c r="A480" s="52">
        <v>111</v>
      </c>
      <c r="B480" s="52">
        <v>27</v>
      </c>
      <c r="C480" s="39" t="s">
        <v>544</v>
      </c>
      <c r="D480" s="29" t="s">
        <v>46</v>
      </c>
      <c r="E480" s="52">
        <v>16</v>
      </c>
      <c r="F480" s="1">
        <f>LOOKUP(E480,{0,0.4,1.2,2,2.8,3.6,4.4,5.7,7,8.3,9.6,10.9,12.2,13.5,14.8,16.1,17.4,19.1,20.8,22.5,24.2},{0,10,20,30,40,50,60,62,64,66,68,70,72,74,76,78,80,85,90,95,100})</f>
        <v>76</v>
      </c>
      <c r="G480" s="52">
        <v>180</v>
      </c>
      <c r="H480" s="1">
        <f>LOOKUP(G480,{0,123,128,133,138,143,148,151,154,157,160,163,166,169,172,175,178,185,192,198,204},{0,10,20,30,40,50,60,62,64,66,68,70,72,74,76,78,80,85,90,95,100})</f>
        <v>80</v>
      </c>
      <c r="I480" s="52">
        <v>41</v>
      </c>
      <c r="J480" s="1">
        <f>LOOKUP(I480,{0,13,15,17,19,21,23,25,27,29,31,33,35,37,39,41,43,46,49,51,53},{0,10,20,30,40,50,60,62,64,66,68,70,72,74,76,78,80,85,90,95,100})</f>
        <v>78</v>
      </c>
      <c r="K480" s="53"/>
      <c r="L480" s="53"/>
      <c r="M480" s="21">
        <f t="shared" ref="M480:M505" si="223">J480+L480</f>
        <v>78</v>
      </c>
      <c r="N480" s="52">
        <v>8.7</v>
      </c>
      <c r="O480" s="43">
        <f t="shared" ref="O480:O505" si="224">13-N480</f>
        <v>4.3</v>
      </c>
      <c r="P480" s="1">
        <f>LOOKUP(O480,{0,1.4,1.6,1.8,2,2.2,2.4,2.6,2.8,3,3.2,3.4,3.6,3.8,4,4.2,4.4,4.7,5,5.1,5.2},{0,10,20,30,40,50,60,62,64,66,68,70,72,74,76,78,80,85,90,95,100})</f>
        <v>78</v>
      </c>
      <c r="Q480" s="52">
        <v>3.34</v>
      </c>
      <c r="R480" s="6">
        <f t="shared" ref="R480:R501" si="225">10-Q480</f>
        <v>6.66</v>
      </c>
      <c r="S480" s="1">
        <f>LOOKUP(R480,{0,4.7,4.8,4.9,5,5.5,5.6,5.65,5.7,5.75,5.8,5.85,5.9,5.95,6,6.45,6.5,6.57,6.64,6.7,6.76},{0,10,20,30,40,50,60,62,64,66,68,70,72,74,76,78,80,85,90,95,100})</f>
        <v>90</v>
      </c>
      <c r="T480" s="53"/>
      <c r="U480" s="53"/>
      <c r="V480" s="21">
        <f t="shared" ref="V480:V501" si="226">S480+U480</f>
        <v>90</v>
      </c>
      <c r="W480" s="52"/>
      <c r="X480" s="21">
        <f t="shared" ref="X480:X519" si="227">F480*0.1+H480*0.1+J480*0.1+P480*0.2+S480*0.2</f>
        <v>57</v>
      </c>
      <c r="Y480" s="37">
        <f t="shared" ref="Y480:Y505" si="228">X480/0.7+L480+U480</f>
        <v>81.4285714285714</v>
      </c>
    </row>
    <row r="481" ht="15.6" hidden="1" outlineLevel="2" spans="1:25">
      <c r="A481" s="6">
        <v>111</v>
      </c>
      <c r="B481" s="6">
        <v>28</v>
      </c>
      <c r="C481" s="29" t="s">
        <v>545</v>
      </c>
      <c r="D481" s="29" t="s">
        <v>46</v>
      </c>
      <c r="E481" s="6">
        <v>17</v>
      </c>
      <c r="F481" s="1">
        <f>LOOKUP(E481,{0,0.4,1.2,2,2.8,3.6,4.4,5.7,7,8.3,9.6,10.9,12.2,13.5,14.8,16.1,17.4,19.1,20.8,22.5,24.2},{0,10,20,30,40,50,60,62,64,66,68,70,72,74,76,78,80,85,90,95,100})</f>
        <v>78</v>
      </c>
      <c r="G481" s="6">
        <v>230</v>
      </c>
      <c r="H481" s="1">
        <f>LOOKUP(G481,{0,123,128,133,138,143,148,151,154,157,160,163,166,169,172,175,178,185,192,198,204},{0,10,20,30,40,50,60,62,64,66,68,70,72,74,76,78,80,85,90,95,100})</f>
        <v>100</v>
      </c>
      <c r="I481" s="6">
        <v>57</v>
      </c>
      <c r="J481" s="1">
        <f>LOOKUP(I481,{0,13,15,17,19,21,23,25,27,29,31,33,35,37,39,41,43,46,49,51,53},{0,10,20,30,40,50,60,62,64,66,68,70,72,74,76,78,80,85,90,95,100})</f>
        <v>100</v>
      </c>
      <c r="K481" s="45">
        <f>I481-53</f>
        <v>4</v>
      </c>
      <c r="L481" s="40">
        <f>LOOKUP(K481,{0,2,4,6,7,8,9,10,11,12,13},{0,1,2,3,4,5,6,7,8,9,10})</f>
        <v>2</v>
      </c>
      <c r="M481" s="21">
        <f t="shared" si="223"/>
        <v>102</v>
      </c>
      <c r="O481" s="43"/>
      <c r="P481" s="1"/>
      <c r="Q481" s="6">
        <v>3.17</v>
      </c>
      <c r="R481" s="6">
        <f t="shared" si="225"/>
        <v>6.83</v>
      </c>
      <c r="S481" s="1">
        <f>LOOKUP(R481,{0,4.7,4.8,4.9,5,5.5,5.6,5.65,5.7,5.75,5.8,5.85,5.9,5.95,6,6.45,6.5,6.57,6.64,6.7,6.76},{0,10,20,30,40,50,60,62,64,66,68,70,72,74,76,78,80,85,90,95,100})</f>
        <v>100</v>
      </c>
      <c r="T481" s="48">
        <f>3.24-Q481</f>
        <v>0.0700000000000003</v>
      </c>
      <c r="U481" s="40">
        <f>LOOKUP(T481,{0,0.05,0.1,0.15,0.2,0.25,0.3,0.35,0.4,0.45,0.5},{0,1,2,3,4,5,6,7,8,9,10})</f>
        <v>1</v>
      </c>
      <c r="V481" s="21">
        <f t="shared" si="226"/>
        <v>101</v>
      </c>
      <c r="X481" s="21">
        <f t="shared" si="227"/>
        <v>47.8</v>
      </c>
      <c r="Y481" s="37">
        <f t="shared" si="228"/>
        <v>71.2857142857143</v>
      </c>
    </row>
    <row r="482" ht="15.6" hidden="1" outlineLevel="2" spans="1:25">
      <c r="A482" s="6">
        <v>111</v>
      </c>
      <c r="B482" s="6">
        <v>29</v>
      </c>
      <c r="C482" s="29" t="s">
        <v>546</v>
      </c>
      <c r="D482" s="29" t="s">
        <v>46</v>
      </c>
      <c r="E482" s="6">
        <v>25</v>
      </c>
      <c r="F482" s="1">
        <f>LOOKUP(E482,{0,0.4,1.2,2,2.8,3.6,4.4,5.7,7,8.3,9.6,10.9,12.2,13.5,14.8,16.1,17.4,19.1,20.8,22.5,24.2},{0,10,20,30,40,50,60,62,64,66,68,70,72,74,76,78,80,85,90,95,100})</f>
        <v>100</v>
      </c>
      <c r="G482" s="6">
        <v>200</v>
      </c>
      <c r="H482" s="1">
        <f>LOOKUP(G482,{0,123,128,133,138,143,148,151,154,157,160,163,166,169,172,175,178,185,192,198,204},{0,10,20,30,40,50,60,62,64,66,68,70,72,74,76,78,80,85,90,95,100})</f>
        <v>95</v>
      </c>
      <c r="I482" s="6">
        <v>52</v>
      </c>
      <c r="J482" s="1">
        <f>LOOKUP(I482,{0,13,15,17,19,21,23,25,27,29,31,33,35,37,39,41,43,46,49,51,53},{0,10,20,30,40,50,60,62,64,66,68,70,72,74,76,78,80,85,90,95,100})</f>
        <v>95</v>
      </c>
      <c r="K482" s="45"/>
      <c r="L482" s="45"/>
      <c r="M482" s="21">
        <f t="shared" si="223"/>
        <v>95</v>
      </c>
      <c r="N482" s="6">
        <v>8</v>
      </c>
      <c r="O482" s="43">
        <f t="shared" si="224"/>
        <v>5</v>
      </c>
      <c r="P482" s="1">
        <f>LOOKUP(O482,{0,1.4,1.6,1.8,2,2.2,2.4,2.6,2.8,3,3.2,3.4,3.6,3.8,4,4.2,4.4,4.7,5,5.1,5.2},{0,10,20,30,40,50,60,62,64,66,68,70,72,74,76,78,80,85,90,95,100})</f>
        <v>90</v>
      </c>
      <c r="Q482" s="6">
        <v>3.26</v>
      </c>
      <c r="R482" s="6">
        <f t="shared" si="225"/>
        <v>6.74</v>
      </c>
      <c r="S482" s="1">
        <f>LOOKUP(R482,{0,4.7,4.8,4.9,5,5.5,5.6,5.65,5.7,5.75,5.8,5.85,5.9,5.95,6,6.45,6.5,6.57,6.64,6.7,6.76},{0,10,20,30,40,50,60,62,64,66,68,70,72,74,76,78,80,85,90,95,100})</f>
        <v>95</v>
      </c>
      <c r="T482" s="45"/>
      <c r="U482" s="45"/>
      <c r="V482" s="21">
        <f t="shared" si="226"/>
        <v>95</v>
      </c>
      <c r="X482" s="21">
        <f t="shared" si="227"/>
        <v>66</v>
      </c>
      <c r="Y482" s="37">
        <f t="shared" si="228"/>
        <v>94.2857142857143</v>
      </c>
    </row>
    <row r="483" ht="15.6" hidden="1" outlineLevel="2" spans="1:25">
      <c r="A483" s="6">
        <v>111</v>
      </c>
      <c r="B483" s="6">
        <v>30</v>
      </c>
      <c r="C483" s="29" t="s">
        <v>547</v>
      </c>
      <c r="D483" s="29" t="s">
        <v>46</v>
      </c>
      <c r="E483" s="6">
        <v>7</v>
      </c>
      <c r="F483" s="1">
        <f>LOOKUP(E483,{0,0.4,1.2,2,2.8,3.6,4.4,5.7,7,8.3,9.6,10.9,12.2,13.5,14.8,16.1,17.4,19.1,20.8,22.5,24.2},{0,10,20,30,40,50,60,62,64,66,68,70,72,74,76,78,80,85,90,95,100})</f>
        <v>64</v>
      </c>
      <c r="G483" s="6">
        <v>185</v>
      </c>
      <c r="H483" s="1">
        <f>LOOKUP(G483,{0,123,128,133,138,143,148,151,154,157,160,163,166,169,172,175,178,185,192,198,204},{0,10,20,30,40,50,60,62,64,66,68,70,72,74,76,78,80,85,90,95,100})</f>
        <v>85</v>
      </c>
      <c r="I483" s="6">
        <v>48</v>
      </c>
      <c r="J483" s="1">
        <f>LOOKUP(I483,{0,13,15,17,19,21,23,25,27,29,31,33,35,37,39,41,43,46,49,51,53},{0,10,20,30,40,50,60,62,64,66,68,70,72,74,76,78,80,85,90,95,100})</f>
        <v>85</v>
      </c>
      <c r="K483" s="45"/>
      <c r="L483" s="45"/>
      <c r="M483" s="21">
        <f t="shared" si="223"/>
        <v>85</v>
      </c>
      <c r="N483" s="6">
        <v>8.6</v>
      </c>
      <c r="O483" s="43">
        <f t="shared" si="224"/>
        <v>4.4</v>
      </c>
      <c r="P483" s="1">
        <f>LOOKUP(O483,{0,1.4,1.6,1.8,2,2.2,2.4,2.6,2.8,3,3.2,3.4,3.6,3.8,4,4.2,4.4,4.7,5,5.1,5.2},{0,10,20,30,40,50,60,62,64,66,68,70,72,74,76,78,80,85,90,95,100})</f>
        <v>80</v>
      </c>
      <c r="Q483" s="6">
        <v>3.41</v>
      </c>
      <c r="R483" s="6">
        <f t="shared" si="225"/>
        <v>6.59</v>
      </c>
      <c r="S483" s="1">
        <f>LOOKUP(R483,{0,4.7,4.8,4.9,5,5.5,5.6,5.65,5.7,5.75,5.8,5.85,5.9,5.95,6,6.45,6.5,6.57,6.64,6.7,6.76},{0,10,20,30,40,50,60,62,64,66,68,70,72,74,76,78,80,85,90,95,100})</f>
        <v>85</v>
      </c>
      <c r="T483" s="45"/>
      <c r="U483" s="45"/>
      <c r="V483" s="21">
        <f t="shared" si="226"/>
        <v>85</v>
      </c>
      <c r="X483" s="21">
        <f t="shared" si="227"/>
        <v>56.4</v>
      </c>
      <c r="Y483" s="37">
        <f t="shared" si="228"/>
        <v>80.5714285714286</v>
      </c>
    </row>
    <row r="484" ht="15.6" hidden="1" outlineLevel="2" spans="1:25">
      <c r="A484" s="6">
        <v>111</v>
      </c>
      <c r="B484" s="6">
        <v>31</v>
      </c>
      <c r="C484" s="29" t="s">
        <v>548</v>
      </c>
      <c r="D484" s="29" t="s">
        <v>46</v>
      </c>
      <c r="E484" s="6">
        <v>22</v>
      </c>
      <c r="F484" s="1">
        <f>LOOKUP(E484,{0,0.4,1.2,2,2.8,3.6,4.4,5.7,7,8.3,9.6,10.9,12.2,13.5,14.8,16.1,17.4,19.1,20.8,22.5,24.2},{0,10,20,30,40,50,60,62,64,66,68,70,72,74,76,78,80,85,90,95,100})</f>
        <v>90</v>
      </c>
      <c r="G484" s="6">
        <v>135</v>
      </c>
      <c r="H484" s="1">
        <f>LOOKUP(G484,{0,123,128,133,138,143,148,151,154,157,160,163,166,169,172,175,178,185,192,198,204},{0,10,20,30,40,50,60,62,64,66,68,70,72,74,76,78,80,85,90,95,100})</f>
        <v>30</v>
      </c>
      <c r="I484" s="6">
        <v>46</v>
      </c>
      <c r="J484" s="1">
        <f>LOOKUP(I484,{0,13,15,17,19,21,23,25,27,29,31,33,35,37,39,41,43,46,49,51,53},{0,10,20,30,40,50,60,62,64,66,68,70,72,74,76,78,80,85,90,95,100})</f>
        <v>85</v>
      </c>
      <c r="K484" s="45"/>
      <c r="L484" s="45"/>
      <c r="M484" s="21">
        <f t="shared" si="223"/>
        <v>85</v>
      </c>
      <c r="N484" s="6">
        <v>10</v>
      </c>
      <c r="O484" s="43">
        <f t="shared" si="224"/>
        <v>3</v>
      </c>
      <c r="P484" s="1">
        <f>LOOKUP(O484,{0,1.4,1.6,1.8,2,2.2,2.4,2.6,2.8,3,3.2,3.4,3.6,3.8,4,4.2,4.4,4.7,5,5.1,5.2},{0,10,20,30,40,50,60,62,64,66,68,70,72,74,76,78,80,85,90,95,100})</f>
        <v>66</v>
      </c>
      <c r="Q484" s="6">
        <v>3.43</v>
      </c>
      <c r="R484" s="6">
        <f t="shared" si="225"/>
        <v>6.57</v>
      </c>
      <c r="S484" s="1">
        <f>LOOKUP(R484,{0,4.7,4.8,4.9,5,5.5,5.6,5.65,5.7,5.75,5.8,5.85,5.9,5.95,6,6.45,6.5,6.57,6.64,6.7,6.76},{0,10,20,30,40,50,60,62,64,66,68,70,72,74,76,78,80,85,90,95,100})</f>
        <v>85</v>
      </c>
      <c r="T484" s="45"/>
      <c r="U484" s="45"/>
      <c r="V484" s="21">
        <f t="shared" si="226"/>
        <v>85</v>
      </c>
      <c r="X484" s="21">
        <f t="shared" si="227"/>
        <v>50.7</v>
      </c>
      <c r="Y484" s="37">
        <f t="shared" si="228"/>
        <v>72.4285714285714</v>
      </c>
    </row>
    <row r="485" ht="15.6" hidden="1" outlineLevel="2" spans="1:25">
      <c r="A485" s="6">
        <v>111</v>
      </c>
      <c r="B485" s="6">
        <v>32</v>
      </c>
      <c r="C485" s="29" t="s">
        <v>549</v>
      </c>
      <c r="D485" s="29" t="s">
        <v>46</v>
      </c>
      <c r="E485" s="6">
        <v>10</v>
      </c>
      <c r="F485" s="1">
        <f>LOOKUP(E485,{0,0.4,1.2,2,2.8,3.6,4.4,5.7,7,8.3,9.6,10.9,12.2,13.5,14.8,16.1,17.4,19.1,20.8,22.5,24.2},{0,10,20,30,40,50,60,62,64,66,68,70,72,74,76,78,80,85,90,95,100})</f>
        <v>68</v>
      </c>
      <c r="G485" s="6">
        <v>170</v>
      </c>
      <c r="H485" s="1">
        <f>LOOKUP(G485,{0,123,128,133,138,143,148,151,154,157,160,163,166,169,172,175,178,185,192,198,204},{0,10,20,30,40,50,60,62,64,66,68,70,72,74,76,78,80,85,90,95,100})</f>
        <v>74</v>
      </c>
      <c r="I485" s="6">
        <v>56</v>
      </c>
      <c r="J485" s="1">
        <f>LOOKUP(I485,{0,13,15,17,19,21,23,25,27,29,31,33,35,37,39,41,43,46,49,51,53},{0,10,20,30,40,50,60,62,64,66,68,70,72,74,76,78,80,85,90,95,100})</f>
        <v>100</v>
      </c>
      <c r="K485" s="45">
        <f>I485-53</f>
        <v>3</v>
      </c>
      <c r="L485" s="40">
        <f>LOOKUP(K485,{0,2,4,6,7,8,9,10,11,12,13},{0,1,2,3,4,5,6,7,8,9,10})</f>
        <v>1</v>
      </c>
      <c r="M485" s="21">
        <f t="shared" si="223"/>
        <v>101</v>
      </c>
      <c r="N485" s="6">
        <v>8.2</v>
      </c>
      <c r="O485" s="43">
        <f t="shared" si="224"/>
        <v>4.8</v>
      </c>
      <c r="P485" s="1">
        <f>LOOKUP(O485,{0,1.4,1.6,1.8,2,2.2,2.4,2.6,2.8,3,3.2,3.4,3.6,3.8,4,4.2,4.4,4.7,5,5.1,5.2},{0,10,20,30,40,50,60,62,64,66,68,70,72,74,76,78,80,85,90,95,100})</f>
        <v>85</v>
      </c>
      <c r="Q485" s="6">
        <v>3.5</v>
      </c>
      <c r="R485" s="6">
        <f t="shared" si="225"/>
        <v>6.5</v>
      </c>
      <c r="S485" s="1">
        <f>LOOKUP(R485,{0,4.7,4.8,4.9,5,5.5,5.6,5.65,5.7,5.75,5.8,5.85,5.9,5.95,6,6.45,6.5,6.57,6.64,6.7,6.76},{0,10,20,30,40,50,60,62,64,66,68,70,72,74,76,78,80,85,90,95,100})</f>
        <v>80</v>
      </c>
      <c r="T485" s="45"/>
      <c r="U485" s="45"/>
      <c r="V485" s="21">
        <f t="shared" si="226"/>
        <v>80</v>
      </c>
      <c r="X485" s="21">
        <f t="shared" si="227"/>
        <v>57.2</v>
      </c>
      <c r="Y485" s="37">
        <f t="shared" si="228"/>
        <v>82.7142857142857</v>
      </c>
    </row>
    <row r="486" s="3" customFormat="1" ht="15.6" hidden="1" outlineLevel="2" spans="1:25">
      <c r="A486" s="6">
        <v>111</v>
      </c>
      <c r="B486" s="6">
        <v>33</v>
      </c>
      <c r="C486" s="29" t="s">
        <v>550</v>
      </c>
      <c r="D486" s="29" t="s">
        <v>46</v>
      </c>
      <c r="E486" s="6">
        <v>22</v>
      </c>
      <c r="F486" s="1">
        <f>LOOKUP(E486,{0,0.4,1.2,2,2.8,3.6,4.4,5.7,7,8.3,9.6,10.9,12.2,13.5,14.8,16.1,17.4,19.1,20.8,22.5,24.2},{0,10,20,30,40,50,60,62,64,66,68,70,72,74,76,78,80,85,90,95,100})</f>
        <v>90</v>
      </c>
      <c r="G486" s="6">
        <v>176</v>
      </c>
      <c r="H486" s="1">
        <f>LOOKUP(G486,{0,123,128,133,138,143,148,151,154,157,160,163,166,169,172,175,178,185,192,198,204},{0,10,20,30,40,50,60,62,64,66,68,70,72,74,76,78,80,85,90,95,100})</f>
        <v>78</v>
      </c>
      <c r="I486" s="6">
        <v>45</v>
      </c>
      <c r="J486" s="1">
        <f>LOOKUP(I486,{0,13,15,17,19,21,23,25,27,29,31,33,35,37,39,41,43,46,49,51,53},{0,10,20,30,40,50,60,62,64,66,68,70,72,74,76,78,80,85,90,95,100})</f>
        <v>80</v>
      </c>
      <c r="K486" s="45"/>
      <c r="L486" s="45"/>
      <c r="M486" s="21">
        <f t="shared" si="223"/>
        <v>80</v>
      </c>
      <c r="N486" s="6">
        <v>8.9</v>
      </c>
      <c r="O486" s="43">
        <f t="shared" si="224"/>
        <v>4.1</v>
      </c>
      <c r="P486" s="1">
        <f>LOOKUP(O486,{0,1.4,1.6,1.8,2,2.2,2.4,2.6,2.8,3,3.2,3.4,3.6,3.8,4,4.2,4.4,4.7,5,5.1,5.2},{0,10,20,30,40,50,60,62,64,66,68,70,72,74,76,78,80,85,90,95,100})</f>
        <v>76</v>
      </c>
      <c r="Q486" s="6">
        <v>3.42</v>
      </c>
      <c r="R486" s="6">
        <f t="shared" si="225"/>
        <v>6.58</v>
      </c>
      <c r="S486" s="1">
        <f>LOOKUP(R486,{0,4.7,4.8,4.9,5,5.5,5.6,5.65,5.7,5.75,5.8,5.85,5.9,5.95,6,6.45,6.5,6.57,6.64,6.7,6.76},{0,10,20,30,40,50,60,62,64,66,68,70,72,74,76,78,80,85,90,95,100})</f>
        <v>85</v>
      </c>
      <c r="T486" s="45"/>
      <c r="U486" s="45"/>
      <c r="V486" s="21">
        <f t="shared" si="226"/>
        <v>85</v>
      </c>
      <c r="W486" s="6"/>
      <c r="X486" s="21">
        <f t="shared" si="227"/>
        <v>57</v>
      </c>
      <c r="Y486" s="37">
        <f t="shared" si="228"/>
        <v>81.4285714285714</v>
      </c>
    </row>
    <row r="487" ht="15.6" hidden="1" outlineLevel="2" spans="1:25">
      <c r="A487" s="6">
        <v>111</v>
      </c>
      <c r="B487" s="6">
        <v>34</v>
      </c>
      <c r="C487" s="29" t="s">
        <v>551</v>
      </c>
      <c r="D487" s="29" t="s">
        <v>46</v>
      </c>
      <c r="E487" s="6">
        <v>14</v>
      </c>
      <c r="F487" s="1">
        <f>LOOKUP(E487,{0,0.4,1.2,2,2.8,3.6,4.4,5.7,7,8.3,9.6,10.9,12.2,13.5,14.8,16.1,17.4,19.1,20.8,22.5,24.2},{0,10,20,30,40,50,60,62,64,66,68,70,72,74,76,78,80,85,90,95,100})</f>
        <v>74</v>
      </c>
      <c r="G487" s="6">
        <v>155</v>
      </c>
      <c r="H487" s="1">
        <f>LOOKUP(G487,{0,123,128,133,138,143,148,151,154,157,160,163,166,169,172,175,178,185,192,198,204},{0,10,20,30,40,50,60,62,64,66,68,70,72,74,76,78,80,85,90,95,100})</f>
        <v>64</v>
      </c>
      <c r="I487" s="6">
        <v>30</v>
      </c>
      <c r="J487" s="1">
        <f>LOOKUP(I487,{0,13,15,17,19,21,23,25,27,29,31,33,35,37,39,41,43,46,49,51,53},{0,10,20,30,40,50,60,62,64,66,68,70,72,74,76,78,80,85,90,95,100})</f>
        <v>66</v>
      </c>
      <c r="K487" s="45"/>
      <c r="L487" s="45"/>
      <c r="M487" s="21">
        <f t="shared" si="223"/>
        <v>66</v>
      </c>
      <c r="N487" s="6">
        <v>10.2</v>
      </c>
      <c r="O487" s="43">
        <f t="shared" si="224"/>
        <v>2.8</v>
      </c>
      <c r="P487" s="1">
        <f>LOOKUP(O487,{0,1.4,1.6,1.8,2,2.2,2.4,2.6,2.8,3,3.2,3.4,3.6,3.8,4,4.2,4.4,4.7,5,5.1,5.2},{0,10,20,30,40,50,60,62,64,66,68,70,72,74,76,78,80,85,90,95,100})</f>
        <v>64</v>
      </c>
      <c r="Q487" s="6">
        <v>4.35</v>
      </c>
      <c r="R487" s="6">
        <f t="shared" si="225"/>
        <v>5.65</v>
      </c>
      <c r="S487" s="1">
        <f>LOOKUP(R487,{0,4.7,4.8,4.9,5,5.5,5.6,5.65,5.7,5.75,5.8,5.85,5.9,5.95,6,6.45,6.5,6.57,6.64,6.7,6.76},{0,10,20,30,40,50,60,62,64,66,68,70,72,74,76,78,80,85,90,95,100})</f>
        <v>62</v>
      </c>
      <c r="T487" s="45"/>
      <c r="U487" s="45"/>
      <c r="V487" s="21">
        <f t="shared" si="226"/>
        <v>62</v>
      </c>
      <c r="X487" s="21">
        <f t="shared" si="227"/>
        <v>45.6</v>
      </c>
      <c r="Y487" s="37">
        <f t="shared" si="228"/>
        <v>65.1428571428572</v>
      </c>
    </row>
    <row r="488" ht="15.6" hidden="1" outlineLevel="2" spans="1:25">
      <c r="A488" s="6">
        <v>111</v>
      </c>
      <c r="B488" s="6">
        <v>35</v>
      </c>
      <c r="C488" s="29" t="s">
        <v>552</v>
      </c>
      <c r="D488" s="29" t="s">
        <v>46</v>
      </c>
      <c r="E488" s="6">
        <v>12.5</v>
      </c>
      <c r="F488" s="1">
        <f>LOOKUP(E488,{0,0.4,1.2,2,2.8,3.6,4.4,5.7,7,8.3,9.6,10.9,12.2,13.5,14.8,16.1,17.4,19.1,20.8,22.5,24.2},{0,10,20,30,40,50,60,62,64,66,68,70,72,74,76,78,80,85,90,95,100})</f>
        <v>72</v>
      </c>
      <c r="G488" s="6">
        <v>180</v>
      </c>
      <c r="H488" s="1">
        <f>LOOKUP(G488,{0,123,128,133,138,143,148,151,154,157,160,163,166,169,172,175,178,185,192,198,204},{0,10,20,30,40,50,60,62,64,66,68,70,72,74,76,78,80,85,90,95,100})</f>
        <v>80</v>
      </c>
      <c r="I488" s="6">
        <v>47</v>
      </c>
      <c r="J488" s="1">
        <f>LOOKUP(I488,{0,13,15,17,19,21,23,25,27,29,31,33,35,37,39,41,43,46,49,51,53},{0,10,20,30,40,50,60,62,64,66,68,70,72,74,76,78,80,85,90,95,100})</f>
        <v>85</v>
      </c>
      <c r="K488" s="45"/>
      <c r="L488" s="45"/>
      <c r="M488" s="21">
        <f t="shared" si="223"/>
        <v>85</v>
      </c>
      <c r="N488" s="6">
        <v>8.6</v>
      </c>
      <c r="O488" s="43">
        <f t="shared" si="224"/>
        <v>4.4</v>
      </c>
      <c r="P488" s="1">
        <f>LOOKUP(O488,{0,1.4,1.6,1.8,2,2.2,2.4,2.6,2.8,3,3.2,3.4,3.6,3.8,4,4.2,4.4,4.7,5,5.1,5.2},{0,10,20,30,40,50,60,62,64,66,68,70,72,74,76,78,80,85,90,95,100})</f>
        <v>80</v>
      </c>
      <c r="Q488" s="6">
        <v>3.32</v>
      </c>
      <c r="R488" s="6">
        <f t="shared" si="225"/>
        <v>6.68</v>
      </c>
      <c r="S488" s="1">
        <f>LOOKUP(R488,{0,4.7,4.8,4.9,5,5.5,5.6,5.65,5.7,5.75,5.8,5.85,5.9,5.95,6,6.45,6.5,6.57,6.64,6.7,6.76},{0,10,20,30,40,50,60,62,64,66,68,70,72,74,76,78,80,85,90,95,100})</f>
        <v>90</v>
      </c>
      <c r="T488" s="45"/>
      <c r="U488" s="45"/>
      <c r="V488" s="21">
        <f t="shared" si="226"/>
        <v>90</v>
      </c>
      <c r="X488" s="21">
        <f t="shared" si="227"/>
        <v>57.7</v>
      </c>
      <c r="Y488" s="37">
        <f t="shared" si="228"/>
        <v>82.4285714285714</v>
      </c>
    </row>
    <row r="489" ht="15.6" hidden="1" outlineLevel="2" spans="1:25">
      <c r="A489" s="6">
        <v>111</v>
      </c>
      <c r="B489" s="6">
        <v>36</v>
      </c>
      <c r="C489" s="29" t="s">
        <v>553</v>
      </c>
      <c r="D489" s="29" t="s">
        <v>46</v>
      </c>
      <c r="E489" s="6">
        <v>22</v>
      </c>
      <c r="F489" s="1">
        <f>LOOKUP(E489,{0,0.4,1.2,2,2.8,3.6,4.4,5.7,7,8.3,9.6,10.9,12.2,13.5,14.8,16.1,17.4,19.1,20.8,22.5,24.2},{0,10,20,30,40,50,60,62,64,66,68,70,72,74,76,78,80,85,90,95,100})</f>
        <v>90</v>
      </c>
      <c r="G489" s="6">
        <v>216</v>
      </c>
      <c r="H489" s="1">
        <f>LOOKUP(G489,{0,123,128,133,138,143,148,151,154,157,160,163,166,169,172,175,178,185,192,198,204},{0,10,20,30,40,50,60,62,64,66,68,70,72,74,76,78,80,85,90,95,100})</f>
        <v>100</v>
      </c>
      <c r="I489" s="6">
        <v>50</v>
      </c>
      <c r="J489" s="1">
        <f>LOOKUP(I489,{0,13,15,17,19,21,23,25,27,29,31,33,35,37,39,41,43,46,49,51,53},{0,10,20,30,40,50,60,62,64,66,68,70,72,74,76,78,80,85,90,95,100})</f>
        <v>90</v>
      </c>
      <c r="K489" s="45"/>
      <c r="L489" s="45"/>
      <c r="M489" s="21">
        <f t="shared" si="223"/>
        <v>90</v>
      </c>
      <c r="N489" s="6">
        <v>8.2</v>
      </c>
      <c r="O489" s="43">
        <f t="shared" si="224"/>
        <v>4.8</v>
      </c>
      <c r="P489" s="1">
        <f>LOOKUP(O489,{0,1.4,1.6,1.8,2,2.2,2.4,2.6,2.8,3,3.2,3.4,3.6,3.8,4,4.2,4.4,4.7,5,5.1,5.2},{0,10,20,30,40,50,60,62,64,66,68,70,72,74,76,78,80,85,90,95,100})</f>
        <v>85</v>
      </c>
      <c r="Q489" s="6">
        <v>3.13</v>
      </c>
      <c r="R489" s="6">
        <f t="shared" si="225"/>
        <v>6.87</v>
      </c>
      <c r="S489" s="1">
        <f>LOOKUP(R489,{0,4.7,4.8,4.9,5,5.5,5.6,5.65,5.7,5.75,5.8,5.85,5.9,5.95,6,6.45,6.5,6.57,6.64,6.7,6.76},{0,10,20,30,40,50,60,62,64,66,68,70,72,74,76,78,80,85,90,95,100})</f>
        <v>100</v>
      </c>
      <c r="T489" s="48">
        <f>3.24-Q489</f>
        <v>0.11</v>
      </c>
      <c r="U489" s="40">
        <f>LOOKUP(T489,{0,0.05,0.1,0.15,0.2,0.25,0.3,0.35,0.4,0.45,0.5},{0,1,2,3,4,5,6,7,8,9,10})</f>
        <v>2</v>
      </c>
      <c r="V489" s="21">
        <f t="shared" si="226"/>
        <v>102</v>
      </c>
      <c r="X489" s="21">
        <f t="shared" si="227"/>
        <v>65</v>
      </c>
      <c r="Y489" s="37">
        <f t="shared" si="228"/>
        <v>94.8571428571429</v>
      </c>
    </row>
    <row r="490" ht="15.6" hidden="1" outlineLevel="2" spans="1:25">
      <c r="A490" s="6">
        <v>111</v>
      </c>
      <c r="B490" s="6">
        <v>37</v>
      </c>
      <c r="C490" s="29" t="s">
        <v>554</v>
      </c>
      <c r="D490" s="29" t="s">
        <v>46</v>
      </c>
      <c r="E490" s="6">
        <v>23.5</v>
      </c>
      <c r="F490" s="1">
        <f>LOOKUP(E490,{0,0.4,1.2,2,2.8,3.6,4.4,5.7,7,8.3,9.6,10.9,12.2,13.5,14.8,16.1,17.4,19.1,20.8,22.5,24.2},{0,10,20,30,40,50,60,62,64,66,68,70,72,74,76,78,80,85,90,95,100})</f>
        <v>95</v>
      </c>
      <c r="G490" s="6">
        <v>203</v>
      </c>
      <c r="H490" s="1">
        <f>LOOKUP(G490,{0,123,128,133,138,143,148,151,154,157,160,163,166,169,172,175,178,185,192,198,204},{0,10,20,30,40,50,60,62,64,66,68,70,72,74,76,78,80,85,90,95,100})</f>
        <v>95</v>
      </c>
      <c r="I490" s="6">
        <v>46</v>
      </c>
      <c r="J490" s="1">
        <f>LOOKUP(I490,{0,13,15,17,19,21,23,25,27,29,31,33,35,37,39,41,43,46,49,51,53},{0,10,20,30,40,50,60,62,64,66,68,70,72,74,76,78,80,85,90,95,100})</f>
        <v>85</v>
      </c>
      <c r="K490" s="45"/>
      <c r="L490" s="45"/>
      <c r="M490" s="21">
        <f t="shared" si="223"/>
        <v>85</v>
      </c>
      <c r="N490" s="6">
        <v>8.7</v>
      </c>
      <c r="O490" s="43">
        <f t="shared" si="224"/>
        <v>4.3</v>
      </c>
      <c r="P490" s="1">
        <f>LOOKUP(O490,{0,1.4,1.6,1.8,2,2.2,2.4,2.6,2.8,3,3.2,3.4,3.6,3.8,4,4.2,4.4,4.7,5,5.1,5.2},{0,10,20,30,40,50,60,62,64,66,68,70,72,74,76,78,80,85,90,95,100})</f>
        <v>78</v>
      </c>
      <c r="Q490" s="6">
        <v>3.42</v>
      </c>
      <c r="R490" s="6">
        <f t="shared" si="225"/>
        <v>6.58</v>
      </c>
      <c r="S490" s="1">
        <f>LOOKUP(R490,{0,4.7,4.8,4.9,5,5.5,5.6,5.65,5.7,5.75,5.8,5.85,5.9,5.95,6,6.45,6.5,6.57,6.64,6.7,6.76},{0,10,20,30,40,50,60,62,64,66,68,70,72,74,76,78,80,85,90,95,100})</f>
        <v>85</v>
      </c>
      <c r="T490" s="45"/>
      <c r="U490" s="45"/>
      <c r="V490" s="21">
        <f t="shared" si="226"/>
        <v>85</v>
      </c>
      <c r="X490" s="21">
        <f t="shared" si="227"/>
        <v>60.1</v>
      </c>
      <c r="Y490" s="37">
        <f t="shared" si="228"/>
        <v>85.8571428571429</v>
      </c>
    </row>
    <row r="491" ht="15.6" hidden="1" outlineLevel="2" spans="1:25">
      <c r="A491" s="6">
        <v>111</v>
      </c>
      <c r="B491" s="6">
        <v>38</v>
      </c>
      <c r="C491" s="39" t="s">
        <v>556</v>
      </c>
      <c r="D491" s="29" t="s">
        <v>46</v>
      </c>
      <c r="E491" s="6">
        <v>16.5</v>
      </c>
      <c r="F491" s="1">
        <f>LOOKUP(E491,{0,0.4,1.2,2,2.8,3.6,4.4,5.7,7,8.3,9.6,10.9,12.2,13.5,14.8,16.1,17.4,19.1,20.8,22.5,24.2},{0,10,20,30,40,50,60,62,64,66,68,70,72,74,76,78,80,85,90,95,100})</f>
        <v>78</v>
      </c>
      <c r="G491" s="6">
        <v>185</v>
      </c>
      <c r="H491" s="1">
        <f>LOOKUP(G491,{0,123,128,133,138,143,148,151,154,157,160,163,166,169,172,175,178,185,192,198,204},{0,10,20,30,40,50,60,62,64,66,68,70,72,74,76,78,80,85,90,95,100})</f>
        <v>85</v>
      </c>
      <c r="I491" s="6">
        <v>47</v>
      </c>
      <c r="J491" s="1">
        <f>LOOKUP(I491,{0,13,15,17,19,21,23,25,27,29,31,33,35,37,39,41,43,46,49,51,53},{0,10,20,30,40,50,60,62,64,66,68,70,72,74,76,78,80,85,90,95,100})</f>
        <v>85</v>
      </c>
      <c r="K491" s="45"/>
      <c r="L491" s="45"/>
      <c r="M491" s="21">
        <f t="shared" si="223"/>
        <v>85</v>
      </c>
      <c r="N491" s="6">
        <v>8.2</v>
      </c>
      <c r="O491" s="43">
        <f t="shared" si="224"/>
        <v>4.8</v>
      </c>
      <c r="P491" s="1">
        <f>LOOKUP(O491,{0,1.4,1.6,1.8,2,2.2,2.4,2.6,2.8,3,3.2,3.4,3.6,3.8,4,4.2,4.4,4.7,5,5.1,5.2},{0,10,20,30,40,50,60,62,64,66,68,70,72,74,76,78,80,85,90,95,100})</f>
        <v>85</v>
      </c>
      <c r="Q491" s="6">
        <v>3.35</v>
      </c>
      <c r="R491" s="6">
        <f t="shared" si="225"/>
        <v>6.65</v>
      </c>
      <c r="S491" s="1">
        <f>LOOKUP(R491,{0,4.7,4.8,4.9,5,5.5,5.6,5.65,5.7,5.75,5.8,5.85,5.9,5.95,6,6.45,6.5,6.57,6.64,6.7,6.76},{0,10,20,30,40,50,60,62,64,66,68,70,72,74,76,78,80,85,90,95,100})</f>
        <v>90</v>
      </c>
      <c r="T491" s="45"/>
      <c r="U491" s="45"/>
      <c r="V491" s="21">
        <f t="shared" si="226"/>
        <v>90</v>
      </c>
      <c r="X491" s="21">
        <f t="shared" si="227"/>
        <v>59.8</v>
      </c>
      <c r="Y491" s="37">
        <f t="shared" si="228"/>
        <v>85.4285714285714</v>
      </c>
    </row>
    <row r="492" ht="15.6" hidden="1" outlineLevel="2" spans="1:25">
      <c r="A492" s="6">
        <v>111</v>
      </c>
      <c r="B492" s="6">
        <v>39</v>
      </c>
      <c r="C492" s="29" t="s">
        <v>557</v>
      </c>
      <c r="D492" s="29" t="s">
        <v>46</v>
      </c>
      <c r="E492" s="6">
        <v>21</v>
      </c>
      <c r="F492" s="1">
        <f>LOOKUP(E492,{0,0.4,1.2,2,2.8,3.6,4.4,5.7,7,8.3,9.6,10.9,12.2,13.5,14.8,16.1,17.4,19.1,20.8,22.5,24.2},{0,10,20,30,40,50,60,62,64,66,68,70,72,74,76,78,80,85,90,95,100})</f>
        <v>90</v>
      </c>
      <c r="G492" s="6">
        <v>195</v>
      </c>
      <c r="H492" s="1">
        <f>LOOKUP(G492,{0,123,128,133,138,143,148,151,154,157,160,163,166,169,172,175,178,185,192,198,204},{0,10,20,30,40,50,60,62,64,66,68,70,72,74,76,78,80,85,90,95,100})</f>
        <v>90</v>
      </c>
      <c r="I492" s="6">
        <v>46</v>
      </c>
      <c r="J492" s="1">
        <f>LOOKUP(I492,{0,13,15,17,19,21,23,25,27,29,31,33,35,37,39,41,43,46,49,51,53},{0,10,20,30,40,50,60,62,64,66,68,70,72,74,76,78,80,85,90,95,100})</f>
        <v>85</v>
      </c>
      <c r="K492" s="45"/>
      <c r="L492" s="45"/>
      <c r="M492" s="21">
        <f t="shared" si="223"/>
        <v>85</v>
      </c>
      <c r="N492" s="6">
        <v>8.3</v>
      </c>
      <c r="O492" s="43">
        <f t="shared" si="224"/>
        <v>4.7</v>
      </c>
      <c r="P492" s="1">
        <f>LOOKUP(O492,{0,1.4,1.6,1.8,2,2.2,2.4,2.6,2.8,3,3.2,3.4,3.6,3.8,4,4.2,4.4,4.7,5,5.1,5.2},{0,10,20,30,40,50,60,62,64,66,68,70,72,74,76,78,80,85,90,95,100})</f>
        <v>85</v>
      </c>
      <c r="Q492" s="6">
        <v>3.43</v>
      </c>
      <c r="R492" s="6">
        <f t="shared" si="225"/>
        <v>6.57</v>
      </c>
      <c r="S492" s="1">
        <f>LOOKUP(R492,{0,4.7,4.8,4.9,5,5.5,5.6,5.65,5.7,5.75,5.8,5.85,5.9,5.95,6,6.45,6.5,6.57,6.64,6.7,6.76},{0,10,20,30,40,50,60,62,64,66,68,70,72,74,76,78,80,85,90,95,100})</f>
        <v>85</v>
      </c>
      <c r="T492" s="45"/>
      <c r="U492" s="45"/>
      <c r="V492" s="21">
        <f t="shared" si="226"/>
        <v>85</v>
      </c>
      <c r="X492" s="21">
        <f t="shared" si="227"/>
        <v>60.5</v>
      </c>
      <c r="Y492" s="37">
        <f t="shared" si="228"/>
        <v>86.4285714285714</v>
      </c>
    </row>
    <row r="493" ht="15.6" hidden="1" outlineLevel="2" spans="1:25">
      <c r="A493" s="6">
        <v>111</v>
      </c>
      <c r="B493" s="6">
        <v>40</v>
      </c>
      <c r="C493" s="29" t="s">
        <v>558</v>
      </c>
      <c r="D493" s="29" t="s">
        <v>46</v>
      </c>
      <c r="E493" s="6">
        <v>26.5</v>
      </c>
      <c r="F493" s="1">
        <f>LOOKUP(E493,{0,0.4,1.2,2,2.8,3.6,4.4,5.7,7,8.3,9.6,10.9,12.2,13.5,14.8,16.1,17.4,19.1,20.8,22.5,24.2},{0,10,20,30,40,50,60,62,64,66,68,70,72,74,76,78,80,85,90,95,100})</f>
        <v>100</v>
      </c>
      <c r="G493" s="6">
        <v>185</v>
      </c>
      <c r="H493" s="1">
        <f>LOOKUP(G493,{0,123,128,133,138,143,148,151,154,157,160,163,166,169,172,175,178,185,192,198,204},{0,10,20,30,40,50,60,62,64,66,68,70,72,74,76,78,80,85,90,95,100})</f>
        <v>85</v>
      </c>
      <c r="I493" s="6">
        <v>45</v>
      </c>
      <c r="J493" s="1">
        <f>LOOKUP(I493,{0,13,15,17,19,21,23,25,27,29,31,33,35,37,39,41,43,46,49,51,53},{0,10,20,30,40,50,60,62,64,66,68,70,72,74,76,78,80,85,90,95,100})</f>
        <v>80</v>
      </c>
      <c r="K493" s="45"/>
      <c r="L493" s="45"/>
      <c r="M493" s="21">
        <f t="shared" si="223"/>
        <v>80</v>
      </c>
      <c r="N493" s="6">
        <v>8.6</v>
      </c>
      <c r="O493" s="43">
        <f t="shared" si="224"/>
        <v>4.4</v>
      </c>
      <c r="P493" s="1">
        <f>LOOKUP(O493,{0,1.4,1.6,1.8,2,2.2,2.4,2.6,2.8,3,3.2,3.4,3.6,3.8,4,4.2,4.4,4.7,5,5.1,5.2},{0,10,20,30,40,50,60,62,64,66,68,70,72,74,76,78,80,85,90,95,100})</f>
        <v>80</v>
      </c>
      <c r="Q493" s="6">
        <v>3.31</v>
      </c>
      <c r="R493" s="6">
        <f t="shared" si="225"/>
        <v>6.69</v>
      </c>
      <c r="S493" s="1">
        <f>LOOKUP(R493,{0,4.7,4.8,4.9,5,5.5,5.6,5.65,5.7,5.75,5.8,5.85,5.9,5.95,6,6.45,6.5,6.57,6.64,6.7,6.76},{0,10,20,30,40,50,60,62,64,66,68,70,72,74,76,78,80,85,90,95,100})</f>
        <v>90</v>
      </c>
      <c r="T493" s="45"/>
      <c r="U493" s="45"/>
      <c r="V493" s="21">
        <f t="shared" si="226"/>
        <v>90</v>
      </c>
      <c r="X493" s="21">
        <f t="shared" si="227"/>
        <v>60.5</v>
      </c>
      <c r="Y493" s="37">
        <f t="shared" si="228"/>
        <v>86.4285714285714</v>
      </c>
    </row>
    <row r="494" ht="15.6" hidden="1" outlineLevel="2" spans="1:25">
      <c r="A494" s="6">
        <v>111</v>
      </c>
      <c r="B494" s="6">
        <v>41</v>
      </c>
      <c r="C494" s="29" t="s">
        <v>559</v>
      </c>
      <c r="D494" s="29" t="s">
        <v>46</v>
      </c>
      <c r="E494" s="6">
        <v>11.5</v>
      </c>
      <c r="F494" s="1">
        <f>LOOKUP(E494,{0,0.4,1.2,2,2.8,3.6,4.4,5.7,7,8.3,9.6,10.9,12.2,13.5,14.8,16.1,17.4,19.1,20.8,22.5,24.2},{0,10,20,30,40,50,60,62,64,66,68,70,72,74,76,78,80,85,90,95,100})</f>
        <v>70</v>
      </c>
      <c r="G494" s="6">
        <v>195</v>
      </c>
      <c r="H494" s="1">
        <f>LOOKUP(G494,{0,123,128,133,138,143,148,151,154,157,160,163,166,169,172,175,178,185,192,198,204},{0,10,20,30,40,50,60,62,64,66,68,70,72,74,76,78,80,85,90,95,100})</f>
        <v>90</v>
      </c>
      <c r="I494" s="6">
        <v>51</v>
      </c>
      <c r="J494" s="1">
        <f>LOOKUP(I494,{0,13,15,17,19,21,23,25,27,29,31,33,35,37,39,41,43,46,49,51,53},{0,10,20,30,40,50,60,62,64,66,68,70,72,74,76,78,80,85,90,95,100})</f>
        <v>95</v>
      </c>
      <c r="K494" s="45"/>
      <c r="L494" s="45"/>
      <c r="M494" s="21">
        <f t="shared" si="223"/>
        <v>95</v>
      </c>
      <c r="N494" s="6">
        <v>9</v>
      </c>
      <c r="O494" s="43">
        <f t="shared" si="224"/>
        <v>4</v>
      </c>
      <c r="P494" s="1">
        <f>LOOKUP(O494,{0,1.4,1.6,1.8,2,2.2,2.4,2.6,2.8,3,3.2,3.4,3.6,3.8,4,4.2,4.4,4.7,5,5.1,5.2},{0,10,20,30,40,50,60,62,64,66,68,70,72,74,76,78,80,85,90,95,100})</f>
        <v>76</v>
      </c>
      <c r="Q494" s="6">
        <v>3.31</v>
      </c>
      <c r="R494" s="6">
        <f t="shared" si="225"/>
        <v>6.69</v>
      </c>
      <c r="S494" s="1">
        <f>LOOKUP(R494,{0,4.7,4.8,4.9,5,5.5,5.6,5.65,5.7,5.75,5.8,5.85,5.9,5.95,6,6.45,6.5,6.57,6.64,6.7,6.76},{0,10,20,30,40,50,60,62,64,66,68,70,72,74,76,78,80,85,90,95,100})</f>
        <v>90</v>
      </c>
      <c r="T494" s="45"/>
      <c r="U494" s="45"/>
      <c r="V494" s="21">
        <f t="shared" si="226"/>
        <v>90</v>
      </c>
      <c r="X494" s="21">
        <f t="shared" si="227"/>
        <v>58.7</v>
      </c>
      <c r="Y494" s="37">
        <f t="shared" si="228"/>
        <v>83.8571428571429</v>
      </c>
    </row>
    <row r="495" ht="15.6" hidden="1" outlineLevel="2" spans="1:25">
      <c r="A495" s="6">
        <v>111</v>
      </c>
      <c r="B495" s="6">
        <v>42</v>
      </c>
      <c r="C495" s="29" t="s">
        <v>560</v>
      </c>
      <c r="D495" s="29" t="s">
        <v>46</v>
      </c>
      <c r="E495" s="6">
        <v>22</v>
      </c>
      <c r="F495" s="1">
        <f>LOOKUP(E495,{0,0.4,1.2,2,2.8,3.6,4.4,5.7,7,8.3,9.6,10.9,12.2,13.5,14.8,16.1,17.4,19.1,20.8,22.5,24.2},{0,10,20,30,40,50,60,62,64,66,68,70,72,74,76,78,80,85,90,95,100})</f>
        <v>90</v>
      </c>
      <c r="G495" s="6">
        <v>185</v>
      </c>
      <c r="H495" s="1">
        <f>LOOKUP(G495,{0,123,128,133,138,143,148,151,154,157,160,163,166,169,172,175,178,185,192,198,204},{0,10,20,30,40,50,60,62,64,66,68,70,72,74,76,78,80,85,90,95,100})</f>
        <v>85</v>
      </c>
      <c r="I495" s="6">
        <v>52</v>
      </c>
      <c r="J495" s="1">
        <f>LOOKUP(I495,{0,13,15,17,19,21,23,25,27,29,31,33,35,37,39,41,43,46,49,51,53},{0,10,20,30,40,50,60,62,64,66,68,70,72,74,76,78,80,85,90,95,100})</f>
        <v>95</v>
      </c>
      <c r="K495" s="45"/>
      <c r="L495" s="45"/>
      <c r="M495" s="21">
        <f t="shared" si="223"/>
        <v>95</v>
      </c>
      <c r="N495" s="6">
        <v>8</v>
      </c>
      <c r="O495" s="43">
        <f t="shared" si="224"/>
        <v>5</v>
      </c>
      <c r="P495" s="1">
        <f>LOOKUP(O495,{0,1.4,1.6,1.8,2,2.2,2.4,2.6,2.8,3,3.2,3.4,3.6,3.8,4,4.2,4.4,4.7,5,5.1,5.2},{0,10,20,30,40,50,60,62,64,66,68,70,72,74,76,78,80,85,90,95,100})</f>
        <v>90</v>
      </c>
      <c r="Q495" s="6">
        <v>3.43</v>
      </c>
      <c r="R495" s="6">
        <f t="shared" si="225"/>
        <v>6.57</v>
      </c>
      <c r="S495" s="1">
        <f>LOOKUP(R495,{0,4.7,4.8,4.9,5,5.5,5.6,5.65,5.7,5.75,5.8,5.85,5.9,5.95,6,6.45,6.5,6.57,6.64,6.7,6.76},{0,10,20,30,40,50,60,62,64,66,68,70,72,74,76,78,80,85,90,95,100})</f>
        <v>85</v>
      </c>
      <c r="T495" s="45"/>
      <c r="U495" s="45"/>
      <c r="V495" s="21">
        <f t="shared" si="226"/>
        <v>85</v>
      </c>
      <c r="X495" s="21">
        <f t="shared" si="227"/>
        <v>62</v>
      </c>
      <c r="Y495" s="37">
        <f t="shared" si="228"/>
        <v>88.5714285714286</v>
      </c>
    </row>
    <row r="496" ht="15.6" hidden="1" outlineLevel="2" spans="1:25">
      <c r="A496" s="6">
        <v>111</v>
      </c>
      <c r="B496" s="6">
        <v>43</v>
      </c>
      <c r="C496" s="29" t="s">
        <v>561</v>
      </c>
      <c r="D496" s="29" t="s">
        <v>46</v>
      </c>
      <c r="E496" s="6">
        <v>22</v>
      </c>
      <c r="F496" s="1">
        <f>LOOKUP(E496,{0,0.4,1.2,2,2.8,3.6,4.4,5.7,7,8.3,9.6,10.9,12.2,13.5,14.8,16.1,17.4,19.1,20.8,22.5,24.2},{0,10,20,30,40,50,60,62,64,66,68,70,72,74,76,78,80,85,90,95,100})</f>
        <v>90</v>
      </c>
      <c r="G496" s="6">
        <v>155</v>
      </c>
      <c r="H496" s="1">
        <f>LOOKUP(G496,{0,123,128,133,138,143,148,151,154,157,160,163,166,169,172,175,178,185,192,198,204},{0,10,20,30,40,50,60,62,64,66,68,70,72,74,76,78,80,85,90,95,100})</f>
        <v>64</v>
      </c>
      <c r="I496" s="6">
        <v>45</v>
      </c>
      <c r="J496" s="1">
        <f>LOOKUP(I496,{0,13,15,17,19,21,23,25,27,29,31,33,35,37,39,41,43,46,49,51,53},{0,10,20,30,40,50,60,62,64,66,68,70,72,74,76,78,80,85,90,95,100})</f>
        <v>80</v>
      </c>
      <c r="K496" s="45"/>
      <c r="L496" s="45"/>
      <c r="M496" s="21">
        <f t="shared" si="223"/>
        <v>80</v>
      </c>
      <c r="N496" s="6">
        <v>8.6</v>
      </c>
      <c r="O496" s="43">
        <f t="shared" si="224"/>
        <v>4.4</v>
      </c>
      <c r="P496" s="1">
        <f>LOOKUP(O496,{0,1.4,1.6,1.8,2,2.2,2.4,2.6,2.8,3,3.2,3.4,3.6,3.8,4,4.2,4.4,4.7,5,5.1,5.2},{0,10,20,30,40,50,60,62,64,66,68,70,72,74,76,78,80,85,90,95,100})</f>
        <v>80</v>
      </c>
      <c r="Q496" s="6">
        <v>3.32</v>
      </c>
      <c r="R496" s="6">
        <f t="shared" si="225"/>
        <v>6.68</v>
      </c>
      <c r="S496" s="1">
        <f>LOOKUP(R496,{0,4.7,4.8,4.9,5,5.5,5.6,5.65,5.7,5.75,5.8,5.85,5.9,5.95,6,6.45,6.5,6.57,6.64,6.7,6.76},{0,10,20,30,40,50,60,62,64,66,68,70,72,74,76,78,80,85,90,95,100})</f>
        <v>90</v>
      </c>
      <c r="T496" s="45"/>
      <c r="U496" s="45"/>
      <c r="V496" s="21">
        <f t="shared" si="226"/>
        <v>90</v>
      </c>
      <c r="X496" s="21">
        <f t="shared" si="227"/>
        <v>57.4</v>
      </c>
      <c r="Y496" s="37">
        <f t="shared" si="228"/>
        <v>82</v>
      </c>
    </row>
    <row r="497" s="3" customFormat="1" ht="15.6" hidden="1" outlineLevel="2" spans="1:25">
      <c r="A497" s="6">
        <v>111</v>
      </c>
      <c r="B497" s="6">
        <v>44</v>
      </c>
      <c r="C497" s="29" t="s">
        <v>562</v>
      </c>
      <c r="D497" s="29" t="s">
        <v>46</v>
      </c>
      <c r="E497" s="6">
        <v>37.5</v>
      </c>
      <c r="F497" s="1">
        <f>LOOKUP(E497,{0,0.4,1.2,2,2.8,3.6,4.4,5.7,7,8.3,9.6,10.9,12.2,13.5,14.8,16.1,17.4,19.1,20.8,22.5,24.2},{0,10,20,30,40,50,60,62,64,66,68,70,72,74,76,78,80,85,90,95,100})</f>
        <v>100</v>
      </c>
      <c r="G497" s="6">
        <v>200</v>
      </c>
      <c r="H497" s="1">
        <f>LOOKUP(G497,{0,123,128,133,138,143,148,151,154,157,160,163,166,169,172,175,178,185,192,198,204},{0,10,20,30,40,50,60,62,64,66,68,70,72,74,76,78,80,85,90,95,100})</f>
        <v>95</v>
      </c>
      <c r="I497" s="6">
        <v>49</v>
      </c>
      <c r="J497" s="1">
        <f>LOOKUP(I497,{0,13,15,17,19,21,23,25,27,29,31,33,35,37,39,41,43,46,49,51,53},{0,10,20,30,40,50,60,62,64,66,68,70,72,74,76,78,80,85,90,95,100})</f>
        <v>90</v>
      </c>
      <c r="K497" s="45"/>
      <c r="L497" s="45"/>
      <c r="M497" s="21">
        <f t="shared" si="223"/>
        <v>90</v>
      </c>
      <c r="N497" s="6">
        <v>8.2</v>
      </c>
      <c r="O497" s="43">
        <f t="shared" si="224"/>
        <v>4.8</v>
      </c>
      <c r="P497" s="1">
        <f>LOOKUP(O497,{0,1.4,1.6,1.8,2,2.2,2.4,2.6,2.8,3,3.2,3.4,3.6,3.8,4,4.2,4.4,4.7,5,5.1,5.2},{0,10,20,30,40,50,60,62,64,66,68,70,72,74,76,78,80,85,90,95,100})</f>
        <v>85</v>
      </c>
      <c r="Q497" s="6">
        <v>3.35</v>
      </c>
      <c r="R497" s="6">
        <f t="shared" si="225"/>
        <v>6.65</v>
      </c>
      <c r="S497" s="1">
        <f>LOOKUP(R497,{0,4.7,4.8,4.9,5,5.5,5.6,5.65,5.7,5.75,5.8,5.85,5.9,5.95,6,6.45,6.5,6.57,6.64,6.7,6.76},{0,10,20,30,40,50,60,62,64,66,68,70,72,74,76,78,80,85,90,95,100})</f>
        <v>90</v>
      </c>
      <c r="T497" s="45"/>
      <c r="U497" s="45"/>
      <c r="V497" s="21">
        <f t="shared" si="226"/>
        <v>90</v>
      </c>
      <c r="W497" s="6"/>
      <c r="X497" s="21">
        <f t="shared" si="227"/>
        <v>63.5</v>
      </c>
      <c r="Y497" s="37">
        <f t="shared" si="228"/>
        <v>90.7142857142857</v>
      </c>
    </row>
    <row r="498" ht="15.6" hidden="1" outlineLevel="2" spans="1:25">
      <c r="A498" s="6">
        <v>111</v>
      </c>
      <c r="B498" s="6">
        <v>45</v>
      </c>
      <c r="C498" s="29" t="s">
        <v>563</v>
      </c>
      <c r="D498" s="29" t="s">
        <v>46</v>
      </c>
      <c r="E498" s="6">
        <v>15.5</v>
      </c>
      <c r="F498" s="1">
        <f>LOOKUP(E498,{0,0.4,1.2,2,2.8,3.6,4.4,5.7,7,8.3,9.6,10.9,12.2,13.5,14.8,16.1,17.4,19.1,20.8,22.5,24.2},{0,10,20,30,40,50,60,62,64,66,68,70,72,74,76,78,80,85,90,95,100})</f>
        <v>76</v>
      </c>
      <c r="G498" s="6">
        <v>175</v>
      </c>
      <c r="H498" s="1">
        <f>LOOKUP(G498,{0,123,128,133,138,143,148,151,154,157,160,163,166,169,172,175,178,185,192,198,204},{0,10,20,30,40,50,60,62,64,66,68,70,72,74,76,78,80,85,90,95,100})</f>
        <v>78</v>
      </c>
      <c r="I498" s="6">
        <v>53</v>
      </c>
      <c r="J498" s="1">
        <f>LOOKUP(I498,{0,13,15,17,19,21,23,25,27,29,31,33,35,37,39,41,43,46,49,51,53},{0,10,20,30,40,50,60,62,64,66,68,70,72,74,76,78,80,85,90,95,100})</f>
        <v>100</v>
      </c>
      <c r="K498" s="45">
        <f t="shared" ref="K498:K501" si="229">I498-53</f>
        <v>0</v>
      </c>
      <c r="L498" s="40">
        <f>LOOKUP(K498,{0,2,4,6,7,8,9,10,11,12,13},{0,1,2,3,4,5,6,7,8,9,10})</f>
        <v>0</v>
      </c>
      <c r="M498" s="21">
        <f t="shared" si="223"/>
        <v>100</v>
      </c>
      <c r="N498" s="6">
        <v>8.8</v>
      </c>
      <c r="O498" s="43">
        <f t="shared" si="224"/>
        <v>4.2</v>
      </c>
      <c r="P498" s="1">
        <f>LOOKUP(O498,{0,1.4,1.6,1.8,2,2.2,2.4,2.6,2.8,3,3.2,3.4,3.6,3.8,4,4.2,4.4,4.7,5,5.1,5.2},{0,10,20,30,40,50,60,62,64,66,68,70,72,74,76,78,80,85,90,95,100})</f>
        <v>78</v>
      </c>
      <c r="Q498" s="6">
        <v>3.4</v>
      </c>
      <c r="R498" s="6">
        <f t="shared" si="225"/>
        <v>6.6</v>
      </c>
      <c r="S498" s="1">
        <f>LOOKUP(R498,{0,4.7,4.8,4.9,5,5.5,5.6,5.65,5.7,5.75,5.8,5.85,5.9,5.95,6,6.45,6.5,6.57,6.64,6.7,6.76},{0,10,20,30,40,50,60,62,64,66,68,70,72,74,76,78,80,85,90,95,100})</f>
        <v>85</v>
      </c>
      <c r="T498" s="45"/>
      <c r="U498" s="45"/>
      <c r="V498" s="21">
        <f t="shared" si="226"/>
        <v>85</v>
      </c>
      <c r="X498" s="21">
        <f t="shared" si="227"/>
        <v>58</v>
      </c>
      <c r="Y498" s="37">
        <f t="shared" si="228"/>
        <v>82.8571428571429</v>
      </c>
    </row>
    <row r="499" ht="15.6" hidden="1" outlineLevel="2" spans="1:25">
      <c r="A499" s="6">
        <v>111</v>
      </c>
      <c r="B499" s="6">
        <v>46</v>
      </c>
      <c r="C499" s="29" t="s">
        <v>564</v>
      </c>
      <c r="D499" s="29" t="s">
        <v>46</v>
      </c>
      <c r="E499" s="6">
        <v>20</v>
      </c>
      <c r="F499" s="1">
        <f>LOOKUP(E499,{0,0.4,1.2,2,2.8,3.6,4.4,5.7,7,8.3,9.6,10.9,12.2,13.5,14.8,16.1,17.4,19.1,20.8,22.5,24.2},{0,10,20,30,40,50,60,62,64,66,68,70,72,74,76,78,80,85,90,95,100})</f>
        <v>85</v>
      </c>
      <c r="G499" s="6">
        <v>156</v>
      </c>
      <c r="H499" s="1">
        <f>LOOKUP(G499,{0,123,128,133,138,143,148,151,154,157,160,163,166,169,172,175,178,185,192,198,204},{0,10,20,30,40,50,60,62,64,66,68,70,72,74,76,78,80,85,90,95,100})</f>
        <v>64</v>
      </c>
      <c r="I499" s="6">
        <v>53</v>
      </c>
      <c r="J499" s="1">
        <f>LOOKUP(I499,{0,13,15,17,19,21,23,25,27,29,31,33,35,37,39,41,43,46,49,51,53},{0,10,20,30,40,50,60,62,64,66,68,70,72,74,76,78,80,85,90,95,100})</f>
        <v>100</v>
      </c>
      <c r="K499" s="45">
        <f t="shared" si="229"/>
        <v>0</v>
      </c>
      <c r="L499" s="40">
        <f>LOOKUP(K499,{0,2,4,6,7,8,9,10,11,12,13},{0,1,2,3,4,5,6,7,8,9,10})</f>
        <v>0</v>
      </c>
      <c r="M499" s="21">
        <f t="shared" si="223"/>
        <v>100</v>
      </c>
      <c r="N499" s="6">
        <v>8.9</v>
      </c>
      <c r="O499" s="43">
        <f t="shared" si="224"/>
        <v>4.1</v>
      </c>
      <c r="P499" s="1">
        <f>LOOKUP(O499,{0,1.4,1.6,1.8,2,2.2,2.4,2.6,2.8,3,3.2,3.4,3.6,3.8,4,4.2,4.4,4.7,5,5.1,5.2},{0,10,20,30,40,50,60,62,64,66,68,70,72,74,76,78,80,85,90,95,100})</f>
        <v>76</v>
      </c>
      <c r="Q499" s="6">
        <v>3.4</v>
      </c>
      <c r="R499" s="6">
        <f t="shared" si="225"/>
        <v>6.6</v>
      </c>
      <c r="S499" s="1">
        <f>LOOKUP(R499,{0,4.7,4.8,4.9,5,5.5,5.6,5.65,5.7,5.75,5.8,5.85,5.9,5.95,6,6.45,6.5,6.57,6.64,6.7,6.76},{0,10,20,30,40,50,60,62,64,66,68,70,72,74,76,78,80,85,90,95,100})</f>
        <v>85</v>
      </c>
      <c r="T499" s="45"/>
      <c r="U499" s="45"/>
      <c r="V499" s="21">
        <f t="shared" si="226"/>
        <v>85</v>
      </c>
      <c r="X499" s="21">
        <f t="shared" si="227"/>
        <v>57.1</v>
      </c>
      <c r="Y499" s="37">
        <f t="shared" si="228"/>
        <v>81.5714285714286</v>
      </c>
    </row>
    <row r="500" ht="15.6" hidden="1" outlineLevel="2" spans="1:25">
      <c r="A500" s="6">
        <v>111</v>
      </c>
      <c r="B500" s="6">
        <v>47</v>
      </c>
      <c r="C500" s="29" t="s">
        <v>565</v>
      </c>
      <c r="D500" s="29" t="s">
        <v>46</v>
      </c>
      <c r="E500" s="6">
        <v>9.1</v>
      </c>
      <c r="F500" s="1">
        <f>LOOKUP(E500,{0,0.4,1.2,2,2.8,3.6,4.4,5.7,7,8.3,9.6,10.9,12.2,13.5,14.8,16.1,17.4,19.1,20.8,22.5,24.2},{0,10,20,30,40,50,60,62,64,66,68,70,72,74,76,78,80,85,90,95,100})</f>
        <v>66</v>
      </c>
      <c r="G500" s="6">
        <v>165</v>
      </c>
      <c r="H500" s="1">
        <f>LOOKUP(G500,{0,123,128,133,138,143,148,151,154,157,160,163,166,169,172,175,178,185,192,198,204},{0,10,20,30,40,50,60,62,64,66,68,70,72,74,76,78,80,85,90,95,100})</f>
        <v>70</v>
      </c>
      <c r="I500" s="6">
        <v>49</v>
      </c>
      <c r="J500" s="1">
        <f>LOOKUP(I500,{0,13,15,17,19,21,23,25,27,29,31,33,35,37,39,41,43,46,49,51,53},{0,10,20,30,40,50,60,62,64,66,68,70,72,74,76,78,80,85,90,95,100})</f>
        <v>90</v>
      </c>
      <c r="K500" s="45"/>
      <c r="L500" s="45"/>
      <c r="M500" s="21">
        <f t="shared" si="223"/>
        <v>90</v>
      </c>
      <c r="N500" s="6">
        <v>8.5</v>
      </c>
      <c r="O500" s="43">
        <f t="shared" si="224"/>
        <v>4.5</v>
      </c>
      <c r="P500" s="1">
        <f>LOOKUP(O500,{0,1.4,1.6,1.8,2,2.2,2.4,2.6,2.8,3,3.2,3.4,3.6,3.8,4,4.2,4.4,4.7,5,5.1,5.2},{0,10,20,30,40,50,60,62,64,66,68,70,72,74,76,78,80,85,90,95,100})</f>
        <v>80</v>
      </c>
      <c r="Q500" s="6">
        <v>3.42</v>
      </c>
      <c r="R500" s="6">
        <f t="shared" si="225"/>
        <v>6.58</v>
      </c>
      <c r="S500" s="1">
        <f>LOOKUP(R500,{0,4.7,4.8,4.9,5,5.5,5.6,5.65,5.7,5.75,5.8,5.85,5.9,5.95,6,6.45,6.5,6.57,6.64,6.7,6.76},{0,10,20,30,40,50,60,62,64,66,68,70,72,74,76,78,80,85,90,95,100})</f>
        <v>85</v>
      </c>
      <c r="T500" s="45"/>
      <c r="U500" s="45"/>
      <c r="V500" s="21">
        <f t="shared" si="226"/>
        <v>85</v>
      </c>
      <c r="X500" s="21">
        <f t="shared" si="227"/>
        <v>55.6</v>
      </c>
      <c r="Y500" s="37">
        <f t="shared" si="228"/>
        <v>79.4285714285714</v>
      </c>
    </row>
    <row r="501" ht="15.6" hidden="1" outlineLevel="2" spans="1:25">
      <c r="A501" s="6">
        <v>111</v>
      </c>
      <c r="B501" s="6">
        <v>48</v>
      </c>
      <c r="C501" s="29" t="s">
        <v>566</v>
      </c>
      <c r="D501" s="29" t="s">
        <v>46</v>
      </c>
      <c r="E501" s="6">
        <v>20.5</v>
      </c>
      <c r="F501" s="1">
        <f>LOOKUP(E501,{0,0.4,1.2,2,2.8,3.6,4.4,5.7,7,8.3,9.6,10.9,12.2,13.5,14.8,16.1,17.4,19.1,20.8,22.5,24.2},{0,10,20,30,40,50,60,62,64,66,68,70,72,74,76,78,80,85,90,95,100})</f>
        <v>85</v>
      </c>
      <c r="G501" s="6">
        <v>193</v>
      </c>
      <c r="H501" s="1">
        <f>LOOKUP(G501,{0,123,128,133,138,143,148,151,154,157,160,163,166,169,172,175,178,185,192,198,204},{0,10,20,30,40,50,60,62,64,66,68,70,72,74,76,78,80,85,90,95,100})</f>
        <v>90</v>
      </c>
      <c r="I501" s="6">
        <v>54</v>
      </c>
      <c r="J501" s="1">
        <f>LOOKUP(I501,{0,13,15,17,19,21,23,25,27,29,31,33,35,37,39,41,43,46,49,51,53},{0,10,20,30,40,50,60,62,64,66,68,70,72,74,76,78,80,85,90,95,100})</f>
        <v>100</v>
      </c>
      <c r="K501" s="45">
        <f t="shared" si="229"/>
        <v>1</v>
      </c>
      <c r="L501" s="40">
        <f>LOOKUP(K501,{0,2,4,6,7,8,9,10,11,12,13},{0,1,2,3,4,5,6,7,8,9,10})</f>
        <v>0</v>
      </c>
      <c r="M501" s="21">
        <f t="shared" si="223"/>
        <v>100</v>
      </c>
      <c r="N501" s="6">
        <v>8.2</v>
      </c>
      <c r="O501" s="43">
        <f t="shared" si="224"/>
        <v>4.8</v>
      </c>
      <c r="P501" s="1">
        <f>LOOKUP(O501,{0,1.4,1.6,1.8,2,2.2,2.4,2.6,2.8,3,3.2,3.4,3.6,3.8,4,4.2,4.4,4.7,5,5.1,5.2},{0,10,20,30,40,50,60,62,64,66,68,70,72,74,76,78,80,85,90,95,100})</f>
        <v>85</v>
      </c>
      <c r="Q501" s="6">
        <v>3.27</v>
      </c>
      <c r="R501" s="6">
        <f t="shared" si="225"/>
        <v>6.73</v>
      </c>
      <c r="S501" s="1">
        <f>LOOKUP(R501,{0,4.7,4.8,4.9,5,5.5,5.6,5.65,5.7,5.75,5.8,5.85,5.9,5.95,6,6.45,6.5,6.57,6.64,6.7,6.76},{0,10,20,30,40,50,60,62,64,66,68,70,72,74,76,78,80,85,90,95,100})</f>
        <v>95</v>
      </c>
      <c r="T501" s="45"/>
      <c r="U501" s="45"/>
      <c r="V501" s="21">
        <f t="shared" si="226"/>
        <v>95</v>
      </c>
      <c r="X501" s="21">
        <f t="shared" si="227"/>
        <v>63.5</v>
      </c>
      <c r="Y501" s="37">
        <f t="shared" si="228"/>
        <v>90.7142857142857</v>
      </c>
    </row>
    <row r="502" ht="15.6" hidden="1" outlineLevel="2" spans="1:25">
      <c r="A502" s="6">
        <v>111</v>
      </c>
      <c r="B502" s="6">
        <v>49</v>
      </c>
      <c r="C502" s="29" t="s">
        <v>567</v>
      </c>
      <c r="D502" s="29" t="s">
        <v>46</v>
      </c>
      <c r="E502" s="6">
        <v>17.5</v>
      </c>
      <c r="F502" s="1">
        <f>LOOKUP(E502,{0,0.4,1.2,2,2.8,3.6,4.4,5.7,7,8.3,9.6,10.9,12.2,13.5,14.8,16.1,17.4,19.1,20.8,22.5,24.2},{0,10,20,30,40,50,60,62,64,66,68,70,72,74,76,78,80,85,90,95,100})</f>
        <v>80</v>
      </c>
      <c r="G502" s="6">
        <v>181</v>
      </c>
      <c r="H502" s="1">
        <f>LOOKUP(G502,{0,123,128,133,138,143,148,151,154,157,160,163,166,169,172,175,178,185,192,198,204},{0,10,20,30,40,50,60,62,64,66,68,70,72,74,76,78,80,85,90,95,100})</f>
        <v>80</v>
      </c>
      <c r="I502" s="6">
        <v>52</v>
      </c>
      <c r="J502" s="1">
        <f>LOOKUP(I502,{0,13,15,17,19,21,23,25,27,29,31,33,35,37,39,41,43,46,49,51,53},{0,10,20,30,40,50,60,62,64,66,68,70,72,74,76,78,80,85,90,95,100})</f>
        <v>95</v>
      </c>
      <c r="K502" s="45"/>
      <c r="L502" s="45"/>
      <c r="M502" s="21">
        <f t="shared" si="223"/>
        <v>95</v>
      </c>
      <c r="N502" s="6">
        <v>8.7</v>
      </c>
      <c r="O502" s="43">
        <f t="shared" si="224"/>
        <v>4.3</v>
      </c>
      <c r="P502" s="1">
        <f>LOOKUP(O502,{0,1.4,1.6,1.8,2,2.2,2.4,2.6,2.8,3,3.2,3.4,3.6,3.8,4,4.2,4.4,4.7,5,5.1,5.2},{0,10,20,30,40,50,60,62,64,66,68,70,72,74,76,78,80,85,90,95,100})</f>
        <v>78</v>
      </c>
      <c r="S502" s="1"/>
      <c r="T502" s="48"/>
      <c r="U502" s="40"/>
      <c r="V502" s="21"/>
      <c r="W502" s="6" t="s">
        <v>513</v>
      </c>
      <c r="X502" s="21">
        <f t="shared" si="227"/>
        <v>41.1</v>
      </c>
      <c r="Y502" s="37">
        <f t="shared" si="228"/>
        <v>58.7142857142857</v>
      </c>
    </row>
    <row r="503" ht="15.6" outlineLevel="1" collapsed="1" spans="1:25">
      <c r="A503" s="42" t="s">
        <v>852</v>
      </c>
      <c r="C503" s="29"/>
      <c r="D503" s="29"/>
      <c r="F503" s="1">
        <f>SUBTOTAL(1,F455:F502)</f>
        <v>75.7826086956522</v>
      </c>
      <c r="H503" s="1">
        <f>SUBTOTAL(1,H455:H502)</f>
        <v>78.4666666666667</v>
      </c>
      <c r="J503" s="1">
        <f>SUBTOTAL(1,J455:J502)</f>
        <v>74.3478260869565</v>
      </c>
      <c r="K503" s="45"/>
      <c r="L503" s="45"/>
      <c r="M503" s="21">
        <f>SUBTOTAL(1,M455:M502)</f>
        <v>75.1304347826087</v>
      </c>
      <c r="O503" s="43"/>
      <c r="P503" s="1">
        <f>SUBTOTAL(1,P455:P502)</f>
        <v>84.6590909090909</v>
      </c>
      <c r="S503" s="1">
        <f>SUBTOTAL(1,S455:S502)</f>
        <v>85.0909090909091</v>
      </c>
      <c r="T503" s="48"/>
      <c r="U503" s="40"/>
      <c r="V503" s="21">
        <f>SUBTOTAL(1,V455:V502)</f>
        <v>85.25</v>
      </c>
      <c r="X503" s="21">
        <f>SUBTOTAL(1,X455:X502)</f>
        <v>52.8645833333333</v>
      </c>
      <c r="Y503" s="37">
        <f>SUBTOTAL(1,Y455:Y502)</f>
        <v>78.9226190476191</v>
      </c>
    </row>
    <row r="504" ht="15.6" hidden="1" outlineLevel="2" spans="1:25">
      <c r="A504" s="6">
        <v>112</v>
      </c>
      <c r="B504" s="6">
        <v>1</v>
      </c>
      <c r="C504" s="39" t="s">
        <v>569</v>
      </c>
      <c r="D504" s="29" t="s">
        <v>11</v>
      </c>
      <c r="E504" s="6">
        <v>13</v>
      </c>
      <c r="F504" s="1">
        <f>LOOKUP(E504,{0,-4,-3,-2,-1,0,1,2.4,3.8,5.2,6.6,8,9.4,10.8,12.2,13.6,15,17.2,19.4,21.5,23.6},{0,10,20,30,40,50,60,62,64,66,68,70,72,74,76,78,80,85,90,95,100})</f>
        <v>76</v>
      </c>
      <c r="G504" s="6">
        <v>223</v>
      </c>
      <c r="H504" s="1">
        <f>LOOKUP(G504,{0,170,175,180,185,190,195,199,203,207,211,215,219,223,227,231,235,243,250,255,260},{0,10,20,30,40,50,60,62,64,66,68,70,72,74,76,78,80,85,90,95,100})</f>
        <v>74</v>
      </c>
      <c r="I504" s="6">
        <v>2</v>
      </c>
      <c r="J504" s="1">
        <f>LOOKUP(I504,{0,2,3,4,5,6,7,8,9,10,11,12,13,14,15,16},{0,10,20,30,40,50,60,64,68,72,76,80,85,90,95,100})</f>
        <v>10</v>
      </c>
      <c r="K504" s="7"/>
      <c r="L504" s="7"/>
      <c r="M504" s="21">
        <f>J504+L504</f>
        <v>10</v>
      </c>
      <c r="N504" s="6">
        <v>7.6</v>
      </c>
      <c r="O504" s="43">
        <f>13-N504</f>
        <v>5.4</v>
      </c>
      <c r="P504" s="1">
        <f>LOOKUP(O504,{0,2.5,2.7,2.9,3.1,3.3,3.5,3.7,3.9,4.1,4.3,4.5,4.7,4.9,5.1,5.3,5.5,5.6,5.7,5.8,5.9},{0,10,20,30,40,50,60,62,64,66,68,70,72,74,76,78,80,85,90,95,100})</f>
        <v>78</v>
      </c>
      <c r="Q504" s="6">
        <v>3.41</v>
      </c>
      <c r="R504" s="6">
        <f t="shared" ref="R504:R506" si="230">10-Q504</f>
        <v>6.59</v>
      </c>
      <c r="S504" s="1">
        <f>LOOKUP(R504,{0,3.75,3.95,4.55,4.75,4.95,5.55,5.6,5.65,5.7,5.75,5.8,5.85,5.9,5.95,6,6.45,6.53,6.6,6.65,6.7},{0,10,20,30,40,50,60,62,64,66,68,70,72,74,76,78,80,85,90,95,100})</f>
        <v>85</v>
      </c>
      <c r="T504" s="7"/>
      <c r="U504" s="7"/>
      <c r="V504" s="21">
        <f t="shared" ref="V504:V506" si="231">S504+U504</f>
        <v>85</v>
      </c>
      <c r="X504" s="21">
        <f t="shared" ref="X504:X520" si="232">F504*0.1+H504*0.1+J504*0.1+P504*0.2+S504*0.2</f>
        <v>48.6</v>
      </c>
      <c r="Y504" s="37">
        <f>X504/0.7+L504+U504</f>
        <v>69.4285714285714</v>
      </c>
    </row>
    <row r="505" ht="15.6" hidden="1" outlineLevel="2" spans="1:25">
      <c r="A505" s="6">
        <v>112</v>
      </c>
      <c r="B505" s="6">
        <v>2</v>
      </c>
      <c r="C505" s="29" t="s">
        <v>570</v>
      </c>
      <c r="D505" s="29" t="s">
        <v>11</v>
      </c>
      <c r="E505" s="6">
        <v>12.5</v>
      </c>
      <c r="F505" s="1">
        <f>LOOKUP(E505,{0,-4,-3,-2,-1,0,1,2.4,3.8,5.2,6.6,8,9.4,10.8,12.2,13.6,15,17.2,19.4,21.5,23.6},{0,10,20,30,40,50,60,62,64,66,68,70,72,74,76,78,80,85,90,95,100})</f>
        <v>76</v>
      </c>
      <c r="G505" s="6">
        <v>222</v>
      </c>
      <c r="H505" s="1">
        <f>LOOKUP(G505,{0,170,175,180,185,190,195,199,203,207,211,215,219,223,227,231,235,243,250,255,260},{0,10,20,30,40,50,60,62,64,66,68,70,72,74,76,78,80,85,90,95,100})</f>
        <v>72</v>
      </c>
      <c r="I505" s="6">
        <v>0</v>
      </c>
      <c r="J505" s="1">
        <f>LOOKUP(I505,{0,2,3,4,5,6,7,8,9,10,11,12,13,14,15,16},{0,10,20,30,40,50,60,64,68,72,76,80,85,90,95,100})</f>
        <v>0</v>
      </c>
      <c r="K505" s="7"/>
      <c r="L505" s="7"/>
      <c r="M505" s="21">
        <f>J505+L505</f>
        <v>0</v>
      </c>
      <c r="N505" s="6">
        <v>8.6</v>
      </c>
      <c r="O505" s="43">
        <f>13-N505</f>
        <v>4.4</v>
      </c>
      <c r="P505" s="1">
        <f>LOOKUP(O505,{0,2.5,2.7,2.9,3.1,3.3,3.5,3.7,3.9,4.1,4.3,4.5,4.7,4.9,5.1,5.3,5.5,5.6,5.7,5.8,5.9},{0,10,20,30,40,50,60,62,64,66,68,70,72,74,76,78,80,85,90,95,100})</f>
        <v>68</v>
      </c>
      <c r="Q505" s="6">
        <v>4.48</v>
      </c>
      <c r="R505" s="6">
        <f t="shared" si="230"/>
        <v>5.52</v>
      </c>
      <c r="S505" s="1">
        <f>LOOKUP(R505,{0,3.75,3.95,4.55,4.75,4.95,5.55,5.6,5.65,5.7,5.75,5.8,5.85,5.9,5.95,6,6.45,6.53,6.6,6.65,6.7},{0,10,20,30,40,50,60,62,64,66,68,70,72,74,76,78,80,85,90,95,100})</f>
        <v>50</v>
      </c>
      <c r="T505" s="7"/>
      <c r="U505" s="7"/>
      <c r="V505" s="21">
        <f t="shared" si="231"/>
        <v>50</v>
      </c>
      <c r="X505" s="21">
        <f t="shared" si="232"/>
        <v>38.4</v>
      </c>
      <c r="Y505" s="37">
        <f>X505/0.7+L505+U505</f>
        <v>54.8571428571429</v>
      </c>
    </row>
    <row r="506" ht="15.6" hidden="1" outlineLevel="2" spans="1:25">
      <c r="A506" s="6">
        <v>112</v>
      </c>
      <c r="B506" s="6">
        <v>3</v>
      </c>
      <c r="C506" s="29" t="s">
        <v>571</v>
      </c>
      <c r="D506" s="29" t="s">
        <v>11</v>
      </c>
      <c r="E506" s="6">
        <v>13</v>
      </c>
      <c r="F506" s="1">
        <f>LOOKUP(E506,{0,-4,-3,-2,-1,0,1,2.4,3.8,5.2,6.6,8,9.4,10.8,12.2,13.6,15,17.2,19.4,21.5,23.6},{0,10,20,30,40,50,60,62,64,66,68,70,72,74,76,78,80,85,90,95,100})</f>
        <v>76</v>
      </c>
      <c r="G506" s="6">
        <v>232</v>
      </c>
      <c r="H506" s="1">
        <f>LOOKUP(G506,{0,170,175,180,185,190,195,199,203,207,211,215,219,223,227,231,235,243,250,255,260},{0,10,20,30,40,50,60,62,64,66,68,70,72,74,76,78,80,85,90,95,100})</f>
        <v>78</v>
      </c>
      <c r="I506" s="6">
        <v>7</v>
      </c>
      <c r="J506" s="1">
        <f>LOOKUP(I506,{0,2,3,4,5,6,7,8,9,10,11,12,13,14,15,16},{0,10,20,30,40,50,60,64,68,72,76,80,85,90,95,100})</f>
        <v>60</v>
      </c>
      <c r="K506" s="7"/>
      <c r="L506" s="7"/>
      <c r="M506" s="21">
        <f>J506+L506</f>
        <v>60</v>
      </c>
      <c r="N506" s="6">
        <v>8</v>
      </c>
      <c r="O506" s="43">
        <f>13-N506</f>
        <v>5</v>
      </c>
      <c r="P506" s="1">
        <f>LOOKUP(O506,{0,2.5,2.7,2.9,3.1,3.3,3.5,3.7,3.9,4.1,4.3,4.5,4.7,4.9,5.1,5.3,5.5,5.6,5.7,5.8,5.9},{0,10,20,30,40,50,60,62,64,66,68,70,72,74,76,78,80,85,90,95,100})</f>
        <v>74</v>
      </c>
      <c r="Q506" s="6">
        <v>3.33</v>
      </c>
      <c r="R506" s="6">
        <f t="shared" si="230"/>
        <v>6.67</v>
      </c>
      <c r="S506" s="1">
        <f>LOOKUP(R506,{0,3.75,3.95,4.55,4.75,4.95,5.55,5.6,5.65,5.7,5.75,5.8,5.85,5.9,5.95,6,6.45,6.53,6.6,6.65,6.7},{0,10,20,30,40,50,60,62,64,66,68,70,72,74,76,78,80,85,90,95,100})</f>
        <v>95</v>
      </c>
      <c r="T506" s="7"/>
      <c r="U506" s="7"/>
      <c r="V506" s="21">
        <f t="shared" si="231"/>
        <v>95</v>
      </c>
      <c r="X506" s="21">
        <f t="shared" si="232"/>
        <v>55.2</v>
      </c>
      <c r="Y506" s="37">
        <f>X506/0.7+L506+U506</f>
        <v>78.8571428571429</v>
      </c>
    </row>
    <row r="507" ht="15.6" hidden="1" outlineLevel="2" spans="1:25">
      <c r="A507" s="6">
        <v>112</v>
      </c>
      <c r="B507" s="6">
        <v>4</v>
      </c>
      <c r="C507" s="29" t="s">
        <v>572</v>
      </c>
      <c r="D507" s="29" t="s">
        <v>11</v>
      </c>
      <c r="F507" s="1"/>
      <c r="H507" s="1"/>
      <c r="J507" s="1"/>
      <c r="K507" s="7"/>
      <c r="L507" s="7"/>
      <c r="M507" s="21"/>
      <c r="O507" s="43"/>
      <c r="P507" s="1"/>
      <c r="S507" s="1"/>
      <c r="T507" s="7"/>
      <c r="U507" s="40"/>
      <c r="V507" s="21"/>
      <c r="W507" s="6" t="s">
        <v>513</v>
      </c>
      <c r="X507" s="21">
        <f t="shared" si="232"/>
        <v>0</v>
      </c>
      <c r="Y507" s="37">
        <v>50</v>
      </c>
    </row>
    <row r="508" ht="15.6" hidden="1" outlineLevel="2" spans="1:25">
      <c r="A508" s="6">
        <v>112</v>
      </c>
      <c r="B508" s="6">
        <v>5</v>
      </c>
      <c r="C508" s="29" t="s">
        <v>573</v>
      </c>
      <c r="D508" s="29" t="s">
        <v>11</v>
      </c>
      <c r="E508" s="6">
        <v>10</v>
      </c>
      <c r="F508" s="1">
        <f>LOOKUP(E508,{0,-4,-3,-2,-1,0,1,2.4,3.8,5.2,6.6,8,9.4,10.8,12.2,13.6,15,17.2,19.4,21.5,23.6},{0,10,20,30,40,50,60,62,64,66,68,70,72,74,76,78,80,85,90,95,100})</f>
        <v>72</v>
      </c>
      <c r="G508" s="6">
        <v>240</v>
      </c>
      <c r="H508" s="1">
        <f>LOOKUP(G508,{0,170,175,180,185,190,195,199,203,207,211,215,219,223,227,231,235,243,250,255,260},{0,10,20,30,40,50,60,62,64,66,68,70,72,74,76,78,80,85,90,95,100})</f>
        <v>80</v>
      </c>
      <c r="I508" s="6">
        <v>20</v>
      </c>
      <c r="J508" s="1">
        <f>LOOKUP(I508,{0,2,3,4,5,6,7,8,9,10,11,12,13,14,15,16},{0,10,20,30,40,50,60,64,68,72,76,80,85,90,95,100})</f>
        <v>100</v>
      </c>
      <c r="K508" s="7">
        <f>I508-16</f>
        <v>4</v>
      </c>
      <c r="L508" s="40">
        <f>LOOKUP(K508,{0,1,2,3,4,5,6,7,8,9,10},{0,1,2,3,4,5,6,7,8,9,10})</f>
        <v>4</v>
      </c>
      <c r="M508" s="21">
        <f t="shared" ref="M508:M514" si="233">J508+L508</f>
        <v>104</v>
      </c>
      <c r="N508" s="6">
        <v>7.4</v>
      </c>
      <c r="O508" s="43">
        <f t="shared" ref="O508:O514" si="234">13-N508</f>
        <v>5.6</v>
      </c>
      <c r="P508" s="1">
        <f>LOOKUP(O508,{0,2.5,2.7,2.9,3.1,3.3,3.5,3.7,3.9,4.1,4.3,4.5,4.7,4.9,5.1,5.3,5.5,5.6,5.7,5.8,5.9},{0,10,20,30,40,50,60,62,64,66,68,70,72,74,76,78,80,85,90,95,100})</f>
        <v>85</v>
      </c>
      <c r="Q508" s="6">
        <v>3.49</v>
      </c>
      <c r="R508" s="6">
        <f t="shared" ref="R508:R514" si="235">10-Q508</f>
        <v>6.51</v>
      </c>
      <c r="S508" s="1">
        <f>LOOKUP(R508,{0,3.75,3.95,4.55,4.75,4.95,5.55,5.6,5.65,5.7,5.75,5.8,5.85,5.9,5.95,6,6.45,6.53,6.6,6.65,6.7},{0,10,20,30,40,50,60,62,64,66,68,70,72,74,76,78,80,85,90,95,100})</f>
        <v>80</v>
      </c>
      <c r="T508" s="7"/>
      <c r="U508" s="7"/>
      <c r="V508" s="21">
        <f t="shared" ref="V508:V514" si="236">S508+U508</f>
        <v>80</v>
      </c>
      <c r="X508" s="21">
        <f t="shared" si="232"/>
        <v>58.2</v>
      </c>
      <c r="Y508" s="37">
        <f t="shared" ref="Y508:Y514" si="237">X508/0.7+L508+U508</f>
        <v>87.1428571428572</v>
      </c>
    </row>
    <row r="509" ht="15.6" hidden="1" outlineLevel="2" spans="1:25">
      <c r="A509" s="6">
        <v>112</v>
      </c>
      <c r="B509" s="6">
        <v>6</v>
      </c>
      <c r="C509" s="29" t="s">
        <v>574</v>
      </c>
      <c r="D509" s="29" t="s">
        <v>11</v>
      </c>
      <c r="E509" s="6">
        <v>3.5</v>
      </c>
      <c r="F509" s="1">
        <f>LOOKUP(E509,{0,-4,-3,-2,-1,0,1,2.4,3.8,5.2,6.6,8,9.4,10.8,12.2,13.6,15,17.2,19.4,21.5,23.6},{0,10,20,30,40,50,60,62,64,66,68,70,72,74,76,78,80,85,90,95,100})</f>
        <v>62</v>
      </c>
      <c r="G509" s="6">
        <v>232</v>
      </c>
      <c r="H509" s="1">
        <f>LOOKUP(G509,{0,170,175,180,185,190,195,199,203,207,211,215,219,223,227,231,235,243,250,255,260},{0,10,20,30,40,50,60,62,64,66,68,70,72,74,76,78,80,85,90,95,100})</f>
        <v>78</v>
      </c>
      <c r="I509" s="6">
        <v>5</v>
      </c>
      <c r="J509" s="1">
        <f>LOOKUP(I509,{0,2,3,4,5,6,7,8,9,10,11,12,13,14,15,16},{0,10,20,30,40,50,60,64,68,72,76,80,85,90,95,100})</f>
        <v>40</v>
      </c>
      <c r="K509" s="7"/>
      <c r="L509" s="7"/>
      <c r="M509" s="21">
        <f t="shared" si="233"/>
        <v>40</v>
      </c>
      <c r="N509" s="6">
        <v>7.1</v>
      </c>
      <c r="O509" s="43">
        <f t="shared" si="234"/>
        <v>5.9</v>
      </c>
      <c r="P509" s="1">
        <f>LOOKUP(O509,{0,2.5,2.7,2.9,3.1,3.3,3.5,3.7,3.9,4.1,4.3,4.5,4.7,4.9,5.1,5.3,5.5,5.6,5.7,5.8,5.9},{0,10,20,30,40,50,60,62,64,66,68,70,72,74,76,78,80,85,90,95,100})</f>
        <v>100</v>
      </c>
      <c r="Q509" s="6">
        <v>3.46</v>
      </c>
      <c r="R509" s="6">
        <f t="shared" si="235"/>
        <v>6.54</v>
      </c>
      <c r="S509" s="1">
        <f>LOOKUP(R509,{0,3.75,3.95,4.55,4.75,4.95,5.55,5.6,5.65,5.7,5.75,5.8,5.85,5.9,5.95,6,6.45,6.53,6.6,6.65,6.7},{0,10,20,30,40,50,60,62,64,66,68,70,72,74,76,78,80,85,90,95,100})</f>
        <v>85</v>
      </c>
      <c r="T509" s="7"/>
      <c r="U509" s="7"/>
      <c r="V509" s="21">
        <f t="shared" si="236"/>
        <v>85</v>
      </c>
      <c r="X509" s="21">
        <f t="shared" si="232"/>
        <v>55</v>
      </c>
      <c r="Y509" s="37">
        <f t="shared" si="237"/>
        <v>78.5714285714286</v>
      </c>
    </row>
    <row r="510" ht="15.6" hidden="1" outlineLevel="2" spans="1:25">
      <c r="A510" s="6">
        <v>112</v>
      </c>
      <c r="B510" s="6">
        <v>7</v>
      </c>
      <c r="C510" s="29" t="s">
        <v>575</v>
      </c>
      <c r="D510" s="29" t="s">
        <v>11</v>
      </c>
      <c r="E510" s="6">
        <v>8.5</v>
      </c>
      <c r="F510" s="1">
        <f>LOOKUP(E510,{0,-4,-3,-2,-1,0,1,2.4,3.8,5.2,6.6,8,9.4,10.8,12.2,13.6,15,17.2,19.4,21.5,23.6},{0,10,20,30,40,50,60,62,64,66,68,70,72,74,76,78,80,85,90,95,100})</f>
        <v>70</v>
      </c>
      <c r="G510" s="6">
        <v>232</v>
      </c>
      <c r="H510" s="1">
        <f>LOOKUP(G510,{0,170,175,180,185,190,195,199,203,207,211,215,219,223,227,231,235,243,250,255,260},{0,10,20,30,40,50,60,62,64,66,68,70,72,74,76,78,80,85,90,95,100})</f>
        <v>78</v>
      </c>
      <c r="I510" s="6">
        <v>20</v>
      </c>
      <c r="J510" s="1">
        <f>LOOKUP(I510,{0,2,3,4,5,6,7,8,9,10,11,12,13,14,15,16},{0,10,20,30,40,50,60,64,68,72,76,80,85,90,95,100})</f>
        <v>100</v>
      </c>
      <c r="K510" s="7">
        <f>I510-16</f>
        <v>4</v>
      </c>
      <c r="L510" s="40">
        <f>LOOKUP(K510,{0,1,2,3,4,5,6,7,8,9,10},{0,1,2,3,4,5,6,7,8,9,10})</f>
        <v>4</v>
      </c>
      <c r="M510" s="21">
        <f t="shared" si="233"/>
        <v>104</v>
      </c>
      <c r="N510" s="6">
        <v>7.6</v>
      </c>
      <c r="O510" s="43">
        <f t="shared" si="234"/>
        <v>5.4</v>
      </c>
      <c r="P510" s="1">
        <f>LOOKUP(O510,{0,2.5,2.7,2.9,3.1,3.3,3.5,3.7,3.9,4.1,4.3,4.5,4.7,4.9,5.1,5.3,5.5,5.6,5.7,5.8,5.9},{0,10,20,30,40,50,60,62,64,66,68,70,72,74,76,78,80,85,90,95,100})</f>
        <v>78</v>
      </c>
      <c r="Q510" s="6">
        <v>3.37</v>
      </c>
      <c r="R510" s="6">
        <f t="shared" si="235"/>
        <v>6.63</v>
      </c>
      <c r="S510" s="1">
        <f>LOOKUP(R510,{0,3.75,3.95,4.55,4.75,4.95,5.55,5.6,5.65,5.7,5.75,5.8,5.85,5.9,5.95,6,6.45,6.53,6.6,6.65,6.7},{0,10,20,30,40,50,60,62,64,66,68,70,72,74,76,78,80,85,90,95,100})</f>
        <v>90</v>
      </c>
      <c r="T510" s="7"/>
      <c r="U510" s="7"/>
      <c r="V510" s="21">
        <f t="shared" si="236"/>
        <v>90</v>
      </c>
      <c r="X510" s="21">
        <f t="shared" si="232"/>
        <v>58.4</v>
      </c>
      <c r="Y510" s="37">
        <f t="shared" si="237"/>
        <v>87.4285714285714</v>
      </c>
    </row>
    <row r="511" s="3" customFormat="1" ht="15.6" hidden="1" outlineLevel="2" spans="1:25">
      <c r="A511" s="6">
        <v>112</v>
      </c>
      <c r="B511" s="6">
        <v>8</v>
      </c>
      <c r="C511" s="29" t="s">
        <v>576</v>
      </c>
      <c r="D511" s="29" t="s">
        <v>11</v>
      </c>
      <c r="E511" s="6">
        <v>20.5</v>
      </c>
      <c r="F511" s="1">
        <f>LOOKUP(E511,{0,-4,-3,-2,-1,0,1,2.4,3.8,5.2,6.6,8,9.4,10.8,12.2,13.6,15,17.2,19.4,21.5,23.6},{0,10,20,30,40,50,60,62,64,66,68,70,72,74,76,78,80,85,90,95,100})</f>
        <v>90</v>
      </c>
      <c r="G511" s="6">
        <v>230</v>
      </c>
      <c r="H511" s="1">
        <f>LOOKUP(G511,{0,170,175,180,185,190,195,199,203,207,211,215,219,223,227,231,235,243,250,255,260},{0,10,20,30,40,50,60,62,64,66,68,70,72,74,76,78,80,85,90,95,100})</f>
        <v>76</v>
      </c>
      <c r="I511" s="6">
        <v>6</v>
      </c>
      <c r="J511" s="1">
        <f>LOOKUP(I511,{0,2,3,4,5,6,7,8,9,10,11,12,13,14,15,16},{0,10,20,30,40,50,60,64,68,72,76,80,85,90,95,100})</f>
        <v>50</v>
      </c>
      <c r="K511" s="7"/>
      <c r="L511" s="7"/>
      <c r="M511" s="21">
        <f t="shared" si="233"/>
        <v>50</v>
      </c>
      <c r="N511" s="6">
        <v>7.4</v>
      </c>
      <c r="O511" s="43">
        <f t="shared" si="234"/>
        <v>5.6</v>
      </c>
      <c r="P511" s="1">
        <f>LOOKUP(O511,{0,2.5,2.7,2.9,3.1,3.3,3.5,3.7,3.9,4.1,4.3,4.5,4.7,4.9,5.1,5.3,5.5,5.6,5.7,5.8,5.9},{0,10,20,30,40,50,60,62,64,66,68,70,72,74,76,78,80,85,90,95,100})</f>
        <v>85</v>
      </c>
      <c r="Q511" s="6">
        <v>3.35</v>
      </c>
      <c r="R511" s="6">
        <f t="shared" si="235"/>
        <v>6.65</v>
      </c>
      <c r="S511" s="1">
        <f>LOOKUP(R511,{0,3.75,3.95,4.55,4.75,4.95,5.55,5.6,5.65,5.7,5.75,5.8,5.85,5.9,5.95,6,6.45,6.53,6.6,6.65,6.7},{0,10,20,30,40,50,60,62,64,66,68,70,72,74,76,78,80,85,90,95,100})</f>
        <v>95</v>
      </c>
      <c r="T511" s="7"/>
      <c r="U511" s="7"/>
      <c r="V511" s="21">
        <f t="shared" si="236"/>
        <v>95</v>
      </c>
      <c r="W511" s="6"/>
      <c r="X511" s="21">
        <f t="shared" si="232"/>
        <v>57.6</v>
      </c>
      <c r="Y511" s="37">
        <f t="shared" si="237"/>
        <v>82.2857142857143</v>
      </c>
    </row>
    <row r="512" ht="15.6" hidden="1" outlineLevel="2" spans="1:25">
      <c r="A512" s="6">
        <v>112</v>
      </c>
      <c r="B512" s="6">
        <v>9</v>
      </c>
      <c r="C512" s="29" t="s">
        <v>577</v>
      </c>
      <c r="D512" s="29" t="s">
        <v>11</v>
      </c>
      <c r="E512" s="6">
        <v>9</v>
      </c>
      <c r="F512" s="1">
        <f>LOOKUP(E512,{0,-4,-3,-2,-1,0,1,2.4,3.8,5.2,6.6,8,9.4,10.8,12.2,13.6,15,17.2,19.4,21.5,23.6},{0,10,20,30,40,50,60,62,64,66,68,70,72,74,76,78,80,85,90,95,100})</f>
        <v>70</v>
      </c>
      <c r="G512" s="6">
        <v>266</v>
      </c>
      <c r="H512" s="1">
        <f>LOOKUP(G512,{0,170,175,180,185,190,195,199,203,207,211,215,219,223,227,231,235,243,250,255,260},{0,10,20,30,40,50,60,62,64,66,68,70,72,74,76,78,80,85,90,95,100})</f>
        <v>100</v>
      </c>
      <c r="I512" s="6">
        <v>2</v>
      </c>
      <c r="J512" s="1">
        <f>LOOKUP(I512,{0,2,3,4,5,6,7,8,9,10,11,12,13,14,15,16},{0,10,20,30,40,50,60,64,68,72,76,80,85,90,95,100})</f>
        <v>10</v>
      </c>
      <c r="K512" s="7"/>
      <c r="L512" s="7"/>
      <c r="M512" s="21">
        <f t="shared" si="233"/>
        <v>10</v>
      </c>
      <c r="N512" s="6">
        <v>7</v>
      </c>
      <c r="O512" s="43">
        <f t="shared" si="234"/>
        <v>6</v>
      </c>
      <c r="P512" s="1">
        <f>LOOKUP(O512,{0,2.5,2.7,2.9,3.1,3.3,3.5,3.7,3.9,4.1,4.3,4.5,4.7,4.9,5.1,5.3,5.5,5.6,5.7,5.8,5.9},{0,10,20,30,40,50,60,62,64,66,68,70,72,74,76,78,80,85,90,95,100})</f>
        <v>100</v>
      </c>
      <c r="Q512" s="6">
        <v>3.27</v>
      </c>
      <c r="R512" s="6">
        <f t="shared" si="235"/>
        <v>6.73</v>
      </c>
      <c r="S512" s="1">
        <f>LOOKUP(R512,{0,3.75,3.95,4.55,4.75,4.95,5.55,5.6,5.65,5.7,5.75,5.8,5.85,5.9,5.95,6,6.45,6.53,6.6,6.65,6.7},{0,10,20,30,40,50,60,62,64,66,68,70,72,74,76,78,80,85,90,95,100})</f>
        <v>100</v>
      </c>
      <c r="T512" s="7">
        <f t="shared" ref="T512:T518" si="238">3.3-Q512</f>
        <v>0.0299999999999998</v>
      </c>
      <c r="U512" s="40">
        <f>LOOKUP(T512,{0,0.04,0.08,0.12,0.16,0.2,0.23,0.26,0.29,0.32,0.35},{0,1,2,3,4,5,6,7,8,9,10})</f>
        <v>0</v>
      </c>
      <c r="V512" s="21">
        <f t="shared" si="236"/>
        <v>100</v>
      </c>
      <c r="X512" s="21">
        <f t="shared" si="232"/>
        <v>58</v>
      </c>
      <c r="Y512" s="37">
        <f t="shared" si="237"/>
        <v>82.8571428571429</v>
      </c>
    </row>
    <row r="513" ht="15.6" hidden="1" outlineLevel="2" spans="1:25">
      <c r="A513" s="6">
        <v>112</v>
      </c>
      <c r="B513" s="6">
        <v>10</v>
      </c>
      <c r="C513" s="39" t="s">
        <v>579</v>
      </c>
      <c r="D513" s="29" t="s">
        <v>11</v>
      </c>
      <c r="E513" s="6">
        <v>3</v>
      </c>
      <c r="F513" s="1">
        <f>LOOKUP(E513,{0,-4,-3,-2,-1,0,1,2.4,3.8,5.2,6.6,8,9.4,10.8,12.2,13.6,15,17.2,19.4,21.5,23.6},{0,10,20,30,40,50,60,62,64,66,68,70,72,74,76,78,80,85,90,95,100})</f>
        <v>62</v>
      </c>
      <c r="G513" s="6">
        <v>220</v>
      </c>
      <c r="H513" s="1">
        <f>LOOKUP(G513,{0,170,175,180,185,190,195,199,203,207,211,215,219,223,227,231,235,243,250,255,260},{0,10,20,30,40,50,60,62,64,66,68,70,72,74,76,78,80,85,90,95,100})</f>
        <v>72</v>
      </c>
      <c r="I513" s="6">
        <v>6</v>
      </c>
      <c r="J513" s="1">
        <f>LOOKUP(I513,{0,2,3,4,5,6,7,8,9,10,11,12,13,14,15,16},{0,10,20,30,40,50,60,64,68,72,76,80,85,90,95,100})</f>
        <v>50</v>
      </c>
      <c r="K513" s="7"/>
      <c r="L513" s="7"/>
      <c r="M513" s="21">
        <f t="shared" si="233"/>
        <v>50</v>
      </c>
      <c r="N513" s="6">
        <v>7.4</v>
      </c>
      <c r="O513" s="43">
        <f t="shared" si="234"/>
        <v>5.6</v>
      </c>
      <c r="P513" s="1">
        <f>LOOKUP(O513,{0,2.5,2.7,2.9,3.1,3.3,3.5,3.7,3.9,4.1,4.3,4.5,4.7,4.9,5.1,5.3,5.5,5.6,5.7,5.8,5.9},{0,10,20,30,40,50,60,62,64,66,68,70,72,74,76,78,80,85,90,95,100})</f>
        <v>85</v>
      </c>
      <c r="Q513" s="6">
        <v>3.4</v>
      </c>
      <c r="R513" s="6">
        <f t="shared" si="235"/>
        <v>6.6</v>
      </c>
      <c r="S513" s="1">
        <f>LOOKUP(R513,{0,3.75,3.95,4.55,4.75,4.95,5.55,5.6,5.65,5.7,5.75,5.8,5.85,5.9,5.95,6,6.45,6.53,6.6,6.65,6.7},{0,10,20,30,40,50,60,62,64,66,68,70,72,74,76,78,80,85,90,95,100})</f>
        <v>90</v>
      </c>
      <c r="T513" s="7"/>
      <c r="U513" s="7"/>
      <c r="V513" s="21">
        <f t="shared" si="236"/>
        <v>90</v>
      </c>
      <c r="X513" s="21">
        <f t="shared" si="232"/>
        <v>53.4</v>
      </c>
      <c r="Y513" s="37">
        <f t="shared" si="237"/>
        <v>76.2857142857143</v>
      </c>
    </row>
    <row r="514" ht="15.6" hidden="1" outlineLevel="2" spans="1:25">
      <c r="A514" s="6">
        <v>112</v>
      </c>
      <c r="B514" s="6">
        <v>11</v>
      </c>
      <c r="C514" s="29" t="s">
        <v>580</v>
      </c>
      <c r="D514" s="29" t="s">
        <v>11</v>
      </c>
      <c r="E514" s="6">
        <v>4</v>
      </c>
      <c r="F514" s="1">
        <f>LOOKUP(E514,{0,-4,-3,-2,-1,0,1,2.4,3.8,5.2,6.6,8,9.4,10.8,12.2,13.6,15,17.2,19.4,21.5,23.6},{0,10,20,30,40,50,60,62,64,66,68,70,72,74,76,78,80,85,90,95,100})</f>
        <v>64</v>
      </c>
      <c r="G514" s="6">
        <v>245</v>
      </c>
      <c r="H514" s="1">
        <f>LOOKUP(G514,{0,170,175,180,185,190,195,199,203,207,211,215,219,223,227,231,235,243,250,255,260},{0,10,20,30,40,50,60,62,64,66,68,70,72,74,76,78,80,85,90,95,100})</f>
        <v>85</v>
      </c>
      <c r="I514" s="6">
        <v>28</v>
      </c>
      <c r="J514" s="1">
        <f>LOOKUP(I514,{0,2,3,4,5,6,7,8,9,10,11,12,13,14,15,16},{0,10,20,30,40,50,60,64,68,72,76,80,85,90,95,100})</f>
        <v>100</v>
      </c>
      <c r="K514" s="7">
        <f t="shared" ref="K514:K519" si="239">I514-16</f>
        <v>12</v>
      </c>
      <c r="L514" s="40">
        <f>LOOKUP(K514,{0,1,2,3,4,5,6,7,8,9,10},{0,1,2,3,4,5,6,7,8,9,10})</f>
        <v>10</v>
      </c>
      <c r="M514" s="21">
        <f t="shared" si="233"/>
        <v>110</v>
      </c>
      <c r="N514" s="6">
        <v>7</v>
      </c>
      <c r="O514" s="43">
        <f t="shared" si="234"/>
        <v>6</v>
      </c>
      <c r="P514" s="1">
        <f>LOOKUP(O514,{0,2.5,2.7,2.9,3.1,3.3,3.5,3.7,3.9,4.1,4.3,4.5,4.7,4.9,5.1,5.3,5.5,5.6,5.7,5.8,5.9},{0,10,20,30,40,50,60,62,64,66,68,70,72,74,76,78,80,85,90,95,100})</f>
        <v>100</v>
      </c>
      <c r="Q514" s="6">
        <v>3.28</v>
      </c>
      <c r="R514" s="6">
        <f t="shared" si="235"/>
        <v>6.72</v>
      </c>
      <c r="S514" s="1">
        <f>LOOKUP(R514,{0,3.75,3.95,4.55,4.75,4.95,5.55,5.6,5.65,5.7,5.75,5.8,5.85,5.9,5.95,6,6.45,6.53,6.6,6.65,6.7},{0,10,20,30,40,50,60,62,64,66,68,70,72,74,76,78,80,85,90,95,100})</f>
        <v>100</v>
      </c>
      <c r="T514" s="7">
        <f t="shared" si="238"/>
        <v>0.02</v>
      </c>
      <c r="U514" s="40">
        <f>LOOKUP(T514,{0,0.04,0.08,0.12,0.16,0.2,0.23,0.26,0.29,0.32,0.35},{0,1,2,3,4,5,6,7,8,9,10})</f>
        <v>0</v>
      </c>
      <c r="V514" s="21">
        <f t="shared" si="236"/>
        <v>100</v>
      </c>
      <c r="X514" s="21">
        <f t="shared" si="232"/>
        <v>64.9</v>
      </c>
      <c r="Y514" s="37">
        <f t="shared" si="237"/>
        <v>102.714285714286</v>
      </c>
    </row>
    <row r="515" ht="15.6" hidden="1" outlineLevel="2" spans="1:25">
      <c r="A515" s="6">
        <v>112</v>
      </c>
      <c r="B515" s="6">
        <v>12</v>
      </c>
      <c r="C515" s="29" t="s">
        <v>581</v>
      </c>
      <c r="D515" s="29" t="s">
        <v>11</v>
      </c>
      <c r="F515" s="1"/>
      <c r="H515" s="1"/>
      <c r="J515" s="1"/>
      <c r="K515" s="7"/>
      <c r="L515" s="7"/>
      <c r="M515" s="21"/>
      <c r="O515" s="43"/>
      <c r="P515" s="1"/>
      <c r="S515" s="1"/>
      <c r="T515" s="7"/>
      <c r="U515" s="40"/>
      <c r="V515" s="21"/>
      <c r="W515" s="6" t="s">
        <v>513</v>
      </c>
      <c r="X515" s="21">
        <f t="shared" si="232"/>
        <v>0</v>
      </c>
      <c r="Y515" s="37">
        <v>50</v>
      </c>
    </row>
    <row r="516" ht="15.6" hidden="1" outlineLevel="2" spans="1:25">
      <c r="A516" s="6">
        <v>112</v>
      </c>
      <c r="B516" s="6">
        <v>13</v>
      </c>
      <c r="C516" s="29" t="s">
        <v>582</v>
      </c>
      <c r="D516" s="29" t="s">
        <v>11</v>
      </c>
      <c r="E516" s="6">
        <v>16</v>
      </c>
      <c r="F516" s="1">
        <f>LOOKUP(E516,{0,-4,-3,-2,-1,0,1,2.4,3.8,5.2,6.6,8,9.4,10.8,12.2,13.6,15,17.2,19.4,21.5,23.6},{0,10,20,30,40,50,60,62,64,66,68,70,72,74,76,78,80,85,90,95,100})</f>
        <v>80</v>
      </c>
      <c r="G516" s="6">
        <v>235</v>
      </c>
      <c r="H516" s="1">
        <f>LOOKUP(G516,{0,170,175,180,185,190,195,199,203,207,211,215,219,223,227,231,235,243,250,255,260},{0,10,20,30,40,50,60,62,64,66,68,70,72,74,76,78,80,85,90,95,100})</f>
        <v>80</v>
      </c>
      <c r="I516" s="6">
        <v>10</v>
      </c>
      <c r="J516" s="1">
        <f>LOOKUP(I516,{0,2,3,4,5,6,7,8,9,10,11,12,13,14,15,16},{0,10,20,30,40,50,60,64,68,72,76,80,85,90,95,100})</f>
        <v>72</v>
      </c>
      <c r="K516" s="7"/>
      <c r="L516" s="7"/>
      <c r="M516" s="21">
        <f t="shared" ref="M516:M529" si="240">J516+L516</f>
        <v>72</v>
      </c>
      <c r="N516" s="6">
        <v>7.3</v>
      </c>
      <c r="O516" s="43">
        <f t="shared" ref="O516:O522" si="241">13-N516</f>
        <v>5.7</v>
      </c>
      <c r="P516" s="1">
        <f>LOOKUP(O516,{0,2.5,2.7,2.9,3.1,3.3,3.5,3.7,3.9,4.1,4.3,4.5,4.7,4.9,5.1,5.3,5.5,5.6,5.7,5.8,5.9},{0,10,20,30,40,50,60,62,64,66,68,70,72,74,76,78,80,85,90,95,100})</f>
        <v>90</v>
      </c>
      <c r="Q516" s="6">
        <v>4.16</v>
      </c>
      <c r="R516" s="6">
        <f t="shared" ref="R516:R529" si="242">10-Q516</f>
        <v>5.84</v>
      </c>
      <c r="S516" s="1">
        <f>LOOKUP(R516,{0,3.75,3.95,4.55,4.75,4.95,5.55,5.6,5.65,5.7,5.75,5.8,5.85,5.9,5.95,6,6.45,6.53,6.6,6.65,6.7},{0,10,20,30,40,50,60,62,64,66,68,70,72,74,76,78,80,85,90,95,100})</f>
        <v>70</v>
      </c>
      <c r="T516" s="7"/>
      <c r="U516" s="7"/>
      <c r="V516" s="21">
        <f t="shared" ref="V516:V529" si="243">S516+U516</f>
        <v>70</v>
      </c>
      <c r="X516" s="21">
        <f t="shared" si="232"/>
        <v>55.2</v>
      </c>
      <c r="Y516" s="37">
        <f t="shared" ref="Y516:Y529" si="244">X516/0.7+L516+U516</f>
        <v>78.8571428571429</v>
      </c>
    </row>
    <row r="517" ht="15.6" hidden="1" outlineLevel="2" spans="1:25">
      <c r="A517" s="6">
        <v>112</v>
      </c>
      <c r="B517" s="6">
        <v>14</v>
      </c>
      <c r="C517" s="29" t="s">
        <v>583</v>
      </c>
      <c r="D517" s="29" t="s">
        <v>11</v>
      </c>
      <c r="E517" s="6">
        <v>13</v>
      </c>
      <c r="F517" s="1">
        <f>LOOKUP(E517,{0,-4,-3,-2,-1,0,1,2.4,3.8,5.2,6.6,8,9.4,10.8,12.2,13.6,15,17.2,19.4,21.5,23.6},{0,10,20,30,40,50,60,62,64,66,68,70,72,74,76,78,80,85,90,95,100})</f>
        <v>76</v>
      </c>
      <c r="G517" s="6">
        <v>252</v>
      </c>
      <c r="H517" s="1">
        <f>LOOKUP(G517,{0,170,175,180,185,190,195,199,203,207,211,215,219,223,227,231,235,243,250,255,260},{0,10,20,30,40,50,60,62,64,66,68,70,72,74,76,78,80,85,90,95,100})</f>
        <v>90</v>
      </c>
      <c r="I517" s="6">
        <v>11</v>
      </c>
      <c r="J517" s="1">
        <f>LOOKUP(I517,{0,2,3,4,5,6,7,8,9,10,11,12,13,14,15,16},{0,10,20,30,40,50,60,64,68,72,76,80,85,90,95,100})</f>
        <v>76</v>
      </c>
      <c r="K517" s="7"/>
      <c r="L517" s="7"/>
      <c r="M517" s="21">
        <f t="shared" si="240"/>
        <v>76</v>
      </c>
      <c r="N517" s="6">
        <v>7</v>
      </c>
      <c r="O517" s="43">
        <f t="shared" si="241"/>
        <v>6</v>
      </c>
      <c r="P517" s="1">
        <f>LOOKUP(O517,{0,2.5,2.7,2.9,3.1,3.3,3.5,3.7,3.9,4.1,4.3,4.5,4.7,4.9,5.1,5.3,5.5,5.6,5.7,5.8,5.9},{0,10,20,30,40,50,60,62,64,66,68,70,72,74,76,78,80,85,90,95,100})</f>
        <v>100</v>
      </c>
      <c r="Q517" s="6">
        <v>3.26</v>
      </c>
      <c r="R517" s="6">
        <f t="shared" si="242"/>
        <v>6.74</v>
      </c>
      <c r="S517" s="1">
        <f>LOOKUP(R517,{0,3.75,3.95,4.55,4.75,4.95,5.55,5.6,5.65,5.7,5.75,5.8,5.85,5.9,5.95,6,6.45,6.53,6.6,6.65,6.7},{0,10,20,30,40,50,60,62,64,66,68,70,72,74,76,78,80,85,90,95,100})</f>
        <v>100</v>
      </c>
      <c r="T517" s="7">
        <f t="shared" si="238"/>
        <v>0.04</v>
      </c>
      <c r="U517" s="40">
        <f>LOOKUP(T517,{0,0.04,0.08,0.12,0.16,0.2,0.23,0.26,0.29,0.32,0.35},{0,1,2,3,4,5,6,7,8,9,10})</f>
        <v>1</v>
      </c>
      <c r="V517" s="21">
        <f t="shared" si="243"/>
        <v>101</v>
      </c>
      <c r="X517" s="21">
        <f t="shared" si="232"/>
        <v>64.2</v>
      </c>
      <c r="Y517" s="37">
        <f t="shared" si="244"/>
        <v>92.7142857142857</v>
      </c>
    </row>
    <row r="518" ht="15.6" hidden="1" outlineLevel="2" spans="1:25">
      <c r="A518" s="6">
        <v>112</v>
      </c>
      <c r="B518" s="6">
        <v>15</v>
      </c>
      <c r="C518" s="29" t="s">
        <v>584</v>
      </c>
      <c r="D518" s="29" t="s">
        <v>11</v>
      </c>
      <c r="E518" s="6">
        <v>16</v>
      </c>
      <c r="F518" s="1">
        <f>LOOKUP(E518,{0,-4,-3,-2,-1,0,1,2.4,3.8,5.2,6.6,8,9.4,10.8,12.2,13.6,15,17.2,19.4,21.5,23.6},{0,10,20,30,40,50,60,62,64,66,68,70,72,74,76,78,80,85,90,95,100})</f>
        <v>80</v>
      </c>
      <c r="G518" s="6">
        <v>265</v>
      </c>
      <c r="H518" s="1">
        <f>LOOKUP(G518,{0,170,175,180,185,190,195,199,203,207,211,215,219,223,227,231,235,243,250,255,260},{0,10,20,30,40,50,60,62,64,66,68,70,72,74,76,78,80,85,90,95,100})</f>
        <v>100</v>
      </c>
      <c r="I518" s="6">
        <v>26</v>
      </c>
      <c r="J518" s="1">
        <f>LOOKUP(I518,{0,2,3,4,5,6,7,8,9,10,11,12,13,14,15,16},{0,10,20,30,40,50,60,64,68,72,76,80,85,90,95,100})</f>
        <v>100</v>
      </c>
      <c r="K518" s="7">
        <f t="shared" si="239"/>
        <v>10</v>
      </c>
      <c r="L518" s="40">
        <f>LOOKUP(K518,{0,1,2,3,4,5,6,7,8,9,10},{0,1,2,3,4,5,6,7,8,9,10})</f>
        <v>10</v>
      </c>
      <c r="M518" s="21">
        <f t="shared" si="240"/>
        <v>110</v>
      </c>
      <c r="N518" s="6">
        <v>6.8</v>
      </c>
      <c r="O518" s="43">
        <f t="shared" si="241"/>
        <v>6.2</v>
      </c>
      <c r="P518" s="1">
        <f>LOOKUP(O518,{0,2.5,2.7,2.9,3.1,3.3,3.5,3.7,3.9,4.1,4.3,4.5,4.7,4.9,5.1,5.3,5.5,5.6,5.7,5.8,5.9},{0,10,20,30,40,50,60,62,64,66,68,70,72,74,76,78,80,85,90,95,100})</f>
        <v>100</v>
      </c>
      <c r="Q518" s="6">
        <v>3.21</v>
      </c>
      <c r="R518" s="6">
        <f t="shared" si="242"/>
        <v>6.79</v>
      </c>
      <c r="S518" s="1">
        <f>LOOKUP(R518,{0,3.75,3.95,4.55,4.75,4.95,5.55,5.6,5.65,5.7,5.75,5.8,5.85,5.9,5.95,6,6.45,6.53,6.6,6.65,6.7},{0,10,20,30,40,50,60,62,64,66,68,70,72,74,76,78,80,85,90,95,100})</f>
        <v>100</v>
      </c>
      <c r="T518" s="7">
        <f t="shared" si="238"/>
        <v>0.0899999999999999</v>
      </c>
      <c r="U518" s="40">
        <f>LOOKUP(T518,{0,0.04,0.08,0.12,0.16,0.2,0.23,0.26,0.29,0.32,0.35},{0,1,2,3,4,5,6,7,8,9,10})</f>
        <v>2</v>
      </c>
      <c r="V518" s="21">
        <f t="shared" si="243"/>
        <v>102</v>
      </c>
      <c r="X518" s="21">
        <f t="shared" si="232"/>
        <v>68</v>
      </c>
      <c r="Y518" s="37">
        <f t="shared" si="244"/>
        <v>109.142857142857</v>
      </c>
    </row>
    <row r="519" ht="15.6" hidden="1" outlineLevel="2" spans="1:25">
      <c r="A519" s="6">
        <v>112</v>
      </c>
      <c r="B519" s="6">
        <v>16</v>
      </c>
      <c r="C519" s="29" t="s">
        <v>585</v>
      </c>
      <c r="D519" s="29" t="s">
        <v>11</v>
      </c>
      <c r="E519" s="6">
        <v>15</v>
      </c>
      <c r="F519" s="1">
        <f>LOOKUP(E519,{0,-4,-3,-2,-1,0,1,2.4,3.8,5.2,6.6,8,9.4,10.8,12.2,13.6,15,17.2,19.4,21.5,23.6},{0,10,20,30,40,50,60,62,64,66,68,70,72,74,76,78,80,85,90,95,100})</f>
        <v>80</v>
      </c>
      <c r="G519" s="6">
        <v>210</v>
      </c>
      <c r="H519" s="1">
        <f>LOOKUP(G519,{0,170,175,180,185,190,195,199,203,207,211,215,219,223,227,231,235,243,250,255,260},{0,10,20,30,40,50,60,62,64,66,68,70,72,74,76,78,80,85,90,95,100})</f>
        <v>66</v>
      </c>
      <c r="I519" s="6">
        <v>20</v>
      </c>
      <c r="J519" s="1">
        <f>LOOKUP(I519,{0,2,3,4,5,6,7,8,9,10,11,12,13,14,15,16},{0,10,20,30,40,50,60,64,68,72,76,80,85,90,95,100})</f>
        <v>100</v>
      </c>
      <c r="K519" s="7">
        <f t="shared" si="239"/>
        <v>4</v>
      </c>
      <c r="L519" s="40">
        <f>LOOKUP(K519,{0,1,2,3,4,5,6,7,8,9,10},{0,1,2,3,4,5,6,7,8,9,10})</f>
        <v>4</v>
      </c>
      <c r="M519" s="21">
        <f t="shared" si="240"/>
        <v>104</v>
      </c>
      <c r="N519" s="6">
        <v>7.4</v>
      </c>
      <c r="O519" s="43">
        <f t="shared" si="241"/>
        <v>5.6</v>
      </c>
      <c r="P519" s="1">
        <f>LOOKUP(O519,{0,2.5,2.7,2.9,3.1,3.3,3.5,3.7,3.9,4.1,4.3,4.5,4.7,4.9,5.1,5.3,5.5,5.6,5.7,5.8,5.9},{0,10,20,30,40,50,60,62,64,66,68,70,72,74,76,78,80,85,90,95,100})</f>
        <v>85</v>
      </c>
      <c r="Q519" s="6">
        <v>3.49</v>
      </c>
      <c r="R519" s="6">
        <f t="shared" si="242"/>
        <v>6.51</v>
      </c>
      <c r="S519" s="1">
        <f>LOOKUP(R519,{0,3.75,3.95,4.55,4.75,4.95,5.55,5.6,5.65,5.7,5.75,5.8,5.85,5.9,5.95,6,6.45,6.53,6.6,6.65,6.7},{0,10,20,30,40,50,60,62,64,66,68,70,72,74,76,78,80,85,90,95,100})</f>
        <v>80</v>
      </c>
      <c r="T519" s="7"/>
      <c r="U519" s="7"/>
      <c r="V519" s="21">
        <f t="shared" si="243"/>
        <v>80</v>
      </c>
      <c r="X519" s="21">
        <f t="shared" si="232"/>
        <v>57.6</v>
      </c>
      <c r="Y519" s="37">
        <f t="shared" si="244"/>
        <v>86.2857142857143</v>
      </c>
    </row>
    <row r="520" ht="15.6" hidden="1" outlineLevel="2" spans="1:25">
      <c r="A520" s="6">
        <v>112</v>
      </c>
      <c r="B520" s="6">
        <v>17</v>
      </c>
      <c r="C520" s="29" t="s">
        <v>586</v>
      </c>
      <c r="D520" s="29" t="s">
        <v>11</v>
      </c>
      <c r="E520" s="6">
        <v>5.3</v>
      </c>
      <c r="F520" s="1">
        <f>LOOKUP(E520,{0,-4,-3,-2,-1,0,1,2.4,3.8,5.2,6.6,8,9.4,10.8,12.2,13.6,15,17.2,19.4,21.5,23.6},{0,10,20,30,40,50,60,62,64,66,68,70,72,74,76,78,80,85,90,95,100})</f>
        <v>66</v>
      </c>
      <c r="G520" s="6">
        <v>230</v>
      </c>
      <c r="H520" s="1">
        <f>LOOKUP(G520,{0,170,175,180,185,190,195,199,203,207,211,215,219,223,227,231,235,243,250,255,260},{0,10,20,30,40,50,60,62,64,66,68,70,72,74,76,78,80,85,90,95,100})</f>
        <v>76</v>
      </c>
      <c r="I520" s="6">
        <v>11</v>
      </c>
      <c r="J520" s="1">
        <f>LOOKUP(I520,{0,2,3,4,5,6,7,8,9,10,11,12,13,14,15,16},{0,10,20,30,40,50,60,64,68,72,76,80,85,90,95,100})</f>
        <v>76</v>
      </c>
      <c r="K520" s="7"/>
      <c r="L520" s="7"/>
      <c r="M520" s="21">
        <f t="shared" si="240"/>
        <v>76</v>
      </c>
      <c r="N520" s="6">
        <v>7.3</v>
      </c>
      <c r="O520" s="43">
        <f t="shared" si="241"/>
        <v>5.7</v>
      </c>
      <c r="P520" s="1">
        <f>LOOKUP(O520,{0,2.5,2.7,2.9,3.1,3.3,3.5,3.7,3.9,4.1,4.3,4.5,4.7,4.9,5.1,5.3,5.5,5.6,5.7,5.8,5.9},{0,10,20,30,40,50,60,62,64,66,68,70,72,74,76,78,80,85,90,95,100})</f>
        <v>90</v>
      </c>
      <c r="Q520" s="6">
        <v>3.25</v>
      </c>
      <c r="R520" s="6">
        <f t="shared" si="242"/>
        <v>6.75</v>
      </c>
      <c r="S520" s="1">
        <f>LOOKUP(R520,{0,3.75,3.95,4.55,4.75,4.95,5.55,5.6,5.65,5.7,5.75,5.8,5.85,5.9,5.95,6,6.45,6.53,6.6,6.65,6.7},{0,10,20,30,40,50,60,62,64,66,68,70,72,74,76,78,80,85,90,95,100})</f>
        <v>100</v>
      </c>
      <c r="T520" s="7">
        <f>3.3-Q520</f>
        <v>0.0499999999999998</v>
      </c>
      <c r="U520" s="40">
        <f>LOOKUP(T520,{0,0.04,0.08,0.12,0.16,0.2,0.23,0.26,0.29,0.32,0.35},{0,1,2,3,4,5,6,7,8,9,10})</f>
        <v>1</v>
      </c>
      <c r="V520" s="21">
        <f t="shared" si="243"/>
        <v>101</v>
      </c>
      <c r="X520" s="21">
        <f t="shared" si="232"/>
        <v>59.8</v>
      </c>
      <c r="Y520" s="37">
        <f t="shared" si="244"/>
        <v>86.4285714285714</v>
      </c>
    </row>
    <row r="521" ht="15.6" hidden="1" outlineLevel="2" spans="1:25">
      <c r="A521" s="6">
        <v>112</v>
      </c>
      <c r="B521" s="6">
        <v>18</v>
      </c>
      <c r="C521" s="29" t="s">
        <v>587</v>
      </c>
      <c r="D521" s="29" t="s">
        <v>11</v>
      </c>
      <c r="E521" s="6">
        <v>21.2</v>
      </c>
      <c r="F521" s="1">
        <f>LOOKUP(E521,{0,-4,-3,-2,-1,0,1,2.4,3.8,5.2,6.6,8,9.4,10.8,12.2,13.6,15,17.2,19.4,21.5,23.6},{0,10,20,30,40,50,60,62,64,66,68,70,72,74,76,78,80,85,90,95,100})</f>
        <v>90</v>
      </c>
      <c r="G521" s="6">
        <v>249</v>
      </c>
      <c r="H521" s="1">
        <f>LOOKUP(G521,{0,170,175,180,185,190,195,199,203,207,211,215,219,223,227,231,235,243,250,255,260},{0,10,20,30,40,50,60,62,64,66,68,70,72,74,76,78,80,85,90,95,100})</f>
        <v>85</v>
      </c>
      <c r="I521" s="6">
        <v>8</v>
      </c>
      <c r="J521" s="1">
        <f>LOOKUP(I521,{0,2,3,4,5,6,7,8,9,10,11,12,13,14,15,16},{0,10,20,30,40,50,60,64,68,72,76,80,85,90,95,100})</f>
        <v>64</v>
      </c>
      <c r="K521" s="7"/>
      <c r="L521" s="7"/>
      <c r="M521" s="21">
        <f t="shared" si="240"/>
        <v>64</v>
      </c>
      <c r="N521" s="6">
        <v>6.9</v>
      </c>
      <c r="O521" s="43">
        <f t="shared" si="241"/>
        <v>6.1</v>
      </c>
      <c r="P521" s="1">
        <f>LOOKUP(O521,{0,2.5,2.7,2.9,3.1,3.3,3.5,3.7,3.9,4.1,4.3,4.5,4.7,4.9,5.1,5.3,5.5,5.6,5.7,5.8,5.9},{0,10,20,30,40,50,60,62,64,66,68,70,72,74,76,78,80,85,90,95,100})</f>
        <v>100</v>
      </c>
      <c r="Q521" s="6">
        <v>3.35</v>
      </c>
      <c r="R521" s="6">
        <f t="shared" si="242"/>
        <v>6.65</v>
      </c>
      <c r="S521" s="1">
        <f>LOOKUP(R521,{0,3.75,3.95,4.55,4.75,4.95,5.55,5.6,5.65,5.7,5.75,5.8,5.85,5.9,5.95,6,6.45,6.53,6.6,6.65,6.7},{0,10,20,30,40,50,60,62,64,66,68,70,72,74,76,78,80,85,90,95,100})</f>
        <v>95</v>
      </c>
      <c r="T521" s="7"/>
      <c r="U521" s="7"/>
      <c r="V521" s="21">
        <f t="shared" si="243"/>
        <v>95</v>
      </c>
      <c r="X521" s="21">
        <f t="shared" ref="X521:X584" si="245">F521*0.1+H521*0.1+J521*0.1+P521*0.2+S521*0.2</f>
        <v>62.9</v>
      </c>
      <c r="Y521" s="37">
        <f t="shared" si="244"/>
        <v>89.8571428571429</v>
      </c>
    </row>
    <row r="522" ht="15.6" hidden="1" outlineLevel="2" spans="1:25">
      <c r="A522" s="6">
        <v>112</v>
      </c>
      <c r="B522" s="6">
        <v>19</v>
      </c>
      <c r="C522" s="39" t="s">
        <v>589</v>
      </c>
      <c r="D522" s="29" t="s">
        <v>11</v>
      </c>
      <c r="E522" s="6">
        <v>12.5</v>
      </c>
      <c r="F522" s="1">
        <f>LOOKUP(E522,{0,-4,-3,-2,-1,0,1,2.4,3.8,5.2,6.6,8,9.4,10.8,12.2,13.6,15,17.2,19.4,21.5,23.6},{0,10,20,30,40,50,60,62,64,66,68,70,72,74,76,78,80,85,90,95,100})</f>
        <v>76</v>
      </c>
      <c r="G522" s="6">
        <v>234</v>
      </c>
      <c r="H522" s="1">
        <f>LOOKUP(G522,{0,170,175,180,185,190,195,199,203,207,211,215,219,223,227,231,235,243,250,255,260},{0,10,20,30,40,50,60,62,64,66,68,70,72,74,76,78,80,85,90,95,100})</f>
        <v>78</v>
      </c>
      <c r="I522" s="6">
        <v>16</v>
      </c>
      <c r="J522" s="1">
        <f>LOOKUP(I522,{0,2,3,4,5,6,7,8,9,10,11,12,13,14,15,16},{0,10,20,30,40,50,60,64,68,72,76,80,85,90,95,100})</f>
        <v>100</v>
      </c>
      <c r="K522" s="7">
        <f t="shared" ref="K522:K525" si="246">I522-16</f>
        <v>0</v>
      </c>
      <c r="L522" s="40">
        <f>LOOKUP(K522,{0,1,2,3,4,5,6,7,8,9,10},{0,1,2,3,4,5,6,7,8,9,10})</f>
        <v>0</v>
      </c>
      <c r="M522" s="21">
        <f t="shared" si="240"/>
        <v>100</v>
      </c>
      <c r="N522" s="6">
        <v>7.6</v>
      </c>
      <c r="O522" s="43">
        <f t="shared" si="241"/>
        <v>5.4</v>
      </c>
      <c r="P522" s="1">
        <f>LOOKUP(O522,{0,2.5,2.7,2.9,3.1,3.3,3.5,3.7,3.9,4.1,4.3,4.5,4.7,4.9,5.1,5.3,5.5,5.6,5.7,5.8,5.9},{0,10,20,30,40,50,60,62,64,66,68,70,72,74,76,78,80,85,90,95,100})</f>
        <v>78</v>
      </c>
      <c r="Q522" s="6">
        <v>3.43</v>
      </c>
      <c r="R522" s="6">
        <f t="shared" si="242"/>
        <v>6.57</v>
      </c>
      <c r="S522" s="1">
        <f>LOOKUP(R522,{0,3.75,3.95,4.55,4.75,4.95,5.55,5.6,5.65,5.7,5.75,5.8,5.85,5.9,5.95,6,6.45,6.53,6.6,6.65,6.7},{0,10,20,30,40,50,60,62,64,66,68,70,72,74,76,78,80,85,90,95,100})</f>
        <v>85</v>
      </c>
      <c r="T522" s="7"/>
      <c r="U522" s="7"/>
      <c r="V522" s="21">
        <f t="shared" si="243"/>
        <v>85</v>
      </c>
      <c r="X522" s="21">
        <f t="shared" si="245"/>
        <v>58</v>
      </c>
      <c r="Y522" s="37">
        <f t="shared" si="244"/>
        <v>82.8571428571429</v>
      </c>
    </row>
    <row r="523" s="3" customFormat="1" ht="15.6" hidden="1" outlineLevel="2" spans="1:25">
      <c r="A523" s="6">
        <v>112</v>
      </c>
      <c r="B523" s="6">
        <v>20</v>
      </c>
      <c r="C523" s="29" t="s">
        <v>590</v>
      </c>
      <c r="D523" s="29" t="s">
        <v>11</v>
      </c>
      <c r="E523" s="6">
        <v>17.4</v>
      </c>
      <c r="F523" s="1">
        <f>LOOKUP(E523,{0,-4,-3,-2,-1,0,1,2.4,3.8,5.2,6.6,8,9.4,10.8,12.2,13.6,15,17.2,19.4,21.5,23.6},{0,10,20,30,40,50,60,62,64,66,68,70,72,74,76,78,80,85,90,95,100})</f>
        <v>85</v>
      </c>
      <c r="G523" s="6">
        <v>220</v>
      </c>
      <c r="H523" s="1">
        <f>LOOKUP(G523,{0,170,175,180,185,190,195,199,203,207,211,215,219,223,227,231,235,243,250,255,260},{0,10,20,30,40,50,60,62,64,66,68,70,72,74,76,78,80,85,90,95,100})</f>
        <v>72</v>
      </c>
      <c r="I523" s="6">
        <v>26</v>
      </c>
      <c r="J523" s="1">
        <f>LOOKUP(I523,{0,2,3,4,5,6,7,8,9,10,11,12,13,14,15,16},{0,10,20,30,40,50,60,64,68,72,76,80,85,90,95,100})</f>
        <v>100</v>
      </c>
      <c r="K523" s="7">
        <f t="shared" si="246"/>
        <v>10</v>
      </c>
      <c r="L523" s="40">
        <f>LOOKUP(K523,{0,1,2,3,4,5,6,7,8,9,10},{0,1,2,3,4,5,6,7,8,9,10})</f>
        <v>10</v>
      </c>
      <c r="M523" s="21">
        <f t="shared" si="240"/>
        <v>110</v>
      </c>
      <c r="N523" s="6"/>
      <c r="O523" s="43"/>
      <c r="P523" s="1"/>
      <c r="Q523" s="6">
        <v>3.26</v>
      </c>
      <c r="R523" s="6">
        <f t="shared" si="242"/>
        <v>6.74</v>
      </c>
      <c r="S523" s="1">
        <f>LOOKUP(R523,{0,3.75,3.95,4.55,4.75,4.95,5.55,5.6,5.65,5.7,5.75,5.8,5.85,5.9,5.95,6,6.45,6.53,6.6,6.65,6.7},{0,10,20,30,40,50,60,62,64,66,68,70,72,74,76,78,80,85,90,95,100})</f>
        <v>100</v>
      </c>
      <c r="T523" s="7">
        <f>3.3-Q523</f>
        <v>0.04</v>
      </c>
      <c r="U523" s="40">
        <f>LOOKUP(T523,{0,0.04,0.08,0.12,0.16,0.2,0.23,0.26,0.29,0.32,0.35},{0,1,2,3,4,5,6,7,8,9,10})</f>
        <v>1</v>
      </c>
      <c r="V523" s="21">
        <f t="shared" si="243"/>
        <v>101</v>
      </c>
      <c r="W523" s="6"/>
      <c r="X523" s="21">
        <f t="shared" si="245"/>
        <v>45.7</v>
      </c>
      <c r="Y523" s="37">
        <f t="shared" si="244"/>
        <v>76.2857142857143</v>
      </c>
    </row>
    <row r="524" ht="15.6" hidden="1" outlineLevel="2" spans="1:25">
      <c r="A524" s="6">
        <v>112</v>
      </c>
      <c r="B524" s="6">
        <v>21</v>
      </c>
      <c r="C524" s="29" t="s">
        <v>591</v>
      </c>
      <c r="D524" s="29" t="s">
        <v>11</v>
      </c>
      <c r="E524" s="6">
        <v>20</v>
      </c>
      <c r="F524" s="1">
        <f>LOOKUP(E524,{0,-4,-3,-2,-1,0,1,2.4,3.8,5.2,6.6,8,9.4,10.8,12.2,13.6,15,17.2,19.4,21.5,23.6},{0,10,20,30,40,50,60,62,64,66,68,70,72,74,76,78,80,85,90,95,100})</f>
        <v>90</v>
      </c>
      <c r="G524" s="6">
        <v>247</v>
      </c>
      <c r="H524" s="1">
        <f>LOOKUP(G524,{0,170,175,180,185,190,195,199,203,207,211,215,219,223,227,231,235,243,250,255,260},{0,10,20,30,40,50,60,62,64,66,68,70,72,74,76,78,80,85,90,95,100})</f>
        <v>85</v>
      </c>
      <c r="I524" s="6">
        <v>26</v>
      </c>
      <c r="J524" s="1">
        <f>LOOKUP(I524,{0,2,3,4,5,6,7,8,9,10,11,12,13,14,15,16},{0,10,20,30,40,50,60,64,68,72,76,80,85,90,95,100})</f>
        <v>100</v>
      </c>
      <c r="K524" s="7">
        <f t="shared" si="246"/>
        <v>10</v>
      </c>
      <c r="L524" s="40">
        <f>LOOKUP(K524,{0,1,2,3,4,5,6,7,8,9,10},{0,1,2,3,4,5,6,7,8,9,10})</f>
        <v>10</v>
      </c>
      <c r="M524" s="21">
        <f t="shared" si="240"/>
        <v>110</v>
      </c>
      <c r="N524" s="6">
        <v>7.2</v>
      </c>
      <c r="O524" s="43">
        <f t="shared" ref="O524:O530" si="247">13-N524</f>
        <v>5.8</v>
      </c>
      <c r="P524" s="1">
        <f>LOOKUP(O524,{0,2.5,2.7,2.9,3.1,3.3,3.5,3.7,3.9,4.1,4.3,4.5,4.7,4.9,5.1,5.3,5.5,5.6,5.7,5.8,5.9},{0,10,20,30,40,50,60,62,64,66,68,70,72,74,76,78,80,85,90,95,100})</f>
        <v>95</v>
      </c>
      <c r="Q524" s="6">
        <v>3.31</v>
      </c>
      <c r="R524" s="6">
        <f t="shared" si="242"/>
        <v>6.69</v>
      </c>
      <c r="S524" s="1">
        <f>LOOKUP(R524,{0,3.75,3.95,4.55,4.75,4.95,5.55,5.6,5.65,5.7,5.75,5.8,5.85,5.9,5.95,6,6.45,6.53,6.6,6.65,6.7},{0,10,20,30,40,50,60,62,64,66,68,70,72,74,76,78,80,85,90,95,100})</f>
        <v>95</v>
      </c>
      <c r="T524" s="7"/>
      <c r="U524" s="7"/>
      <c r="V524" s="21">
        <f t="shared" si="243"/>
        <v>95</v>
      </c>
      <c r="X524" s="21">
        <f t="shared" si="245"/>
        <v>65.5</v>
      </c>
      <c r="Y524" s="37">
        <f t="shared" si="244"/>
        <v>103.571428571429</v>
      </c>
    </row>
    <row r="525" ht="15.6" hidden="1" outlineLevel="2" spans="1:25">
      <c r="A525" s="6">
        <v>112</v>
      </c>
      <c r="B525" s="6">
        <v>22</v>
      </c>
      <c r="C525" s="29" t="s">
        <v>592</v>
      </c>
      <c r="D525" s="29" t="s">
        <v>11</v>
      </c>
      <c r="E525" s="6">
        <v>7.9</v>
      </c>
      <c r="F525" s="1">
        <f>LOOKUP(E525,{0,-4,-3,-2,-1,0,1,2.4,3.8,5.2,6.6,8,9.4,10.8,12.2,13.6,15,17.2,19.4,21.5,23.6},{0,10,20,30,40,50,60,62,64,66,68,70,72,74,76,78,80,85,90,95,100})</f>
        <v>68</v>
      </c>
      <c r="G525" s="6">
        <v>210</v>
      </c>
      <c r="H525" s="1">
        <f>LOOKUP(G525,{0,170,175,180,185,190,195,199,203,207,211,215,219,223,227,231,235,243,250,255,260},{0,10,20,30,40,50,60,62,64,66,68,70,72,74,76,78,80,85,90,95,100})</f>
        <v>66</v>
      </c>
      <c r="I525" s="6">
        <v>18</v>
      </c>
      <c r="J525" s="1">
        <f>LOOKUP(I525,{0,2,3,4,5,6,7,8,9,10,11,12,13,14,15,16},{0,10,20,30,40,50,60,64,68,72,76,80,85,90,95,100})</f>
        <v>100</v>
      </c>
      <c r="K525" s="7">
        <f t="shared" si="246"/>
        <v>2</v>
      </c>
      <c r="L525" s="40">
        <f>LOOKUP(K525,{0,1,2,3,4,5,6,7,8,9,10},{0,1,2,3,4,5,6,7,8,9,10})</f>
        <v>2</v>
      </c>
      <c r="M525" s="21">
        <f t="shared" si="240"/>
        <v>102</v>
      </c>
      <c r="N525" s="6">
        <v>7.5</v>
      </c>
      <c r="O525" s="43">
        <f t="shared" si="247"/>
        <v>5.5</v>
      </c>
      <c r="P525" s="1">
        <f>LOOKUP(O525,{0,2.5,2.7,2.9,3.1,3.3,3.5,3.7,3.9,4.1,4.3,4.5,4.7,4.9,5.1,5.3,5.5,5.6,5.7,5.8,5.9},{0,10,20,30,40,50,60,62,64,66,68,70,72,74,76,78,80,85,90,95,100})</f>
        <v>80</v>
      </c>
      <c r="Q525" s="6">
        <v>3.46</v>
      </c>
      <c r="R525" s="6">
        <f t="shared" si="242"/>
        <v>6.54</v>
      </c>
      <c r="S525" s="1">
        <f>LOOKUP(R525,{0,3.75,3.95,4.55,4.75,4.95,5.55,5.6,5.65,5.7,5.75,5.8,5.85,5.9,5.95,6,6.45,6.53,6.6,6.65,6.7},{0,10,20,30,40,50,60,62,64,66,68,70,72,74,76,78,80,85,90,95,100})</f>
        <v>85</v>
      </c>
      <c r="T525" s="7"/>
      <c r="U525" s="7"/>
      <c r="V525" s="21">
        <f t="shared" si="243"/>
        <v>85</v>
      </c>
      <c r="X525" s="21">
        <f t="shared" si="245"/>
        <v>56.4</v>
      </c>
      <c r="Y525" s="37">
        <f t="shared" si="244"/>
        <v>82.5714285714286</v>
      </c>
    </row>
    <row r="526" ht="15.6" hidden="1" outlineLevel="2" spans="1:25">
      <c r="A526" s="6">
        <v>112</v>
      </c>
      <c r="B526" s="6">
        <v>23</v>
      </c>
      <c r="C526" s="29" t="s">
        <v>593</v>
      </c>
      <c r="D526" s="29" t="s">
        <v>11</v>
      </c>
      <c r="E526" s="6">
        <v>4</v>
      </c>
      <c r="F526" s="1">
        <f>LOOKUP(E526,{0,-4,-3,-2,-1,0,1,2.4,3.8,5.2,6.6,8,9.4,10.8,12.2,13.6,15,17.2,19.4,21.5,23.6},{0,10,20,30,40,50,60,62,64,66,68,70,72,74,76,78,80,85,90,95,100})</f>
        <v>64</v>
      </c>
      <c r="G526" s="6">
        <v>228</v>
      </c>
      <c r="H526" s="1">
        <f>LOOKUP(G526,{0,170,175,180,185,190,195,199,203,207,211,215,219,223,227,231,235,243,250,255,260},{0,10,20,30,40,50,60,62,64,66,68,70,72,74,76,78,80,85,90,95,100})</f>
        <v>76</v>
      </c>
      <c r="I526" s="6">
        <v>3</v>
      </c>
      <c r="J526" s="1">
        <f>LOOKUP(I526,{0,2,3,4,5,6,7,8,9,10,11,12,13,14,15,16},{0,10,20,30,40,50,60,64,68,72,76,80,85,90,95,100})</f>
        <v>20</v>
      </c>
      <c r="K526" s="7"/>
      <c r="L526" s="7"/>
      <c r="M526" s="21">
        <f t="shared" si="240"/>
        <v>20</v>
      </c>
      <c r="N526" s="6">
        <v>7.7</v>
      </c>
      <c r="O526" s="43">
        <f t="shared" si="247"/>
        <v>5.3</v>
      </c>
      <c r="P526" s="1">
        <f>LOOKUP(O526,{0,2.5,2.7,2.9,3.1,3.3,3.5,3.7,3.9,4.1,4.3,4.5,4.7,4.9,5.1,5.3,5.5,5.6,5.7,5.8,5.9},{0,10,20,30,40,50,60,62,64,66,68,70,72,74,76,78,80,85,90,95,100})</f>
        <v>78</v>
      </c>
      <c r="Q526" s="6">
        <v>3.52</v>
      </c>
      <c r="R526" s="6">
        <f t="shared" si="242"/>
        <v>6.48</v>
      </c>
      <c r="S526" s="1">
        <f>LOOKUP(R526,{0,3.75,3.95,4.55,4.75,4.95,5.55,5.6,5.65,5.7,5.75,5.8,5.85,5.9,5.95,6,6.45,6.53,6.6,6.65,6.7},{0,10,20,30,40,50,60,62,64,66,68,70,72,74,76,78,80,85,90,95,100})</f>
        <v>80</v>
      </c>
      <c r="T526" s="7"/>
      <c r="U526" s="7"/>
      <c r="V526" s="21">
        <f t="shared" si="243"/>
        <v>80</v>
      </c>
      <c r="X526" s="21">
        <f t="shared" si="245"/>
        <v>47.6</v>
      </c>
      <c r="Y526" s="37">
        <f t="shared" si="244"/>
        <v>68</v>
      </c>
    </row>
    <row r="527" ht="15.6" hidden="1" outlineLevel="2" spans="1:25">
      <c r="A527" s="6">
        <v>112</v>
      </c>
      <c r="B527" s="6">
        <v>24</v>
      </c>
      <c r="C527" s="29" t="s">
        <v>594</v>
      </c>
      <c r="D527" s="29" t="s">
        <v>11</v>
      </c>
      <c r="E527" s="6">
        <v>18.3</v>
      </c>
      <c r="F527" s="1">
        <f>LOOKUP(E527,{0,-4,-3,-2,-1,0,1,2.4,3.8,5.2,6.6,8,9.4,10.8,12.2,13.6,15,17.2,19.4,21.5,23.6},{0,10,20,30,40,50,60,62,64,66,68,70,72,74,76,78,80,85,90,95,100})</f>
        <v>85</v>
      </c>
      <c r="G527" s="6">
        <v>240</v>
      </c>
      <c r="H527" s="1">
        <f>LOOKUP(G527,{0,170,175,180,185,190,195,199,203,207,211,215,219,223,227,231,235,243,250,255,260},{0,10,20,30,40,50,60,62,64,66,68,70,72,74,76,78,80,85,90,95,100})</f>
        <v>80</v>
      </c>
      <c r="I527" s="6">
        <v>11</v>
      </c>
      <c r="J527" s="1">
        <f>LOOKUP(I527,{0,2,3,4,5,6,7,8,9,10,11,12,13,14,15,16},{0,10,20,30,40,50,60,64,68,72,76,80,85,90,95,100})</f>
        <v>76</v>
      </c>
      <c r="K527" s="7"/>
      <c r="L527" s="7"/>
      <c r="M527" s="21">
        <f t="shared" si="240"/>
        <v>76</v>
      </c>
      <c r="N527" s="6">
        <v>7</v>
      </c>
      <c r="O527" s="43">
        <f t="shared" si="247"/>
        <v>6</v>
      </c>
      <c r="P527" s="1">
        <f>LOOKUP(O527,{0,2.5,2.7,2.9,3.1,3.3,3.5,3.7,3.9,4.1,4.3,4.5,4.7,4.9,5.1,5.3,5.5,5.6,5.7,5.8,5.9},{0,10,20,30,40,50,60,62,64,66,68,70,72,74,76,78,80,85,90,95,100})</f>
        <v>100</v>
      </c>
      <c r="Q527" s="6">
        <v>3.27</v>
      </c>
      <c r="R527" s="6">
        <f t="shared" si="242"/>
        <v>6.73</v>
      </c>
      <c r="S527" s="1">
        <f>LOOKUP(R527,{0,3.75,3.95,4.55,4.75,4.95,5.55,5.6,5.65,5.7,5.75,5.8,5.85,5.9,5.95,6,6.45,6.53,6.6,6.65,6.7},{0,10,20,30,40,50,60,62,64,66,68,70,72,74,76,78,80,85,90,95,100})</f>
        <v>100</v>
      </c>
      <c r="T527" s="7">
        <f>3.3-Q527</f>
        <v>0.0299999999999998</v>
      </c>
      <c r="U527" s="40">
        <f>LOOKUP(T527,{0,0.04,0.08,0.12,0.16,0.2,0.23,0.26,0.29,0.32,0.35},{0,1,2,3,4,5,6,7,8,9,10})</f>
        <v>0</v>
      </c>
      <c r="V527" s="21">
        <f t="shared" si="243"/>
        <v>100</v>
      </c>
      <c r="X527" s="21">
        <f t="shared" si="245"/>
        <v>64.1</v>
      </c>
      <c r="Y527" s="37">
        <f t="shared" si="244"/>
        <v>91.5714285714286</v>
      </c>
    </row>
    <row r="528" ht="15.6" hidden="1" outlineLevel="2" spans="1:25">
      <c r="A528" s="6">
        <v>112</v>
      </c>
      <c r="B528" s="6">
        <v>25</v>
      </c>
      <c r="C528" s="30" t="s">
        <v>595</v>
      </c>
      <c r="D528" s="30" t="s">
        <v>11</v>
      </c>
      <c r="E528" s="6">
        <v>14.2</v>
      </c>
      <c r="F528" s="1">
        <f>LOOKUP(E528,{0,-4,-3,-2,-1,0,1,2.4,3.8,5.2,6.6,8,9.4,10.8,12.2,13.6,15,17.2,19.4,21.5,23.6},{0,10,20,30,40,50,60,62,64,66,68,70,72,74,76,78,80,85,90,95,100})</f>
        <v>78</v>
      </c>
      <c r="G528" s="6">
        <v>235</v>
      </c>
      <c r="H528" s="1">
        <f>LOOKUP(G528,{0,170,175,180,185,190,195,199,203,207,211,215,219,223,227,231,235,243,250,255,260},{0,10,20,30,40,50,60,62,64,66,68,70,72,74,76,78,80,85,90,95,100})</f>
        <v>80</v>
      </c>
      <c r="I528" s="6">
        <v>15</v>
      </c>
      <c r="J528" s="1">
        <f>LOOKUP(I528,{0,2,3,4,5,6,7,8,9,10,11,12,13,14,15,16},{0,10,20,30,40,50,60,64,68,72,76,80,85,90,95,100})</f>
        <v>95</v>
      </c>
      <c r="K528" s="7"/>
      <c r="L528" s="7"/>
      <c r="M528" s="21">
        <f t="shared" si="240"/>
        <v>95</v>
      </c>
      <c r="N528" s="6">
        <v>7.5</v>
      </c>
      <c r="O528" s="43">
        <f t="shared" si="247"/>
        <v>5.5</v>
      </c>
      <c r="P528" s="1">
        <f>LOOKUP(O528,{0,2.5,2.7,2.9,3.1,3.3,3.5,3.7,3.9,4.1,4.3,4.5,4.7,4.9,5.1,5.3,5.5,5.6,5.7,5.8,5.9},{0,10,20,30,40,50,60,62,64,66,68,70,72,74,76,78,80,85,90,95,100})</f>
        <v>80</v>
      </c>
      <c r="Q528" s="6">
        <v>3.41</v>
      </c>
      <c r="R528" s="6">
        <f t="shared" si="242"/>
        <v>6.59</v>
      </c>
      <c r="S528" s="1">
        <f>LOOKUP(R528,{0,3.75,3.95,4.55,4.75,4.95,5.55,5.6,5.65,5.7,5.75,5.8,5.85,5.9,5.95,6,6.45,6.53,6.6,6.65,6.7},{0,10,20,30,40,50,60,62,64,66,68,70,72,74,76,78,80,85,90,95,100})</f>
        <v>85</v>
      </c>
      <c r="T528" s="7"/>
      <c r="U528" s="7"/>
      <c r="V528" s="21">
        <f t="shared" si="243"/>
        <v>85</v>
      </c>
      <c r="X528" s="21">
        <f t="shared" si="245"/>
        <v>58.3</v>
      </c>
      <c r="Y528" s="37">
        <f t="shared" si="244"/>
        <v>83.2857142857143</v>
      </c>
    </row>
    <row r="529" ht="15.6" hidden="1" outlineLevel="2" spans="1:25">
      <c r="A529" s="6">
        <v>112</v>
      </c>
      <c r="B529" s="6">
        <v>26</v>
      </c>
      <c r="C529" s="6" t="s">
        <v>596</v>
      </c>
      <c r="D529" s="30" t="s">
        <v>11</v>
      </c>
      <c r="E529" s="6">
        <v>11.2</v>
      </c>
      <c r="F529" s="1">
        <f>LOOKUP(E529,{0,-4,-3,-2,-1,0,1,2.4,3.8,5.2,6.6,8,9.4,10.8,12.2,13.6,15,17.2,19.4,21.5,23.6},{0,10,20,30,40,50,60,62,64,66,68,70,72,74,76,78,80,85,90,95,100})</f>
        <v>74</v>
      </c>
      <c r="G529" s="6">
        <v>210</v>
      </c>
      <c r="H529" s="1">
        <f>LOOKUP(G529,{0,170,175,180,185,190,195,199,203,207,211,215,219,223,227,231,235,243,250,255,260},{0,10,20,30,40,50,60,62,64,66,68,70,72,74,76,78,80,85,90,95,100})</f>
        <v>66</v>
      </c>
      <c r="I529" s="6">
        <v>6</v>
      </c>
      <c r="J529" s="1">
        <f>LOOKUP(I529,{0,2,3,4,5,6,7,8,9,10,11,12,13,14,15,16},{0,10,20,30,40,50,60,64,68,72,76,80,85,90,95,100})</f>
        <v>50</v>
      </c>
      <c r="K529" s="7"/>
      <c r="L529" s="7"/>
      <c r="M529" s="21">
        <f t="shared" si="240"/>
        <v>50</v>
      </c>
      <c r="N529" s="6">
        <v>7.9</v>
      </c>
      <c r="O529" s="43">
        <f t="shared" si="247"/>
        <v>5.1</v>
      </c>
      <c r="P529" s="1">
        <f>LOOKUP(O529,{0,2.5,2.7,2.9,3.1,3.3,3.5,3.7,3.9,4.1,4.3,4.5,4.7,4.9,5.1,5.3,5.5,5.6,5.7,5.8,5.9},{0,10,20,30,40,50,60,62,64,66,68,70,72,74,76,78,80,85,90,95,100})</f>
        <v>76</v>
      </c>
      <c r="Q529" s="6">
        <v>3.5</v>
      </c>
      <c r="R529" s="6">
        <f t="shared" si="242"/>
        <v>6.5</v>
      </c>
      <c r="S529" s="1">
        <f>LOOKUP(R529,{0,3.75,3.95,4.55,4.75,4.95,5.55,5.6,5.65,5.7,5.75,5.8,5.85,5.9,5.95,6,6.45,6.53,6.6,6.65,6.7},{0,10,20,30,40,50,60,62,64,66,68,70,72,74,76,78,80,85,90,95,100})</f>
        <v>80</v>
      </c>
      <c r="T529" s="7"/>
      <c r="U529" s="7"/>
      <c r="V529" s="21">
        <f t="shared" si="243"/>
        <v>80</v>
      </c>
      <c r="X529" s="21">
        <f t="shared" si="245"/>
        <v>50.2</v>
      </c>
      <c r="Y529" s="37">
        <f t="shared" si="244"/>
        <v>71.7142857142857</v>
      </c>
    </row>
    <row r="530" ht="15.6" hidden="1" outlineLevel="2" spans="1:25">
      <c r="A530" s="6">
        <v>112</v>
      </c>
      <c r="B530" s="6">
        <v>27</v>
      </c>
      <c r="C530" s="30" t="s">
        <v>597</v>
      </c>
      <c r="D530" s="30" t="s">
        <v>11</v>
      </c>
      <c r="F530" s="1"/>
      <c r="H530" s="1"/>
      <c r="J530" s="1"/>
      <c r="K530" s="7"/>
      <c r="L530" s="7"/>
      <c r="M530" s="21"/>
      <c r="N530" s="6">
        <v>7.5</v>
      </c>
      <c r="O530" s="43">
        <f t="shared" si="247"/>
        <v>5.5</v>
      </c>
      <c r="P530" s="1">
        <f>LOOKUP(O530,{0,2.5,2.7,2.9,3.1,3.3,3.5,3.7,3.9,4.1,4.3,4.5,4.7,4.9,5.1,5.3,5.5,5.6,5.7,5.8,5.9},{0,10,20,30,40,50,60,62,64,66,68,70,72,74,76,78,80,85,90,95,100})</f>
        <v>80</v>
      </c>
      <c r="S530" s="1"/>
      <c r="T530" s="7"/>
      <c r="U530" s="40"/>
      <c r="V530" s="21"/>
      <c r="W530" s="6" t="s">
        <v>513</v>
      </c>
      <c r="X530" s="21">
        <f t="shared" si="245"/>
        <v>16</v>
      </c>
      <c r="Y530" s="37">
        <v>50</v>
      </c>
    </row>
    <row r="531" ht="15.6" hidden="1" outlineLevel="2" spans="1:25">
      <c r="A531" s="6">
        <v>112</v>
      </c>
      <c r="B531" s="6">
        <v>28</v>
      </c>
      <c r="C531" s="39" t="s">
        <v>599</v>
      </c>
      <c r="D531" s="29" t="s">
        <v>46</v>
      </c>
      <c r="E531" s="6">
        <v>17</v>
      </c>
      <c r="F531" s="1">
        <f>LOOKUP(E531,{0,0.4,1.2,2,2.8,3.6,4.4,5.7,7,8.3,9.6,10.9,12.2,13.5,14.8,16.1,17.4,19.1,20.8,22.5,24.2},{0,10,20,30,40,50,60,62,64,66,68,70,72,74,76,78,80,85,90,95,100})</f>
        <v>78</v>
      </c>
      <c r="G531" s="6">
        <v>203</v>
      </c>
      <c r="H531" s="1">
        <f>LOOKUP(G531,{0,123,128,133,138,143,148,151,154,157,160,163,166,169,172,175,178,185,192,198,204},{0,10,20,30,40,50,60,62,64,66,68,70,72,74,76,78,80,85,90,95,100})</f>
        <v>95</v>
      </c>
      <c r="I531" s="6">
        <v>53</v>
      </c>
      <c r="J531" s="1">
        <f>LOOKUP(I531,{0,13,15,17,19,21,23,25,27,29,31,33,35,37,39,41,43,46,49,51,53},{0,10,20,30,40,50,60,62,64,66,68,70,72,74,76,78,80,85,90,95,100})</f>
        <v>100</v>
      </c>
      <c r="K531" s="45">
        <f t="shared" ref="K531:K537" si="248">I531-53</f>
        <v>0</v>
      </c>
      <c r="L531" s="40">
        <f>LOOKUP(K531,{0,2,4,6,7,8,9,10,11,12,13},{0,1,2,3,4,5,6,7,8,9,10})</f>
        <v>0</v>
      </c>
      <c r="M531" s="21">
        <f t="shared" ref="M531:M553" si="249">J531+L531</f>
        <v>100</v>
      </c>
      <c r="O531" s="43"/>
      <c r="P531" s="1"/>
      <c r="Q531" s="6">
        <v>3.38</v>
      </c>
      <c r="R531" s="6">
        <f t="shared" ref="R531:R576" si="250">10-Q531</f>
        <v>6.62</v>
      </c>
      <c r="S531" s="1">
        <f>LOOKUP(R531,{0,4.7,4.8,4.9,5,5.5,5.6,5.65,5.7,5.75,5.8,5.85,5.9,5.95,6,6.45,6.5,6.57,6.64,6.7,6.76},{0,10,20,30,40,50,60,62,64,66,68,70,72,74,76,78,80,85,90,95,100})</f>
        <v>85</v>
      </c>
      <c r="T531" s="45"/>
      <c r="U531" s="45"/>
      <c r="V531" s="21">
        <f t="shared" ref="V531:V576" si="251">S531+U531</f>
        <v>85</v>
      </c>
      <c r="X531" s="21">
        <f t="shared" si="245"/>
        <v>44.3</v>
      </c>
      <c r="Y531" s="37">
        <f t="shared" ref="Y531:Y553" si="252">X531/0.7+L531+U531</f>
        <v>63.2857142857143</v>
      </c>
    </row>
    <row r="532" ht="15.6" hidden="1" outlineLevel="2" spans="1:25">
      <c r="A532" s="6">
        <v>112</v>
      </c>
      <c r="B532" s="6">
        <v>29</v>
      </c>
      <c r="C532" s="29" t="s">
        <v>600</v>
      </c>
      <c r="D532" s="29" t="s">
        <v>46</v>
      </c>
      <c r="E532" s="6">
        <v>19.5</v>
      </c>
      <c r="F532" s="1">
        <f>LOOKUP(E532,{0,0.4,1.2,2,2.8,3.6,4.4,5.7,7,8.3,9.6,10.9,12.2,13.5,14.8,16.1,17.4,19.1,20.8,22.5,24.2},{0,10,20,30,40,50,60,62,64,66,68,70,72,74,76,78,80,85,90,95,100})</f>
        <v>85</v>
      </c>
      <c r="G532" s="6">
        <v>195</v>
      </c>
      <c r="H532" s="1">
        <f>LOOKUP(G532,{0,123,128,133,138,143,148,151,154,157,160,163,166,169,172,175,178,185,192,198,204},{0,10,20,30,40,50,60,62,64,66,68,70,72,74,76,78,80,85,90,95,100})</f>
        <v>90</v>
      </c>
      <c r="I532" s="6">
        <v>50</v>
      </c>
      <c r="J532" s="1">
        <f>LOOKUP(I532,{0,13,15,17,19,21,23,25,27,29,31,33,35,37,39,41,43,46,49,51,53},{0,10,20,30,40,50,60,62,64,66,68,70,72,74,76,78,80,85,90,95,100})</f>
        <v>90</v>
      </c>
      <c r="K532" s="45"/>
      <c r="L532" s="45"/>
      <c r="M532" s="21">
        <f t="shared" si="249"/>
        <v>90</v>
      </c>
      <c r="N532" s="6">
        <v>9.2</v>
      </c>
      <c r="O532" s="43">
        <f t="shared" ref="O532:O553" si="253">13-N532</f>
        <v>3.8</v>
      </c>
      <c r="P532" s="1">
        <f>LOOKUP(O532,{0,1.4,1.6,1.8,2,2.2,2.4,2.6,2.8,3,3.2,3.4,3.6,3.8,4,4.2,4.4,4.7,5,5.1,5.2},{0,10,20,30,40,50,60,62,64,66,68,70,72,74,76,78,80,85,90,95,100})</f>
        <v>74</v>
      </c>
      <c r="Q532" s="6">
        <v>3.55</v>
      </c>
      <c r="R532" s="6">
        <f t="shared" si="250"/>
        <v>6.45</v>
      </c>
      <c r="S532" s="1">
        <f>LOOKUP(R532,{0,4.7,4.8,4.9,5,5.5,5.6,5.65,5.7,5.75,5.8,5.85,5.9,5.95,6,6.45,6.5,6.57,6.64,6.7,6.76},{0,10,20,30,40,50,60,62,64,66,68,70,72,74,76,78,80,85,90,95,100})</f>
        <v>78</v>
      </c>
      <c r="T532" s="45"/>
      <c r="U532" s="45"/>
      <c r="V532" s="21">
        <f t="shared" si="251"/>
        <v>78</v>
      </c>
      <c r="X532" s="21">
        <f t="shared" si="245"/>
        <v>56.9</v>
      </c>
      <c r="Y532" s="37">
        <f t="shared" si="252"/>
        <v>81.2857142857143</v>
      </c>
    </row>
    <row r="533" s="3" customFormat="1" ht="15.6" hidden="1" outlineLevel="2" spans="1:25">
      <c r="A533" s="6">
        <v>112</v>
      </c>
      <c r="B533" s="6">
        <v>30</v>
      </c>
      <c r="C533" s="29" t="s">
        <v>601</v>
      </c>
      <c r="D533" s="29" t="s">
        <v>46</v>
      </c>
      <c r="E533" s="6">
        <v>10.5</v>
      </c>
      <c r="F533" s="1">
        <f>LOOKUP(E533,{0,0.4,1.2,2,2.8,3.6,4.4,5.7,7,8.3,9.6,10.9,12.2,13.5,14.8,16.1,17.4,19.1,20.8,22.5,24.2},{0,10,20,30,40,50,60,62,64,66,68,70,72,74,76,78,80,85,90,95,100})</f>
        <v>68</v>
      </c>
      <c r="G533" s="6">
        <v>175</v>
      </c>
      <c r="H533" s="1">
        <f>LOOKUP(G533,{0,123,128,133,138,143,148,151,154,157,160,163,166,169,172,175,178,185,192,198,204},{0,10,20,30,40,50,60,62,64,66,68,70,72,74,76,78,80,85,90,95,100})</f>
        <v>78</v>
      </c>
      <c r="I533" s="6">
        <v>52</v>
      </c>
      <c r="J533" s="1">
        <f>LOOKUP(I533,{0,13,15,17,19,21,23,25,27,29,31,33,35,37,39,41,43,46,49,51,53},{0,10,20,30,40,50,60,62,64,66,68,70,72,74,76,78,80,85,90,95,100})</f>
        <v>95</v>
      </c>
      <c r="K533" s="45"/>
      <c r="L533" s="45"/>
      <c r="M533" s="21">
        <f t="shared" si="249"/>
        <v>95</v>
      </c>
      <c r="N533" s="6">
        <v>8.6</v>
      </c>
      <c r="O533" s="43">
        <f t="shared" si="253"/>
        <v>4.4</v>
      </c>
      <c r="P533" s="1">
        <f>LOOKUP(O533,{0,1.4,1.6,1.8,2,2.2,2.4,2.6,2.8,3,3.2,3.4,3.6,3.8,4,4.2,4.4,4.7,5,5.1,5.2},{0,10,20,30,40,50,60,62,64,66,68,70,72,74,76,78,80,85,90,95,100})</f>
        <v>80</v>
      </c>
      <c r="Q533" s="6">
        <v>3.56</v>
      </c>
      <c r="R533" s="6">
        <f t="shared" si="250"/>
        <v>6.44</v>
      </c>
      <c r="S533" s="1">
        <f>LOOKUP(R533,{0,4.7,4.8,4.9,5,5.5,5.6,5.65,5.7,5.75,5.8,5.85,5.9,5.95,6,6.45,6.5,6.57,6.64,6.7,6.76},{0,10,20,30,40,50,60,62,64,66,68,70,72,74,76,78,80,85,90,95,100})</f>
        <v>76</v>
      </c>
      <c r="T533" s="45"/>
      <c r="U533" s="45"/>
      <c r="V533" s="21">
        <f t="shared" si="251"/>
        <v>76</v>
      </c>
      <c r="W533" s="6"/>
      <c r="X533" s="21">
        <f t="shared" si="245"/>
        <v>55.3</v>
      </c>
      <c r="Y533" s="37">
        <f t="shared" si="252"/>
        <v>79</v>
      </c>
    </row>
    <row r="534" ht="15.6" hidden="1" outlineLevel="2" spans="1:25">
      <c r="A534" s="6">
        <v>112</v>
      </c>
      <c r="B534" s="6">
        <v>31</v>
      </c>
      <c r="C534" s="29" t="s">
        <v>602</v>
      </c>
      <c r="D534" s="29" t="s">
        <v>46</v>
      </c>
      <c r="E534" s="6">
        <v>19.5</v>
      </c>
      <c r="F534" s="1">
        <f>LOOKUP(E534,{0,0.4,1.2,2,2.8,3.6,4.4,5.7,7,8.3,9.6,10.9,12.2,13.5,14.8,16.1,17.4,19.1,20.8,22.5,24.2},{0,10,20,30,40,50,60,62,64,66,68,70,72,74,76,78,80,85,90,95,100})</f>
        <v>85</v>
      </c>
      <c r="G534" s="6">
        <v>165</v>
      </c>
      <c r="H534" s="1">
        <f>LOOKUP(G534,{0,123,128,133,138,143,148,151,154,157,160,163,166,169,172,175,178,185,192,198,204},{0,10,20,30,40,50,60,62,64,66,68,70,72,74,76,78,80,85,90,95,100})</f>
        <v>70</v>
      </c>
      <c r="I534" s="6">
        <v>52</v>
      </c>
      <c r="J534" s="1">
        <f>LOOKUP(I534,{0,13,15,17,19,21,23,25,27,29,31,33,35,37,39,41,43,46,49,51,53},{0,10,20,30,40,50,60,62,64,66,68,70,72,74,76,78,80,85,90,95,100})</f>
        <v>95</v>
      </c>
      <c r="K534" s="45"/>
      <c r="L534" s="45"/>
      <c r="M534" s="21">
        <f t="shared" si="249"/>
        <v>95</v>
      </c>
      <c r="N534" s="6">
        <v>9.3</v>
      </c>
      <c r="O534" s="43">
        <f t="shared" si="253"/>
        <v>3.7</v>
      </c>
      <c r="P534" s="1">
        <f>LOOKUP(O534,{0,1.4,1.6,1.8,2,2.2,2.4,2.6,2.8,3,3.2,3.4,3.6,3.8,4,4.2,4.4,4.7,5,5.1,5.2},{0,10,20,30,40,50,60,62,64,66,68,70,72,74,76,78,80,85,90,95,100})</f>
        <v>72</v>
      </c>
      <c r="Q534" s="6">
        <v>3.49</v>
      </c>
      <c r="R534" s="6">
        <f t="shared" si="250"/>
        <v>6.51</v>
      </c>
      <c r="S534" s="1">
        <f>LOOKUP(R534,{0,4.7,4.8,4.9,5,5.5,5.6,5.65,5.7,5.75,5.8,5.85,5.9,5.95,6,6.45,6.5,6.57,6.64,6.7,6.76},{0,10,20,30,40,50,60,62,64,66,68,70,72,74,76,78,80,85,90,95,100})</f>
        <v>80</v>
      </c>
      <c r="T534" s="45"/>
      <c r="U534" s="45"/>
      <c r="V534" s="21">
        <f t="shared" si="251"/>
        <v>80</v>
      </c>
      <c r="X534" s="21">
        <f t="shared" si="245"/>
        <v>55.4</v>
      </c>
      <c r="Y534" s="37">
        <f t="shared" si="252"/>
        <v>79.1428571428571</v>
      </c>
    </row>
    <row r="535" ht="15.6" hidden="1" outlineLevel="2" spans="1:25">
      <c r="A535" s="6">
        <v>112</v>
      </c>
      <c r="B535" s="6">
        <v>32</v>
      </c>
      <c r="C535" s="29" t="s">
        <v>603</v>
      </c>
      <c r="D535" s="29" t="s">
        <v>46</v>
      </c>
      <c r="E535" s="6">
        <v>12.5</v>
      </c>
      <c r="F535" s="1">
        <f>LOOKUP(E535,{0,0.4,1.2,2,2.8,3.6,4.4,5.7,7,8.3,9.6,10.9,12.2,13.5,14.8,16.1,17.4,19.1,20.8,22.5,24.2},{0,10,20,30,40,50,60,62,64,66,68,70,72,74,76,78,80,85,90,95,100})</f>
        <v>72</v>
      </c>
      <c r="G535" s="6">
        <v>162</v>
      </c>
      <c r="H535" s="1">
        <f>LOOKUP(G535,{0,123,128,133,138,143,148,151,154,157,160,163,166,169,172,175,178,185,192,198,204},{0,10,20,30,40,50,60,62,64,66,68,70,72,74,76,78,80,85,90,95,100})</f>
        <v>68</v>
      </c>
      <c r="I535" s="6">
        <v>53</v>
      </c>
      <c r="J535" s="1">
        <f>LOOKUP(I535,{0,13,15,17,19,21,23,25,27,29,31,33,35,37,39,41,43,46,49,51,53},{0,10,20,30,40,50,60,62,64,66,68,70,72,74,76,78,80,85,90,95,100})</f>
        <v>100</v>
      </c>
      <c r="K535" s="45">
        <f t="shared" si="248"/>
        <v>0</v>
      </c>
      <c r="L535" s="40">
        <f>LOOKUP(K535,{0,2,4,6,7,8,9,10,11,12,13},{0,1,2,3,4,5,6,7,8,9,10})</f>
        <v>0</v>
      </c>
      <c r="M535" s="21">
        <f t="shared" si="249"/>
        <v>100</v>
      </c>
      <c r="N535" s="6">
        <v>8.7</v>
      </c>
      <c r="O535" s="43">
        <f t="shared" si="253"/>
        <v>4.3</v>
      </c>
      <c r="P535" s="1">
        <f>LOOKUP(O535,{0,1.4,1.6,1.8,2,2.2,2.4,2.6,2.8,3,3.2,3.4,3.6,3.8,4,4.2,4.4,4.7,5,5.1,5.2},{0,10,20,30,40,50,60,62,64,66,68,70,72,74,76,78,80,85,90,95,100})</f>
        <v>78</v>
      </c>
      <c r="Q535" s="6">
        <v>3.34</v>
      </c>
      <c r="R535" s="6">
        <f t="shared" si="250"/>
        <v>6.66</v>
      </c>
      <c r="S535" s="1">
        <f>LOOKUP(R535,{0,4.7,4.8,4.9,5,5.5,5.6,5.65,5.7,5.75,5.8,5.85,5.9,5.95,6,6.45,6.5,6.57,6.64,6.7,6.76},{0,10,20,30,40,50,60,62,64,66,68,70,72,74,76,78,80,85,90,95,100})</f>
        <v>90</v>
      </c>
      <c r="T535" s="45"/>
      <c r="U535" s="45"/>
      <c r="V535" s="21">
        <f t="shared" si="251"/>
        <v>90</v>
      </c>
      <c r="X535" s="21">
        <f t="shared" si="245"/>
        <v>57.6</v>
      </c>
      <c r="Y535" s="37">
        <f t="shared" si="252"/>
        <v>82.2857142857143</v>
      </c>
    </row>
    <row r="536" ht="15.6" hidden="1" outlineLevel="2" spans="1:25">
      <c r="A536" s="6">
        <v>112</v>
      </c>
      <c r="B536" s="6">
        <v>33</v>
      </c>
      <c r="C536" s="29" t="s">
        <v>604</v>
      </c>
      <c r="D536" s="29" t="s">
        <v>46</v>
      </c>
      <c r="E536" s="6">
        <v>20</v>
      </c>
      <c r="F536" s="1">
        <f>LOOKUP(E536,{0,0.4,1.2,2,2.8,3.6,4.4,5.7,7,8.3,9.6,10.9,12.2,13.5,14.8,16.1,17.4,19.1,20.8,22.5,24.2},{0,10,20,30,40,50,60,62,64,66,68,70,72,74,76,78,80,85,90,95,100})</f>
        <v>85</v>
      </c>
      <c r="G536" s="6">
        <v>202</v>
      </c>
      <c r="H536" s="1">
        <f>LOOKUP(G536,{0,123,128,133,138,143,148,151,154,157,160,163,166,169,172,175,178,185,192,198,204},{0,10,20,30,40,50,60,62,64,66,68,70,72,74,76,78,80,85,90,95,100})</f>
        <v>95</v>
      </c>
      <c r="I536" s="6">
        <v>60</v>
      </c>
      <c r="J536" s="1">
        <f>LOOKUP(I536,{0,13,15,17,19,21,23,25,27,29,31,33,35,37,39,41,43,46,49,51,53},{0,10,20,30,40,50,60,62,64,66,68,70,72,74,76,78,80,85,90,95,100})</f>
        <v>100</v>
      </c>
      <c r="K536" s="45">
        <f t="shared" si="248"/>
        <v>7</v>
      </c>
      <c r="L536" s="40">
        <f>LOOKUP(K536,{0,2,4,6,7,8,9,10,11,12,13},{0,1,2,3,4,5,6,7,8,9,10})</f>
        <v>4</v>
      </c>
      <c r="M536" s="21">
        <f t="shared" si="249"/>
        <v>104</v>
      </c>
      <c r="N536" s="6">
        <v>7.6</v>
      </c>
      <c r="O536" s="43">
        <f t="shared" si="253"/>
        <v>5.4</v>
      </c>
      <c r="P536" s="1">
        <f>LOOKUP(O536,{0,1.4,1.6,1.8,2,2.2,2.4,2.6,2.8,3,3.2,3.4,3.6,3.8,4,4.2,4.4,4.7,5,5.1,5.2},{0,10,20,30,40,50,60,62,64,66,68,70,72,74,76,78,80,85,90,95,100})</f>
        <v>100</v>
      </c>
      <c r="Q536" s="6">
        <v>3.1</v>
      </c>
      <c r="R536" s="6">
        <f t="shared" si="250"/>
        <v>6.9</v>
      </c>
      <c r="S536" s="1">
        <f>LOOKUP(R536,{0,4.7,4.8,4.9,5,5.5,5.6,5.65,5.7,5.75,5.8,5.85,5.9,5.95,6,6.45,6.5,6.57,6.64,6.7,6.76},{0,10,20,30,40,50,60,62,64,66,68,70,72,74,76,78,80,85,90,95,100})</f>
        <v>100</v>
      </c>
      <c r="T536" s="48">
        <f t="shared" ref="T536:T539" si="254">3.24-Q536</f>
        <v>0.14</v>
      </c>
      <c r="U536" s="40">
        <f>LOOKUP(T536,{0,0.05,0.1,0.15,0.2,0.25,0.3,0.35,0.4,0.45,0.5},{0,1,2,3,4,5,6,7,8,9,10})</f>
        <v>2</v>
      </c>
      <c r="V536" s="21">
        <f t="shared" si="251"/>
        <v>102</v>
      </c>
      <c r="X536" s="21">
        <f t="shared" si="245"/>
        <v>68</v>
      </c>
      <c r="Y536" s="37">
        <f t="shared" si="252"/>
        <v>103.142857142857</v>
      </c>
    </row>
    <row r="537" ht="15.6" hidden="1" outlineLevel="2" spans="1:25">
      <c r="A537" s="6">
        <v>112</v>
      </c>
      <c r="B537" s="6">
        <v>34</v>
      </c>
      <c r="C537" s="29" t="s">
        <v>605</v>
      </c>
      <c r="D537" s="29" t="s">
        <v>46</v>
      </c>
      <c r="E537" s="6">
        <v>13</v>
      </c>
      <c r="F537" s="1">
        <f>LOOKUP(E537,{0,0.4,1.2,2,2.8,3.6,4.4,5.7,7,8.3,9.6,10.9,12.2,13.5,14.8,16.1,17.4,19.1,20.8,22.5,24.2},{0,10,20,30,40,50,60,62,64,66,68,70,72,74,76,78,80,85,90,95,100})</f>
        <v>72</v>
      </c>
      <c r="G537" s="6">
        <v>175</v>
      </c>
      <c r="H537" s="1">
        <f>LOOKUP(G537,{0,123,128,133,138,143,148,151,154,157,160,163,166,169,172,175,178,185,192,198,204},{0,10,20,30,40,50,60,62,64,66,68,70,72,74,76,78,80,85,90,95,100})</f>
        <v>78</v>
      </c>
      <c r="I537" s="6">
        <v>53</v>
      </c>
      <c r="J537" s="1">
        <f>LOOKUP(I537,{0,13,15,17,19,21,23,25,27,29,31,33,35,37,39,41,43,46,49,51,53},{0,10,20,30,40,50,60,62,64,66,68,70,72,74,76,78,80,85,90,95,100})</f>
        <v>100</v>
      </c>
      <c r="K537" s="45">
        <f t="shared" si="248"/>
        <v>0</v>
      </c>
      <c r="L537" s="40">
        <f>LOOKUP(K537,{0,2,4,6,7,8,9,10,11,12,13},{0,1,2,3,4,5,6,7,8,9,10})</f>
        <v>0</v>
      </c>
      <c r="M537" s="21">
        <f t="shared" si="249"/>
        <v>100</v>
      </c>
      <c r="N537" s="6">
        <v>8.2</v>
      </c>
      <c r="O537" s="43">
        <f t="shared" si="253"/>
        <v>4.8</v>
      </c>
      <c r="P537" s="1">
        <f>LOOKUP(O537,{0,1.4,1.6,1.8,2,2.2,2.4,2.6,2.8,3,3.2,3.4,3.6,3.8,4,4.2,4.4,4.7,5,5.1,5.2},{0,10,20,30,40,50,60,62,64,66,68,70,72,74,76,78,80,85,90,95,100})</f>
        <v>85</v>
      </c>
      <c r="Q537" s="6">
        <v>3.11</v>
      </c>
      <c r="R537" s="6">
        <f t="shared" si="250"/>
        <v>6.89</v>
      </c>
      <c r="S537" s="1">
        <f>LOOKUP(R537,{0,4.7,4.8,4.9,5,5.5,5.6,5.65,5.7,5.75,5.8,5.85,5.9,5.95,6,6.45,6.5,6.57,6.64,6.7,6.76},{0,10,20,30,40,50,60,62,64,66,68,70,72,74,76,78,80,85,90,95,100})</f>
        <v>100</v>
      </c>
      <c r="T537" s="48">
        <f t="shared" si="254"/>
        <v>0.13</v>
      </c>
      <c r="U537" s="40">
        <f>LOOKUP(T537,{0,0.05,0.1,0.15,0.2,0.25,0.3,0.35,0.4,0.45,0.5},{0,1,2,3,4,5,6,7,8,9,10})</f>
        <v>2</v>
      </c>
      <c r="V537" s="21">
        <f t="shared" si="251"/>
        <v>102</v>
      </c>
      <c r="X537" s="21">
        <f t="shared" si="245"/>
        <v>62</v>
      </c>
      <c r="Y537" s="37">
        <f t="shared" si="252"/>
        <v>90.5714285714286</v>
      </c>
    </row>
    <row r="538" ht="15.6" hidden="1" outlineLevel="2" spans="1:25">
      <c r="A538" s="6">
        <v>112</v>
      </c>
      <c r="B538" s="6">
        <v>35</v>
      </c>
      <c r="C538" s="29" t="s">
        <v>606</v>
      </c>
      <c r="D538" s="29" t="s">
        <v>46</v>
      </c>
      <c r="E538" s="6">
        <v>27.5</v>
      </c>
      <c r="F538" s="1">
        <f>LOOKUP(E538,{0,0.4,1.2,2,2.8,3.6,4.4,5.7,7,8.3,9.6,10.9,12.2,13.5,14.8,16.1,17.4,19.1,20.8,22.5,24.2},{0,10,20,30,40,50,60,62,64,66,68,70,72,74,76,78,80,85,90,95,100})</f>
        <v>100</v>
      </c>
      <c r="G538" s="6">
        <v>165</v>
      </c>
      <c r="H538" s="1">
        <f>LOOKUP(G538,{0,123,128,133,138,143,148,151,154,157,160,163,166,169,172,175,178,185,192,198,204},{0,10,20,30,40,50,60,62,64,66,68,70,72,74,76,78,80,85,90,95,100})</f>
        <v>70</v>
      </c>
      <c r="I538" s="6">
        <v>48</v>
      </c>
      <c r="J538" s="1">
        <f>LOOKUP(I538,{0,13,15,17,19,21,23,25,27,29,31,33,35,37,39,41,43,46,49,51,53},{0,10,20,30,40,50,60,62,64,66,68,70,72,74,76,78,80,85,90,95,100})</f>
        <v>85</v>
      </c>
      <c r="K538" s="45"/>
      <c r="L538" s="45"/>
      <c r="M538" s="21">
        <f t="shared" si="249"/>
        <v>85</v>
      </c>
      <c r="N538" s="6">
        <v>8.9</v>
      </c>
      <c r="O538" s="43">
        <f t="shared" si="253"/>
        <v>4.1</v>
      </c>
      <c r="P538" s="1">
        <f>LOOKUP(O538,{0,1.4,1.6,1.8,2,2.2,2.4,2.6,2.8,3,3.2,3.4,3.6,3.8,4,4.2,4.4,4.7,5,5.1,5.2},{0,10,20,30,40,50,60,62,64,66,68,70,72,74,76,78,80,85,90,95,100})</f>
        <v>76</v>
      </c>
      <c r="Q538" s="6">
        <v>4.06</v>
      </c>
      <c r="R538" s="6">
        <f t="shared" si="250"/>
        <v>5.94</v>
      </c>
      <c r="S538" s="1">
        <f>LOOKUP(R538,{0,4.7,4.8,4.9,5,5.5,5.6,5.65,5.7,5.75,5.8,5.85,5.9,5.95,6,6.45,6.5,6.57,6.64,6.7,6.76},{0,10,20,30,40,50,60,62,64,66,68,70,72,74,76,78,80,85,90,95,100})</f>
        <v>72</v>
      </c>
      <c r="T538" s="45"/>
      <c r="U538" s="45"/>
      <c r="V538" s="21">
        <f t="shared" si="251"/>
        <v>72</v>
      </c>
      <c r="X538" s="21">
        <f t="shared" si="245"/>
        <v>55.1</v>
      </c>
      <c r="Y538" s="37">
        <f t="shared" si="252"/>
        <v>78.7142857142857</v>
      </c>
    </row>
    <row r="539" ht="15.6" hidden="1" outlineLevel="2" spans="1:25">
      <c r="A539" s="6">
        <v>112</v>
      </c>
      <c r="B539" s="6">
        <v>36</v>
      </c>
      <c r="C539" s="29" t="s">
        <v>607</v>
      </c>
      <c r="D539" s="29" t="s">
        <v>46</v>
      </c>
      <c r="E539" s="6">
        <v>8.5</v>
      </c>
      <c r="F539" s="1">
        <f>LOOKUP(E539,{0,0.4,1.2,2,2.8,3.6,4.4,5.7,7,8.3,9.6,10.9,12.2,13.5,14.8,16.1,17.4,19.1,20.8,22.5,24.2},{0,10,20,30,40,50,60,62,64,66,68,70,72,74,76,78,80,85,90,95,100})</f>
        <v>66</v>
      </c>
      <c r="G539" s="6">
        <v>210</v>
      </c>
      <c r="H539" s="1">
        <f>LOOKUP(G539,{0,123,128,133,138,143,148,151,154,157,160,163,166,169,172,175,178,185,192,198,204},{0,10,20,30,40,50,60,62,64,66,68,70,72,74,76,78,80,85,90,95,100})</f>
        <v>100</v>
      </c>
      <c r="I539" s="6">
        <v>44</v>
      </c>
      <c r="J539" s="1">
        <f>LOOKUP(I539,{0,13,15,17,19,21,23,25,27,29,31,33,35,37,39,41,43,46,49,51,53},{0,10,20,30,40,50,60,62,64,66,68,70,72,74,76,78,80,85,90,95,100})</f>
        <v>80</v>
      </c>
      <c r="K539" s="45"/>
      <c r="L539" s="45"/>
      <c r="M539" s="21">
        <f t="shared" si="249"/>
        <v>80</v>
      </c>
      <c r="N539" s="6">
        <v>8.6</v>
      </c>
      <c r="O539" s="43">
        <f t="shared" si="253"/>
        <v>4.4</v>
      </c>
      <c r="P539" s="1">
        <f>LOOKUP(O539,{0,1.4,1.6,1.8,2,2.2,2.4,2.6,2.8,3,3.2,3.4,3.6,3.8,4,4.2,4.4,4.7,5,5.1,5.2},{0,10,20,30,40,50,60,62,64,66,68,70,72,74,76,78,80,85,90,95,100})</f>
        <v>80</v>
      </c>
      <c r="Q539" s="6">
        <v>3.22</v>
      </c>
      <c r="R539" s="6">
        <f t="shared" si="250"/>
        <v>6.78</v>
      </c>
      <c r="S539" s="1">
        <f>LOOKUP(R539,{0,4.7,4.8,4.9,5,5.5,5.6,5.65,5.7,5.75,5.8,5.85,5.9,5.95,6,6.45,6.5,6.57,6.64,6.7,6.76},{0,10,20,30,40,50,60,62,64,66,68,70,72,74,76,78,80,85,90,95,100})</f>
        <v>100</v>
      </c>
      <c r="T539" s="48">
        <f t="shared" si="254"/>
        <v>0.02</v>
      </c>
      <c r="U539" s="40">
        <f>LOOKUP(T539,{0,0.05,0.1,0.15,0.2,0.25,0.3,0.35,0.4,0.45,0.5},{0,1,2,3,4,5,6,7,8,9,10})</f>
        <v>0</v>
      </c>
      <c r="V539" s="21">
        <f t="shared" si="251"/>
        <v>100</v>
      </c>
      <c r="X539" s="21">
        <f t="shared" si="245"/>
        <v>60.6</v>
      </c>
      <c r="Y539" s="37">
        <f t="shared" si="252"/>
        <v>86.5714285714286</v>
      </c>
    </row>
    <row r="540" ht="15.6" hidden="1" outlineLevel="2" spans="1:25">
      <c r="A540" s="6">
        <v>112</v>
      </c>
      <c r="B540" s="6">
        <v>37</v>
      </c>
      <c r="C540" s="29" t="s">
        <v>608</v>
      </c>
      <c r="D540" s="29" t="s">
        <v>46</v>
      </c>
      <c r="E540" s="6">
        <v>23</v>
      </c>
      <c r="F540" s="1">
        <f>LOOKUP(E540,{0,0.4,1.2,2,2.8,3.6,4.4,5.7,7,8.3,9.6,10.9,12.2,13.5,14.8,16.1,17.4,19.1,20.8,22.5,24.2},{0,10,20,30,40,50,60,62,64,66,68,70,72,74,76,78,80,85,90,95,100})</f>
        <v>95</v>
      </c>
      <c r="G540" s="6">
        <v>170</v>
      </c>
      <c r="H540" s="1">
        <f>LOOKUP(G540,{0,123,128,133,138,143,148,151,154,157,160,163,166,169,172,175,178,185,192,198,204},{0,10,20,30,40,50,60,62,64,66,68,70,72,74,76,78,80,85,90,95,100})</f>
        <v>74</v>
      </c>
      <c r="I540" s="6">
        <v>36</v>
      </c>
      <c r="J540" s="1">
        <f>LOOKUP(I540,{0,13,15,17,19,21,23,25,27,29,31,33,35,37,39,41,43,46,49,51,53},{0,10,20,30,40,50,60,62,64,66,68,70,72,74,76,78,80,85,90,95,100})</f>
        <v>72</v>
      </c>
      <c r="K540" s="45"/>
      <c r="L540" s="45"/>
      <c r="M540" s="21">
        <f t="shared" si="249"/>
        <v>72</v>
      </c>
      <c r="N540" s="6">
        <v>8.7</v>
      </c>
      <c r="O540" s="43">
        <f t="shared" si="253"/>
        <v>4.3</v>
      </c>
      <c r="P540" s="1">
        <f>LOOKUP(O540,{0,1.4,1.6,1.8,2,2.2,2.4,2.6,2.8,3,3.2,3.4,3.6,3.8,4,4.2,4.4,4.7,5,5.1,5.2},{0,10,20,30,40,50,60,62,64,66,68,70,72,74,76,78,80,85,90,95,100})</f>
        <v>78</v>
      </c>
      <c r="Q540" s="6">
        <v>3.57</v>
      </c>
      <c r="R540" s="6">
        <f t="shared" si="250"/>
        <v>6.43</v>
      </c>
      <c r="S540" s="1">
        <f>LOOKUP(R540,{0,4.7,4.8,4.9,5,5.5,5.6,5.65,5.7,5.75,5.8,5.85,5.9,5.95,6,6.45,6.5,6.57,6.64,6.7,6.76},{0,10,20,30,40,50,60,62,64,66,68,70,72,74,76,78,80,85,90,95,100})</f>
        <v>76</v>
      </c>
      <c r="T540" s="45"/>
      <c r="U540" s="45"/>
      <c r="V540" s="21">
        <f t="shared" si="251"/>
        <v>76</v>
      </c>
      <c r="X540" s="21">
        <f t="shared" si="245"/>
        <v>54.9</v>
      </c>
      <c r="Y540" s="37">
        <f t="shared" si="252"/>
        <v>78.4285714285714</v>
      </c>
    </row>
    <row r="541" ht="15.6" hidden="1" outlineLevel="2" spans="1:25">
      <c r="A541" s="6">
        <v>112</v>
      </c>
      <c r="B541" s="6">
        <v>38</v>
      </c>
      <c r="C541" s="29" t="s">
        <v>609</v>
      </c>
      <c r="D541" s="29" t="s">
        <v>46</v>
      </c>
      <c r="E541" s="6">
        <v>22.5</v>
      </c>
      <c r="F541" s="1">
        <f>LOOKUP(E541,{0,0.4,1.2,2,2.8,3.6,4.4,5.7,7,8.3,9.6,10.9,12.2,13.5,14.8,16.1,17.4,19.1,20.8,22.5,24.2},{0,10,20,30,40,50,60,62,64,66,68,70,72,74,76,78,80,85,90,95,100})</f>
        <v>95</v>
      </c>
      <c r="G541" s="6">
        <v>185</v>
      </c>
      <c r="H541" s="1">
        <f>LOOKUP(G541,{0,123,128,133,138,143,148,151,154,157,160,163,166,169,172,175,178,185,192,198,204},{0,10,20,30,40,50,60,62,64,66,68,70,72,74,76,78,80,85,90,95,100})</f>
        <v>85</v>
      </c>
      <c r="I541" s="6">
        <v>43</v>
      </c>
      <c r="J541" s="1">
        <f>LOOKUP(I541,{0,13,15,17,19,21,23,25,27,29,31,33,35,37,39,41,43,46,49,51,53},{0,10,20,30,40,50,60,62,64,66,68,70,72,74,76,78,80,85,90,95,100})</f>
        <v>80</v>
      </c>
      <c r="K541" s="45"/>
      <c r="L541" s="45"/>
      <c r="M541" s="21">
        <f t="shared" si="249"/>
        <v>80</v>
      </c>
      <c r="N541" s="6">
        <v>8.7</v>
      </c>
      <c r="O541" s="43">
        <f t="shared" si="253"/>
        <v>4.3</v>
      </c>
      <c r="P541" s="1">
        <f>LOOKUP(O541,{0,1.4,1.6,1.8,2,2.2,2.4,2.6,2.8,3,3.2,3.4,3.6,3.8,4,4.2,4.4,4.7,5,5.1,5.2},{0,10,20,30,40,50,60,62,64,66,68,70,72,74,76,78,80,85,90,95,100})</f>
        <v>78</v>
      </c>
      <c r="Q541" s="6">
        <v>3.53</v>
      </c>
      <c r="R541" s="6">
        <f t="shared" si="250"/>
        <v>6.47</v>
      </c>
      <c r="S541" s="1">
        <f>LOOKUP(R541,{0,4.7,4.8,4.9,5,5.5,5.6,5.65,5.7,5.75,5.8,5.85,5.9,5.95,6,6.45,6.5,6.57,6.64,6.7,6.76},{0,10,20,30,40,50,60,62,64,66,68,70,72,74,76,78,80,85,90,95,100})</f>
        <v>78</v>
      </c>
      <c r="T541" s="45"/>
      <c r="U541" s="45"/>
      <c r="V541" s="21">
        <f t="shared" si="251"/>
        <v>78</v>
      </c>
      <c r="X541" s="21">
        <f t="shared" si="245"/>
        <v>57.2</v>
      </c>
      <c r="Y541" s="37">
        <f t="shared" si="252"/>
        <v>81.7142857142857</v>
      </c>
    </row>
    <row r="542" ht="15.6" hidden="1" outlineLevel="2" spans="1:25">
      <c r="A542" s="6">
        <v>112</v>
      </c>
      <c r="B542" s="6">
        <v>39</v>
      </c>
      <c r="C542" s="39" t="s">
        <v>611</v>
      </c>
      <c r="D542" s="29" t="s">
        <v>46</v>
      </c>
      <c r="E542" s="6">
        <v>28.3</v>
      </c>
      <c r="F542" s="1">
        <f>LOOKUP(E542,{0,0.4,1.2,2,2.8,3.6,4.4,5.7,7,8.3,9.6,10.9,12.2,13.5,14.8,16.1,17.4,19.1,20.8,22.5,24.2},{0,10,20,30,40,50,60,62,64,66,68,70,72,74,76,78,80,85,90,95,100})</f>
        <v>100</v>
      </c>
      <c r="G542" s="6">
        <v>180</v>
      </c>
      <c r="H542" s="1">
        <f>LOOKUP(G542,{0,123,128,133,138,143,148,151,154,157,160,163,166,169,172,175,178,185,192,198,204},{0,10,20,30,40,50,60,62,64,66,68,70,72,74,76,78,80,85,90,95,100})</f>
        <v>80</v>
      </c>
      <c r="I542" s="6">
        <v>44</v>
      </c>
      <c r="J542" s="1">
        <f>LOOKUP(I542,{0,13,15,17,19,21,23,25,27,29,31,33,35,37,39,41,43,46,49,51,53},{0,10,20,30,40,50,60,62,64,66,68,70,72,74,76,78,80,85,90,95,100})</f>
        <v>80</v>
      </c>
      <c r="K542" s="45"/>
      <c r="L542" s="45"/>
      <c r="M542" s="21">
        <f t="shared" si="249"/>
        <v>80</v>
      </c>
      <c r="N542" s="6">
        <v>8.7</v>
      </c>
      <c r="O542" s="43">
        <f t="shared" si="253"/>
        <v>4.3</v>
      </c>
      <c r="P542" s="1">
        <f>LOOKUP(O542,{0,1.4,1.6,1.8,2,2.2,2.4,2.6,2.8,3,3.2,3.4,3.6,3.8,4,4.2,4.4,4.7,5,5.1,5.2},{0,10,20,30,40,50,60,62,64,66,68,70,72,74,76,78,80,85,90,95,100})</f>
        <v>78</v>
      </c>
      <c r="Q542" s="6">
        <v>3.47</v>
      </c>
      <c r="R542" s="6">
        <f t="shared" si="250"/>
        <v>6.53</v>
      </c>
      <c r="S542" s="1">
        <f>LOOKUP(R542,{0,4.7,4.8,4.9,5,5.5,5.6,5.65,5.7,5.75,5.8,5.85,5.9,5.95,6,6.45,6.5,6.57,6.64,6.7,6.76},{0,10,20,30,40,50,60,62,64,66,68,70,72,74,76,78,80,85,90,95,100})</f>
        <v>80</v>
      </c>
      <c r="T542" s="45"/>
      <c r="U542" s="45"/>
      <c r="V542" s="21">
        <f t="shared" si="251"/>
        <v>80</v>
      </c>
      <c r="X542" s="21">
        <f t="shared" si="245"/>
        <v>57.6</v>
      </c>
      <c r="Y542" s="37">
        <f t="shared" si="252"/>
        <v>82.2857142857143</v>
      </c>
    </row>
    <row r="543" ht="15.6" hidden="1" outlineLevel="2" spans="1:25">
      <c r="A543" s="6">
        <v>112</v>
      </c>
      <c r="B543" s="6">
        <v>40</v>
      </c>
      <c r="C543" s="29" t="s">
        <v>612</v>
      </c>
      <c r="D543" s="29" t="s">
        <v>46</v>
      </c>
      <c r="E543" s="6">
        <v>17.5</v>
      </c>
      <c r="F543" s="1">
        <f>LOOKUP(E543,{0,0.4,1.2,2,2.8,3.6,4.4,5.7,7,8.3,9.6,10.9,12.2,13.5,14.8,16.1,17.4,19.1,20.8,22.5,24.2},{0,10,20,30,40,50,60,62,64,66,68,70,72,74,76,78,80,85,90,95,100})</f>
        <v>80</v>
      </c>
      <c r="G543" s="6">
        <v>220</v>
      </c>
      <c r="H543" s="1">
        <f>LOOKUP(G543,{0,123,128,133,138,143,148,151,154,157,160,163,166,169,172,175,178,185,192,198,204},{0,10,20,30,40,50,60,62,64,66,68,70,72,74,76,78,80,85,90,95,100})</f>
        <v>100</v>
      </c>
      <c r="I543" s="6">
        <v>51</v>
      </c>
      <c r="J543" s="1">
        <f>LOOKUP(I543,{0,13,15,17,19,21,23,25,27,29,31,33,35,37,39,41,43,46,49,51,53},{0,10,20,30,40,50,60,62,64,66,68,70,72,74,76,78,80,85,90,95,100})</f>
        <v>95</v>
      </c>
      <c r="K543" s="45"/>
      <c r="L543" s="45"/>
      <c r="M543" s="21">
        <f t="shared" si="249"/>
        <v>95</v>
      </c>
      <c r="N543" s="6">
        <v>7.2</v>
      </c>
      <c r="O543" s="43">
        <f t="shared" si="253"/>
        <v>5.8</v>
      </c>
      <c r="P543" s="1">
        <f>LOOKUP(O543,{0,1.4,1.6,1.8,2,2.2,2.4,2.6,2.8,3,3.2,3.4,3.6,3.8,4,4.2,4.4,4.7,5,5.1,5.2},{0,10,20,30,40,50,60,62,64,66,68,70,72,74,76,78,80,85,90,95,100})</f>
        <v>100</v>
      </c>
      <c r="Q543" s="6">
        <v>3</v>
      </c>
      <c r="R543" s="6">
        <f t="shared" si="250"/>
        <v>7</v>
      </c>
      <c r="S543" s="1">
        <f>LOOKUP(R543,{0,4.7,4.8,4.9,5,5.5,5.6,5.65,5.7,5.75,5.8,5.85,5.9,5.95,6,6.45,6.5,6.57,6.64,6.7,6.76},{0,10,20,30,40,50,60,62,64,66,68,70,72,74,76,78,80,85,90,95,100})</f>
        <v>100</v>
      </c>
      <c r="T543" s="48">
        <f>3.24-Q543</f>
        <v>0.24</v>
      </c>
      <c r="U543" s="40">
        <f>LOOKUP(T543,{0,0.05,0.1,0.15,0.2,0.25,0.3,0.35,0.4,0.45,0.5},{0,1,2,3,4,5,6,7,8,9,10})</f>
        <v>4</v>
      </c>
      <c r="V543" s="21">
        <f t="shared" si="251"/>
        <v>104</v>
      </c>
      <c r="X543" s="21">
        <f t="shared" si="245"/>
        <v>67.5</v>
      </c>
      <c r="Y543" s="37">
        <f t="shared" si="252"/>
        <v>100.428571428571</v>
      </c>
    </row>
    <row r="544" ht="15.6" hidden="1" outlineLevel="2" spans="1:25">
      <c r="A544" s="6">
        <v>112</v>
      </c>
      <c r="B544" s="6">
        <v>41</v>
      </c>
      <c r="C544" s="29" t="s">
        <v>613</v>
      </c>
      <c r="D544" s="29" t="s">
        <v>46</v>
      </c>
      <c r="E544" s="6">
        <v>23</v>
      </c>
      <c r="F544" s="1">
        <f>LOOKUP(E544,{0,0.4,1.2,2,2.8,3.6,4.4,5.7,7,8.3,9.6,10.9,12.2,13.5,14.8,16.1,17.4,19.1,20.8,22.5,24.2},{0,10,20,30,40,50,60,62,64,66,68,70,72,74,76,78,80,85,90,95,100})</f>
        <v>95</v>
      </c>
      <c r="G544" s="6">
        <v>189</v>
      </c>
      <c r="H544" s="1">
        <f>LOOKUP(G544,{0,123,128,133,138,143,148,151,154,157,160,163,166,169,172,175,178,185,192,198,204},{0,10,20,30,40,50,60,62,64,66,68,70,72,74,76,78,80,85,90,95,100})</f>
        <v>85</v>
      </c>
      <c r="I544" s="6">
        <v>57</v>
      </c>
      <c r="J544" s="1">
        <f>LOOKUP(I544,{0,13,15,17,19,21,23,25,27,29,31,33,35,37,39,41,43,46,49,51,53},{0,10,20,30,40,50,60,62,64,66,68,70,72,74,76,78,80,85,90,95,100})</f>
        <v>100</v>
      </c>
      <c r="K544" s="45">
        <f>I544-53</f>
        <v>4</v>
      </c>
      <c r="L544" s="40">
        <f>LOOKUP(K544,{0,2,4,6,7,8,9,10,11,12,13},{0,1,2,3,4,5,6,7,8,9,10})</f>
        <v>2</v>
      </c>
      <c r="M544" s="21">
        <f t="shared" si="249"/>
        <v>102</v>
      </c>
      <c r="N544" s="6">
        <v>8.4</v>
      </c>
      <c r="O544" s="43">
        <f t="shared" si="253"/>
        <v>4.6</v>
      </c>
      <c r="P544" s="1">
        <f>LOOKUP(O544,{0,1.4,1.6,1.8,2,2.2,2.4,2.6,2.8,3,3.2,3.4,3.6,3.8,4,4.2,4.4,4.7,5,5.1,5.2},{0,10,20,30,40,50,60,62,64,66,68,70,72,74,76,78,80,85,90,95,100})</f>
        <v>80</v>
      </c>
      <c r="Q544" s="6">
        <v>3.54</v>
      </c>
      <c r="R544" s="6">
        <f t="shared" si="250"/>
        <v>6.46</v>
      </c>
      <c r="S544" s="1">
        <f>LOOKUP(R544,{0,4.7,4.8,4.9,5,5.5,5.6,5.65,5.7,5.75,5.8,5.85,5.9,5.95,6,6.45,6.5,6.57,6.64,6.7,6.76},{0,10,20,30,40,50,60,62,64,66,68,70,72,74,76,78,80,85,90,95,100})</f>
        <v>78</v>
      </c>
      <c r="T544" s="45"/>
      <c r="U544" s="45"/>
      <c r="V544" s="21">
        <f t="shared" si="251"/>
        <v>78</v>
      </c>
      <c r="X544" s="21">
        <f t="shared" si="245"/>
        <v>59.6</v>
      </c>
      <c r="Y544" s="37">
        <f t="shared" si="252"/>
        <v>87.1428571428572</v>
      </c>
    </row>
    <row r="545" ht="15.6" hidden="1" outlineLevel="2" spans="1:25">
      <c r="A545" s="6">
        <v>112</v>
      </c>
      <c r="B545" s="6">
        <v>42</v>
      </c>
      <c r="C545" s="29" t="s">
        <v>333</v>
      </c>
      <c r="D545" s="29" t="s">
        <v>46</v>
      </c>
      <c r="E545" s="6">
        <v>3</v>
      </c>
      <c r="F545" s="1">
        <f>LOOKUP(E545,{0,0.4,1.2,2,2.8,3.6,4.4,5.7,7,8.3,9.6,10.9,12.2,13.5,14.8,16.1,17.4,19.1,20.8,22.5,24.2},{0,10,20,30,40,50,60,62,64,66,68,70,72,74,76,78,80,85,90,95,100})</f>
        <v>40</v>
      </c>
      <c r="G545" s="6">
        <v>161</v>
      </c>
      <c r="H545" s="1">
        <f>LOOKUP(G545,{0,123,128,133,138,143,148,151,154,157,160,163,166,169,172,175,178,185,192,198,204},{0,10,20,30,40,50,60,62,64,66,68,70,72,74,76,78,80,85,90,95,100})</f>
        <v>68</v>
      </c>
      <c r="I545" s="6">
        <v>37</v>
      </c>
      <c r="J545" s="1">
        <f>LOOKUP(I545,{0,13,15,17,19,21,23,25,27,29,31,33,35,37,39,41,43,46,49,51,53},{0,10,20,30,40,50,60,62,64,66,68,70,72,74,76,78,80,85,90,95,100})</f>
        <v>74</v>
      </c>
      <c r="K545" s="45"/>
      <c r="L545" s="45"/>
      <c r="M545" s="21">
        <f t="shared" si="249"/>
        <v>74</v>
      </c>
      <c r="N545" s="6">
        <v>9</v>
      </c>
      <c r="O545" s="43">
        <f t="shared" si="253"/>
        <v>4</v>
      </c>
      <c r="P545" s="1">
        <f>LOOKUP(O545,{0,1.4,1.6,1.8,2,2.2,2.4,2.6,2.8,3,3.2,3.4,3.6,3.8,4,4.2,4.4,4.7,5,5.1,5.2},{0,10,20,30,40,50,60,62,64,66,68,70,72,74,76,78,80,85,90,95,100})</f>
        <v>76</v>
      </c>
      <c r="Q545" s="6">
        <v>3.42</v>
      </c>
      <c r="R545" s="6">
        <f t="shared" si="250"/>
        <v>6.58</v>
      </c>
      <c r="S545" s="1">
        <f>LOOKUP(R545,{0,4.7,4.8,4.9,5,5.5,5.6,5.65,5.7,5.75,5.8,5.85,5.9,5.95,6,6.45,6.5,6.57,6.64,6.7,6.76},{0,10,20,30,40,50,60,62,64,66,68,70,72,74,76,78,80,85,90,95,100})</f>
        <v>85</v>
      </c>
      <c r="T545" s="45"/>
      <c r="U545" s="45"/>
      <c r="V545" s="21">
        <f t="shared" si="251"/>
        <v>85</v>
      </c>
      <c r="X545" s="21">
        <f t="shared" si="245"/>
        <v>50.4</v>
      </c>
      <c r="Y545" s="37">
        <f t="shared" si="252"/>
        <v>72</v>
      </c>
    </row>
    <row r="546" ht="15.6" hidden="1" outlineLevel="2" spans="1:25">
      <c r="A546" s="6">
        <v>112</v>
      </c>
      <c r="B546" s="6">
        <v>43</v>
      </c>
      <c r="C546" s="29" t="s">
        <v>614</v>
      </c>
      <c r="D546" s="29" t="s">
        <v>46</v>
      </c>
      <c r="E546" s="6">
        <v>16.5</v>
      </c>
      <c r="F546" s="1">
        <f>LOOKUP(E546,{0,0.4,1.2,2,2.8,3.6,4.4,5.7,7,8.3,9.6,10.9,12.2,13.5,14.8,16.1,17.4,19.1,20.8,22.5,24.2},{0,10,20,30,40,50,60,62,64,66,68,70,72,74,76,78,80,85,90,95,100})</f>
        <v>78</v>
      </c>
      <c r="G546" s="6">
        <v>159</v>
      </c>
      <c r="H546" s="1">
        <f>LOOKUP(G546,{0,123,128,133,138,143,148,151,154,157,160,163,166,169,172,175,178,185,192,198,204},{0,10,20,30,40,50,60,62,64,66,68,70,72,74,76,78,80,85,90,95,100})</f>
        <v>66</v>
      </c>
      <c r="I546" s="6">
        <v>50</v>
      </c>
      <c r="J546" s="1">
        <f>LOOKUP(I546,{0,13,15,17,19,21,23,25,27,29,31,33,35,37,39,41,43,46,49,51,53},{0,10,20,30,40,50,60,62,64,66,68,70,72,74,76,78,80,85,90,95,100})</f>
        <v>90</v>
      </c>
      <c r="K546" s="45"/>
      <c r="L546" s="45"/>
      <c r="M546" s="21">
        <f t="shared" si="249"/>
        <v>90</v>
      </c>
      <c r="N546" s="6">
        <v>9.2</v>
      </c>
      <c r="O546" s="43">
        <f t="shared" si="253"/>
        <v>3.8</v>
      </c>
      <c r="P546" s="1">
        <f>LOOKUP(O546,{0,1.4,1.6,1.8,2,2.2,2.4,2.6,2.8,3,3.2,3.4,3.6,3.8,4,4.2,4.4,4.7,5,5.1,5.2},{0,10,20,30,40,50,60,62,64,66,68,70,72,74,76,78,80,85,90,95,100})</f>
        <v>74</v>
      </c>
      <c r="Q546" s="6">
        <v>3.59</v>
      </c>
      <c r="R546" s="6">
        <f t="shared" si="250"/>
        <v>6.41</v>
      </c>
      <c r="S546" s="1">
        <f>LOOKUP(R546,{0,4.7,4.8,4.9,5,5.5,5.6,5.65,5.7,5.75,5.8,5.85,5.9,5.95,6,6.45,6.5,6.57,6.64,6.7,6.76},{0,10,20,30,40,50,60,62,64,66,68,70,72,74,76,78,80,85,90,95,100})</f>
        <v>76</v>
      </c>
      <c r="T546" s="45"/>
      <c r="U546" s="45"/>
      <c r="V546" s="21">
        <f t="shared" si="251"/>
        <v>76</v>
      </c>
      <c r="X546" s="21">
        <f t="shared" si="245"/>
        <v>53.4</v>
      </c>
      <c r="Y546" s="37">
        <f t="shared" si="252"/>
        <v>76.2857142857143</v>
      </c>
    </row>
    <row r="547" ht="15.6" hidden="1" outlineLevel="2" spans="1:25">
      <c r="A547" s="6">
        <v>112</v>
      </c>
      <c r="B547" s="6">
        <v>44</v>
      </c>
      <c r="C547" s="29" t="s">
        <v>615</v>
      </c>
      <c r="D547" s="29" t="s">
        <v>46</v>
      </c>
      <c r="E547" s="6">
        <v>14</v>
      </c>
      <c r="F547" s="1">
        <f>LOOKUP(E547,{0,0.4,1.2,2,2.8,3.6,4.4,5.7,7,8.3,9.6,10.9,12.2,13.5,14.8,16.1,17.4,19.1,20.8,22.5,24.2},{0,10,20,30,40,50,60,62,64,66,68,70,72,74,76,78,80,85,90,95,100})</f>
        <v>74</v>
      </c>
      <c r="G547" s="6">
        <v>200</v>
      </c>
      <c r="H547" s="1">
        <f>LOOKUP(G547,{0,123,128,133,138,143,148,151,154,157,160,163,166,169,172,175,178,185,192,198,204},{0,10,20,30,40,50,60,62,64,66,68,70,72,74,76,78,80,85,90,95,100})</f>
        <v>95</v>
      </c>
      <c r="I547" s="6">
        <v>46</v>
      </c>
      <c r="J547" s="1">
        <f>LOOKUP(I547,{0,13,15,17,19,21,23,25,27,29,31,33,35,37,39,41,43,46,49,51,53},{0,10,20,30,40,50,60,62,64,66,68,70,72,74,76,78,80,85,90,95,100})</f>
        <v>85</v>
      </c>
      <c r="K547" s="45"/>
      <c r="L547" s="45"/>
      <c r="M547" s="21">
        <f t="shared" si="249"/>
        <v>85</v>
      </c>
      <c r="N547" s="6">
        <v>7.8</v>
      </c>
      <c r="O547" s="43">
        <f t="shared" si="253"/>
        <v>5.2</v>
      </c>
      <c r="P547" s="1">
        <f>LOOKUP(O547,{0,1.4,1.6,1.8,2,2.2,2.4,2.6,2.8,3,3.2,3.4,3.6,3.8,4,4.2,4.4,4.7,5,5.1,5.2},{0,10,20,30,40,50,60,62,64,66,68,70,72,74,76,78,80,85,90,95,100})</f>
        <v>100</v>
      </c>
      <c r="Q547" s="6">
        <v>3.39</v>
      </c>
      <c r="R547" s="6">
        <f t="shared" si="250"/>
        <v>6.61</v>
      </c>
      <c r="S547" s="1">
        <f>LOOKUP(R547,{0,4.7,4.8,4.9,5,5.5,5.6,5.65,5.7,5.75,5.8,5.85,5.9,5.95,6,6.45,6.5,6.57,6.64,6.7,6.76},{0,10,20,30,40,50,60,62,64,66,68,70,72,74,76,78,80,85,90,95,100})</f>
        <v>85</v>
      </c>
      <c r="T547" s="45"/>
      <c r="U547" s="45"/>
      <c r="V547" s="21">
        <f t="shared" si="251"/>
        <v>85</v>
      </c>
      <c r="X547" s="21">
        <f t="shared" si="245"/>
        <v>62.4</v>
      </c>
      <c r="Y547" s="37">
        <f t="shared" si="252"/>
        <v>89.1428571428572</v>
      </c>
    </row>
    <row r="548" ht="15.6" hidden="1" outlineLevel="2" spans="1:25">
      <c r="A548" s="6">
        <v>112</v>
      </c>
      <c r="B548" s="6">
        <v>45</v>
      </c>
      <c r="C548" s="29" t="s">
        <v>616</v>
      </c>
      <c r="D548" s="29" t="s">
        <v>46</v>
      </c>
      <c r="E548" s="6">
        <v>15.7</v>
      </c>
      <c r="F548" s="1">
        <f>LOOKUP(E548,{0,0.4,1.2,2,2.8,3.6,4.4,5.7,7,8.3,9.6,10.9,12.2,13.5,14.8,16.1,17.4,19.1,20.8,22.5,24.2},{0,10,20,30,40,50,60,62,64,66,68,70,72,74,76,78,80,85,90,95,100})</f>
        <v>76</v>
      </c>
      <c r="G548" s="6">
        <v>174</v>
      </c>
      <c r="H548" s="1">
        <f>LOOKUP(G548,{0,123,128,133,138,143,148,151,154,157,160,163,166,169,172,175,178,185,192,198,204},{0,10,20,30,40,50,60,62,64,66,68,70,72,74,76,78,80,85,90,95,100})</f>
        <v>76</v>
      </c>
      <c r="I548" s="6">
        <v>52</v>
      </c>
      <c r="J548" s="1">
        <f>LOOKUP(I548,{0,13,15,17,19,21,23,25,27,29,31,33,35,37,39,41,43,46,49,51,53},{0,10,20,30,40,50,60,62,64,66,68,70,72,74,76,78,80,85,90,95,100})</f>
        <v>95</v>
      </c>
      <c r="K548" s="45"/>
      <c r="L548" s="45"/>
      <c r="M548" s="21">
        <f t="shared" si="249"/>
        <v>95</v>
      </c>
      <c r="N548" s="6">
        <v>8.4</v>
      </c>
      <c r="O548" s="43">
        <f t="shared" si="253"/>
        <v>4.6</v>
      </c>
      <c r="P548" s="1">
        <f>LOOKUP(O548,{0,1.4,1.6,1.8,2,2.2,2.4,2.6,2.8,3,3.2,3.4,3.6,3.8,4,4.2,4.4,4.7,5,5.1,5.2},{0,10,20,30,40,50,60,62,64,66,68,70,72,74,76,78,80,85,90,95,100})</f>
        <v>80</v>
      </c>
      <c r="Q548" s="6">
        <v>4.19</v>
      </c>
      <c r="R548" s="6">
        <f t="shared" si="250"/>
        <v>5.81</v>
      </c>
      <c r="S548" s="1">
        <f>LOOKUP(R548,{0,4.7,4.8,4.9,5,5.5,5.6,5.65,5.7,5.75,5.8,5.85,5.9,5.95,6,6.45,6.5,6.57,6.64,6.7,6.76},{0,10,20,30,40,50,60,62,64,66,68,70,72,74,76,78,80,85,90,95,100})</f>
        <v>68</v>
      </c>
      <c r="T548" s="45"/>
      <c r="U548" s="45"/>
      <c r="V548" s="21">
        <f t="shared" si="251"/>
        <v>68</v>
      </c>
      <c r="X548" s="21">
        <f t="shared" si="245"/>
        <v>54.3</v>
      </c>
      <c r="Y548" s="37">
        <f t="shared" si="252"/>
        <v>77.5714285714286</v>
      </c>
    </row>
    <row r="549" ht="15.6" hidden="1" outlineLevel="2" spans="1:25">
      <c r="A549" s="6">
        <v>112</v>
      </c>
      <c r="B549" s="6">
        <v>46</v>
      </c>
      <c r="C549" s="29" t="s">
        <v>617</v>
      </c>
      <c r="D549" s="29" t="s">
        <v>46</v>
      </c>
      <c r="E549" s="6">
        <v>21</v>
      </c>
      <c r="F549" s="1">
        <f>LOOKUP(E549,{0,0.4,1.2,2,2.8,3.6,4.4,5.7,7,8.3,9.6,10.9,12.2,13.5,14.8,16.1,17.4,19.1,20.8,22.5,24.2},{0,10,20,30,40,50,60,62,64,66,68,70,72,74,76,78,80,85,90,95,100})</f>
        <v>90</v>
      </c>
      <c r="G549" s="6">
        <v>195</v>
      </c>
      <c r="H549" s="1">
        <f>LOOKUP(G549,{0,123,128,133,138,143,148,151,154,157,160,163,166,169,172,175,178,185,192,198,204},{0,10,20,30,40,50,60,62,64,66,68,70,72,74,76,78,80,85,90,95,100})</f>
        <v>90</v>
      </c>
      <c r="I549" s="6">
        <v>51</v>
      </c>
      <c r="J549" s="1">
        <f>LOOKUP(I549,{0,13,15,17,19,21,23,25,27,29,31,33,35,37,39,41,43,46,49,51,53},{0,10,20,30,40,50,60,62,64,66,68,70,72,74,76,78,80,85,90,95,100})</f>
        <v>95</v>
      </c>
      <c r="K549" s="45"/>
      <c r="L549" s="45"/>
      <c r="M549" s="21">
        <f t="shared" si="249"/>
        <v>95</v>
      </c>
      <c r="N549" s="6">
        <v>9.2</v>
      </c>
      <c r="O549" s="43">
        <f t="shared" si="253"/>
        <v>3.8</v>
      </c>
      <c r="P549" s="1">
        <f>LOOKUP(O549,{0,1.4,1.6,1.8,2,2.2,2.4,2.6,2.8,3,3.2,3.4,3.6,3.8,4,4.2,4.4,4.7,5,5.1,5.2},{0,10,20,30,40,50,60,62,64,66,68,70,72,74,76,78,80,85,90,95,100})</f>
        <v>74</v>
      </c>
      <c r="Q549" s="6">
        <v>4.04</v>
      </c>
      <c r="R549" s="6">
        <f t="shared" si="250"/>
        <v>5.96</v>
      </c>
      <c r="S549" s="1">
        <f>LOOKUP(R549,{0,4.7,4.8,4.9,5,5.5,5.6,5.65,5.7,5.75,5.8,5.85,5.9,5.95,6,6.45,6.5,6.57,6.64,6.7,6.76},{0,10,20,30,40,50,60,62,64,66,68,70,72,74,76,78,80,85,90,95,100})</f>
        <v>74</v>
      </c>
      <c r="T549" s="45"/>
      <c r="U549" s="45"/>
      <c r="V549" s="21">
        <f t="shared" si="251"/>
        <v>74</v>
      </c>
      <c r="X549" s="21">
        <f t="shared" si="245"/>
        <v>57.1</v>
      </c>
      <c r="Y549" s="37">
        <f t="shared" si="252"/>
        <v>81.5714285714286</v>
      </c>
    </row>
    <row r="550" ht="15.6" hidden="1" outlineLevel="2" spans="1:25">
      <c r="A550" s="6">
        <v>112</v>
      </c>
      <c r="B550" s="6">
        <v>47</v>
      </c>
      <c r="C550" s="29" t="s">
        <v>618</v>
      </c>
      <c r="D550" s="29" t="s">
        <v>46</v>
      </c>
      <c r="E550" s="6">
        <v>17</v>
      </c>
      <c r="F550" s="1">
        <f>LOOKUP(E550,{0,0.4,1.2,2,2.8,3.6,4.4,5.7,7,8.3,9.6,10.9,12.2,13.5,14.8,16.1,17.4,19.1,20.8,22.5,24.2},{0,10,20,30,40,50,60,62,64,66,68,70,72,74,76,78,80,85,90,95,100})</f>
        <v>78</v>
      </c>
      <c r="G550" s="6">
        <v>155</v>
      </c>
      <c r="H550" s="1">
        <f>LOOKUP(G550,{0,123,128,133,138,143,148,151,154,157,160,163,166,169,172,175,178,185,192,198,204},{0,10,20,30,40,50,60,62,64,66,68,70,72,74,76,78,80,85,90,95,100})</f>
        <v>64</v>
      </c>
      <c r="I550" s="6">
        <v>50</v>
      </c>
      <c r="J550" s="1">
        <f>LOOKUP(I550,{0,13,15,17,19,21,23,25,27,29,31,33,35,37,39,41,43,46,49,51,53},{0,10,20,30,40,50,60,62,64,66,68,70,72,74,76,78,80,85,90,95,100})</f>
        <v>90</v>
      </c>
      <c r="K550" s="45"/>
      <c r="L550" s="45"/>
      <c r="M550" s="21">
        <f t="shared" si="249"/>
        <v>90</v>
      </c>
      <c r="N550" s="6">
        <v>10</v>
      </c>
      <c r="O550" s="43">
        <f t="shared" si="253"/>
        <v>3</v>
      </c>
      <c r="P550" s="1">
        <f>LOOKUP(O550,{0,1.4,1.6,1.8,2,2.2,2.4,2.6,2.8,3,3.2,3.4,3.6,3.8,4,4.2,4.4,4.7,5,5.1,5.2},{0,10,20,30,40,50,60,62,64,66,68,70,72,74,76,78,80,85,90,95,100})</f>
        <v>66</v>
      </c>
      <c r="Q550" s="6">
        <v>4.5</v>
      </c>
      <c r="R550" s="6">
        <f t="shared" si="250"/>
        <v>5.5</v>
      </c>
      <c r="S550" s="1">
        <f>LOOKUP(R550,{0,4.7,4.8,4.9,5,5.5,5.6,5.65,5.7,5.75,5.8,5.85,5.9,5.95,6,6.45,6.5,6.57,6.64,6.7,6.76},{0,10,20,30,40,50,60,62,64,66,68,70,72,74,76,78,80,85,90,95,100})</f>
        <v>50</v>
      </c>
      <c r="T550" s="45"/>
      <c r="U550" s="45"/>
      <c r="V550" s="21">
        <f t="shared" si="251"/>
        <v>50</v>
      </c>
      <c r="X550" s="21">
        <f t="shared" si="245"/>
        <v>46.4</v>
      </c>
      <c r="Y550" s="37">
        <f t="shared" si="252"/>
        <v>66.2857142857143</v>
      </c>
    </row>
    <row r="551" ht="15.6" hidden="1" outlineLevel="2" spans="1:25">
      <c r="A551" s="6">
        <v>112</v>
      </c>
      <c r="B551" s="6">
        <v>48</v>
      </c>
      <c r="C551" s="29" t="s">
        <v>619</v>
      </c>
      <c r="D551" s="29" t="s">
        <v>46</v>
      </c>
      <c r="E551" s="6">
        <v>6.2</v>
      </c>
      <c r="F551" s="1">
        <f>LOOKUP(E551,{0,0.4,1.2,2,2.8,3.6,4.4,5.7,7,8.3,9.6,10.9,12.2,13.5,14.8,16.1,17.4,19.1,20.8,22.5,24.2},{0,10,20,30,40,50,60,62,64,66,68,70,72,74,76,78,80,85,90,95,100})</f>
        <v>62</v>
      </c>
      <c r="G551" s="6">
        <v>167</v>
      </c>
      <c r="H551" s="1">
        <f>LOOKUP(G551,{0,123,128,133,138,143,148,151,154,157,160,163,166,169,172,175,178,185,192,198,204},{0,10,20,30,40,50,60,62,64,66,68,70,72,74,76,78,80,85,90,95,100})</f>
        <v>72</v>
      </c>
      <c r="I551" s="6">
        <v>46</v>
      </c>
      <c r="J551" s="1">
        <f>LOOKUP(I551,{0,13,15,17,19,21,23,25,27,29,31,33,35,37,39,41,43,46,49,51,53},{0,10,20,30,40,50,60,62,64,66,68,70,72,74,76,78,80,85,90,95,100})</f>
        <v>85</v>
      </c>
      <c r="K551" s="45"/>
      <c r="L551" s="45"/>
      <c r="M551" s="21">
        <f t="shared" si="249"/>
        <v>85</v>
      </c>
      <c r="N551" s="6">
        <v>8.1</v>
      </c>
      <c r="O551" s="43">
        <f t="shared" si="253"/>
        <v>4.9</v>
      </c>
      <c r="P551" s="1">
        <f>LOOKUP(O551,{0,1.4,1.6,1.8,2,2.2,2.4,2.6,2.8,3,3.2,3.4,3.6,3.8,4,4.2,4.4,4.7,5,5.1,5.2},{0,10,20,30,40,50,60,62,64,66,68,70,72,74,76,78,80,85,90,95,100})</f>
        <v>85</v>
      </c>
      <c r="Q551" s="6">
        <v>3.22</v>
      </c>
      <c r="R551" s="6">
        <f t="shared" si="250"/>
        <v>6.78</v>
      </c>
      <c r="S551" s="1">
        <f>LOOKUP(R551,{0,4.7,4.8,4.9,5,5.5,5.6,5.65,5.7,5.75,5.8,5.85,5.9,5.95,6,6.45,6.5,6.57,6.64,6.7,6.76},{0,10,20,30,40,50,60,62,64,66,68,70,72,74,76,78,80,85,90,95,100})</f>
        <v>100</v>
      </c>
      <c r="T551" s="48">
        <f>3.24-Q551</f>
        <v>0.02</v>
      </c>
      <c r="U551" s="40">
        <f>LOOKUP(T551,{0,0.05,0.1,0.15,0.2,0.25,0.3,0.35,0.4,0.45,0.5},{0,1,2,3,4,5,6,7,8,9,10})</f>
        <v>0</v>
      </c>
      <c r="V551" s="21">
        <f t="shared" si="251"/>
        <v>100</v>
      </c>
      <c r="X551" s="21">
        <f t="shared" si="245"/>
        <v>58.9</v>
      </c>
      <c r="Y551" s="37">
        <f t="shared" si="252"/>
        <v>84.1428571428572</v>
      </c>
    </row>
    <row r="552" ht="15.6" hidden="1" outlineLevel="2" spans="1:25">
      <c r="A552" s="6">
        <v>112</v>
      </c>
      <c r="B552" s="6">
        <v>49</v>
      </c>
      <c r="C552" s="29" t="s">
        <v>620</v>
      </c>
      <c r="D552" s="29" t="s">
        <v>46</v>
      </c>
      <c r="E552" s="6">
        <v>14.5</v>
      </c>
      <c r="F552" s="1">
        <f>LOOKUP(E552,{0,0.4,1.2,2,2.8,3.6,4.4,5.7,7,8.3,9.6,10.9,12.2,13.5,14.8,16.1,17.4,19.1,20.8,22.5,24.2},{0,10,20,30,40,50,60,62,64,66,68,70,72,74,76,78,80,85,90,95,100})</f>
        <v>74</v>
      </c>
      <c r="G552" s="6">
        <v>157</v>
      </c>
      <c r="H552" s="1">
        <f>LOOKUP(G552,{0,123,128,133,138,143,148,151,154,157,160,163,166,169,172,175,178,185,192,198,204},{0,10,20,30,40,50,60,62,64,66,68,70,72,74,76,78,80,85,90,95,100})</f>
        <v>66</v>
      </c>
      <c r="I552" s="6">
        <v>39</v>
      </c>
      <c r="J552" s="1">
        <f>LOOKUP(I552,{0,13,15,17,19,21,23,25,27,29,31,33,35,37,39,41,43,46,49,51,53},{0,10,20,30,40,50,60,62,64,66,68,70,72,74,76,78,80,85,90,95,100})</f>
        <v>76</v>
      </c>
      <c r="K552" s="45"/>
      <c r="L552" s="45"/>
      <c r="M552" s="21">
        <f t="shared" si="249"/>
        <v>76</v>
      </c>
      <c r="N552" s="6">
        <v>8.9</v>
      </c>
      <c r="O552" s="43">
        <f t="shared" si="253"/>
        <v>4.1</v>
      </c>
      <c r="P552" s="1">
        <f>LOOKUP(O552,{0,1.4,1.6,1.8,2,2.2,2.4,2.6,2.8,3,3.2,3.4,3.6,3.8,4,4.2,4.4,4.7,5,5.1,5.2},{0,10,20,30,40,50,60,62,64,66,68,70,72,74,76,78,80,85,90,95,100})</f>
        <v>76</v>
      </c>
      <c r="Q552" s="6">
        <v>4</v>
      </c>
      <c r="R552" s="6">
        <f t="shared" si="250"/>
        <v>6</v>
      </c>
      <c r="S552" s="1">
        <f>LOOKUP(R552,{0,4.7,4.8,4.9,5,5.5,5.6,5.65,5.7,5.75,5.8,5.85,5.9,5.95,6,6.45,6.5,6.57,6.64,6.7,6.76},{0,10,20,30,40,50,60,62,64,66,68,70,72,74,76,78,80,85,90,95,100})</f>
        <v>76</v>
      </c>
      <c r="T552" s="45"/>
      <c r="U552" s="45"/>
      <c r="V552" s="21">
        <f t="shared" si="251"/>
        <v>76</v>
      </c>
      <c r="X552" s="21">
        <f t="shared" si="245"/>
        <v>52</v>
      </c>
      <c r="Y552" s="37">
        <f t="shared" si="252"/>
        <v>74.2857142857143</v>
      </c>
    </row>
    <row r="553" ht="15.6" hidden="1" outlineLevel="2" spans="1:25">
      <c r="A553" s="6">
        <v>112</v>
      </c>
      <c r="B553" s="6">
        <v>50</v>
      </c>
      <c r="C553" s="29" t="s">
        <v>621</v>
      </c>
      <c r="D553" s="29" t="s">
        <v>46</v>
      </c>
      <c r="E553" s="6">
        <v>11.7</v>
      </c>
      <c r="F553" s="1">
        <f>LOOKUP(E553,{0,0.4,1.2,2,2.8,3.6,4.4,5.7,7,8.3,9.6,10.9,12.2,13.5,14.8,16.1,17.4,19.1,20.8,22.5,24.2},{0,10,20,30,40,50,60,62,64,66,68,70,72,74,76,78,80,85,90,95,100})</f>
        <v>70</v>
      </c>
      <c r="G553" s="6">
        <v>181</v>
      </c>
      <c r="H553" s="1">
        <f>LOOKUP(G553,{0,123,128,133,138,143,148,151,154,157,160,163,166,169,172,175,178,185,192,198,204},{0,10,20,30,40,50,60,62,64,66,68,70,72,74,76,78,80,85,90,95,100})</f>
        <v>80</v>
      </c>
      <c r="I553" s="6">
        <v>49</v>
      </c>
      <c r="J553" s="1">
        <f>LOOKUP(I553,{0,13,15,17,19,21,23,25,27,29,31,33,35,37,39,41,43,46,49,51,53},{0,10,20,30,40,50,60,62,64,66,68,70,72,74,76,78,80,85,90,95,100})</f>
        <v>90</v>
      </c>
      <c r="K553" s="45"/>
      <c r="L553" s="45"/>
      <c r="M553" s="21">
        <f t="shared" si="249"/>
        <v>90</v>
      </c>
      <c r="N553" s="6">
        <v>8.2</v>
      </c>
      <c r="O553" s="43">
        <f t="shared" si="253"/>
        <v>4.8</v>
      </c>
      <c r="P553" s="1">
        <f>LOOKUP(O553,{0,1.4,1.6,1.8,2,2.2,2.4,2.6,2.8,3,3.2,3.4,3.6,3.8,4,4.2,4.4,4.7,5,5.1,5.2},{0,10,20,30,40,50,60,62,64,66,68,70,72,74,76,78,80,85,90,95,100})</f>
        <v>85</v>
      </c>
      <c r="Q553" s="6">
        <v>3.39</v>
      </c>
      <c r="R553" s="6">
        <f t="shared" si="250"/>
        <v>6.61</v>
      </c>
      <c r="S553" s="1">
        <f>LOOKUP(R553,{0,4.7,4.8,4.9,5,5.5,5.6,5.65,5.7,5.75,5.8,5.85,5.9,5.95,6,6.45,6.5,6.57,6.64,6.7,6.76},{0,10,20,30,40,50,60,62,64,66,68,70,72,74,76,78,80,85,90,95,100})</f>
        <v>85</v>
      </c>
      <c r="T553" s="45"/>
      <c r="U553" s="45"/>
      <c r="V553" s="21">
        <f t="shared" si="251"/>
        <v>85</v>
      </c>
      <c r="X553" s="21">
        <f t="shared" si="245"/>
        <v>58</v>
      </c>
      <c r="Y553" s="37">
        <f t="shared" si="252"/>
        <v>82.8571428571429</v>
      </c>
    </row>
    <row r="554" ht="15.6" outlineLevel="1" collapsed="1" spans="1:25">
      <c r="A554" s="42" t="s">
        <v>853</v>
      </c>
      <c r="C554" s="29"/>
      <c r="D554" s="29"/>
      <c r="F554" s="1">
        <f>SUBTOTAL(1,F504:F553)</f>
        <v>77.1914893617021</v>
      </c>
      <c r="H554" s="1">
        <f>SUBTOTAL(1,H504:H553)</f>
        <v>79.531914893617</v>
      </c>
      <c r="J554" s="1">
        <f>SUBTOTAL(1,J504:J553)</f>
        <v>78.7446808510638</v>
      </c>
      <c r="K554" s="45"/>
      <c r="L554" s="45"/>
      <c r="M554" s="21">
        <f>SUBTOTAL(1,M504:M553)</f>
        <v>80.0212765957447</v>
      </c>
      <c r="O554" s="43"/>
      <c r="P554" s="1">
        <f>SUBTOTAL(1,P504:P553)</f>
        <v>83.9130434782609</v>
      </c>
      <c r="S554" s="1">
        <f>SUBTOTAL(1,S504:S553)</f>
        <v>85.468085106383</v>
      </c>
      <c r="T554" s="45"/>
      <c r="U554" s="45"/>
      <c r="V554" s="21">
        <f>SUBTOTAL(1,V504:V553)</f>
        <v>85.7446808510638</v>
      </c>
      <c r="X554" s="21">
        <f>SUBTOTAL(1,X504:X553)</f>
        <v>53.642</v>
      </c>
      <c r="Y554" s="37">
        <f>SUBTOTAL(1,Y504:Y553)</f>
        <v>80.6342857142857</v>
      </c>
    </row>
    <row r="555" ht="15.6" hidden="1" outlineLevel="2" spans="1:25">
      <c r="A555" s="6">
        <v>113</v>
      </c>
      <c r="B555" s="6">
        <v>1</v>
      </c>
      <c r="C555" s="39" t="s">
        <v>623</v>
      </c>
      <c r="D555" s="29" t="s">
        <v>11</v>
      </c>
      <c r="E555" s="6">
        <v>3.5</v>
      </c>
      <c r="F555" s="1">
        <f>LOOKUP(E555,{0,-4,-3,-2,-1,0,1,2.4,3.8,5.2,6.6,8,9.4,10.8,12.2,13.6,15,17.2,19.4,21.5,23.6},{0,10,20,30,40,50,60,62,64,66,68,70,72,74,76,78,80,85,90,95,100})</f>
        <v>62</v>
      </c>
      <c r="G555" s="6">
        <v>178</v>
      </c>
      <c r="H555" s="1">
        <f>LOOKUP(G555,{0,170,175,180,185,190,195,199,203,207,211,215,219,223,227,231,235,243,250,255,260},{0,10,20,30,40,50,60,62,64,66,68,70,72,74,76,78,80,85,90,95,100})</f>
        <v>20</v>
      </c>
      <c r="I555" s="6">
        <v>0</v>
      </c>
      <c r="J555" s="1">
        <f>LOOKUP(I555,{0,2,3,4,5,6,7,8,9,10,11,12,13,14,15,16},{0,10,20,30,40,50,60,64,68,72,76,80,85,90,95,100})</f>
        <v>0</v>
      </c>
      <c r="K555" s="7"/>
      <c r="L555" s="7"/>
      <c r="M555" s="21">
        <f t="shared" ref="M555:M579" si="255">J555+L555</f>
        <v>0</v>
      </c>
      <c r="N555" s="6">
        <v>8.4</v>
      </c>
      <c r="O555" s="43">
        <f t="shared" ref="O555:O579" si="256">13-N555</f>
        <v>4.6</v>
      </c>
      <c r="P555" s="1">
        <f>LOOKUP(O555,{0,2.5,2.7,2.9,3.1,3.3,3.5,3.7,3.9,4.1,4.3,4.5,4.7,4.9,5.1,5.3,5.5,5.6,5.7,5.8,5.9},{0,10,20,30,40,50,60,62,64,66,68,70,72,74,76,78,80,85,90,95,100})</f>
        <v>70</v>
      </c>
      <c r="Q555" s="6">
        <v>4.08</v>
      </c>
      <c r="R555" s="6">
        <f t="shared" ref="R555:R577" si="257">10-Q555</f>
        <v>5.92</v>
      </c>
      <c r="S555" s="1">
        <f>LOOKUP(R555,{0,3.75,3.95,4.55,4.75,4.95,5.55,5.6,5.65,5.7,5.75,5.8,5.85,5.9,5.95,6,6.45,6.53,6.6,6.65,6.7},{0,10,20,30,40,50,60,62,64,66,68,70,72,74,76,78,80,85,90,95,100})</f>
        <v>74</v>
      </c>
      <c r="T555" s="7"/>
      <c r="U555" s="7"/>
      <c r="V555" s="21">
        <f t="shared" ref="V555:V577" si="258">S555+U555</f>
        <v>74</v>
      </c>
      <c r="X555" s="21">
        <f t="shared" ref="X555:X604" si="259">F555*0.1+H555*0.1+J555*0.1+P555*0.2+S555*0.2</f>
        <v>37</v>
      </c>
      <c r="Y555" s="37">
        <f t="shared" ref="Y555:Y579" si="260">X555/0.7+L555+U555</f>
        <v>52.8571428571429</v>
      </c>
    </row>
    <row r="556" ht="15.6" hidden="1" outlineLevel="2" spans="1:25">
      <c r="A556" s="6">
        <v>113</v>
      </c>
      <c r="B556" s="6">
        <v>2</v>
      </c>
      <c r="C556" s="29" t="s">
        <v>624</v>
      </c>
      <c r="D556" s="29" t="s">
        <v>11</v>
      </c>
      <c r="E556" s="6">
        <v>9.5</v>
      </c>
      <c r="F556" s="1">
        <f>LOOKUP(E556,{0,-4,-3,-2,-1,0,1,2.4,3.8,5.2,6.6,8,9.4,10.8,12.2,13.6,15,17.2,19.4,21.5,23.6},{0,10,20,30,40,50,60,62,64,66,68,70,72,74,76,78,80,85,90,95,100})</f>
        <v>72</v>
      </c>
      <c r="G556" s="6">
        <v>235</v>
      </c>
      <c r="H556" s="1">
        <f>LOOKUP(G556,{0,170,175,180,185,190,195,199,203,207,211,215,219,223,227,231,235,243,250,255,260},{0,10,20,30,40,50,60,62,64,66,68,70,72,74,76,78,80,85,90,95,100})</f>
        <v>80</v>
      </c>
      <c r="I556" s="6">
        <v>0</v>
      </c>
      <c r="J556" s="1">
        <f>LOOKUP(I556,{0,2,3,4,5,6,7,8,9,10,11,12,13,14,15,16},{0,10,20,30,40,50,60,64,68,72,76,80,85,90,95,100})</f>
        <v>0</v>
      </c>
      <c r="K556" s="7"/>
      <c r="L556" s="7"/>
      <c r="M556" s="21">
        <f t="shared" si="255"/>
        <v>0</v>
      </c>
      <c r="N556" s="6">
        <v>7.1</v>
      </c>
      <c r="O556" s="43">
        <f t="shared" si="256"/>
        <v>5.9</v>
      </c>
      <c r="P556" s="1">
        <f>LOOKUP(O556,{0,2.5,2.7,2.9,3.1,3.3,3.5,3.7,3.9,4.1,4.3,4.5,4.7,4.9,5.1,5.3,5.5,5.6,5.7,5.8,5.9},{0,10,20,30,40,50,60,62,64,66,68,70,72,74,76,78,80,85,90,95,100})</f>
        <v>100</v>
      </c>
      <c r="Q556" s="6">
        <v>3.44</v>
      </c>
      <c r="R556" s="6">
        <f t="shared" si="257"/>
        <v>6.56</v>
      </c>
      <c r="S556" s="1">
        <f>LOOKUP(R556,{0,3.75,3.95,4.55,4.75,4.95,5.55,5.6,5.65,5.7,5.75,5.8,5.85,5.9,5.95,6,6.45,6.53,6.6,6.65,6.7},{0,10,20,30,40,50,60,62,64,66,68,70,72,74,76,78,80,85,90,95,100})</f>
        <v>85</v>
      </c>
      <c r="T556" s="7"/>
      <c r="U556" s="7"/>
      <c r="V556" s="21">
        <f t="shared" si="258"/>
        <v>85</v>
      </c>
      <c r="X556" s="21">
        <f t="shared" si="259"/>
        <v>52.2</v>
      </c>
      <c r="Y556" s="37">
        <f t="shared" si="260"/>
        <v>74.5714285714286</v>
      </c>
    </row>
    <row r="557" s="3" customFormat="1" ht="15.6" hidden="1" outlineLevel="2" spans="1:25">
      <c r="A557" s="6">
        <v>113</v>
      </c>
      <c r="B557" s="6">
        <v>3</v>
      </c>
      <c r="C557" s="29" t="s">
        <v>625</v>
      </c>
      <c r="D557" s="29" t="s">
        <v>11</v>
      </c>
      <c r="E557" s="6">
        <v>10</v>
      </c>
      <c r="F557" s="1">
        <f>LOOKUP(E557,{0,-4,-3,-2,-1,0,1,2.4,3.8,5.2,6.6,8,9.4,10.8,12.2,13.6,15,17.2,19.4,21.5,23.6},{0,10,20,30,40,50,60,62,64,66,68,70,72,74,76,78,80,85,90,95,100})</f>
        <v>72</v>
      </c>
      <c r="G557" s="6">
        <v>263</v>
      </c>
      <c r="H557" s="1">
        <f>LOOKUP(G557,{0,170,175,180,185,190,195,199,203,207,211,215,219,223,227,231,235,243,250,255,260},{0,10,20,30,40,50,60,62,64,66,68,70,72,74,76,78,80,85,90,95,100})</f>
        <v>100</v>
      </c>
      <c r="I557" s="6">
        <v>20</v>
      </c>
      <c r="J557" s="1">
        <f>LOOKUP(I557,{0,2,3,4,5,6,7,8,9,10,11,12,13,14,15,16},{0,10,20,30,40,50,60,64,68,72,76,80,85,90,95,100})</f>
        <v>100</v>
      </c>
      <c r="K557" s="7">
        <f>I557-16</f>
        <v>4</v>
      </c>
      <c r="L557" s="40">
        <f>LOOKUP(K557,{0,1,2,3,4,5,6,7,8,9,10},{0,1,2,3,4,5,6,7,8,9,10})</f>
        <v>4</v>
      </c>
      <c r="M557" s="21">
        <f t="shared" si="255"/>
        <v>104</v>
      </c>
      <c r="N557" s="6">
        <v>6.8</v>
      </c>
      <c r="O557" s="43">
        <f t="shared" si="256"/>
        <v>6.2</v>
      </c>
      <c r="P557" s="1">
        <f>LOOKUP(O557,{0,2.5,2.7,2.9,3.1,3.3,3.5,3.7,3.9,4.1,4.3,4.5,4.7,4.9,5.1,5.3,5.5,5.6,5.7,5.8,5.9},{0,10,20,30,40,50,60,62,64,66,68,70,72,74,76,78,80,85,90,95,100})</f>
        <v>100</v>
      </c>
      <c r="Q557" s="6">
        <v>3.35</v>
      </c>
      <c r="R557" s="6">
        <f t="shared" si="257"/>
        <v>6.65</v>
      </c>
      <c r="S557" s="1">
        <f>LOOKUP(R557,{0,3.75,3.95,4.55,4.75,4.95,5.55,5.6,5.65,5.7,5.75,5.8,5.85,5.9,5.95,6,6.45,6.53,6.6,6.65,6.7},{0,10,20,30,40,50,60,62,64,66,68,70,72,74,76,78,80,85,90,95,100})</f>
        <v>95</v>
      </c>
      <c r="T557" s="7"/>
      <c r="U557" s="7"/>
      <c r="V557" s="21">
        <f t="shared" si="258"/>
        <v>95</v>
      </c>
      <c r="W557" s="6"/>
      <c r="X557" s="21">
        <f t="shared" si="259"/>
        <v>66.2</v>
      </c>
      <c r="Y557" s="37">
        <f t="shared" si="260"/>
        <v>98.5714285714286</v>
      </c>
    </row>
    <row r="558" ht="15.6" hidden="1" outlineLevel="2" spans="1:25">
      <c r="A558" s="6">
        <v>113</v>
      </c>
      <c r="B558" s="6">
        <v>4</v>
      </c>
      <c r="C558" s="29" t="s">
        <v>626</v>
      </c>
      <c r="D558" s="29" t="s">
        <v>11</v>
      </c>
      <c r="E558" s="6">
        <v>14.5</v>
      </c>
      <c r="F558" s="1">
        <f>LOOKUP(E558,{0,-4,-3,-2,-1,0,1,2.4,3.8,5.2,6.6,8,9.4,10.8,12.2,13.6,15,17.2,19.4,21.5,23.6},{0,10,20,30,40,50,60,62,64,66,68,70,72,74,76,78,80,85,90,95,100})</f>
        <v>78</v>
      </c>
      <c r="G558" s="6">
        <v>213</v>
      </c>
      <c r="H558" s="1">
        <f>LOOKUP(G558,{0,170,175,180,185,190,195,199,203,207,211,215,219,223,227,231,235,243,250,255,260},{0,10,20,30,40,50,60,62,64,66,68,70,72,74,76,78,80,85,90,95,100})</f>
        <v>68</v>
      </c>
      <c r="I558" s="6">
        <v>1</v>
      </c>
      <c r="J558" s="1">
        <f>LOOKUP(I558,{0,2,3,4,5,6,7,8,9,10,11,12,13,14,15,16},{0,10,20,30,40,50,60,64,68,72,76,80,85,90,95,100})</f>
        <v>0</v>
      </c>
      <c r="K558" s="7"/>
      <c r="L558" s="7"/>
      <c r="M558" s="21">
        <f t="shared" si="255"/>
        <v>0</v>
      </c>
      <c r="N558" s="6">
        <v>7.9</v>
      </c>
      <c r="O558" s="43">
        <f t="shared" si="256"/>
        <v>5.1</v>
      </c>
      <c r="P558" s="1">
        <f>LOOKUP(O558,{0,2.5,2.7,2.9,3.1,3.3,3.5,3.7,3.9,4.1,4.3,4.5,4.7,4.9,5.1,5.3,5.5,5.6,5.7,5.8,5.9},{0,10,20,30,40,50,60,62,64,66,68,70,72,74,76,78,80,85,90,95,100})</f>
        <v>76</v>
      </c>
      <c r="Q558" s="6">
        <v>3.54</v>
      </c>
      <c r="R558" s="6">
        <f t="shared" si="257"/>
        <v>6.46</v>
      </c>
      <c r="S558" s="1">
        <f>LOOKUP(R558,{0,3.75,3.95,4.55,4.75,4.95,5.55,5.6,5.65,5.7,5.75,5.8,5.85,5.9,5.95,6,6.45,6.53,6.6,6.65,6.7},{0,10,20,30,40,50,60,62,64,66,68,70,72,74,76,78,80,85,90,95,100})</f>
        <v>80</v>
      </c>
      <c r="T558" s="7"/>
      <c r="U558" s="7"/>
      <c r="V558" s="21">
        <f t="shared" si="258"/>
        <v>80</v>
      </c>
      <c r="X558" s="21">
        <f t="shared" si="259"/>
        <v>45.8</v>
      </c>
      <c r="Y558" s="37">
        <f t="shared" si="260"/>
        <v>65.4285714285714</v>
      </c>
    </row>
    <row r="559" ht="15.6" hidden="1" outlineLevel="2" spans="1:25">
      <c r="A559" s="6">
        <v>113</v>
      </c>
      <c r="B559" s="6">
        <v>5</v>
      </c>
      <c r="C559" s="29" t="s">
        <v>627</v>
      </c>
      <c r="D559" s="29" t="s">
        <v>11</v>
      </c>
      <c r="E559" s="6">
        <v>10.1</v>
      </c>
      <c r="F559" s="1">
        <f>LOOKUP(E559,{0,-4,-3,-2,-1,0,1,2.4,3.8,5.2,6.6,8,9.4,10.8,12.2,13.6,15,17.2,19.4,21.5,23.6},{0,10,20,30,40,50,60,62,64,66,68,70,72,74,76,78,80,85,90,95,100})</f>
        <v>72</v>
      </c>
      <c r="G559" s="6">
        <v>245</v>
      </c>
      <c r="H559" s="1">
        <f>LOOKUP(G559,{0,170,175,180,185,190,195,199,203,207,211,215,219,223,227,231,235,243,250,255,260},{0,10,20,30,40,50,60,62,64,66,68,70,72,74,76,78,80,85,90,95,100})</f>
        <v>85</v>
      </c>
      <c r="I559" s="6">
        <v>18</v>
      </c>
      <c r="J559" s="1">
        <f>LOOKUP(I559,{0,2,3,4,5,6,7,8,9,10,11,12,13,14,15,16},{0,10,20,30,40,50,60,64,68,72,76,80,85,90,95,100})</f>
        <v>100</v>
      </c>
      <c r="K559" s="7">
        <f>I559-16</f>
        <v>2</v>
      </c>
      <c r="L559" s="40">
        <f>LOOKUP(K559,{0,1,2,3,4,5,6,7,8,9,10},{0,1,2,3,4,5,6,7,8,9,10})</f>
        <v>2</v>
      </c>
      <c r="M559" s="21">
        <f t="shared" si="255"/>
        <v>102</v>
      </c>
      <c r="N559" s="6">
        <v>7</v>
      </c>
      <c r="O559" s="43">
        <f t="shared" si="256"/>
        <v>6</v>
      </c>
      <c r="P559" s="1">
        <f>LOOKUP(O559,{0,2.5,2.7,2.9,3.1,3.3,3.5,3.7,3.9,4.1,4.3,4.5,4.7,4.9,5.1,5.3,5.5,5.6,5.7,5.8,5.9},{0,10,20,30,40,50,60,62,64,66,68,70,72,74,76,78,80,85,90,95,100})</f>
        <v>100</v>
      </c>
      <c r="Q559" s="6">
        <v>3.02</v>
      </c>
      <c r="R559" s="6">
        <f t="shared" si="257"/>
        <v>6.98</v>
      </c>
      <c r="S559" s="1">
        <f>LOOKUP(R559,{0,3.75,3.95,4.55,4.75,4.95,5.55,5.6,5.65,5.7,5.75,5.8,5.85,5.9,5.95,6,6.45,6.53,6.6,6.65,6.7},{0,10,20,30,40,50,60,62,64,66,68,70,72,74,76,78,80,85,90,95,100})</f>
        <v>100</v>
      </c>
      <c r="T559" s="7">
        <f>3.3-Q559</f>
        <v>0.28</v>
      </c>
      <c r="U559" s="40">
        <f>LOOKUP(T559,{0,0.04,0.08,0.12,0.16,0.2,0.23,0.26,0.29,0.32,0.35},{0,1,2,3,4,5,6,7,8,9,10})</f>
        <v>7</v>
      </c>
      <c r="V559" s="21">
        <f t="shared" si="258"/>
        <v>107</v>
      </c>
      <c r="X559" s="21">
        <f t="shared" si="259"/>
        <v>65.7</v>
      </c>
      <c r="Y559" s="37">
        <f t="shared" si="260"/>
        <v>102.857142857143</v>
      </c>
    </row>
    <row r="560" ht="15.6" hidden="1" outlineLevel="2" spans="1:25">
      <c r="A560" s="52">
        <v>113</v>
      </c>
      <c r="B560" s="52">
        <v>6</v>
      </c>
      <c r="C560" s="29" t="s">
        <v>628</v>
      </c>
      <c r="D560" s="29" t="s">
        <v>11</v>
      </c>
      <c r="E560" s="52">
        <v>9.5</v>
      </c>
      <c r="F560" s="1">
        <f>LOOKUP(E560,{0,-4,-3,-2,-1,0,1,2.4,3.8,5.2,6.6,8,9.4,10.8,12.2,13.6,15,17.2,19.4,21.5,23.6},{0,10,20,30,40,50,60,62,64,66,68,70,72,74,76,78,80,85,90,95,100})</f>
        <v>72</v>
      </c>
      <c r="G560" s="52">
        <v>221</v>
      </c>
      <c r="H560" s="1">
        <f>LOOKUP(G560,{0,170,175,180,185,190,195,199,203,207,211,215,219,223,227,231,235,243,250,255,260},{0,10,20,30,40,50,60,62,64,66,68,70,72,74,76,78,80,85,90,95,100})</f>
        <v>72</v>
      </c>
      <c r="I560" s="52">
        <v>9</v>
      </c>
      <c r="J560" s="1">
        <f>LOOKUP(I560,{0,2,3,4,5,6,7,8,9,10,11,12,13,14,15,16},{0,10,20,30,40,50,60,64,68,72,76,80,85,90,95,100})</f>
        <v>68</v>
      </c>
      <c r="K560" s="34"/>
      <c r="L560" s="34"/>
      <c r="M560" s="21">
        <f t="shared" si="255"/>
        <v>68</v>
      </c>
      <c r="N560" s="52">
        <v>7.1</v>
      </c>
      <c r="O560" s="43">
        <f t="shared" si="256"/>
        <v>5.9</v>
      </c>
      <c r="P560" s="1">
        <f>LOOKUP(O560,{0,2.5,2.7,2.9,3.1,3.3,3.5,3.7,3.9,4.1,4.3,4.5,4.7,4.9,5.1,5.3,5.5,5.6,5.7,5.8,5.9},{0,10,20,30,40,50,60,62,64,66,68,70,72,74,76,78,80,85,90,95,100})</f>
        <v>100</v>
      </c>
      <c r="Q560" s="52">
        <v>3.24</v>
      </c>
      <c r="R560" s="6">
        <f t="shared" si="257"/>
        <v>6.76</v>
      </c>
      <c r="S560" s="1">
        <f>LOOKUP(R560,{0,3.75,3.95,4.55,4.75,4.95,5.55,5.6,5.65,5.7,5.75,5.8,5.85,5.9,5.95,6,6.45,6.53,6.6,6.65,6.7},{0,10,20,30,40,50,60,62,64,66,68,70,72,74,76,78,80,85,90,95,100})</f>
        <v>100</v>
      </c>
      <c r="T560" s="7">
        <f>3.3-Q560</f>
        <v>0.0599999999999996</v>
      </c>
      <c r="U560" s="40">
        <f>LOOKUP(T560,{0,0.04,0.08,0.12,0.16,0.2,0.23,0.26,0.29,0.32,0.35},{0,1,2,3,4,5,6,7,8,9,10})</f>
        <v>1</v>
      </c>
      <c r="V560" s="21">
        <f t="shared" si="258"/>
        <v>101</v>
      </c>
      <c r="W560" s="52"/>
      <c r="X560" s="21">
        <f t="shared" si="259"/>
        <v>61.2</v>
      </c>
      <c r="Y560" s="37">
        <f t="shared" si="260"/>
        <v>88.4285714285714</v>
      </c>
    </row>
    <row r="561" ht="15.6" hidden="1" outlineLevel="2" spans="1:25">
      <c r="A561" s="6">
        <v>113</v>
      </c>
      <c r="B561" s="6">
        <v>7</v>
      </c>
      <c r="C561" s="29" t="s">
        <v>629</v>
      </c>
      <c r="D561" s="29" t="s">
        <v>11</v>
      </c>
      <c r="E561" s="6">
        <v>4.5</v>
      </c>
      <c r="F561" s="1">
        <f>LOOKUP(E561,{0,-4,-3,-2,-1,0,1,2.4,3.8,5.2,6.6,8,9.4,10.8,12.2,13.6,15,17.2,19.4,21.5,23.6},{0,10,20,30,40,50,60,62,64,66,68,70,72,74,76,78,80,85,90,95,100})</f>
        <v>64</v>
      </c>
      <c r="G561" s="6">
        <v>223</v>
      </c>
      <c r="H561" s="1">
        <f>LOOKUP(G561,{0,170,175,180,185,190,195,199,203,207,211,215,219,223,227,231,235,243,250,255,260},{0,10,20,30,40,50,60,62,64,66,68,70,72,74,76,78,80,85,90,95,100})</f>
        <v>74</v>
      </c>
      <c r="I561" s="6">
        <v>1</v>
      </c>
      <c r="J561" s="1">
        <f>LOOKUP(I561,{0,2,3,4,5,6,7,8,9,10,11,12,13,14,15,16},{0,10,20,30,40,50,60,64,68,72,76,80,85,90,95,100})</f>
        <v>0</v>
      </c>
      <c r="K561" s="7"/>
      <c r="L561" s="7"/>
      <c r="M561" s="21">
        <f t="shared" si="255"/>
        <v>0</v>
      </c>
      <c r="N561" s="6">
        <v>7.9</v>
      </c>
      <c r="O561" s="43">
        <f t="shared" si="256"/>
        <v>5.1</v>
      </c>
      <c r="P561" s="1">
        <f>LOOKUP(O561,{0,2.5,2.7,2.9,3.1,3.3,3.5,3.7,3.9,4.1,4.3,4.5,4.7,4.9,5.1,5.3,5.5,5.6,5.7,5.8,5.9},{0,10,20,30,40,50,60,62,64,66,68,70,72,74,76,78,80,85,90,95,100})</f>
        <v>76</v>
      </c>
      <c r="Q561" s="6">
        <v>3.55</v>
      </c>
      <c r="R561" s="6">
        <f t="shared" si="257"/>
        <v>6.45</v>
      </c>
      <c r="S561" s="1">
        <f>LOOKUP(R561,{0,3.75,3.95,4.55,4.75,4.95,5.55,5.6,5.65,5.7,5.75,5.8,5.85,5.9,5.95,6,6.45,6.53,6.6,6.65,6.7},{0,10,20,30,40,50,60,62,64,66,68,70,72,74,76,78,80,85,90,95,100})</f>
        <v>80</v>
      </c>
      <c r="T561" s="7"/>
      <c r="U561" s="7"/>
      <c r="V561" s="21">
        <f t="shared" si="258"/>
        <v>80</v>
      </c>
      <c r="X561" s="21">
        <f t="shared" si="259"/>
        <v>45</v>
      </c>
      <c r="Y561" s="37">
        <f t="shared" si="260"/>
        <v>64.2857142857143</v>
      </c>
    </row>
    <row r="562" ht="15.6" hidden="1" outlineLevel="2" spans="1:25">
      <c r="A562" s="6">
        <v>113</v>
      </c>
      <c r="B562" s="6">
        <v>8</v>
      </c>
      <c r="C562" s="29" t="s">
        <v>630</v>
      </c>
      <c r="D562" s="29" t="s">
        <v>11</v>
      </c>
      <c r="E562" s="6">
        <v>-9.5</v>
      </c>
      <c r="F562" s="1">
        <v>0</v>
      </c>
      <c r="G562" s="6">
        <v>214</v>
      </c>
      <c r="H562" s="1">
        <f>LOOKUP(G562,{0,170,175,180,185,190,195,199,203,207,211,215,219,223,227,231,235,243,250,255,260},{0,10,20,30,40,50,60,62,64,66,68,70,72,74,76,78,80,85,90,95,100})</f>
        <v>68</v>
      </c>
      <c r="I562" s="6">
        <v>13</v>
      </c>
      <c r="J562" s="1">
        <f>LOOKUP(I562,{0,2,3,4,5,6,7,8,9,10,11,12,13,14,15,16},{0,10,20,30,40,50,60,64,68,72,76,80,85,90,95,100})</f>
        <v>85</v>
      </c>
      <c r="K562" s="7"/>
      <c r="L562" s="7"/>
      <c r="M562" s="21">
        <f t="shared" si="255"/>
        <v>85</v>
      </c>
      <c r="N562" s="6">
        <v>7.6</v>
      </c>
      <c r="O562" s="43">
        <f t="shared" si="256"/>
        <v>5.4</v>
      </c>
      <c r="P562" s="1">
        <f>LOOKUP(O562,{0,2.5,2.7,2.9,3.1,3.3,3.5,3.7,3.9,4.1,4.3,4.5,4.7,4.9,5.1,5.3,5.5,5.6,5.7,5.8,5.9},{0,10,20,30,40,50,60,62,64,66,68,70,72,74,76,78,80,85,90,95,100})</f>
        <v>78</v>
      </c>
      <c r="Q562" s="6">
        <v>3.33</v>
      </c>
      <c r="R562" s="6">
        <f t="shared" si="257"/>
        <v>6.67</v>
      </c>
      <c r="S562" s="1">
        <f>LOOKUP(R562,{0,3.75,3.95,4.55,4.75,4.95,5.55,5.6,5.65,5.7,5.75,5.8,5.85,5.9,5.95,6,6.45,6.53,6.6,6.65,6.7},{0,10,20,30,40,50,60,62,64,66,68,70,72,74,76,78,80,85,90,95,100})</f>
        <v>95</v>
      </c>
      <c r="T562" s="7"/>
      <c r="U562" s="7"/>
      <c r="V562" s="21">
        <f t="shared" si="258"/>
        <v>95</v>
      </c>
      <c r="X562" s="21">
        <f t="shared" si="259"/>
        <v>49.9</v>
      </c>
      <c r="Y562" s="37">
        <f t="shared" si="260"/>
        <v>71.2857142857143</v>
      </c>
    </row>
    <row r="563" ht="15.6" hidden="1" outlineLevel="2" spans="1:25">
      <c r="A563" s="6">
        <v>113</v>
      </c>
      <c r="B563" s="6">
        <v>9</v>
      </c>
      <c r="C563" s="29" t="s">
        <v>631</v>
      </c>
      <c r="D563" s="29" t="s">
        <v>11</v>
      </c>
      <c r="E563" s="6">
        <v>15.7</v>
      </c>
      <c r="F563" s="1">
        <f>LOOKUP(E563,{0,-4,-3,-2,-1,0,1,2.4,3.8,5.2,6.6,8,9.4,10.8,12.2,13.6,15,17.2,19.4,21.5,23.6},{0,10,20,30,40,50,60,62,64,66,68,70,72,74,76,78,80,85,90,95,100})</f>
        <v>80</v>
      </c>
      <c r="G563" s="6">
        <v>207</v>
      </c>
      <c r="H563" s="1">
        <f>LOOKUP(G563,{0,170,175,180,185,190,195,199,203,207,211,215,219,223,227,231,235,243,250,255,260},{0,10,20,30,40,50,60,62,64,66,68,70,72,74,76,78,80,85,90,95,100})</f>
        <v>66</v>
      </c>
      <c r="I563" s="6">
        <v>0</v>
      </c>
      <c r="J563" s="1">
        <f>LOOKUP(I563,{0,2,3,4,5,6,7,8,9,10,11,12,13,14,15,16},{0,10,20,30,40,50,60,64,68,72,76,80,85,90,95,100})</f>
        <v>0</v>
      </c>
      <c r="K563" s="7"/>
      <c r="L563" s="7"/>
      <c r="M563" s="21">
        <f t="shared" si="255"/>
        <v>0</v>
      </c>
      <c r="N563" s="6">
        <v>7.8</v>
      </c>
      <c r="O563" s="43">
        <f t="shared" si="256"/>
        <v>5.2</v>
      </c>
      <c r="P563" s="1">
        <f>LOOKUP(O563,{0,2.5,2.7,2.9,3.1,3.3,3.5,3.7,3.9,4.1,4.3,4.5,4.7,4.9,5.1,5.3,5.5,5.6,5.7,5.8,5.9},{0,10,20,30,40,50,60,62,64,66,68,70,72,74,76,78,80,85,90,95,100})</f>
        <v>76</v>
      </c>
      <c r="Q563" s="6">
        <v>3.57</v>
      </c>
      <c r="R563" s="6">
        <f t="shared" si="257"/>
        <v>6.43</v>
      </c>
      <c r="S563" s="1">
        <f>LOOKUP(R563,{0,3.75,3.95,4.55,4.75,4.95,5.55,5.6,5.65,5.7,5.75,5.8,5.85,5.9,5.95,6,6.45,6.53,6.6,6.65,6.7},{0,10,20,30,40,50,60,62,64,66,68,70,72,74,76,78,80,85,90,95,100})</f>
        <v>78</v>
      </c>
      <c r="T563" s="7"/>
      <c r="U563" s="7"/>
      <c r="V563" s="21">
        <f t="shared" si="258"/>
        <v>78</v>
      </c>
      <c r="X563" s="21">
        <f t="shared" si="259"/>
        <v>45.4</v>
      </c>
      <c r="Y563" s="37">
        <f t="shared" si="260"/>
        <v>64.8571428571429</v>
      </c>
    </row>
    <row r="564" ht="15.6" hidden="1" outlineLevel="2" spans="1:25">
      <c r="A564" s="6">
        <v>113</v>
      </c>
      <c r="B564" s="6">
        <v>10</v>
      </c>
      <c r="C564" s="29" t="s">
        <v>632</v>
      </c>
      <c r="D564" s="29" t="s">
        <v>11</v>
      </c>
      <c r="E564" s="6">
        <v>0.2</v>
      </c>
      <c r="F564" s="1">
        <f>LOOKUP(E564,{0,-4,-3,-2,-1,0,1,2.4,3.8,5.2,6.6,8,9.4,10.8,12.2,13.6,15,17.2,19.4,21.5,23.6},{0,10,20,30,40,50,60,62,64,66,68,70,72,74,76,78,80,85,90,95,100})</f>
        <v>50</v>
      </c>
      <c r="G564" s="6">
        <v>223</v>
      </c>
      <c r="H564" s="1">
        <f>LOOKUP(G564,{0,170,175,180,185,190,195,199,203,207,211,215,219,223,227,231,235,243,250,255,260},{0,10,20,30,40,50,60,62,64,66,68,70,72,74,76,78,80,85,90,95,100})</f>
        <v>74</v>
      </c>
      <c r="I564" s="6">
        <v>15</v>
      </c>
      <c r="J564" s="1">
        <f>LOOKUP(I564,{0,2,3,4,5,6,7,8,9,10,11,12,13,14,15,16},{0,10,20,30,40,50,60,64,68,72,76,80,85,90,95,100})</f>
        <v>95</v>
      </c>
      <c r="K564" s="7"/>
      <c r="L564" s="7"/>
      <c r="M564" s="21">
        <f t="shared" si="255"/>
        <v>95</v>
      </c>
      <c r="N564" s="6">
        <v>7.1</v>
      </c>
      <c r="O564" s="43">
        <f t="shared" si="256"/>
        <v>5.9</v>
      </c>
      <c r="P564" s="1">
        <f>LOOKUP(O564,{0,2.5,2.7,2.9,3.1,3.3,3.5,3.7,3.9,4.1,4.3,4.5,4.7,4.9,5.1,5.3,5.5,5.6,5.7,5.8,5.9},{0,10,20,30,40,50,60,62,64,66,68,70,72,74,76,78,80,85,90,95,100})</f>
        <v>100</v>
      </c>
      <c r="Q564" s="6">
        <v>3.37</v>
      </c>
      <c r="R564" s="6">
        <f t="shared" si="257"/>
        <v>6.63</v>
      </c>
      <c r="S564" s="1">
        <f>LOOKUP(R564,{0,3.75,3.95,4.55,4.75,4.95,5.55,5.6,5.65,5.7,5.75,5.8,5.85,5.9,5.95,6,6.45,6.53,6.6,6.65,6.7},{0,10,20,30,40,50,60,62,64,66,68,70,72,74,76,78,80,85,90,95,100})</f>
        <v>90</v>
      </c>
      <c r="T564" s="7"/>
      <c r="U564" s="7"/>
      <c r="V564" s="21">
        <f t="shared" si="258"/>
        <v>90</v>
      </c>
      <c r="X564" s="21">
        <f t="shared" si="259"/>
        <v>59.9</v>
      </c>
      <c r="Y564" s="37">
        <f t="shared" si="260"/>
        <v>85.5714285714286</v>
      </c>
    </row>
    <row r="565" ht="15.6" hidden="1" outlineLevel="2" spans="1:25">
      <c r="A565" s="6">
        <v>113</v>
      </c>
      <c r="B565" s="6">
        <v>11</v>
      </c>
      <c r="C565" s="29" t="s">
        <v>633</v>
      </c>
      <c r="D565" s="29" t="s">
        <v>11</v>
      </c>
      <c r="E565" s="6">
        <v>7</v>
      </c>
      <c r="F565" s="1">
        <f>LOOKUP(E565,{0,-4,-3,-2,-1,0,1,2.4,3.8,5.2,6.6,8,9.4,10.8,12.2,13.6,15,17.2,19.4,21.5,23.6},{0,10,20,30,40,50,60,62,64,66,68,70,72,74,76,78,80,85,90,95,100})</f>
        <v>68</v>
      </c>
      <c r="G565" s="6">
        <v>258</v>
      </c>
      <c r="H565" s="1">
        <f>LOOKUP(G565,{0,170,175,180,185,190,195,199,203,207,211,215,219,223,227,231,235,243,250,255,260},{0,10,20,30,40,50,60,62,64,66,68,70,72,74,76,78,80,85,90,95,100})</f>
        <v>95</v>
      </c>
      <c r="I565" s="6">
        <v>0</v>
      </c>
      <c r="J565" s="1">
        <f>LOOKUP(I565,{0,2,3,4,5,6,7,8,9,10,11,12,13,14,15,16},{0,10,20,30,40,50,60,64,68,72,76,80,85,90,95,100})</f>
        <v>0</v>
      </c>
      <c r="K565" s="7"/>
      <c r="L565" s="7"/>
      <c r="M565" s="21">
        <f t="shared" si="255"/>
        <v>0</v>
      </c>
      <c r="N565" s="6">
        <v>7.1</v>
      </c>
      <c r="O565" s="43">
        <f t="shared" si="256"/>
        <v>5.9</v>
      </c>
      <c r="P565" s="1">
        <f>LOOKUP(O565,{0,2.5,2.7,2.9,3.1,3.3,3.5,3.7,3.9,4.1,4.3,4.5,4.7,4.9,5.1,5.3,5.5,5.6,5.7,5.8,5.9},{0,10,20,30,40,50,60,62,64,66,68,70,72,74,76,78,80,85,90,95,100})</f>
        <v>100</v>
      </c>
      <c r="Q565" s="6">
        <v>3.41</v>
      </c>
      <c r="R565" s="6">
        <f t="shared" si="257"/>
        <v>6.59</v>
      </c>
      <c r="S565" s="1">
        <f>LOOKUP(R565,{0,3.75,3.95,4.55,4.75,4.95,5.55,5.6,5.65,5.7,5.75,5.8,5.85,5.9,5.95,6,6.45,6.53,6.6,6.65,6.7},{0,10,20,30,40,50,60,62,64,66,68,70,72,74,76,78,80,85,90,95,100})</f>
        <v>85</v>
      </c>
      <c r="T565" s="7"/>
      <c r="U565" s="7"/>
      <c r="V565" s="21">
        <f t="shared" si="258"/>
        <v>85</v>
      </c>
      <c r="X565" s="21">
        <f t="shared" si="259"/>
        <v>53.3</v>
      </c>
      <c r="Y565" s="37">
        <f t="shared" si="260"/>
        <v>76.1428571428571</v>
      </c>
    </row>
    <row r="566" ht="15.6" hidden="1" outlineLevel="2" spans="1:25">
      <c r="A566" s="6">
        <v>113</v>
      </c>
      <c r="B566" s="6">
        <v>12</v>
      </c>
      <c r="C566" s="29" t="s">
        <v>634</v>
      </c>
      <c r="D566" s="29" t="s">
        <v>11</v>
      </c>
      <c r="E566" s="6">
        <v>7.5</v>
      </c>
      <c r="F566" s="1">
        <f>LOOKUP(E566,{0,-4,-3,-2,-1,0,1,2.4,3.8,5.2,6.6,8,9.4,10.8,12.2,13.6,15,17.2,19.4,21.5,23.6},{0,10,20,30,40,50,60,62,64,66,68,70,72,74,76,78,80,85,90,95,100})</f>
        <v>68</v>
      </c>
      <c r="G566" s="6">
        <v>218</v>
      </c>
      <c r="H566" s="1">
        <f>LOOKUP(G566,{0,170,175,180,185,190,195,199,203,207,211,215,219,223,227,231,235,243,250,255,260},{0,10,20,30,40,50,60,62,64,66,68,70,72,74,76,78,80,85,90,95,100})</f>
        <v>70</v>
      </c>
      <c r="I566" s="6">
        <v>0</v>
      </c>
      <c r="J566" s="1">
        <f>LOOKUP(I566,{0,2,3,4,5,6,7,8,9,10,11,12,13,14,15,16},{0,10,20,30,40,50,60,64,68,72,76,80,85,90,95,100})</f>
        <v>0</v>
      </c>
      <c r="K566" s="7"/>
      <c r="L566" s="7"/>
      <c r="M566" s="21">
        <f t="shared" si="255"/>
        <v>0</v>
      </c>
      <c r="N566" s="6">
        <v>7.3</v>
      </c>
      <c r="O566" s="43">
        <f t="shared" si="256"/>
        <v>5.7</v>
      </c>
      <c r="P566" s="1">
        <f>LOOKUP(O566,{0,2.5,2.7,2.9,3.1,3.3,3.5,3.7,3.9,4.1,4.3,4.5,4.7,4.9,5.1,5.3,5.5,5.6,5.7,5.8,5.9},{0,10,20,30,40,50,60,62,64,66,68,70,72,74,76,78,80,85,90,95,100})</f>
        <v>90</v>
      </c>
      <c r="Q566" s="6">
        <v>3.57</v>
      </c>
      <c r="R566" s="6">
        <f t="shared" si="257"/>
        <v>6.43</v>
      </c>
      <c r="S566" s="1">
        <f>LOOKUP(R566,{0,3.75,3.95,4.55,4.75,4.95,5.55,5.6,5.65,5.7,5.75,5.8,5.85,5.9,5.95,6,6.45,6.53,6.6,6.65,6.7},{0,10,20,30,40,50,60,62,64,66,68,70,72,74,76,78,80,85,90,95,100})</f>
        <v>78</v>
      </c>
      <c r="T566" s="7"/>
      <c r="U566" s="7"/>
      <c r="V566" s="21">
        <f t="shared" si="258"/>
        <v>78</v>
      </c>
      <c r="X566" s="21">
        <f t="shared" si="259"/>
        <v>47.4</v>
      </c>
      <c r="Y566" s="37">
        <f t="shared" si="260"/>
        <v>67.7142857142857</v>
      </c>
    </row>
    <row r="567" ht="15.6" hidden="1" outlineLevel="2" spans="1:25">
      <c r="A567" s="6">
        <v>113</v>
      </c>
      <c r="B567" s="6">
        <v>13</v>
      </c>
      <c r="C567" s="39" t="s">
        <v>636</v>
      </c>
      <c r="D567" s="29" t="s">
        <v>11</v>
      </c>
      <c r="E567" s="6">
        <v>17</v>
      </c>
      <c r="F567" s="1">
        <f>LOOKUP(E567,{0,-4,-3,-2,-1,0,1,2.4,3.8,5.2,6.6,8,9.4,10.8,12.2,13.6,15,17.2,19.4,21.5,23.6},{0,10,20,30,40,50,60,62,64,66,68,70,72,74,76,78,80,85,90,95,100})</f>
        <v>80</v>
      </c>
      <c r="G567" s="6">
        <v>250</v>
      </c>
      <c r="H567" s="1">
        <f>LOOKUP(G567,{0,170,175,180,185,190,195,199,203,207,211,215,219,223,227,231,235,243,250,255,260},{0,10,20,30,40,50,60,62,64,66,68,70,72,74,76,78,80,85,90,95,100})</f>
        <v>90</v>
      </c>
      <c r="I567" s="6">
        <v>16</v>
      </c>
      <c r="J567" s="1">
        <f>LOOKUP(I567,{0,2,3,4,5,6,7,8,9,10,11,12,13,14,15,16},{0,10,20,30,40,50,60,64,68,72,76,80,85,90,95,100})</f>
        <v>100</v>
      </c>
      <c r="K567" s="7">
        <f t="shared" ref="K567:K572" si="261">I567-16</f>
        <v>0</v>
      </c>
      <c r="L567" s="40">
        <f>LOOKUP(K567,{0,1,2,3,4,5,6,7,8,9,10},{0,1,2,3,4,5,6,7,8,9,10})</f>
        <v>0</v>
      </c>
      <c r="M567" s="21">
        <f t="shared" si="255"/>
        <v>100</v>
      </c>
      <c r="N567" s="6">
        <v>7.1</v>
      </c>
      <c r="O567" s="43">
        <f t="shared" si="256"/>
        <v>5.9</v>
      </c>
      <c r="P567" s="1">
        <f>LOOKUP(O567,{0,2.5,2.7,2.9,3.1,3.3,3.5,3.7,3.9,4.1,4.3,4.5,4.7,4.9,5.1,5.3,5.5,5.6,5.7,5.8,5.9},{0,10,20,30,40,50,60,62,64,66,68,70,72,74,76,78,80,85,90,95,100})</f>
        <v>100</v>
      </c>
      <c r="Q567" s="6">
        <v>3.38</v>
      </c>
      <c r="R567" s="6">
        <f t="shared" si="257"/>
        <v>6.62</v>
      </c>
      <c r="S567" s="1">
        <f>LOOKUP(R567,{0,3.75,3.95,4.55,4.75,4.95,5.55,5.6,5.65,5.7,5.75,5.8,5.85,5.9,5.95,6,6.45,6.53,6.6,6.65,6.7},{0,10,20,30,40,50,60,62,64,66,68,70,72,74,76,78,80,85,90,95,100})</f>
        <v>90</v>
      </c>
      <c r="T567" s="7"/>
      <c r="U567" s="7"/>
      <c r="V567" s="21">
        <f t="shared" si="258"/>
        <v>90</v>
      </c>
      <c r="X567" s="21">
        <f t="shared" si="259"/>
        <v>65</v>
      </c>
      <c r="Y567" s="37">
        <f t="shared" si="260"/>
        <v>92.8571428571429</v>
      </c>
    </row>
    <row r="568" ht="15.6" hidden="1" outlineLevel="2" spans="1:25">
      <c r="A568" s="6">
        <v>113</v>
      </c>
      <c r="B568" s="6">
        <v>14</v>
      </c>
      <c r="C568" s="29" t="s">
        <v>637</v>
      </c>
      <c r="D568" s="29" t="s">
        <v>11</v>
      </c>
      <c r="E568" s="6">
        <v>14</v>
      </c>
      <c r="F568" s="1">
        <f>LOOKUP(E568,{0,-4,-3,-2,-1,0,1,2.4,3.8,5.2,6.6,8,9.4,10.8,12.2,13.6,15,17.2,19.4,21.5,23.6},{0,10,20,30,40,50,60,62,64,66,68,70,72,74,76,78,80,85,90,95,100})</f>
        <v>78</v>
      </c>
      <c r="G568" s="6">
        <v>240</v>
      </c>
      <c r="H568" s="1">
        <f>LOOKUP(G568,{0,170,175,180,185,190,195,199,203,207,211,215,219,223,227,231,235,243,250,255,260},{0,10,20,30,40,50,60,62,64,66,68,70,72,74,76,78,80,85,90,95,100})</f>
        <v>80</v>
      </c>
      <c r="I568" s="6">
        <v>25</v>
      </c>
      <c r="J568" s="1">
        <f>LOOKUP(I568,{0,2,3,4,5,6,7,8,9,10,11,12,13,14,15,16},{0,10,20,30,40,50,60,64,68,72,76,80,85,90,95,100})</f>
        <v>100</v>
      </c>
      <c r="K568" s="7">
        <f t="shared" si="261"/>
        <v>9</v>
      </c>
      <c r="L568" s="40">
        <f>LOOKUP(K568,{0,1,2,3,4,5,6,7,8,9,10},{0,1,2,3,4,5,6,7,8,9,10})</f>
        <v>9</v>
      </c>
      <c r="M568" s="21">
        <f t="shared" si="255"/>
        <v>109</v>
      </c>
      <c r="N568" s="6">
        <v>7.6</v>
      </c>
      <c r="O568" s="43">
        <f t="shared" si="256"/>
        <v>5.4</v>
      </c>
      <c r="P568" s="1">
        <f>LOOKUP(O568,{0,2.5,2.7,2.9,3.1,3.3,3.5,3.7,3.9,4.1,4.3,4.5,4.7,4.9,5.1,5.3,5.5,5.6,5.7,5.8,5.9},{0,10,20,30,40,50,60,62,64,66,68,70,72,74,76,78,80,85,90,95,100})</f>
        <v>78</v>
      </c>
      <c r="Q568" s="6">
        <v>3.53</v>
      </c>
      <c r="R568" s="6">
        <f t="shared" si="257"/>
        <v>6.47</v>
      </c>
      <c r="S568" s="1">
        <f>LOOKUP(R568,{0,3.75,3.95,4.55,4.75,4.95,5.55,5.6,5.65,5.7,5.75,5.8,5.85,5.9,5.95,6,6.45,6.53,6.6,6.65,6.7},{0,10,20,30,40,50,60,62,64,66,68,70,72,74,76,78,80,85,90,95,100})</f>
        <v>80</v>
      </c>
      <c r="T568" s="7"/>
      <c r="U568" s="7"/>
      <c r="V568" s="21">
        <f t="shared" si="258"/>
        <v>80</v>
      </c>
      <c r="X568" s="21">
        <f t="shared" si="259"/>
        <v>57.4</v>
      </c>
      <c r="Y568" s="37">
        <f t="shared" si="260"/>
        <v>91</v>
      </c>
    </row>
    <row r="569" s="3" customFormat="1" ht="15.6" hidden="1" outlineLevel="2" spans="1:25">
      <c r="A569" s="6">
        <v>113</v>
      </c>
      <c r="B569" s="6">
        <v>15</v>
      </c>
      <c r="C569" s="29" t="s">
        <v>638</v>
      </c>
      <c r="D569" s="29" t="s">
        <v>11</v>
      </c>
      <c r="E569" s="6">
        <v>14</v>
      </c>
      <c r="F569" s="1">
        <f>LOOKUP(E569,{0,-4,-3,-2,-1,0,1,2.4,3.8,5.2,6.6,8,9.4,10.8,12.2,13.6,15,17.2,19.4,21.5,23.6},{0,10,20,30,40,50,60,62,64,66,68,70,72,74,76,78,80,85,90,95,100})</f>
        <v>78</v>
      </c>
      <c r="G569" s="6">
        <v>245</v>
      </c>
      <c r="H569" s="1">
        <f>LOOKUP(G569,{0,170,175,180,185,190,195,199,203,207,211,215,219,223,227,231,235,243,250,255,260},{0,10,20,30,40,50,60,62,64,66,68,70,72,74,76,78,80,85,90,95,100})</f>
        <v>85</v>
      </c>
      <c r="I569" s="6">
        <v>0</v>
      </c>
      <c r="J569" s="1">
        <f>LOOKUP(I569,{0,2,3,4,5,6,7,8,9,10,11,12,13,14,15,16},{0,10,20,30,40,50,60,64,68,72,76,80,85,90,95,100})</f>
        <v>0</v>
      </c>
      <c r="K569" s="7"/>
      <c r="L569" s="7"/>
      <c r="M569" s="21">
        <f t="shared" si="255"/>
        <v>0</v>
      </c>
      <c r="N569" s="6">
        <v>7.9</v>
      </c>
      <c r="O569" s="43">
        <f t="shared" si="256"/>
        <v>5.1</v>
      </c>
      <c r="P569" s="1">
        <f>LOOKUP(O569,{0,2.5,2.7,2.9,3.1,3.3,3.5,3.7,3.9,4.1,4.3,4.5,4.7,4.9,5.1,5.3,5.5,5.6,5.7,5.8,5.9},{0,10,20,30,40,50,60,62,64,66,68,70,72,74,76,78,80,85,90,95,100})</f>
        <v>76</v>
      </c>
      <c r="Q569" s="6">
        <v>3.52</v>
      </c>
      <c r="R569" s="6">
        <f t="shared" si="257"/>
        <v>6.48</v>
      </c>
      <c r="S569" s="1">
        <f>LOOKUP(R569,{0,3.75,3.95,4.55,4.75,4.95,5.55,5.6,5.65,5.7,5.75,5.8,5.85,5.9,5.95,6,6.45,6.53,6.6,6.65,6.7},{0,10,20,30,40,50,60,62,64,66,68,70,72,74,76,78,80,85,90,95,100})</f>
        <v>80</v>
      </c>
      <c r="T569" s="7"/>
      <c r="U569" s="7"/>
      <c r="V569" s="21">
        <f t="shared" si="258"/>
        <v>80</v>
      </c>
      <c r="W569" s="6"/>
      <c r="X569" s="21">
        <f t="shared" si="259"/>
        <v>47.5</v>
      </c>
      <c r="Y569" s="37">
        <f t="shared" si="260"/>
        <v>67.8571428571429</v>
      </c>
    </row>
    <row r="570" ht="15.6" hidden="1" outlineLevel="2" spans="1:25">
      <c r="A570" s="6">
        <v>113</v>
      </c>
      <c r="B570" s="6">
        <v>16</v>
      </c>
      <c r="C570" s="29" t="s">
        <v>639</v>
      </c>
      <c r="D570" s="29" t="s">
        <v>11</v>
      </c>
      <c r="E570" s="6">
        <v>7</v>
      </c>
      <c r="F570" s="1">
        <f>LOOKUP(E570,{0,-4,-3,-2,-1,0,1,2.4,3.8,5.2,6.6,8,9.4,10.8,12.2,13.6,15,17.2,19.4,21.5,23.6},{0,10,20,30,40,50,60,62,64,66,68,70,72,74,76,78,80,85,90,95,100})</f>
        <v>68</v>
      </c>
      <c r="G570" s="6">
        <v>260</v>
      </c>
      <c r="H570" s="1">
        <f>LOOKUP(G570,{0,170,175,180,185,190,195,199,203,207,211,215,219,223,227,231,235,243,250,255,260},{0,10,20,30,40,50,60,62,64,66,68,70,72,74,76,78,80,85,90,95,100})</f>
        <v>100</v>
      </c>
      <c r="I570" s="6">
        <v>18</v>
      </c>
      <c r="J570" s="1">
        <f>LOOKUP(I570,{0,2,3,4,5,6,7,8,9,10,11,12,13,14,15,16},{0,10,20,30,40,50,60,64,68,72,76,80,85,90,95,100})</f>
        <v>100</v>
      </c>
      <c r="K570" s="7">
        <f t="shared" si="261"/>
        <v>2</v>
      </c>
      <c r="L570" s="40">
        <f>LOOKUP(K570,{0,1,2,3,4,5,6,7,8,9,10},{0,1,2,3,4,5,6,7,8,9,10})</f>
        <v>2</v>
      </c>
      <c r="M570" s="21">
        <f t="shared" si="255"/>
        <v>102</v>
      </c>
      <c r="N570" s="6">
        <v>7.5</v>
      </c>
      <c r="O570" s="43">
        <f t="shared" si="256"/>
        <v>5.5</v>
      </c>
      <c r="P570" s="1">
        <f>LOOKUP(O570,{0,2.5,2.7,2.9,3.1,3.3,3.5,3.7,3.9,4.1,4.3,4.5,4.7,4.9,5.1,5.3,5.5,5.6,5.7,5.8,5.9},{0,10,20,30,40,50,60,62,64,66,68,70,72,74,76,78,80,85,90,95,100})</f>
        <v>80</v>
      </c>
      <c r="Q570" s="6">
        <v>3.41</v>
      </c>
      <c r="R570" s="6">
        <f t="shared" si="257"/>
        <v>6.59</v>
      </c>
      <c r="S570" s="1">
        <f>LOOKUP(R570,{0,3.75,3.95,4.55,4.75,4.95,5.55,5.6,5.65,5.7,5.75,5.8,5.85,5.9,5.95,6,6.45,6.53,6.6,6.65,6.7},{0,10,20,30,40,50,60,62,64,66,68,70,72,74,76,78,80,85,90,95,100})</f>
        <v>85</v>
      </c>
      <c r="T570" s="7"/>
      <c r="U570" s="7"/>
      <c r="V570" s="21">
        <f t="shared" si="258"/>
        <v>85</v>
      </c>
      <c r="X570" s="21">
        <f t="shared" si="259"/>
        <v>59.8</v>
      </c>
      <c r="Y570" s="37">
        <f t="shared" si="260"/>
        <v>87.4285714285714</v>
      </c>
    </row>
    <row r="571" ht="15.6" hidden="1" outlineLevel="2" spans="1:25">
      <c r="A571" s="6">
        <v>113</v>
      </c>
      <c r="B571" s="6">
        <v>17</v>
      </c>
      <c r="C571" s="29" t="s">
        <v>640</v>
      </c>
      <c r="D571" s="29" t="s">
        <v>11</v>
      </c>
      <c r="E571" s="6">
        <v>15</v>
      </c>
      <c r="F571" s="1">
        <f>LOOKUP(E571,{0,-4,-3,-2,-1,0,1,2.4,3.8,5.2,6.6,8,9.4,10.8,12.2,13.6,15,17.2,19.4,21.5,23.6},{0,10,20,30,40,50,60,62,64,66,68,70,72,74,76,78,80,85,90,95,100})</f>
        <v>80</v>
      </c>
      <c r="G571" s="6">
        <v>210</v>
      </c>
      <c r="H571" s="1">
        <f>LOOKUP(G571,{0,170,175,180,185,190,195,199,203,207,211,215,219,223,227,231,235,243,250,255,260},{0,10,20,30,40,50,60,62,64,66,68,70,72,74,76,78,80,85,90,95,100})</f>
        <v>66</v>
      </c>
      <c r="I571" s="6">
        <v>21</v>
      </c>
      <c r="J571" s="1">
        <f>LOOKUP(I571,{0,2,3,4,5,6,7,8,9,10,11,12,13,14,15,16},{0,10,20,30,40,50,60,64,68,72,76,80,85,90,95,100})</f>
        <v>100</v>
      </c>
      <c r="K571" s="7">
        <f t="shared" si="261"/>
        <v>5</v>
      </c>
      <c r="L571" s="40">
        <f>LOOKUP(K571,{0,1,2,3,4,5,6,7,8,9,10},{0,1,2,3,4,5,6,7,8,9,10})</f>
        <v>5</v>
      </c>
      <c r="M571" s="21">
        <f t="shared" si="255"/>
        <v>105</v>
      </c>
      <c r="N571" s="6">
        <v>7.2</v>
      </c>
      <c r="O571" s="43">
        <f t="shared" si="256"/>
        <v>5.8</v>
      </c>
      <c r="P571" s="1">
        <f>LOOKUP(O571,{0,2.5,2.7,2.9,3.1,3.3,3.5,3.7,3.9,4.1,4.3,4.5,4.7,4.9,5.1,5.3,5.5,5.6,5.7,5.8,5.9},{0,10,20,30,40,50,60,62,64,66,68,70,72,74,76,78,80,85,90,95,100})</f>
        <v>95</v>
      </c>
      <c r="Q571" s="6">
        <v>3.39</v>
      </c>
      <c r="R571" s="6">
        <f t="shared" si="257"/>
        <v>6.61</v>
      </c>
      <c r="S571" s="1">
        <f>LOOKUP(R571,{0,3.75,3.95,4.55,4.75,4.95,5.55,5.6,5.65,5.7,5.75,5.8,5.85,5.9,5.95,6,6.45,6.53,6.6,6.65,6.7},{0,10,20,30,40,50,60,62,64,66,68,70,72,74,76,78,80,85,90,95,100})</f>
        <v>90</v>
      </c>
      <c r="T571" s="7"/>
      <c r="U571" s="7"/>
      <c r="V571" s="21">
        <f t="shared" si="258"/>
        <v>90</v>
      </c>
      <c r="X571" s="21">
        <f t="shared" si="259"/>
        <v>61.6</v>
      </c>
      <c r="Y571" s="37">
        <f t="shared" si="260"/>
        <v>93</v>
      </c>
    </row>
    <row r="572" ht="15.6" hidden="1" outlineLevel="2" spans="1:25">
      <c r="A572" s="6">
        <v>113</v>
      </c>
      <c r="B572" s="6">
        <v>18</v>
      </c>
      <c r="C572" s="29" t="s">
        <v>641</v>
      </c>
      <c r="D572" s="29" t="s">
        <v>11</v>
      </c>
      <c r="E572" s="6">
        <v>16</v>
      </c>
      <c r="F572" s="1">
        <f>LOOKUP(E572,{0,-4,-3,-2,-1,0,1,2.4,3.8,5.2,6.6,8,9.4,10.8,12.2,13.6,15,17.2,19.4,21.5,23.6},{0,10,20,30,40,50,60,62,64,66,68,70,72,74,76,78,80,85,90,95,100})</f>
        <v>80</v>
      </c>
      <c r="G572" s="6">
        <v>270</v>
      </c>
      <c r="H572" s="1">
        <f>LOOKUP(G572,{0,170,175,180,185,190,195,199,203,207,211,215,219,223,227,231,235,243,250,255,260},{0,10,20,30,40,50,60,62,64,66,68,70,72,74,76,78,80,85,90,95,100})</f>
        <v>100</v>
      </c>
      <c r="I572" s="6">
        <v>25</v>
      </c>
      <c r="J572" s="1">
        <f>LOOKUP(I572,{0,2,3,4,5,6,7,8,9,10,11,12,13,14,15,16},{0,10,20,30,40,50,60,64,68,72,76,80,85,90,95,100})</f>
        <v>100</v>
      </c>
      <c r="K572" s="7">
        <f t="shared" si="261"/>
        <v>9</v>
      </c>
      <c r="L572" s="40">
        <f>LOOKUP(K572,{0,1,2,3,4,5,6,7,8,9,10},{0,1,2,3,4,5,6,7,8,9,10})</f>
        <v>9</v>
      </c>
      <c r="M572" s="21">
        <f t="shared" si="255"/>
        <v>109</v>
      </c>
      <c r="N572" s="6">
        <v>6.3</v>
      </c>
      <c r="O572" s="43">
        <f t="shared" si="256"/>
        <v>6.7</v>
      </c>
      <c r="P572" s="1">
        <f>LOOKUP(O572,{0,2.5,2.7,2.9,3.1,3.3,3.5,3.7,3.9,4.1,4.3,4.5,4.7,4.9,5.1,5.3,5.5,5.6,5.7,5.8,5.9},{0,10,20,30,40,50,60,62,64,66,68,70,72,74,76,78,80,85,90,95,100})</f>
        <v>100</v>
      </c>
      <c r="Q572" s="6">
        <v>3.05</v>
      </c>
      <c r="R572" s="6">
        <f t="shared" si="257"/>
        <v>6.95</v>
      </c>
      <c r="S572" s="1">
        <f>LOOKUP(R572,{0,3.75,3.95,4.55,4.75,4.95,5.55,5.6,5.65,5.7,5.75,5.8,5.85,5.9,5.95,6,6.45,6.53,6.6,6.65,6.7},{0,10,20,30,40,50,60,62,64,66,68,70,72,74,76,78,80,85,90,95,100})</f>
        <v>100</v>
      </c>
      <c r="T572" s="7">
        <f>3.3-Q572</f>
        <v>0.25</v>
      </c>
      <c r="U572" s="40">
        <f>LOOKUP(T572,{0,0.04,0.08,0.12,0.16,0.2,0.23,0.26,0.29,0.32,0.35},{0,1,2,3,4,5,6,7,8,9,10})</f>
        <v>6</v>
      </c>
      <c r="V572" s="21">
        <f t="shared" si="258"/>
        <v>106</v>
      </c>
      <c r="X572" s="21">
        <f t="shared" si="259"/>
        <v>68</v>
      </c>
      <c r="Y572" s="37">
        <f t="shared" si="260"/>
        <v>112.142857142857</v>
      </c>
    </row>
    <row r="573" ht="15.6" hidden="1" outlineLevel="2" spans="1:25">
      <c r="A573" s="6">
        <v>113</v>
      </c>
      <c r="B573" s="6">
        <v>19</v>
      </c>
      <c r="C573" s="29" t="s">
        <v>642</v>
      </c>
      <c r="D573" s="29" t="s">
        <v>11</v>
      </c>
      <c r="E573" s="6">
        <v>3</v>
      </c>
      <c r="F573" s="1">
        <f>LOOKUP(E573,{0,-4,-3,-2,-1,0,1,2.4,3.8,5.2,6.6,8,9.4,10.8,12.2,13.6,15,17.2,19.4,21.5,23.6},{0,10,20,30,40,50,60,62,64,66,68,70,72,74,76,78,80,85,90,95,100})</f>
        <v>62</v>
      </c>
      <c r="G573" s="6">
        <v>247</v>
      </c>
      <c r="H573" s="1">
        <f>LOOKUP(G573,{0,170,175,180,185,190,195,199,203,207,211,215,219,223,227,231,235,243,250,255,260},{0,10,20,30,40,50,60,62,64,66,68,70,72,74,76,78,80,85,90,95,100})</f>
        <v>85</v>
      </c>
      <c r="I573" s="6">
        <v>11</v>
      </c>
      <c r="J573" s="1">
        <f>LOOKUP(I573,{0,2,3,4,5,6,7,8,9,10,11,12,13,14,15,16},{0,10,20,30,40,50,60,64,68,72,76,80,85,90,95,100})</f>
        <v>76</v>
      </c>
      <c r="K573" s="7"/>
      <c r="L573" s="7"/>
      <c r="M573" s="21">
        <f t="shared" si="255"/>
        <v>76</v>
      </c>
      <c r="N573" s="6">
        <v>7</v>
      </c>
      <c r="O573" s="43">
        <f t="shared" si="256"/>
        <v>6</v>
      </c>
      <c r="P573" s="1">
        <f>LOOKUP(O573,{0,2.5,2.7,2.9,3.1,3.3,3.5,3.7,3.9,4.1,4.3,4.5,4.7,4.9,5.1,5.3,5.5,5.6,5.7,5.8,5.9},{0,10,20,30,40,50,60,62,64,66,68,70,72,74,76,78,80,85,90,95,100})</f>
        <v>100</v>
      </c>
      <c r="Q573" s="6">
        <v>3.4</v>
      </c>
      <c r="R573" s="6">
        <f t="shared" si="257"/>
        <v>6.6</v>
      </c>
      <c r="S573" s="1">
        <f>LOOKUP(R573,{0,3.75,3.95,4.55,4.75,4.95,5.55,5.6,5.65,5.7,5.75,5.8,5.85,5.9,5.95,6,6.45,6.53,6.6,6.65,6.7},{0,10,20,30,40,50,60,62,64,66,68,70,72,74,76,78,80,85,90,95,100})</f>
        <v>90</v>
      </c>
      <c r="T573" s="7"/>
      <c r="U573" s="7"/>
      <c r="V573" s="21">
        <f t="shared" si="258"/>
        <v>90</v>
      </c>
      <c r="X573" s="21">
        <f t="shared" si="259"/>
        <v>60.3</v>
      </c>
      <c r="Y573" s="37">
        <f t="shared" si="260"/>
        <v>86.1428571428571</v>
      </c>
    </row>
    <row r="574" ht="15.6" hidden="1" outlineLevel="2" spans="1:25">
      <c r="A574" s="6">
        <v>113</v>
      </c>
      <c r="B574" s="6">
        <v>20</v>
      </c>
      <c r="C574" s="29" t="s">
        <v>643</v>
      </c>
      <c r="D574" s="29" t="s">
        <v>11</v>
      </c>
      <c r="E574" s="6">
        <v>8.5</v>
      </c>
      <c r="F574" s="1">
        <f>LOOKUP(E574,{0,-4,-3,-2,-1,0,1,2.4,3.8,5.2,6.6,8,9.4,10.8,12.2,13.6,15,17.2,19.4,21.5,23.6},{0,10,20,30,40,50,60,62,64,66,68,70,72,74,76,78,80,85,90,95,100})</f>
        <v>70</v>
      </c>
      <c r="G574" s="6">
        <v>200</v>
      </c>
      <c r="H574" s="1">
        <f>LOOKUP(G574,{0,170,175,180,185,190,195,199,203,207,211,215,219,223,227,231,235,243,250,255,260},{0,10,20,30,40,50,60,62,64,66,68,70,72,74,76,78,80,85,90,95,100})</f>
        <v>62</v>
      </c>
      <c r="I574" s="6">
        <v>13</v>
      </c>
      <c r="J574" s="1">
        <f>LOOKUP(I574,{0,2,3,4,5,6,7,8,9,10,11,12,13,14,15,16},{0,10,20,30,40,50,60,64,68,72,76,80,85,90,95,100})</f>
        <v>85</v>
      </c>
      <c r="K574" s="7"/>
      <c r="L574" s="7"/>
      <c r="M574" s="21">
        <f t="shared" si="255"/>
        <v>85</v>
      </c>
      <c r="N574" s="6">
        <v>7.4</v>
      </c>
      <c r="O574" s="43">
        <f t="shared" si="256"/>
        <v>5.6</v>
      </c>
      <c r="P574" s="1">
        <f>LOOKUP(O574,{0,2.5,2.7,2.9,3.1,3.3,3.5,3.7,3.9,4.1,4.3,4.5,4.7,4.9,5.1,5.3,5.5,5.6,5.7,5.8,5.9},{0,10,20,30,40,50,60,62,64,66,68,70,72,74,76,78,80,85,90,95,100})</f>
        <v>85</v>
      </c>
      <c r="Q574" s="6">
        <v>3.49</v>
      </c>
      <c r="R574" s="6">
        <f t="shared" si="257"/>
        <v>6.51</v>
      </c>
      <c r="S574" s="1">
        <f>LOOKUP(R574,{0,3.75,3.95,4.55,4.75,4.95,5.55,5.6,5.65,5.7,5.75,5.8,5.85,5.9,5.95,6,6.45,6.53,6.6,6.65,6.7},{0,10,20,30,40,50,60,62,64,66,68,70,72,74,76,78,80,85,90,95,100})</f>
        <v>80</v>
      </c>
      <c r="T574" s="7"/>
      <c r="U574" s="7"/>
      <c r="V574" s="21">
        <f t="shared" si="258"/>
        <v>80</v>
      </c>
      <c r="X574" s="21">
        <f t="shared" si="259"/>
        <v>54.7</v>
      </c>
      <c r="Y574" s="37">
        <f t="shared" si="260"/>
        <v>78.1428571428572</v>
      </c>
    </row>
    <row r="575" ht="15.6" hidden="1" outlineLevel="2" spans="1:25">
      <c r="A575" s="6">
        <v>113</v>
      </c>
      <c r="B575" s="6">
        <v>21</v>
      </c>
      <c r="C575" s="29" t="s">
        <v>644</v>
      </c>
      <c r="D575" s="29" t="s">
        <v>11</v>
      </c>
      <c r="E575" s="6">
        <v>19.5</v>
      </c>
      <c r="F575" s="1">
        <f>LOOKUP(E575,{0,-4,-3,-2,-1,0,1,2.4,3.8,5.2,6.6,8,9.4,10.8,12.2,13.6,15,17.2,19.4,21.5,23.6},{0,10,20,30,40,50,60,62,64,66,68,70,72,74,76,78,80,85,90,95,100})</f>
        <v>90</v>
      </c>
      <c r="G575" s="6">
        <v>220</v>
      </c>
      <c r="H575" s="1">
        <f>LOOKUP(G575,{0,170,175,180,185,190,195,199,203,207,211,215,219,223,227,231,235,243,250,255,260},{0,10,20,30,40,50,60,62,64,66,68,70,72,74,76,78,80,85,90,95,100})</f>
        <v>72</v>
      </c>
      <c r="I575" s="6">
        <v>5</v>
      </c>
      <c r="J575" s="1">
        <f>LOOKUP(I575,{0,2,3,4,5,6,7,8,9,10,11,12,13,14,15,16},{0,10,20,30,40,50,60,64,68,72,76,80,85,90,95,100})</f>
        <v>40</v>
      </c>
      <c r="K575" s="7"/>
      <c r="L575" s="7"/>
      <c r="M575" s="21">
        <f t="shared" si="255"/>
        <v>40</v>
      </c>
      <c r="N575" s="6">
        <v>7.6</v>
      </c>
      <c r="O575" s="43">
        <f t="shared" si="256"/>
        <v>5.4</v>
      </c>
      <c r="P575" s="1">
        <f>LOOKUP(O575,{0,2.5,2.7,2.9,3.1,3.3,3.5,3.7,3.9,4.1,4.3,4.5,4.7,4.9,5.1,5.3,5.5,5.6,5.7,5.8,5.9},{0,10,20,30,40,50,60,62,64,66,68,70,72,74,76,78,80,85,90,95,100})</f>
        <v>78</v>
      </c>
      <c r="Q575" s="6">
        <v>3.51</v>
      </c>
      <c r="R575" s="6">
        <f t="shared" si="257"/>
        <v>6.49</v>
      </c>
      <c r="S575" s="1">
        <f>LOOKUP(R575,{0,3.75,3.95,4.55,4.75,4.95,5.55,5.6,5.65,5.7,5.75,5.8,5.85,5.9,5.95,6,6.45,6.53,6.6,6.65,6.7},{0,10,20,30,40,50,60,62,64,66,68,70,72,74,76,78,80,85,90,95,100})</f>
        <v>80</v>
      </c>
      <c r="T575" s="7"/>
      <c r="U575" s="7"/>
      <c r="V575" s="21">
        <f t="shared" si="258"/>
        <v>80</v>
      </c>
      <c r="X575" s="21">
        <f t="shared" si="259"/>
        <v>51.8</v>
      </c>
      <c r="Y575" s="37">
        <f t="shared" si="260"/>
        <v>74</v>
      </c>
    </row>
    <row r="576" ht="15.6" hidden="1" outlineLevel="2" spans="1:25">
      <c r="A576" s="6">
        <v>113</v>
      </c>
      <c r="B576" s="6">
        <v>22</v>
      </c>
      <c r="C576" s="29" t="s">
        <v>645</v>
      </c>
      <c r="D576" s="29" t="s">
        <v>11</v>
      </c>
      <c r="E576" s="6">
        <v>16</v>
      </c>
      <c r="F576" s="1">
        <f>LOOKUP(E576,{0,-4,-3,-2,-1,0,1,2.4,3.8,5.2,6.6,8,9.4,10.8,12.2,13.6,15,17.2,19.4,21.5,23.6},{0,10,20,30,40,50,60,62,64,66,68,70,72,74,76,78,80,85,90,95,100})</f>
        <v>80</v>
      </c>
      <c r="G576" s="6">
        <v>195</v>
      </c>
      <c r="H576" s="1">
        <f>LOOKUP(G576,{0,170,175,180,185,190,195,199,203,207,211,215,219,223,227,231,235,243,250,255,260},{0,10,20,30,40,50,60,62,64,66,68,70,72,74,76,78,80,85,90,95,100})</f>
        <v>60</v>
      </c>
      <c r="I576" s="6">
        <v>1</v>
      </c>
      <c r="J576" s="1">
        <f>LOOKUP(I576,{0,2,3,4,5,6,7,8,9,10,11,12,13,14,15,16},{0,10,20,30,40,50,60,64,68,72,76,80,85,90,95,100})</f>
        <v>0</v>
      </c>
      <c r="K576" s="7"/>
      <c r="L576" s="7"/>
      <c r="M576" s="21">
        <f t="shared" si="255"/>
        <v>0</v>
      </c>
      <c r="N576" s="6">
        <v>8.2</v>
      </c>
      <c r="O576" s="43">
        <f t="shared" si="256"/>
        <v>4.8</v>
      </c>
      <c r="P576" s="1">
        <f>LOOKUP(O576,{0,2.5,2.7,2.9,3.1,3.3,3.5,3.7,3.9,4.1,4.3,4.5,4.7,4.9,5.1,5.3,5.5,5.6,5.7,5.8,5.9},{0,10,20,30,40,50,60,62,64,66,68,70,72,74,76,78,80,85,90,95,100})</f>
        <v>72</v>
      </c>
      <c r="Q576" s="6">
        <v>4.14</v>
      </c>
      <c r="R576" s="6">
        <f t="shared" si="257"/>
        <v>5.86</v>
      </c>
      <c r="S576" s="1">
        <f>LOOKUP(R576,{0,3.75,3.95,4.55,4.75,4.95,5.55,5.6,5.65,5.7,5.75,5.8,5.85,5.9,5.95,6,6.45,6.53,6.6,6.65,6.7},{0,10,20,30,40,50,60,62,64,66,68,70,72,74,76,78,80,85,90,95,100})</f>
        <v>72</v>
      </c>
      <c r="T576" s="7"/>
      <c r="U576" s="7"/>
      <c r="V576" s="21">
        <f t="shared" si="258"/>
        <v>72</v>
      </c>
      <c r="X576" s="21">
        <f t="shared" si="259"/>
        <v>42.8</v>
      </c>
      <c r="Y576" s="37">
        <f t="shared" si="260"/>
        <v>61.1428571428571</v>
      </c>
    </row>
    <row r="577" ht="15.6" hidden="1" outlineLevel="2" spans="1:25">
      <c r="A577" s="6">
        <v>113</v>
      </c>
      <c r="B577" s="6">
        <v>23</v>
      </c>
      <c r="C577" s="29" t="s">
        <v>646</v>
      </c>
      <c r="D577" s="29" t="s">
        <v>11</v>
      </c>
      <c r="E577" s="6">
        <v>11</v>
      </c>
      <c r="F577" s="1">
        <f>LOOKUP(E577,{0,-4,-3,-2,-1,0,1,2.4,3.8,5.2,6.6,8,9.4,10.8,12.2,13.6,15,17.2,19.4,21.5,23.6},{0,10,20,30,40,50,60,62,64,66,68,70,72,74,76,78,80,85,90,95,100})</f>
        <v>74</v>
      </c>
      <c r="G577" s="6">
        <v>245</v>
      </c>
      <c r="H577" s="1">
        <f>LOOKUP(G577,{0,170,175,180,185,190,195,199,203,207,211,215,219,223,227,231,235,243,250,255,260},{0,10,20,30,40,50,60,62,64,66,68,70,72,74,76,78,80,85,90,95,100})</f>
        <v>85</v>
      </c>
      <c r="I577" s="6">
        <v>3</v>
      </c>
      <c r="J577" s="1">
        <f>LOOKUP(I577,{0,2,3,4,5,6,7,8,9,10,11,12,13,14,15,16},{0,10,20,30,40,50,60,64,68,72,76,80,85,90,95,100})</f>
        <v>20</v>
      </c>
      <c r="K577" s="7"/>
      <c r="L577" s="7"/>
      <c r="M577" s="21">
        <f t="shared" si="255"/>
        <v>20</v>
      </c>
      <c r="N577" s="6">
        <v>7.9</v>
      </c>
      <c r="O577" s="43">
        <f t="shared" si="256"/>
        <v>5.1</v>
      </c>
      <c r="P577" s="1">
        <f>LOOKUP(O577,{0,2.5,2.7,2.9,3.1,3.3,3.5,3.7,3.9,4.1,4.3,4.5,4.7,4.9,5.1,5.3,5.5,5.6,5.7,5.8,5.9},{0,10,20,30,40,50,60,62,64,66,68,70,72,74,76,78,80,85,90,95,100})</f>
        <v>76</v>
      </c>
      <c r="Q577" s="6">
        <v>4.05</v>
      </c>
      <c r="R577" s="6">
        <f t="shared" si="257"/>
        <v>5.95</v>
      </c>
      <c r="S577" s="1">
        <f>LOOKUP(R577,{0,3.75,3.95,4.55,4.75,4.95,5.55,5.6,5.65,5.7,5.75,5.8,5.85,5.9,5.95,6,6.45,6.53,6.6,6.65,6.7},{0,10,20,30,40,50,60,62,64,66,68,70,72,74,76,78,80,85,90,95,100})</f>
        <v>76</v>
      </c>
      <c r="T577" s="7"/>
      <c r="U577" s="7"/>
      <c r="V577" s="21">
        <f t="shared" si="258"/>
        <v>76</v>
      </c>
      <c r="X577" s="21">
        <f t="shared" si="259"/>
        <v>48.3</v>
      </c>
      <c r="Y577" s="37">
        <f t="shared" si="260"/>
        <v>69</v>
      </c>
    </row>
    <row r="578" ht="15.6" hidden="1" outlineLevel="2" spans="1:25">
      <c r="A578" s="6">
        <v>113</v>
      </c>
      <c r="B578" s="6">
        <v>24</v>
      </c>
      <c r="C578" s="29" t="s">
        <v>647</v>
      </c>
      <c r="D578" s="29" t="s">
        <v>11</v>
      </c>
      <c r="E578" s="6">
        <v>15</v>
      </c>
      <c r="F578" s="1">
        <f>LOOKUP(E578,{0,-4,-3,-2,-1,0,1,2.4,3.8,5.2,6.6,8,9.4,10.8,12.2,13.6,15,17.2,19.4,21.5,23.6},{0,10,20,30,40,50,60,62,64,66,68,70,72,74,76,78,80,85,90,95,100})</f>
        <v>80</v>
      </c>
      <c r="G578" s="6">
        <v>245</v>
      </c>
      <c r="H578" s="1">
        <f>LOOKUP(G578,{0,170,175,180,185,190,195,199,203,207,211,215,219,223,227,231,235,243,250,255,260},{0,10,20,30,40,50,60,62,64,66,68,70,72,74,76,78,80,85,90,95,100})</f>
        <v>85</v>
      </c>
      <c r="I578" s="6">
        <v>16</v>
      </c>
      <c r="J578" s="1">
        <f>LOOKUP(I578,{0,2,3,4,5,6,7,8,9,10,11,12,13,14,15,16},{0,10,20,30,40,50,60,64,68,72,76,80,85,90,95,100})</f>
        <v>100</v>
      </c>
      <c r="K578" s="7">
        <f>I578-16</f>
        <v>0</v>
      </c>
      <c r="L578" s="40">
        <f>LOOKUP(K578,{0,1,2,3,4,5,6,7,8,9,10},{0,1,2,3,4,5,6,7,8,9,10})</f>
        <v>0</v>
      </c>
      <c r="M578" s="21">
        <f t="shared" si="255"/>
        <v>100</v>
      </c>
      <c r="N578" s="6">
        <v>7.1</v>
      </c>
      <c r="O578" s="43">
        <f t="shared" si="256"/>
        <v>5.9</v>
      </c>
      <c r="P578" s="1">
        <f>LOOKUP(O578,{0,2.5,2.7,2.9,3.1,3.3,3.5,3.7,3.9,4.1,4.3,4.5,4.7,4.9,5.1,5.3,5.5,5.6,5.7,5.8,5.9},{0,10,20,30,40,50,60,62,64,66,68,70,72,74,76,78,80,85,90,95,100})</f>
        <v>100</v>
      </c>
      <c r="S578" s="1"/>
      <c r="T578" s="7"/>
      <c r="U578" s="40"/>
      <c r="V578" s="21"/>
      <c r="X578" s="21">
        <f t="shared" si="259"/>
        <v>46.5</v>
      </c>
      <c r="Y578" s="37">
        <f t="shared" si="260"/>
        <v>66.4285714285714</v>
      </c>
    </row>
    <row r="579" ht="15.6" hidden="1" outlineLevel="2" spans="1:25">
      <c r="A579" s="6">
        <v>113</v>
      </c>
      <c r="B579" s="6">
        <v>25</v>
      </c>
      <c r="C579" s="30" t="s">
        <v>648</v>
      </c>
      <c r="D579" s="30" t="s">
        <v>11</v>
      </c>
      <c r="E579" s="6">
        <v>20</v>
      </c>
      <c r="F579" s="1">
        <f>LOOKUP(E579,{0,-4,-3,-2,-1,0,1,2.4,3.8,5.2,6.6,8,9.4,10.8,12.2,13.6,15,17.2,19.4,21.5,23.6},{0,10,20,30,40,50,60,62,64,66,68,70,72,74,76,78,80,85,90,95,100})</f>
        <v>90</v>
      </c>
      <c r="G579" s="6">
        <v>271</v>
      </c>
      <c r="H579" s="1">
        <f>LOOKUP(G579,{0,170,175,180,185,190,195,199,203,207,211,215,219,223,227,231,235,243,250,255,260},{0,10,20,30,40,50,60,62,64,66,68,70,72,74,76,78,80,85,90,95,100})</f>
        <v>100</v>
      </c>
      <c r="I579" s="6">
        <v>5</v>
      </c>
      <c r="J579" s="1">
        <f>LOOKUP(I579,{0,2,3,4,5,6,7,8,9,10,11,12,13,14,15,16},{0,10,20,30,40,50,60,64,68,72,76,80,85,90,95,100})</f>
        <v>40</v>
      </c>
      <c r="K579" s="7"/>
      <c r="L579" s="7"/>
      <c r="M579" s="21">
        <f t="shared" si="255"/>
        <v>40</v>
      </c>
      <c r="N579" s="6">
        <v>6.8</v>
      </c>
      <c r="O579" s="43">
        <f t="shared" si="256"/>
        <v>6.2</v>
      </c>
      <c r="P579" s="1">
        <f>LOOKUP(O579,{0,2.5,2.7,2.9,3.1,3.3,3.5,3.7,3.9,4.1,4.3,4.5,4.7,4.9,5.1,5.3,5.5,5.6,5.7,5.8,5.9},{0,10,20,30,40,50,60,62,64,66,68,70,72,74,76,78,80,85,90,95,100})</f>
        <v>100</v>
      </c>
      <c r="Q579" s="6">
        <v>3.18</v>
      </c>
      <c r="R579" s="6">
        <f t="shared" ref="R579:R603" si="262">10-Q579</f>
        <v>6.82</v>
      </c>
      <c r="S579" s="1">
        <f>LOOKUP(R579,{0,3.75,3.95,4.55,4.75,4.95,5.55,5.6,5.65,5.7,5.75,5.8,5.85,5.9,5.95,6,6.45,6.53,6.6,6.65,6.7},{0,10,20,30,40,50,60,62,64,66,68,70,72,74,76,78,80,85,90,95,100})</f>
        <v>100</v>
      </c>
      <c r="T579" s="7">
        <f>3.3-Q579</f>
        <v>0.12</v>
      </c>
      <c r="U579" s="40">
        <f>LOOKUP(T579,{0,0.04,0.08,0.12,0.16,0.2,0.23,0.26,0.29,0.32,0.35},{0,1,2,3,4,5,6,7,8,9,10})</f>
        <v>2</v>
      </c>
      <c r="V579" s="21">
        <f t="shared" ref="V579:V603" si="263">S579+U579</f>
        <v>102</v>
      </c>
      <c r="X579" s="21">
        <f t="shared" si="259"/>
        <v>63</v>
      </c>
      <c r="Y579" s="37">
        <f t="shared" si="260"/>
        <v>92</v>
      </c>
    </row>
    <row r="580" ht="15.6" hidden="1" outlineLevel="2" spans="1:25">
      <c r="A580" s="6">
        <v>113</v>
      </c>
      <c r="B580" s="6">
        <v>26</v>
      </c>
      <c r="C580" s="39" t="s">
        <v>650</v>
      </c>
      <c r="D580" s="29" t="s">
        <v>46</v>
      </c>
      <c r="F580" s="1"/>
      <c r="H580" s="1"/>
      <c r="J580" s="1"/>
      <c r="K580" s="45"/>
      <c r="L580" s="45"/>
      <c r="M580" s="21"/>
      <c r="O580" s="43"/>
      <c r="P580" s="1"/>
      <c r="S580" s="1"/>
      <c r="T580" s="48"/>
      <c r="U580" s="40"/>
      <c r="V580" s="21"/>
      <c r="W580" s="6" t="s">
        <v>513</v>
      </c>
      <c r="X580" s="21">
        <f t="shared" si="259"/>
        <v>0</v>
      </c>
      <c r="Y580" s="37">
        <v>50</v>
      </c>
    </row>
    <row r="581" ht="15.6" hidden="1" outlineLevel="2" spans="1:25">
      <c r="A581" s="6">
        <v>113</v>
      </c>
      <c r="B581" s="6">
        <v>27</v>
      </c>
      <c r="C581" s="29" t="s">
        <v>651</v>
      </c>
      <c r="D581" s="29" t="s">
        <v>46</v>
      </c>
      <c r="E581" s="6">
        <v>11.5</v>
      </c>
      <c r="F581" s="1">
        <f>LOOKUP(E581,{0,0.4,1.2,2,2.8,3.6,4.4,5.7,7,8.3,9.6,10.9,12.2,13.5,14.8,16.1,17.4,19.1,20.8,22.5,24.2},{0,10,20,30,40,50,60,62,64,66,68,70,72,74,76,78,80,85,90,95,100})</f>
        <v>70</v>
      </c>
      <c r="G581" s="6">
        <v>152</v>
      </c>
      <c r="H581" s="1">
        <f>LOOKUP(G581,{0,123,128,133,138,143,148,151,154,157,160,163,166,169,172,175,178,185,192,198,204},{0,10,20,30,40,50,60,62,64,66,68,70,72,74,76,78,80,85,90,95,100})</f>
        <v>62</v>
      </c>
      <c r="I581" s="6">
        <v>34</v>
      </c>
      <c r="J581" s="1">
        <f>LOOKUP(I581,{0,13,15,17,19,21,23,25,27,29,31,33,35,37,39,41,43,46,49,51,53},{0,10,20,30,40,50,60,62,64,66,68,70,72,74,76,78,80,85,90,95,100})</f>
        <v>70</v>
      </c>
      <c r="K581" s="45"/>
      <c r="L581" s="45"/>
      <c r="M581" s="21">
        <f t="shared" ref="M581:M603" si="264">J581+L581</f>
        <v>70</v>
      </c>
      <c r="N581" s="6">
        <v>9.3</v>
      </c>
      <c r="O581" s="43">
        <f t="shared" ref="O581:O603" si="265">13-N581</f>
        <v>3.7</v>
      </c>
      <c r="P581" s="1">
        <f>LOOKUP(O581,{0,1.4,1.6,1.8,2,2.2,2.4,2.6,2.8,3,3.2,3.4,3.6,3.8,4,4.2,4.4,4.7,5,5.1,5.2},{0,10,20,30,40,50,60,62,64,66,68,70,72,74,76,78,80,85,90,95,100})</f>
        <v>72</v>
      </c>
      <c r="Q581" s="6">
        <v>4.2</v>
      </c>
      <c r="R581" s="6">
        <f t="shared" si="262"/>
        <v>5.8</v>
      </c>
      <c r="S581" s="1">
        <f>LOOKUP(R581,{0,4.7,4.8,4.9,5,5.5,5.6,5.65,5.7,5.75,5.8,5.85,5.9,5.95,6,6.45,6.5,6.57,6.64,6.7,6.76},{0,10,20,30,40,50,60,62,64,66,68,70,72,74,76,78,80,85,90,95,100})</f>
        <v>68</v>
      </c>
      <c r="T581" s="45"/>
      <c r="U581" s="45"/>
      <c r="V581" s="21">
        <f t="shared" si="263"/>
        <v>68</v>
      </c>
      <c r="X581" s="21">
        <f t="shared" si="259"/>
        <v>48.2</v>
      </c>
      <c r="Y581" s="37">
        <f t="shared" ref="Y581:Y603" si="266">X581/0.7+L581+U581</f>
        <v>68.8571428571429</v>
      </c>
    </row>
    <row r="582" ht="15.6" hidden="1" outlineLevel="2" spans="1:25">
      <c r="A582" s="6">
        <v>113</v>
      </c>
      <c r="B582" s="6">
        <v>28</v>
      </c>
      <c r="C582" s="29" t="s">
        <v>652</v>
      </c>
      <c r="D582" s="29" t="s">
        <v>46</v>
      </c>
      <c r="E582" s="6">
        <v>8</v>
      </c>
      <c r="F582" s="1">
        <f>LOOKUP(E582,{0,0.4,1.2,2,2.8,3.6,4.4,5.7,7,8.3,9.6,10.9,12.2,13.5,14.8,16.1,17.4,19.1,20.8,22.5,24.2},{0,10,20,30,40,50,60,62,64,66,68,70,72,74,76,78,80,85,90,95,100})</f>
        <v>64</v>
      </c>
      <c r="G582" s="6">
        <v>135</v>
      </c>
      <c r="H582" s="1">
        <f>LOOKUP(G582,{0,123,128,133,138,143,148,151,154,157,160,163,166,169,172,175,178,185,192,198,204},{0,10,20,30,40,50,60,62,64,66,68,70,72,74,76,78,80,85,90,95,100})</f>
        <v>30</v>
      </c>
      <c r="I582" s="6">
        <v>38</v>
      </c>
      <c r="J582" s="1">
        <f>LOOKUP(I582,{0,13,15,17,19,21,23,25,27,29,31,33,35,37,39,41,43,46,49,51,53},{0,10,20,30,40,50,60,62,64,66,68,70,72,74,76,78,80,85,90,95,100})</f>
        <v>74</v>
      </c>
      <c r="K582" s="45"/>
      <c r="L582" s="45"/>
      <c r="M582" s="21">
        <f t="shared" si="264"/>
        <v>74</v>
      </c>
      <c r="N582" s="6">
        <v>9.3</v>
      </c>
      <c r="O582" s="43">
        <f t="shared" si="265"/>
        <v>3.7</v>
      </c>
      <c r="P582" s="1">
        <f>LOOKUP(O582,{0,1.4,1.6,1.8,2,2.2,2.4,2.6,2.8,3,3.2,3.4,3.6,3.8,4,4.2,4.4,4.7,5,5.1,5.2},{0,10,20,30,40,50,60,62,64,66,68,70,72,74,76,78,80,85,90,95,100})</f>
        <v>72</v>
      </c>
      <c r="Q582" s="6">
        <v>4.05</v>
      </c>
      <c r="R582" s="6">
        <f t="shared" si="262"/>
        <v>5.95</v>
      </c>
      <c r="S582" s="1">
        <f>LOOKUP(R582,{0,4.7,4.8,4.9,5,5.5,5.6,5.65,5.7,5.75,5.8,5.85,5.9,5.95,6,6.45,6.5,6.57,6.64,6.7,6.76},{0,10,20,30,40,50,60,62,64,66,68,70,72,74,76,78,80,85,90,95,100})</f>
        <v>74</v>
      </c>
      <c r="T582" s="45"/>
      <c r="U582" s="45"/>
      <c r="V582" s="21">
        <f t="shared" si="263"/>
        <v>74</v>
      </c>
      <c r="X582" s="21">
        <f t="shared" si="259"/>
        <v>46</v>
      </c>
      <c r="Y582" s="37">
        <f t="shared" si="266"/>
        <v>65.7142857142857</v>
      </c>
    </row>
    <row r="583" ht="15.6" hidden="1" outlineLevel="2" spans="1:25">
      <c r="A583" s="6">
        <v>113</v>
      </c>
      <c r="B583" s="6">
        <v>29</v>
      </c>
      <c r="C583" s="29" t="s">
        <v>653</v>
      </c>
      <c r="D583" s="29" t="s">
        <v>46</v>
      </c>
      <c r="E583" s="6">
        <v>8.5</v>
      </c>
      <c r="F583" s="1">
        <f>LOOKUP(E583,{0,0.4,1.2,2,2.8,3.6,4.4,5.7,7,8.3,9.6,10.9,12.2,13.5,14.8,16.1,17.4,19.1,20.8,22.5,24.2},{0,10,20,30,40,50,60,62,64,66,68,70,72,74,76,78,80,85,90,95,100})</f>
        <v>66</v>
      </c>
      <c r="G583" s="6">
        <v>175</v>
      </c>
      <c r="H583" s="1">
        <f>LOOKUP(G583,{0,123,128,133,138,143,148,151,154,157,160,163,166,169,172,175,178,185,192,198,204},{0,10,20,30,40,50,60,62,64,66,68,70,72,74,76,78,80,85,90,95,100})</f>
        <v>78</v>
      </c>
      <c r="I583" s="6">
        <v>50</v>
      </c>
      <c r="J583" s="1">
        <f>LOOKUP(I583,{0,13,15,17,19,21,23,25,27,29,31,33,35,37,39,41,43,46,49,51,53},{0,10,20,30,40,50,60,62,64,66,68,70,72,74,76,78,80,85,90,95,100})</f>
        <v>90</v>
      </c>
      <c r="K583" s="45"/>
      <c r="L583" s="45"/>
      <c r="M583" s="21">
        <f t="shared" si="264"/>
        <v>90</v>
      </c>
      <c r="N583" s="6">
        <v>8.9</v>
      </c>
      <c r="O583" s="43">
        <f t="shared" si="265"/>
        <v>4.1</v>
      </c>
      <c r="P583" s="1">
        <f>LOOKUP(O583,{0,1.4,1.6,1.8,2,2.2,2.4,2.6,2.8,3,3.2,3.4,3.6,3.8,4,4.2,4.4,4.7,5,5.1,5.2},{0,10,20,30,40,50,60,62,64,66,68,70,72,74,76,78,80,85,90,95,100})</f>
        <v>76</v>
      </c>
      <c r="Q583" s="6">
        <v>3.5</v>
      </c>
      <c r="R583" s="6">
        <f t="shared" si="262"/>
        <v>6.5</v>
      </c>
      <c r="S583" s="1">
        <f>LOOKUP(R583,{0,4.7,4.8,4.9,5,5.5,5.6,5.65,5.7,5.75,5.8,5.85,5.9,5.95,6,6.45,6.5,6.57,6.64,6.7,6.76},{0,10,20,30,40,50,60,62,64,66,68,70,72,74,76,78,80,85,90,95,100})</f>
        <v>80</v>
      </c>
      <c r="T583" s="45"/>
      <c r="U583" s="45"/>
      <c r="V583" s="21">
        <f t="shared" si="263"/>
        <v>80</v>
      </c>
      <c r="X583" s="21">
        <f t="shared" si="259"/>
        <v>54.6</v>
      </c>
      <c r="Y583" s="37">
        <f t="shared" si="266"/>
        <v>78</v>
      </c>
    </row>
    <row r="584" ht="15.6" hidden="1" outlineLevel="2" spans="1:25">
      <c r="A584" s="6">
        <v>113</v>
      </c>
      <c r="B584" s="6">
        <v>30</v>
      </c>
      <c r="C584" s="29" t="s">
        <v>654</v>
      </c>
      <c r="D584" s="29" t="s">
        <v>46</v>
      </c>
      <c r="E584" s="6">
        <v>21</v>
      </c>
      <c r="F584" s="1">
        <f>LOOKUP(E584,{0,0.4,1.2,2,2.8,3.6,4.4,5.7,7,8.3,9.6,10.9,12.2,13.5,14.8,16.1,17.4,19.1,20.8,22.5,24.2},{0,10,20,30,40,50,60,62,64,66,68,70,72,74,76,78,80,85,90,95,100})</f>
        <v>90</v>
      </c>
      <c r="G584" s="6">
        <v>187</v>
      </c>
      <c r="H584" s="1">
        <f>LOOKUP(G584,{0,123,128,133,138,143,148,151,154,157,160,163,166,169,172,175,178,185,192,198,204},{0,10,20,30,40,50,60,62,64,66,68,70,72,74,76,78,80,85,90,95,100})</f>
        <v>85</v>
      </c>
      <c r="I584" s="6">
        <v>53</v>
      </c>
      <c r="J584" s="1">
        <f>LOOKUP(I584,{0,13,15,17,19,21,23,25,27,29,31,33,35,37,39,41,43,46,49,51,53},{0,10,20,30,40,50,60,62,64,66,68,70,72,74,76,78,80,85,90,95,100})</f>
        <v>100</v>
      </c>
      <c r="K584" s="45">
        <f>I584-53</f>
        <v>0</v>
      </c>
      <c r="L584" s="40">
        <f>LOOKUP(K584,{0,2,4,6,7,8,9,10,11,12,13},{0,1,2,3,4,5,6,7,8,9,10})</f>
        <v>0</v>
      </c>
      <c r="M584" s="21">
        <f t="shared" si="264"/>
        <v>100</v>
      </c>
      <c r="N584" s="6">
        <v>8.5</v>
      </c>
      <c r="O584" s="43">
        <f t="shared" si="265"/>
        <v>4.5</v>
      </c>
      <c r="P584" s="1">
        <f>LOOKUP(O584,{0,1.4,1.6,1.8,2,2.2,2.4,2.6,2.8,3,3.2,3.4,3.6,3.8,4,4.2,4.4,4.7,5,5.1,5.2},{0,10,20,30,40,50,60,62,64,66,68,70,72,74,76,78,80,85,90,95,100})</f>
        <v>80</v>
      </c>
      <c r="Q584" s="6">
        <v>3.36</v>
      </c>
      <c r="R584" s="6">
        <f t="shared" si="262"/>
        <v>6.64</v>
      </c>
      <c r="S584" s="1">
        <f>LOOKUP(R584,{0,4.7,4.8,4.9,5,5.5,5.6,5.65,5.7,5.75,5.8,5.85,5.9,5.95,6,6.45,6.5,6.57,6.64,6.7,6.76},{0,10,20,30,40,50,60,62,64,66,68,70,72,74,76,78,80,85,90,95,100})</f>
        <v>90</v>
      </c>
      <c r="T584" s="45"/>
      <c r="U584" s="45"/>
      <c r="V584" s="21">
        <f t="shared" si="263"/>
        <v>90</v>
      </c>
      <c r="X584" s="21">
        <f t="shared" si="259"/>
        <v>61.5</v>
      </c>
      <c r="Y584" s="37">
        <f t="shared" si="266"/>
        <v>87.8571428571429</v>
      </c>
    </row>
    <row r="585" ht="15.6" hidden="1" outlineLevel="2" spans="1:25">
      <c r="A585" s="6">
        <v>113</v>
      </c>
      <c r="B585" s="6">
        <v>31</v>
      </c>
      <c r="C585" s="29" t="s">
        <v>655</v>
      </c>
      <c r="D585" s="29" t="s">
        <v>46</v>
      </c>
      <c r="E585" s="6">
        <v>20</v>
      </c>
      <c r="F585" s="1">
        <f>LOOKUP(E585,{0,0.4,1.2,2,2.8,3.6,4.4,5.7,7,8.3,9.6,10.9,12.2,13.5,14.8,16.1,17.4,19.1,20.8,22.5,24.2},{0,10,20,30,40,50,60,62,64,66,68,70,72,74,76,78,80,85,90,95,100})</f>
        <v>85</v>
      </c>
      <c r="G585" s="6">
        <v>185</v>
      </c>
      <c r="H585" s="1">
        <f>LOOKUP(G585,{0,123,128,133,138,143,148,151,154,157,160,163,166,169,172,175,178,185,192,198,204},{0,10,20,30,40,50,60,62,64,66,68,70,72,74,76,78,80,85,90,95,100})</f>
        <v>85</v>
      </c>
      <c r="I585" s="6">
        <v>46</v>
      </c>
      <c r="J585" s="1">
        <f>LOOKUP(I585,{0,13,15,17,19,21,23,25,27,29,31,33,35,37,39,41,43,46,49,51,53},{0,10,20,30,40,50,60,62,64,66,68,70,72,74,76,78,80,85,90,95,100})</f>
        <v>85</v>
      </c>
      <c r="K585" s="45"/>
      <c r="L585" s="45"/>
      <c r="M585" s="21">
        <f t="shared" si="264"/>
        <v>85</v>
      </c>
      <c r="N585" s="6">
        <v>8.6</v>
      </c>
      <c r="O585" s="43">
        <f t="shared" si="265"/>
        <v>4.4</v>
      </c>
      <c r="P585" s="1">
        <f>LOOKUP(O585,{0,1.4,1.6,1.8,2,2.2,2.4,2.6,2.8,3,3.2,3.4,3.6,3.8,4,4.2,4.4,4.7,5,5.1,5.2},{0,10,20,30,40,50,60,62,64,66,68,70,72,74,76,78,80,85,90,95,100})</f>
        <v>80</v>
      </c>
      <c r="Q585" s="6">
        <v>3.58</v>
      </c>
      <c r="R585" s="6">
        <f t="shared" si="262"/>
        <v>6.42</v>
      </c>
      <c r="S585" s="1">
        <f>LOOKUP(R585,{0,4.7,4.8,4.9,5,5.5,5.6,5.65,5.7,5.75,5.8,5.85,5.9,5.95,6,6.45,6.5,6.57,6.64,6.7,6.76},{0,10,20,30,40,50,60,62,64,66,68,70,72,74,76,78,80,85,90,95,100})</f>
        <v>76</v>
      </c>
      <c r="T585" s="45"/>
      <c r="U585" s="45"/>
      <c r="V585" s="21">
        <f t="shared" si="263"/>
        <v>76</v>
      </c>
      <c r="X585" s="21">
        <f t="shared" si="259"/>
        <v>56.7</v>
      </c>
      <c r="Y585" s="37">
        <f t="shared" si="266"/>
        <v>81</v>
      </c>
    </row>
    <row r="586" ht="15.6" hidden="1" outlineLevel="2" spans="1:25">
      <c r="A586" s="6">
        <v>113</v>
      </c>
      <c r="B586" s="6">
        <v>32</v>
      </c>
      <c r="C586" s="29" t="s">
        <v>656</v>
      </c>
      <c r="D586" s="29" t="s">
        <v>46</v>
      </c>
      <c r="E586" s="6">
        <v>25.5</v>
      </c>
      <c r="F586" s="1">
        <f>LOOKUP(E586,{0,0.4,1.2,2,2.8,3.6,4.4,5.7,7,8.3,9.6,10.9,12.2,13.5,14.8,16.1,17.4,19.1,20.8,22.5,24.2},{0,10,20,30,40,50,60,62,64,66,68,70,72,74,76,78,80,85,90,95,100})</f>
        <v>100</v>
      </c>
      <c r="G586" s="6">
        <v>170</v>
      </c>
      <c r="H586" s="1">
        <f>LOOKUP(G586,{0,123,128,133,138,143,148,151,154,157,160,163,166,169,172,175,178,185,192,198,204},{0,10,20,30,40,50,60,62,64,66,68,70,72,74,76,78,80,85,90,95,100})</f>
        <v>74</v>
      </c>
      <c r="I586" s="6">
        <v>52</v>
      </c>
      <c r="J586" s="1">
        <f>LOOKUP(I586,{0,13,15,17,19,21,23,25,27,29,31,33,35,37,39,41,43,46,49,51,53},{0,10,20,30,40,50,60,62,64,66,68,70,72,74,76,78,80,85,90,95,100})</f>
        <v>95</v>
      </c>
      <c r="K586" s="45"/>
      <c r="L586" s="45"/>
      <c r="M586" s="21">
        <f t="shared" si="264"/>
        <v>95</v>
      </c>
      <c r="N586" s="6">
        <v>9.3</v>
      </c>
      <c r="O586" s="43">
        <f t="shared" si="265"/>
        <v>3.7</v>
      </c>
      <c r="P586" s="1">
        <f>LOOKUP(O586,{0,1.4,1.6,1.8,2,2.2,2.4,2.6,2.8,3,3.2,3.4,3.6,3.8,4,4.2,4.4,4.7,5,5.1,5.2},{0,10,20,30,40,50,60,62,64,66,68,70,72,74,76,78,80,85,90,95,100})</f>
        <v>72</v>
      </c>
      <c r="Q586" s="6">
        <v>3.52</v>
      </c>
      <c r="R586" s="6">
        <f t="shared" si="262"/>
        <v>6.48</v>
      </c>
      <c r="S586" s="1">
        <f>LOOKUP(R586,{0,4.7,4.8,4.9,5,5.5,5.6,5.65,5.7,5.75,5.8,5.85,5.9,5.95,6,6.45,6.5,6.57,6.64,6.7,6.76},{0,10,20,30,40,50,60,62,64,66,68,70,72,74,76,78,80,85,90,95,100})</f>
        <v>78</v>
      </c>
      <c r="T586" s="45"/>
      <c r="U586" s="45"/>
      <c r="V586" s="21">
        <f t="shared" si="263"/>
        <v>78</v>
      </c>
      <c r="X586" s="21">
        <f t="shared" si="259"/>
        <v>56.9</v>
      </c>
      <c r="Y586" s="37">
        <f t="shared" si="266"/>
        <v>81.2857142857143</v>
      </c>
    </row>
    <row r="587" ht="15.6" hidden="1" outlineLevel="2" spans="1:25">
      <c r="A587" s="6">
        <v>113</v>
      </c>
      <c r="B587" s="6">
        <v>33</v>
      </c>
      <c r="C587" s="29" t="s">
        <v>657</v>
      </c>
      <c r="D587" s="29" t="s">
        <v>46</v>
      </c>
      <c r="E587" s="6">
        <v>21</v>
      </c>
      <c r="F587" s="1">
        <f>LOOKUP(E587,{0,0.4,1.2,2,2.8,3.6,4.4,5.7,7,8.3,9.6,10.9,12.2,13.5,14.8,16.1,17.4,19.1,20.8,22.5,24.2},{0,10,20,30,40,50,60,62,64,66,68,70,72,74,76,78,80,85,90,95,100})</f>
        <v>90</v>
      </c>
      <c r="G587" s="6">
        <v>170</v>
      </c>
      <c r="H587" s="1">
        <f>LOOKUP(G587,{0,123,128,133,138,143,148,151,154,157,160,163,166,169,172,175,178,185,192,198,204},{0,10,20,30,40,50,60,62,64,66,68,70,72,74,76,78,80,85,90,95,100})</f>
        <v>74</v>
      </c>
      <c r="I587" s="6">
        <v>51</v>
      </c>
      <c r="J587" s="1">
        <f>LOOKUP(I587,{0,13,15,17,19,21,23,25,27,29,31,33,35,37,39,41,43,46,49,51,53},{0,10,20,30,40,50,60,62,64,66,68,70,72,74,76,78,80,85,90,95,100})</f>
        <v>95</v>
      </c>
      <c r="K587" s="45"/>
      <c r="L587" s="45"/>
      <c r="M587" s="21">
        <f t="shared" si="264"/>
        <v>95</v>
      </c>
      <c r="N587" s="6">
        <v>9</v>
      </c>
      <c r="O587" s="43">
        <f t="shared" si="265"/>
        <v>4</v>
      </c>
      <c r="P587" s="1">
        <f>LOOKUP(O587,{0,1.4,1.6,1.8,2,2.2,2.4,2.6,2.8,3,3.2,3.4,3.6,3.8,4,4.2,4.4,4.7,5,5.1,5.2},{0,10,20,30,40,50,60,62,64,66,68,70,72,74,76,78,80,85,90,95,100})</f>
        <v>76</v>
      </c>
      <c r="Q587" s="6">
        <v>3.46</v>
      </c>
      <c r="R587" s="6">
        <f t="shared" si="262"/>
        <v>6.54</v>
      </c>
      <c r="S587" s="1">
        <f>LOOKUP(R587,{0,4.7,4.8,4.9,5,5.5,5.6,5.65,5.7,5.75,5.8,5.85,5.9,5.95,6,6.45,6.5,6.57,6.64,6.7,6.76},{0,10,20,30,40,50,60,62,64,66,68,70,72,74,76,78,80,85,90,95,100})</f>
        <v>80</v>
      </c>
      <c r="T587" s="45"/>
      <c r="U587" s="45"/>
      <c r="V587" s="21">
        <f t="shared" si="263"/>
        <v>80</v>
      </c>
      <c r="X587" s="21">
        <f t="shared" si="259"/>
        <v>57.1</v>
      </c>
      <c r="Y587" s="37">
        <f t="shared" si="266"/>
        <v>81.5714285714286</v>
      </c>
    </row>
    <row r="588" ht="15.6" hidden="1" outlineLevel="2" spans="1:25">
      <c r="A588" s="6">
        <v>113</v>
      </c>
      <c r="B588" s="6">
        <v>34</v>
      </c>
      <c r="C588" s="29" t="s">
        <v>658</v>
      </c>
      <c r="D588" s="29" t="s">
        <v>46</v>
      </c>
      <c r="E588" s="6">
        <v>16</v>
      </c>
      <c r="F588" s="1">
        <f>LOOKUP(E588,{0,0.4,1.2,2,2.8,3.6,4.4,5.7,7,8.3,9.6,10.9,12.2,13.5,14.8,16.1,17.4,19.1,20.8,22.5,24.2},{0,10,20,30,40,50,60,62,64,66,68,70,72,74,76,78,80,85,90,95,100})</f>
        <v>76</v>
      </c>
      <c r="G588" s="6">
        <v>190</v>
      </c>
      <c r="H588" s="1">
        <f>LOOKUP(G588,{0,123,128,133,138,143,148,151,154,157,160,163,166,169,172,175,178,185,192,198,204},{0,10,20,30,40,50,60,62,64,66,68,70,72,74,76,78,80,85,90,95,100})</f>
        <v>85</v>
      </c>
      <c r="I588" s="6">
        <v>52</v>
      </c>
      <c r="J588" s="1">
        <f>LOOKUP(I588,{0,13,15,17,19,21,23,25,27,29,31,33,35,37,39,41,43,46,49,51,53},{0,10,20,30,40,50,60,62,64,66,68,70,72,74,76,78,80,85,90,95,100})</f>
        <v>95</v>
      </c>
      <c r="K588" s="45"/>
      <c r="L588" s="45"/>
      <c r="M588" s="21">
        <f t="shared" si="264"/>
        <v>95</v>
      </c>
      <c r="N588" s="6">
        <v>8.2</v>
      </c>
      <c r="O588" s="43">
        <f t="shared" si="265"/>
        <v>4.8</v>
      </c>
      <c r="P588" s="1">
        <f>LOOKUP(O588,{0,1.4,1.6,1.8,2,2.2,2.4,2.6,2.8,3,3.2,3.4,3.6,3.8,4,4.2,4.4,4.7,5,5.1,5.2},{0,10,20,30,40,50,60,62,64,66,68,70,72,74,76,78,80,85,90,95,100})</f>
        <v>85</v>
      </c>
      <c r="Q588" s="6">
        <v>3.55</v>
      </c>
      <c r="R588" s="6">
        <f t="shared" si="262"/>
        <v>6.45</v>
      </c>
      <c r="S588" s="1">
        <f>LOOKUP(R588,{0,4.7,4.8,4.9,5,5.5,5.6,5.65,5.7,5.75,5.8,5.85,5.9,5.95,6,6.45,6.5,6.57,6.64,6.7,6.76},{0,10,20,30,40,50,60,62,64,66,68,70,72,74,76,78,80,85,90,95,100})</f>
        <v>78</v>
      </c>
      <c r="T588" s="45"/>
      <c r="U588" s="45"/>
      <c r="V588" s="21">
        <f t="shared" si="263"/>
        <v>78</v>
      </c>
      <c r="X588" s="21">
        <f t="shared" si="259"/>
        <v>58.2</v>
      </c>
      <c r="Y588" s="37">
        <f t="shared" si="266"/>
        <v>83.1428571428572</v>
      </c>
    </row>
    <row r="589" s="3" customFormat="1" ht="15.6" hidden="1" outlineLevel="2" spans="1:25">
      <c r="A589" s="6">
        <v>113</v>
      </c>
      <c r="B589" s="6">
        <v>35</v>
      </c>
      <c r="C589" s="29" t="s">
        <v>659</v>
      </c>
      <c r="D589" s="29" t="s">
        <v>46</v>
      </c>
      <c r="E589" s="6">
        <v>19.5</v>
      </c>
      <c r="F589" s="1">
        <f>LOOKUP(E589,{0,0.4,1.2,2,2.8,3.6,4.4,5.7,7,8.3,9.6,10.9,12.2,13.5,14.8,16.1,17.4,19.1,20.8,22.5,24.2},{0,10,20,30,40,50,60,62,64,66,68,70,72,74,76,78,80,85,90,95,100})</f>
        <v>85</v>
      </c>
      <c r="G589" s="6">
        <v>200</v>
      </c>
      <c r="H589" s="1">
        <f>LOOKUP(G589,{0,123,128,133,138,143,148,151,154,157,160,163,166,169,172,175,178,185,192,198,204},{0,10,20,30,40,50,60,62,64,66,68,70,72,74,76,78,80,85,90,95,100})</f>
        <v>95</v>
      </c>
      <c r="I589" s="6">
        <v>49</v>
      </c>
      <c r="J589" s="1">
        <f>LOOKUP(I589,{0,13,15,17,19,21,23,25,27,29,31,33,35,37,39,41,43,46,49,51,53},{0,10,20,30,40,50,60,62,64,66,68,70,72,74,76,78,80,85,90,95,100})</f>
        <v>90</v>
      </c>
      <c r="K589" s="45"/>
      <c r="L589" s="45"/>
      <c r="M589" s="21">
        <f t="shared" si="264"/>
        <v>90</v>
      </c>
      <c r="N589" s="6">
        <v>8.7</v>
      </c>
      <c r="O589" s="43">
        <f t="shared" si="265"/>
        <v>4.3</v>
      </c>
      <c r="P589" s="1">
        <f>LOOKUP(O589,{0,1.4,1.6,1.8,2,2.2,2.4,2.6,2.8,3,3.2,3.4,3.6,3.8,4,4.2,4.4,4.7,5,5.1,5.2},{0,10,20,30,40,50,60,62,64,66,68,70,72,74,76,78,80,85,90,95,100})</f>
        <v>78</v>
      </c>
      <c r="Q589" s="6">
        <v>3.38</v>
      </c>
      <c r="R589" s="6">
        <f t="shared" si="262"/>
        <v>6.62</v>
      </c>
      <c r="S589" s="1">
        <f>LOOKUP(R589,{0,4.7,4.8,4.9,5,5.5,5.6,5.65,5.7,5.75,5.8,5.85,5.9,5.95,6,6.45,6.5,6.57,6.64,6.7,6.76},{0,10,20,30,40,50,60,62,64,66,68,70,72,74,76,78,80,85,90,95,100})</f>
        <v>85</v>
      </c>
      <c r="T589" s="45"/>
      <c r="U589" s="45"/>
      <c r="V589" s="21">
        <f t="shared" si="263"/>
        <v>85</v>
      </c>
      <c r="W589" s="6"/>
      <c r="X589" s="21">
        <f t="shared" si="259"/>
        <v>59.6</v>
      </c>
      <c r="Y589" s="37">
        <f t="shared" si="266"/>
        <v>85.1428571428572</v>
      </c>
    </row>
    <row r="590" ht="15.6" hidden="1" outlineLevel="2" spans="1:25">
      <c r="A590" s="6">
        <v>113</v>
      </c>
      <c r="B590" s="6">
        <v>36</v>
      </c>
      <c r="C590" s="29" t="s">
        <v>660</v>
      </c>
      <c r="D590" s="29" t="s">
        <v>46</v>
      </c>
      <c r="E590" s="6">
        <v>12.5</v>
      </c>
      <c r="F590" s="1">
        <f>LOOKUP(E590,{0,0.4,1.2,2,2.8,3.6,4.4,5.7,7,8.3,9.6,10.9,12.2,13.5,14.8,16.1,17.4,19.1,20.8,22.5,24.2},{0,10,20,30,40,50,60,62,64,66,68,70,72,74,76,78,80,85,90,95,100})</f>
        <v>72</v>
      </c>
      <c r="G590" s="6">
        <v>130</v>
      </c>
      <c r="H590" s="1">
        <f>LOOKUP(G590,{0,123,128,133,138,143,148,151,154,157,160,163,166,169,172,175,178,185,192,198,204},{0,10,20,30,40,50,60,62,64,66,68,70,72,74,76,78,80,85,90,95,100})</f>
        <v>20</v>
      </c>
      <c r="I590" s="6">
        <v>51</v>
      </c>
      <c r="J590" s="1">
        <f>LOOKUP(I590,{0,13,15,17,19,21,23,25,27,29,31,33,35,37,39,41,43,46,49,51,53},{0,10,20,30,40,50,60,62,64,66,68,70,72,74,76,78,80,85,90,95,100})</f>
        <v>95</v>
      </c>
      <c r="K590" s="45"/>
      <c r="L590" s="45"/>
      <c r="M590" s="21">
        <f t="shared" si="264"/>
        <v>95</v>
      </c>
      <c r="N590" s="6">
        <v>10.4</v>
      </c>
      <c r="O590" s="43">
        <f t="shared" si="265"/>
        <v>2.6</v>
      </c>
      <c r="P590" s="1">
        <f>LOOKUP(O590,{0,1.4,1.6,1.8,2,2.2,2.4,2.6,2.8,3,3.2,3.4,3.6,3.8,4,4.2,4.4,4.7,5,5.1,5.2},{0,10,20,30,40,50,60,62,64,66,68,70,72,74,76,78,80,85,90,95,100})</f>
        <v>62</v>
      </c>
      <c r="Q590" s="6">
        <v>3.5</v>
      </c>
      <c r="R590" s="6">
        <f t="shared" si="262"/>
        <v>6.5</v>
      </c>
      <c r="S590" s="1">
        <f>LOOKUP(R590,{0,4.7,4.8,4.9,5,5.5,5.6,5.65,5.7,5.75,5.8,5.85,5.9,5.95,6,6.45,6.5,6.57,6.64,6.7,6.76},{0,10,20,30,40,50,60,62,64,66,68,70,72,74,76,78,80,85,90,95,100})</f>
        <v>80</v>
      </c>
      <c r="T590" s="45"/>
      <c r="U590" s="45"/>
      <c r="V590" s="21">
        <f t="shared" si="263"/>
        <v>80</v>
      </c>
      <c r="X590" s="21">
        <f t="shared" si="259"/>
        <v>47.1</v>
      </c>
      <c r="Y590" s="37">
        <f t="shared" si="266"/>
        <v>67.2857142857143</v>
      </c>
    </row>
    <row r="591" ht="15.6" hidden="1" outlineLevel="2" spans="1:25">
      <c r="A591" s="6">
        <v>113</v>
      </c>
      <c r="B591" s="6">
        <v>37</v>
      </c>
      <c r="C591" s="29" t="s">
        <v>661</v>
      </c>
      <c r="D591" s="29" t="s">
        <v>46</v>
      </c>
      <c r="E591" s="6">
        <v>20</v>
      </c>
      <c r="F591" s="1">
        <f>LOOKUP(E591,{0,0.4,1.2,2,2.8,3.6,4.4,5.7,7,8.3,9.6,10.9,12.2,13.5,14.8,16.1,17.4,19.1,20.8,22.5,24.2},{0,10,20,30,40,50,60,62,64,66,68,70,72,74,76,78,80,85,90,95,100})</f>
        <v>85</v>
      </c>
      <c r="G591" s="6">
        <v>180</v>
      </c>
      <c r="H591" s="1">
        <f>LOOKUP(G591,{0,123,128,133,138,143,148,151,154,157,160,163,166,169,172,175,178,185,192,198,204},{0,10,20,30,40,50,60,62,64,66,68,70,72,74,76,78,80,85,90,95,100})</f>
        <v>80</v>
      </c>
      <c r="I591" s="6">
        <v>50</v>
      </c>
      <c r="J591" s="1">
        <f>LOOKUP(I591,{0,13,15,17,19,21,23,25,27,29,31,33,35,37,39,41,43,46,49,51,53},{0,10,20,30,40,50,60,62,64,66,68,70,72,74,76,78,80,85,90,95,100})</f>
        <v>90</v>
      </c>
      <c r="K591" s="45"/>
      <c r="L591" s="45"/>
      <c r="M591" s="21">
        <f t="shared" si="264"/>
        <v>90</v>
      </c>
      <c r="N591" s="6">
        <v>9.1</v>
      </c>
      <c r="O591" s="43">
        <f t="shared" si="265"/>
        <v>3.9</v>
      </c>
      <c r="P591" s="1">
        <f>LOOKUP(O591,{0,1.4,1.6,1.8,2,2.2,2.4,2.6,2.8,3,3.2,3.4,3.6,3.8,4,4.2,4.4,4.7,5,5.1,5.2},{0,10,20,30,40,50,60,62,64,66,68,70,72,74,76,78,80,85,90,95,100})</f>
        <v>74</v>
      </c>
      <c r="Q591" s="6">
        <v>3.43</v>
      </c>
      <c r="R591" s="6">
        <f t="shared" si="262"/>
        <v>6.57</v>
      </c>
      <c r="S591" s="1">
        <f>LOOKUP(R591,{0,4.7,4.8,4.9,5,5.5,5.6,5.65,5.7,5.75,5.8,5.85,5.9,5.95,6,6.45,6.5,6.57,6.64,6.7,6.76},{0,10,20,30,40,50,60,62,64,66,68,70,72,74,76,78,80,85,90,95,100})</f>
        <v>85</v>
      </c>
      <c r="T591" s="45"/>
      <c r="U591" s="45"/>
      <c r="V591" s="21">
        <f t="shared" si="263"/>
        <v>85</v>
      </c>
      <c r="X591" s="21">
        <f t="shared" si="259"/>
        <v>57.3</v>
      </c>
      <c r="Y591" s="37">
        <f t="shared" si="266"/>
        <v>81.8571428571429</v>
      </c>
    </row>
    <row r="592" ht="15.6" hidden="1" outlineLevel="2" spans="1:25">
      <c r="A592" s="6">
        <v>113</v>
      </c>
      <c r="B592" s="6">
        <v>38</v>
      </c>
      <c r="C592" s="29" t="s">
        <v>662</v>
      </c>
      <c r="D592" s="29" t="s">
        <v>46</v>
      </c>
      <c r="E592" s="6">
        <v>17.5</v>
      </c>
      <c r="F592" s="1">
        <f>LOOKUP(E592,{0,0.4,1.2,2,2.8,3.6,4.4,5.7,7,8.3,9.6,10.9,12.2,13.5,14.8,16.1,17.4,19.1,20.8,22.5,24.2},{0,10,20,30,40,50,60,62,64,66,68,70,72,74,76,78,80,85,90,95,100})</f>
        <v>80</v>
      </c>
      <c r="G592" s="6">
        <v>185</v>
      </c>
      <c r="H592" s="1">
        <f>LOOKUP(G592,{0,123,128,133,138,143,148,151,154,157,160,163,166,169,172,175,178,185,192,198,204},{0,10,20,30,40,50,60,62,64,66,68,70,72,74,76,78,80,85,90,95,100})</f>
        <v>85</v>
      </c>
      <c r="I592" s="6">
        <v>55</v>
      </c>
      <c r="J592" s="1">
        <f>LOOKUP(I592,{0,13,15,17,19,21,23,25,27,29,31,33,35,37,39,41,43,46,49,51,53},{0,10,20,30,40,50,60,62,64,66,68,70,72,74,76,78,80,85,90,95,100})</f>
        <v>100</v>
      </c>
      <c r="K592" s="45">
        <f t="shared" ref="K592:K597" si="267">I592-53</f>
        <v>2</v>
      </c>
      <c r="L592" s="40">
        <f>LOOKUP(K592,{0,2,4,6,7,8,9,10,11,12,13},{0,1,2,3,4,5,6,7,8,9,10})</f>
        <v>1</v>
      </c>
      <c r="M592" s="21">
        <f t="shared" si="264"/>
        <v>101</v>
      </c>
      <c r="N592" s="6">
        <v>8</v>
      </c>
      <c r="O592" s="43">
        <f t="shared" si="265"/>
        <v>5</v>
      </c>
      <c r="P592" s="1">
        <f>LOOKUP(O592,{0,1.4,1.6,1.8,2,2.2,2.4,2.6,2.8,3,3.2,3.4,3.6,3.8,4,4.2,4.4,4.7,5,5.1,5.2},{0,10,20,30,40,50,60,62,64,66,68,70,72,74,76,78,80,85,90,95,100})</f>
        <v>90</v>
      </c>
      <c r="Q592" s="6">
        <v>3.55</v>
      </c>
      <c r="R592" s="6">
        <f t="shared" si="262"/>
        <v>6.45</v>
      </c>
      <c r="S592" s="1">
        <f>LOOKUP(R592,{0,4.7,4.8,4.9,5,5.5,5.6,5.65,5.7,5.75,5.8,5.85,5.9,5.95,6,6.45,6.5,6.57,6.64,6.7,6.76},{0,10,20,30,40,50,60,62,64,66,68,70,72,74,76,78,80,85,90,95,100})</f>
        <v>78</v>
      </c>
      <c r="T592" s="45"/>
      <c r="U592" s="45"/>
      <c r="V592" s="21">
        <f t="shared" si="263"/>
        <v>78</v>
      </c>
      <c r="X592" s="21">
        <f t="shared" si="259"/>
        <v>60.1</v>
      </c>
      <c r="Y592" s="37">
        <f t="shared" si="266"/>
        <v>86.8571428571429</v>
      </c>
    </row>
    <row r="593" ht="15.6" hidden="1" outlineLevel="2" spans="1:25">
      <c r="A593" s="6">
        <v>113</v>
      </c>
      <c r="B593" s="6">
        <v>39</v>
      </c>
      <c r="C593" s="39" t="s">
        <v>664</v>
      </c>
      <c r="D593" s="29" t="s">
        <v>46</v>
      </c>
      <c r="E593" s="6">
        <v>21.8</v>
      </c>
      <c r="F593" s="1">
        <f>LOOKUP(E593,{0,0.4,1.2,2,2.8,3.6,4.4,5.7,7,8.3,9.6,10.9,12.2,13.5,14.8,16.1,17.4,19.1,20.8,22.5,24.2},{0,10,20,30,40,50,60,62,64,66,68,70,72,74,76,78,80,85,90,95,100})</f>
        <v>90</v>
      </c>
      <c r="G593" s="6">
        <v>166</v>
      </c>
      <c r="H593" s="1">
        <f>LOOKUP(G593,{0,123,128,133,138,143,148,151,154,157,160,163,166,169,172,175,178,185,192,198,204},{0,10,20,30,40,50,60,62,64,66,68,70,72,74,76,78,80,85,90,95,100})</f>
        <v>72</v>
      </c>
      <c r="I593" s="6">
        <v>33</v>
      </c>
      <c r="J593" s="1">
        <f>LOOKUP(I593,{0,13,15,17,19,21,23,25,27,29,31,33,35,37,39,41,43,46,49,51,53},{0,10,20,30,40,50,60,62,64,66,68,70,72,74,76,78,80,85,90,95,100})</f>
        <v>70</v>
      </c>
      <c r="K593" s="45"/>
      <c r="L593" s="45"/>
      <c r="M593" s="21">
        <f t="shared" si="264"/>
        <v>70</v>
      </c>
      <c r="N593" s="6">
        <v>9.5</v>
      </c>
      <c r="O593" s="43">
        <f t="shared" si="265"/>
        <v>3.5</v>
      </c>
      <c r="P593" s="1">
        <f>LOOKUP(O593,{0,1.4,1.6,1.8,2,2.2,2.4,2.6,2.8,3,3.2,3.4,3.6,3.8,4,4.2,4.4,4.7,5,5.1,5.2},{0,10,20,30,40,50,60,62,64,66,68,70,72,74,76,78,80,85,90,95,100})</f>
        <v>70</v>
      </c>
      <c r="Q593" s="6">
        <v>4.09</v>
      </c>
      <c r="R593" s="6">
        <f t="shared" si="262"/>
        <v>5.91</v>
      </c>
      <c r="S593" s="1">
        <f>LOOKUP(R593,{0,4.7,4.8,4.9,5,5.5,5.6,5.65,5.7,5.75,5.8,5.85,5.9,5.95,6,6.45,6.5,6.57,6.64,6.7,6.76},{0,10,20,30,40,50,60,62,64,66,68,70,72,74,76,78,80,85,90,95,100})</f>
        <v>72</v>
      </c>
      <c r="T593" s="45"/>
      <c r="U593" s="45"/>
      <c r="V593" s="21">
        <f t="shared" si="263"/>
        <v>72</v>
      </c>
      <c r="X593" s="21">
        <f t="shared" si="259"/>
        <v>51.6</v>
      </c>
      <c r="Y593" s="37">
        <f t="shared" si="266"/>
        <v>73.7142857142857</v>
      </c>
    </row>
    <row r="594" ht="15.6" hidden="1" outlineLevel="2" spans="1:25">
      <c r="A594" s="6">
        <v>113</v>
      </c>
      <c r="B594" s="6">
        <v>40</v>
      </c>
      <c r="C594" s="29" t="s">
        <v>665</v>
      </c>
      <c r="D594" s="29" t="s">
        <v>46</v>
      </c>
      <c r="E594" s="6">
        <v>10</v>
      </c>
      <c r="F594" s="1">
        <f>LOOKUP(E594,{0,0.4,1.2,2,2.8,3.6,4.4,5.7,7,8.3,9.6,10.9,12.2,13.5,14.8,16.1,17.4,19.1,20.8,22.5,24.2},{0,10,20,30,40,50,60,62,64,66,68,70,72,74,76,78,80,85,90,95,100})</f>
        <v>68</v>
      </c>
      <c r="G594" s="6">
        <v>187</v>
      </c>
      <c r="H594" s="1">
        <f>LOOKUP(G594,{0,123,128,133,138,143,148,151,154,157,160,163,166,169,172,175,178,185,192,198,204},{0,10,20,30,40,50,60,62,64,66,68,70,72,74,76,78,80,85,90,95,100})</f>
        <v>85</v>
      </c>
      <c r="I594" s="6">
        <v>46</v>
      </c>
      <c r="J594" s="1">
        <f>LOOKUP(I594,{0,13,15,17,19,21,23,25,27,29,31,33,35,37,39,41,43,46,49,51,53},{0,10,20,30,40,50,60,62,64,66,68,70,72,74,76,78,80,85,90,95,100})</f>
        <v>85</v>
      </c>
      <c r="K594" s="45"/>
      <c r="L594" s="45"/>
      <c r="M594" s="21">
        <f t="shared" si="264"/>
        <v>85</v>
      </c>
      <c r="N594" s="6">
        <v>8.2</v>
      </c>
      <c r="O594" s="43">
        <f t="shared" si="265"/>
        <v>4.8</v>
      </c>
      <c r="P594" s="1">
        <f>LOOKUP(O594,{0,1.4,1.6,1.8,2,2.2,2.4,2.6,2.8,3,3.2,3.4,3.6,3.8,4,4.2,4.4,4.7,5,5.1,5.2},{0,10,20,30,40,50,60,62,64,66,68,70,72,74,76,78,80,85,90,95,100})</f>
        <v>85</v>
      </c>
      <c r="Q594" s="6">
        <v>3.56</v>
      </c>
      <c r="R594" s="6">
        <f t="shared" si="262"/>
        <v>6.44</v>
      </c>
      <c r="S594" s="1">
        <f>LOOKUP(R594,{0,4.7,4.8,4.9,5,5.5,5.6,5.65,5.7,5.75,5.8,5.85,5.9,5.95,6,6.45,6.5,6.57,6.64,6.7,6.76},{0,10,20,30,40,50,60,62,64,66,68,70,72,74,76,78,80,85,90,95,100})</f>
        <v>76</v>
      </c>
      <c r="T594" s="45"/>
      <c r="U594" s="45"/>
      <c r="V594" s="21">
        <f t="shared" si="263"/>
        <v>76</v>
      </c>
      <c r="X594" s="21">
        <f t="shared" si="259"/>
        <v>56</v>
      </c>
      <c r="Y594" s="37">
        <f t="shared" si="266"/>
        <v>80</v>
      </c>
    </row>
    <row r="595" ht="15.6" hidden="1" outlineLevel="2" spans="1:25">
      <c r="A595" s="6">
        <v>113</v>
      </c>
      <c r="B595" s="6">
        <v>41</v>
      </c>
      <c r="C595" s="29" t="s">
        <v>666</v>
      </c>
      <c r="D595" s="29" t="s">
        <v>46</v>
      </c>
      <c r="E595" s="6">
        <v>12.2</v>
      </c>
      <c r="F595" s="1">
        <f>LOOKUP(E595,{0,0.4,1.2,2,2.8,3.6,4.4,5.7,7,8.3,9.6,10.9,12.2,13.5,14.8,16.1,17.4,19.1,20.8,22.5,24.2},{0,10,20,30,40,50,60,62,64,66,68,70,72,74,76,78,80,85,90,95,100})</f>
        <v>72</v>
      </c>
      <c r="G595" s="6">
        <v>215</v>
      </c>
      <c r="H595" s="1">
        <f>LOOKUP(G595,{0,123,128,133,138,143,148,151,154,157,160,163,166,169,172,175,178,185,192,198,204},{0,10,20,30,40,50,60,62,64,66,68,70,72,74,76,78,80,85,90,95,100})</f>
        <v>100</v>
      </c>
      <c r="I595" s="6">
        <v>60</v>
      </c>
      <c r="J595" s="1">
        <f>LOOKUP(I595,{0,13,15,17,19,21,23,25,27,29,31,33,35,37,39,41,43,46,49,51,53},{0,10,20,30,40,50,60,62,64,66,68,70,72,74,76,78,80,85,90,95,100})</f>
        <v>100</v>
      </c>
      <c r="K595" s="45">
        <f t="shared" si="267"/>
        <v>7</v>
      </c>
      <c r="L595" s="40">
        <f>LOOKUP(K595,{0,2,4,6,7,8,9,10,11,12,13},{0,1,2,3,4,5,6,7,8,9,10})</f>
        <v>4</v>
      </c>
      <c r="M595" s="21">
        <f t="shared" si="264"/>
        <v>104</v>
      </c>
      <c r="N595" s="6">
        <v>7.7</v>
      </c>
      <c r="O595" s="43">
        <f t="shared" si="265"/>
        <v>5.3</v>
      </c>
      <c r="P595" s="1">
        <f>LOOKUP(O595,{0,1.4,1.6,1.8,2,2.2,2.4,2.6,2.8,3,3.2,3.4,3.6,3.8,4,4.2,4.4,4.7,5,5.1,5.2},{0,10,20,30,40,50,60,62,64,66,68,70,72,74,76,78,80,85,90,95,100})</f>
        <v>100</v>
      </c>
      <c r="Q595" s="6">
        <v>3.06</v>
      </c>
      <c r="R595" s="6">
        <f t="shared" si="262"/>
        <v>6.94</v>
      </c>
      <c r="S595" s="1">
        <f>LOOKUP(R595,{0,4.7,4.8,4.9,5,5.5,5.6,5.65,5.7,5.75,5.8,5.85,5.9,5.95,6,6.45,6.5,6.57,6.64,6.7,6.76},{0,10,20,30,40,50,60,62,64,66,68,70,72,74,76,78,80,85,90,95,100})</f>
        <v>100</v>
      </c>
      <c r="T595" s="48">
        <f>3.24-Q595</f>
        <v>0.18</v>
      </c>
      <c r="U595" s="40">
        <f>LOOKUP(T595,{0,0.05,0.1,0.15,0.2,0.25,0.3,0.35,0.4,0.45,0.5},{0,1,2,3,4,5,6,7,8,9,10})</f>
        <v>3</v>
      </c>
      <c r="V595" s="21">
        <f t="shared" si="263"/>
        <v>103</v>
      </c>
      <c r="X595" s="21">
        <f t="shared" si="259"/>
        <v>67.2</v>
      </c>
      <c r="Y595" s="37">
        <f t="shared" si="266"/>
        <v>103</v>
      </c>
    </row>
    <row r="596" ht="15.6" hidden="1" outlineLevel="2" spans="1:25">
      <c r="A596" s="6">
        <v>113</v>
      </c>
      <c r="B596" s="6">
        <v>42</v>
      </c>
      <c r="C596" s="29" t="s">
        <v>667</v>
      </c>
      <c r="D596" s="29" t="s">
        <v>46</v>
      </c>
      <c r="E596" s="6">
        <v>13.5</v>
      </c>
      <c r="F596" s="1">
        <f>LOOKUP(E596,{0,0.4,1.2,2,2.8,3.6,4.4,5.7,7,8.3,9.6,10.9,12.2,13.5,14.8,16.1,17.4,19.1,20.8,22.5,24.2},{0,10,20,30,40,50,60,62,64,66,68,70,72,74,76,78,80,85,90,95,100})</f>
        <v>74</v>
      </c>
      <c r="G596" s="6">
        <v>168</v>
      </c>
      <c r="H596" s="1">
        <f>LOOKUP(G596,{0,123,128,133,138,143,148,151,154,157,160,163,166,169,172,175,178,185,192,198,204},{0,10,20,30,40,50,60,62,64,66,68,70,72,74,76,78,80,85,90,95,100})</f>
        <v>72</v>
      </c>
      <c r="I596" s="6">
        <v>47</v>
      </c>
      <c r="J596" s="1">
        <f>LOOKUP(I596,{0,13,15,17,19,21,23,25,27,29,31,33,35,37,39,41,43,46,49,51,53},{0,10,20,30,40,50,60,62,64,66,68,70,72,74,76,78,80,85,90,95,100})</f>
        <v>85</v>
      </c>
      <c r="K596" s="45"/>
      <c r="L596" s="45"/>
      <c r="M596" s="21">
        <f t="shared" si="264"/>
        <v>85</v>
      </c>
      <c r="N596" s="6">
        <v>9.1</v>
      </c>
      <c r="O596" s="43">
        <f t="shared" si="265"/>
        <v>3.9</v>
      </c>
      <c r="P596" s="1">
        <f>LOOKUP(O596,{0,1.4,1.6,1.8,2,2.2,2.4,2.6,2.8,3,3.2,3.4,3.6,3.8,4,4.2,4.4,4.7,5,5.1,5.2},{0,10,20,30,40,50,60,62,64,66,68,70,72,74,76,78,80,85,90,95,100})</f>
        <v>74</v>
      </c>
      <c r="Q596" s="6">
        <v>3.52</v>
      </c>
      <c r="R596" s="6">
        <f t="shared" si="262"/>
        <v>6.48</v>
      </c>
      <c r="S596" s="1">
        <f>LOOKUP(R596,{0,4.7,4.8,4.9,5,5.5,5.6,5.65,5.7,5.75,5.8,5.85,5.9,5.95,6,6.45,6.5,6.57,6.64,6.7,6.76},{0,10,20,30,40,50,60,62,64,66,68,70,72,74,76,78,80,85,90,95,100})</f>
        <v>78</v>
      </c>
      <c r="T596" s="45"/>
      <c r="U596" s="45"/>
      <c r="V596" s="21">
        <f t="shared" si="263"/>
        <v>78</v>
      </c>
      <c r="X596" s="21">
        <f t="shared" si="259"/>
        <v>53.5</v>
      </c>
      <c r="Y596" s="37">
        <f t="shared" si="266"/>
        <v>76.4285714285714</v>
      </c>
    </row>
    <row r="597" ht="15.6" hidden="1" outlineLevel="2" spans="1:25">
      <c r="A597" s="6">
        <v>113</v>
      </c>
      <c r="B597" s="6">
        <v>43</v>
      </c>
      <c r="C597" s="29" t="s">
        <v>668</v>
      </c>
      <c r="D597" s="29" t="s">
        <v>46</v>
      </c>
      <c r="E597" s="6">
        <v>21.5</v>
      </c>
      <c r="F597" s="1">
        <f>LOOKUP(E597,{0,0.4,1.2,2,2.8,3.6,4.4,5.7,7,8.3,9.6,10.9,12.2,13.5,14.8,16.1,17.4,19.1,20.8,22.5,24.2},{0,10,20,30,40,50,60,62,64,66,68,70,72,74,76,78,80,85,90,95,100})</f>
        <v>90</v>
      </c>
      <c r="G597" s="6">
        <v>168</v>
      </c>
      <c r="H597" s="1">
        <f>LOOKUP(G597,{0,123,128,133,138,143,148,151,154,157,160,163,166,169,172,175,178,185,192,198,204},{0,10,20,30,40,50,60,62,64,66,68,70,72,74,76,78,80,85,90,95,100})</f>
        <v>72</v>
      </c>
      <c r="I597" s="6">
        <v>53</v>
      </c>
      <c r="J597" s="1">
        <f>LOOKUP(I597,{0,13,15,17,19,21,23,25,27,29,31,33,35,37,39,41,43,46,49,51,53},{0,10,20,30,40,50,60,62,64,66,68,70,72,74,76,78,80,85,90,95,100})</f>
        <v>100</v>
      </c>
      <c r="K597" s="45">
        <f t="shared" si="267"/>
        <v>0</v>
      </c>
      <c r="L597" s="40">
        <f>LOOKUP(K597,{0,2,4,6,7,8,9,10,11,12,13},{0,1,2,3,4,5,6,7,8,9,10})</f>
        <v>0</v>
      </c>
      <c r="M597" s="21">
        <f t="shared" si="264"/>
        <v>100</v>
      </c>
      <c r="N597" s="6">
        <v>8.8</v>
      </c>
      <c r="O597" s="43">
        <f t="shared" si="265"/>
        <v>4.2</v>
      </c>
      <c r="P597" s="1">
        <f>LOOKUP(O597,{0,1.4,1.6,1.8,2,2.2,2.4,2.6,2.8,3,3.2,3.4,3.6,3.8,4,4.2,4.4,4.7,5,5.1,5.2},{0,10,20,30,40,50,60,62,64,66,68,70,72,74,76,78,80,85,90,95,100})</f>
        <v>78</v>
      </c>
      <c r="Q597" s="6">
        <v>3.31</v>
      </c>
      <c r="R597" s="6">
        <f t="shared" si="262"/>
        <v>6.69</v>
      </c>
      <c r="S597" s="1">
        <f>LOOKUP(R597,{0,4.7,4.8,4.9,5,5.5,5.6,5.65,5.7,5.75,5.8,5.85,5.9,5.95,6,6.45,6.5,6.57,6.64,6.7,6.76},{0,10,20,30,40,50,60,62,64,66,68,70,72,74,76,78,80,85,90,95,100})</f>
        <v>90</v>
      </c>
      <c r="T597" s="45"/>
      <c r="U597" s="45"/>
      <c r="V597" s="21">
        <f t="shared" si="263"/>
        <v>90</v>
      </c>
      <c r="X597" s="21">
        <f t="shared" si="259"/>
        <v>59.8</v>
      </c>
      <c r="Y597" s="37">
        <f t="shared" si="266"/>
        <v>85.4285714285714</v>
      </c>
    </row>
    <row r="598" ht="15.6" hidden="1" outlineLevel="2" spans="1:25">
      <c r="A598" s="6">
        <v>113</v>
      </c>
      <c r="B598" s="6">
        <v>44</v>
      </c>
      <c r="C598" s="29" t="s">
        <v>669</v>
      </c>
      <c r="D598" s="29" t="s">
        <v>46</v>
      </c>
      <c r="E598" s="6">
        <v>12.5</v>
      </c>
      <c r="F598" s="1">
        <f>LOOKUP(E598,{0,0.4,1.2,2,2.8,3.6,4.4,5.7,7,8.3,9.6,10.9,12.2,13.5,14.8,16.1,17.4,19.1,20.8,22.5,24.2},{0,10,20,30,40,50,60,62,64,66,68,70,72,74,76,78,80,85,90,95,100})</f>
        <v>72</v>
      </c>
      <c r="G598" s="6">
        <v>160</v>
      </c>
      <c r="H598" s="1">
        <f>LOOKUP(G598,{0,123,128,133,138,143,148,151,154,157,160,163,166,169,172,175,178,185,192,198,204},{0,10,20,30,40,50,60,62,64,66,68,70,72,74,76,78,80,85,90,95,100})</f>
        <v>68</v>
      </c>
      <c r="I598" s="6">
        <v>42</v>
      </c>
      <c r="J598" s="1">
        <f>LOOKUP(I598,{0,13,15,17,19,21,23,25,27,29,31,33,35,37,39,41,43,46,49,51,53},{0,10,20,30,40,50,60,62,64,66,68,70,72,74,76,78,80,85,90,95,100})</f>
        <v>78</v>
      </c>
      <c r="K598" s="45"/>
      <c r="L598" s="45"/>
      <c r="M598" s="21">
        <f t="shared" si="264"/>
        <v>78</v>
      </c>
      <c r="N598" s="6">
        <v>9.8</v>
      </c>
      <c r="O598" s="43">
        <f t="shared" si="265"/>
        <v>3.2</v>
      </c>
      <c r="P598" s="1">
        <f>LOOKUP(O598,{0,1.4,1.6,1.8,2,2.2,2.4,2.6,2.8,3,3.2,3.4,3.6,3.8,4,4.2,4.4,4.7,5,5.1,5.2},{0,10,20,30,40,50,60,62,64,66,68,70,72,74,76,78,80,85,90,95,100})</f>
        <v>68</v>
      </c>
      <c r="Q598" s="6">
        <v>4.06</v>
      </c>
      <c r="R598" s="6">
        <f t="shared" si="262"/>
        <v>5.94</v>
      </c>
      <c r="S598" s="1">
        <f>LOOKUP(R598,{0,4.7,4.8,4.9,5,5.5,5.6,5.65,5.7,5.75,5.8,5.85,5.9,5.95,6,6.45,6.5,6.57,6.64,6.7,6.76},{0,10,20,30,40,50,60,62,64,66,68,70,72,74,76,78,80,85,90,95,100})</f>
        <v>72</v>
      </c>
      <c r="T598" s="45"/>
      <c r="U598" s="45"/>
      <c r="V598" s="21">
        <f t="shared" si="263"/>
        <v>72</v>
      </c>
      <c r="X598" s="21">
        <f t="shared" si="259"/>
        <v>49.8</v>
      </c>
      <c r="Y598" s="37">
        <f t="shared" si="266"/>
        <v>71.1428571428572</v>
      </c>
    </row>
    <row r="599" ht="15.6" hidden="1" outlineLevel="2" spans="1:25">
      <c r="A599" s="6">
        <v>113</v>
      </c>
      <c r="B599" s="6">
        <v>45</v>
      </c>
      <c r="C599" s="29" t="s">
        <v>670</v>
      </c>
      <c r="D599" s="29" t="s">
        <v>46</v>
      </c>
      <c r="E599" s="6">
        <v>12</v>
      </c>
      <c r="F599" s="1">
        <f>LOOKUP(E599,{0,0.4,1.2,2,2.8,3.6,4.4,5.7,7,8.3,9.6,10.9,12.2,13.5,14.8,16.1,17.4,19.1,20.8,22.5,24.2},{0,10,20,30,40,50,60,62,64,66,68,70,72,74,76,78,80,85,90,95,100})</f>
        <v>70</v>
      </c>
      <c r="G599" s="6">
        <v>170</v>
      </c>
      <c r="H599" s="1">
        <f>LOOKUP(G599,{0,123,128,133,138,143,148,151,154,157,160,163,166,169,172,175,178,185,192,198,204},{0,10,20,30,40,50,60,62,64,66,68,70,72,74,76,78,80,85,90,95,100})</f>
        <v>74</v>
      </c>
      <c r="I599" s="6">
        <v>33</v>
      </c>
      <c r="J599" s="1">
        <f>LOOKUP(I599,{0,13,15,17,19,21,23,25,27,29,31,33,35,37,39,41,43,46,49,51,53},{0,10,20,30,40,50,60,62,64,66,68,70,72,74,76,78,80,85,90,95,100})</f>
        <v>70</v>
      </c>
      <c r="K599" s="45"/>
      <c r="L599" s="45"/>
      <c r="M599" s="21">
        <f t="shared" si="264"/>
        <v>70</v>
      </c>
      <c r="N599" s="6">
        <v>9.8</v>
      </c>
      <c r="O599" s="43">
        <f t="shared" si="265"/>
        <v>3.2</v>
      </c>
      <c r="P599" s="1">
        <f>LOOKUP(O599,{0,1.4,1.6,1.8,2,2.2,2.4,2.6,2.8,3,3.2,3.4,3.6,3.8,4,4.2,4.4,4.7,5,5.1,5.2},{0,10,20,30,40,50,60,62,64,66,68,70,72,74,76,78,80,85,90,95,100})</f>
        <v>68</v>
      </c>
      <c r="Q599" s="6">
        <v>4.2</v>
      </c>
      <c r="R599" s="6">
        <f t="shared" si="262"/>
        <v>5.8</v>
      </c>
      <c r="S599" s="1">
        <f>LOOKUP(R599,{0,4.7,4.8,4.9,5,5.5,5.6,5.65,5.7,5.75,5.8,5.85,5.9,5.95,6,6.45,6.5,6.57,6.64,6.7,6.76},{0,10,20,30,40,50,60,62,64,66,68,70,72,74,76,78,80,85,90,95,100})</f>
        <v>68</v>
      </c>
      <c r="T599" s="45"/>
      <c r="U599" s="45"/>
      <c r="V599" s="21">
        <f t="shared" si="263"/>
        <v>68</v>
      </c>
      <c r="X599" s="21">
        <f t="shared" si="259"/>
        <v>48.6</v>
      </c>
      <c r="Y599" s="37">
        <f t="shared" si="266"/>
        <v>69.4285714285714</v>
      </c>
    </row>
    <row r="600" ht="15.6" hidden="1" outlineLevel="2" spans="1:25">
      <c r="A600" s="6">
        <v>113</v>
      </c>
      <c r="B600" s="6">
        <v>46</v>
      </c>
      <c r="C600" s="29" t="s">
        <v>671</v>
      </c>
      <c r="D600" s="29" t="s">
        <v>46</v>
      </c>
      <c r="E600" s="6">
        <v>25.1</v>
      </c>
      <c r="F600" s="1">
        <f>LOOKUP(E600,{0,0.4,1.2,2,2.8,3.6,4.4,5.7,7,8.3,9.6,10.9,12.2,13.5,14.8,16.1,17.4,19.1,20.8,22.5,24.2},{0,10,20,30,40,50,60,62,64,66,68,70,72,74,76,78,80,85,90,95,100})</f>
        <v>100</v>
      </c>
      <c r="G600" s="6">
        <v>152</v>
      </c>
      <c r="H600" s="1">
        <f>LOOKUP(G600,{0,123,128,133,138,143,148,151,154,157,160,163,166,169,172,175,178,185,192,198,204},{0,10,20,30,40,50,60,62,64,66,68,70,72,74,76,78,80,85,90,95,100})</f>
        <v>62</v>
      </c>
      <c r="I600" s="6">
        <v>27</v>
      </c>
      <c r="J600" s="1">
        <f>LOOKUP(I600,{0,13,15,17,19,21,23,25,27,29,31,33,35,37,39,41,43,46,49,51,53},{0,10,20,30,40,50,60,62,64,66,68,70,72,74,76,78,80,85,90,95,100})</f>
        <v>64</v>
      </c>
      <c r="K600" s="45"/>
      <c r="L600" s="45"/>
      <c r="M600" s="21">
        <f t="shared" si="264"/>
        <v>64</v>
      </c>
      <c r="N600" s="6">
        <v>8.3</v>
      </c>
      <c r="O600" s="43">
        <f t="shared" si="265"/>
        <v>4.7</v>
      </c>
      <c r="P600" s="1">
        <f>LOOKUP(O600,{0,1.4,1.6,1.8,2,2.2,2.4,2.6,2.8,3,3.2,3.4,3.6,3.8,4,4.2,4.4,4.7,5,5.1,5.2},{0,10,20,30,40,50,60,62,64,66,68,70,72,74,76,78,80,85,90,95,100})</f>
        <v>85</v>
      </c>
      <c r="Q600" s="6">
        <v>3.49</v>
      </c>
      <c r="R600" s="6">
        <f t="shared" si="262"/>
        <v>6.51</v>
      </c>
      <c r="S600" s="1">
        <f>LOOKUP(R600,{0,4.7,4.8,4.9,5,5.5,5.6,5.65,5.7,5.75,5.8,5.85,5.9,5.95,6,6.45,6.5,6.57,6.64,6.7,6.76},{0,10,20,30,40,50,60,62,64,66,68,70,72,74,76,78,80,85,90,95,100})</f>
        <v>80</v>
      </c>
      <c r="T600" s="45"/>
      <c r="U600" s="45"/>
      <c r="V600" s="21">
        <f t="shared" si="263"/>
        <v>80</v>
      </c>
      <c r="X600" s="21">
        <f t="shared" si="259"/>
        <v>55.6</v>
      </c>
      <c r="Y600" s="37">
        <f t="shared" si="266"/>
        <v>79.4285714285714</v>
      </c>
    </row>
    <row r="601" ht="15.6" hidden="1" outlineLevel="2" spans="1:25">
      <c r="A601" s="6">
        <v>113</v>
      </c>
      <c r="B601" s="6">
        <v>47</v>
      </c>
      <c r="C601" s="29" t="s">
        <v>672</v>
      </c>
      <c r="D601" s="29" t="s">
        <v>46</v>
      </c>
      <c r="E601" s="6">
        <v>19.5</v>
      </c>
      <c r="F601" s="1">
        <f>LOOKUP(E601,{0,0.4,1.2,2,2.8,3.6,4.4,5.7,7,8.3,9.6,10.9,12.2,13.5,14.8,16.1,17.4,19.1,20.8,22.5,24.2},{0,10,20,30,40,50,60,62,64,66,68,70,72,74,76,78,80,85,90,95,100})</f>
        <v>85</v>
      </c>
      <c r="G601" s="6">
        <v>197</v>
      </c>
      <c r="H601" s="1">
        <f>LOOKUP(G601,{0,123,128,133,138,143,148,151,154,157,160,163,166,169,172,175,178,185,192,198,204},{0,10,20,30,40,50,60,62,64,66,68,70,72,74,76,78,80,85,90,95,100})</f>
        <v>90</v>
      </c>
      <c r="I601" s="6">
        <v>52</v>
      </c>
      <c r="J601" s="1">
        <f>LOOKUP(I601,{0,13,15,17,19,21,23,25,27,29,31,33,35,37,39,41,43,46,49,51,53},{0,10,20,30,40,50,60,62,64,66,68,70,72,74,76,78,80,85,90,95,100})</f>
        <v>95</v>
      </c>
      <c r="K601" s="45"/>
      <c r="L601" s="45"/>
      <c r="M601" s="21">
        <f t="shared" si="264"/>
        <v>95</v>
      </c>
      <c r="N601" s="6">
        <v>8.2</v>
      </c>
      <c r="O601" s="43">
        <f t="shared" si="265"/>
        <v>4.8</v>
      </c>
      <c r="P601" s="1">
        <f>LOOKUP(O601,{0,1.4,1.6,1.8,2,2.2,2.4,2.6,2.8,3,3.2,3.4,3.6,3.8,4,4.2,4.4,4.7,5,5.1,5.2},{0,10,20,30,40,50,60,62,64,66,68,70,72,74,76,78,80,85,90,95,100})</f>
        <v>85</v>
      </c>
      <c r="Q601" s="6">
        <v>3.52</v>
      </c>
      <c r="R601" s="6">
        <f t="shared" si="262"/>
        <v>6.48</v>
      </c>
      <c r="S601" s="1">
        <f>LOOKUP(R601,{0,4.7,4.8,4.9,5,5.5,5.6,5.65,5.7,5.75,5.8,5.85,5.9,5.95,6,6.45,6.5,6.57,6.64,6.7,6.76},{0,10,20,30,40,50,60,62,64,66,68,70,72,74,76,78,80,85,90,95,100})</f>
        <v>78</v>
      </c>
      <c r="T601" s="45"/>
      <c r="U601" s="45"/>
      <c r="V601" s="21">
        <f t="shared" si="263"/>
        <v>78</v>
      </c>
      <c r="X601" s="21">
        <f t="shared" si="259"/>
        <v>59.6</v>
      </c>
      <c r="Y601" s="37">
        <f t="shared" si="266"/>
        <v>85.1428571428572</v>
      </c>
    </row>
    <row r="602" ht="15.6" hidden="1" outlineLevel="2" spans="1:25">
      <c r="A602" s="6">
        <v>113</v>
      </c>
      <c r="B602" s="6">
        <v>48</v>
      </c>
      <c r="C602" s="29" t="s">
        <v>673</v>
      </c>
      <c r="D602" s="29" t="s">
        <v>46</v>
      </c>
      <c r="E602" s="6">
        <v>24</v>
      </c>
      <c r="F602" s="1">
        <f>LOOKUP(E602,{0,0.4,1.2,2,2.8,3.6,4.4,5.7,7,8.3,9.6,10.9,12.2,13.5,14.8,16.1,17.4,19.1,20.8,22.5,24.2},{0,10,20,30,40,50,60,62,64,66,68,70,72,74,76,78,80,85,90,95,100})</f>
        <v>95</v>
      </c>
      <c r="G602" s="6">
        <v>206</v>
      </c>
      <c r="H602" s="1">
        <f>LOOKUP(G602,{0,123,128,133,138,143,148,151,154,157,160,163,166,169,172,175,178,185,192,198,204},{0,10,20,30,40,50,60,62,64,66,68,70,72,74,76,78,80,85,90,95,100})</f>
        <v>100</v>
      </c>
      <c r="I602" s="6">
        <v>46</v>
      </c>
      <c r="J602" s="1">
        <f>LOOKUP(I602,{0,13,15,17,19,21,23,25,27,29,31,33,35,37,39,41,43,46,49,51,53},{0,10,20,30,40,50,60,62,64,66,68,70,72,74,76,78,80,85,90,95,100})</f>
        <v>85</v>
      </c>
      <c r="K602" s="45"/>
      <c r="L602" s="45"/>
      <c r="M602" s="21">
        <f t="shared" si="264"/>
        <v>85</v>
      </c>
      <c r="N602" s="6">
        <v>8.9</v>
      </c>
      <c r="O602" s="43">
        <f t="shared" si="265"/>
        <v>4.1</v>
      </c>
      <c r="P602" s="1">
        <f>LOOKUP(O602,{0,1.4,1.6,1.8,2,2.2,2.4,2.6,2.8,3,3.2,3.4,3.6,3.8,4,4.2,4.4,4.7,5,5.1,5.2},{0,10,20,30,40,50,60,62,64,66,68,70,72,74,76,78,80,85,90,95,100})</f>
        <v>76</v>
      </c>
      <c r="Q602" s="6">
        <v>4.43</v>
      </c>
      <c r="R602" s="6">
        <f t="shared" si="262"/>
        <v>5.57</v>
      </c>
      <c r="S602" s="1">
        <f>LOOKUP(R602,{0,4.7,4.8,4.9,5,5.5,5.6,5.65,5.7,5.75,5.8,5.85,5.9,5.95,6,6.45,6.5,6.57,6.64,6.7,6.76},{0,10,20,30,40,50,60,62,64,66,68,70,72,74,76,78,80,85,90,95,100})</f>
        <v>50</v>
      </c>
      <c r="T602" s="45"/>
      <c r="U602" s="45"/>
      <c r="V602" s="21">
        <f t="shared" si="263"/>
        <v>50</v>
      </c>
      <c r="X602" s="21">
        <f t="shared" si="259"/>
        <v>53.2</v>
      </c>
      <c r="Y602" s="37">
        <f t="shared" si="266"/>
        <v>76</v>
      </c>
    </row>
    <row r="603" ht="15.6" hidden="1" outlineLevel="2" spans="1:25">
      <c r="A603" s="6">
        <v>113</v>
      </c>
      <c r="B603" s="6">
        <v>49</v>
      </c>
      <c r="C603" s="6" t="s">
        <v>674</v>
      </c>
      <c r="D603" s="6" t="s">
        <v>46</v>
      </c>
      <c r="E603" s="6">
        <v>18</v>
      </c>
      <c r="F603" s="1">
        <f>LOOKUP(E603,{0,0.4,1.2,2,2.8,3.6,4.4,5.7,7,8.3,9.6,10.9,12.2,13.5,14.8,16.1,17.4,19.1,20.8,22.5,24.2},{0,10,20,30,40,50,60,62,64,66,68,70,72,74,76,78,80,85,90,95,100})</f>
        <v>80</v>
      </c>
      <c r="G603" s="6">
        <v>160</v>
      </c>
      <c r="H603" s="1">
        <f>LOOKUP(G603,{0,123,128,133,138,143,148,151,154,157,160,163,166,169,172,175,178,185,192,198,204},{0,10,20,30,40,50,60,62,64,66,68,70,72,74,76,78,80,85,90,95,100})</f>
        <v>68</v>
      </c>
      <c r="I603" s="6">
        <v>40</v>
      </c>
      <c r="J603" s="1">
        <f>LOOKUP(I603,{0,13,15,17,19,21,23,25,27,29,31,33,35,37,39,41,43,46,49,51,53},{0,10,20,30,40,50,60,62,64,66,68,70,72,74,76,78,80,85,90,95,100})</f>
        <v>76</v>
      </c>
      <c r="K603" s="45"/>
      <c r="L603" s="45"/>
      <c r="M603" s="21">
        <f t="shared" si="264"/>
        <v>76</v>
      </c>
      <c r="N603" s="6">
        <v>9.5</v>
      </c>
      <c r="O603" s="43">
        <f t="shared" si="265"/>
        <v>3.5</v>
      </c>
      <c r="P603" s="1">
        <f>LOOKUP(O603,{0,1.4,1.6,1.8,2,2.2,2.4,2.6,2.8,3,3.2,3.4,3.6,3.8,4,4.2,4.4,4.7,5,5.1,5.2},{0,10,20,30,40,50,60,62,64,66,68,70,72,74,76,78,80,85,90,95,100})</f>
        <v>70</v>
      </c>
      <c r="Q603" s="6">
        <v>4.12</v>
      </c>
      <c r="R603" s="6">
        <f t="shared" si="262"/>
        <v>5.88</v>
      </c>
      <c r="S603" s="1">
        <f>LOOKUP(R603,{0,4.7,4.8,4.9,5,5.5,5.6,5.65,5.7,5.75,5.8,5.85,5.9,5.95,6,6.45,6.5,6.57,6.64,6.7,6.76},{0,10,20,30,40,50,60,62,64,66,68,70,72,74,76,78,80,85,90,95,100})</f>
        <v>70</v>
      </c>
      <c r="T603" s="45"/>
      <c r="U603" s="45"/>
      <c r="V603" s="21">
        <f t="shared" si="263"/>
        <v>70</v>
      </c>
      <c r="X603" s="21">
        <f t="shared" si="259"/>
        <v>50.4</v>
      </c>
      <c r="Y603" s="37">
        <f t="shared" si="266"/>
        <v>72</v>
      </c>
    </row>
    <row r="604" s="3" customFormat="1" ht="15.6" hidden="1" outlineLevel="2" spans="1:25">
      <c r="A604" s="6">
        <v>113</v>
      </c>
      <c r="B604" s="6">
        <v>50</v>
      </c>
      <c r="C604" s="54" t="s">
        <v>675</v>
      </c>
      <c r="D604" s="6" t="s">
        <v>46</v>
      </c>
      <c r="E604" s="6"/>
      <c r="F604" s="1"/>
      <c r="G604" s="6"/>
      <c r="H604" s="1"/>
      <c r="I604" s="6"/>
      <c r="J604" s="1"/>
      <c r="K604" s="45"/>
      <c r="L604" s="45"/>
      <c r="M604" s="21"/>
      <c r="N604" s="6"/>
      <c r="O604" s="43"/>
      <c r="P604" s="1"/>
      <c r="Q604" s="6"/>
      <c r="R604" s="6"/>
      <c r="S604" s="1"/>
      <c r="T604" s="48"/>
      <c r="U604" s="40"/>
      <c r="V604" s="21"/>
      <c r="W604" s="6"/>
      <c r="X604" s="21">
        <f t="shared" si="259"/>
        <v>0</v>
      </c>
      <c r="Y604" s="51">
        <v>50</v>
      </c>
    </row>
    <row r="605" s="3" customFormat="1" ht="15.6" outlineLevel="1" collapsed="1" spans="1:25">
      <c r="A605" s="42" t="s">
        <v>854</v>
      </c>
      <c r="B605" s="6"/>
      <c r="C605" s="54"/>
      <c r="D605" s="6"/>
      <c r="E605" s="6"/>
      <c r="F605" s="1">
        <f>SUBTOTAL(1,F555:F604)</f>
        <v>75.5625</v>
      </c>
      <c r="G605" s="6"/>
      <c r="H605" s="1">
        <f>SUBTOTAL(1,H555:H604)</f>
        <v>76.2083333333333</v>
      </c>
      <c r="I605" s="6"/>
      <c r="J605" s="1">
        <f>SUBTOTAL(1,J555:J604)</f>
        <v>68.6666666666667</v>
      </c>
      <c r="K605" s="45"/>
      <c r="L605" s="45"/>
      <c r="M605" s="21">
        <f>SUBTOTAL(1,M555:M604)</f>
        <v>69.4166666666667</v>
      </c>
      <c r="N605" s="6"/>
      <c r="O605" s="43"/>
      <c r="P605" s="1">
        <f>SUBTOTAL(1,P555:P604)</f>
        <v>82.9583333333333</v>
      </c>
      <c r="Q605" s="6"/>
      <c r="R605" s="6"/>
      <c r="S605" s="1">
        <f>SUBTOTAL(1,S555:S604)</f>
        <v>81.8936170212766</v>
      </c>
      <c r="T605" s="48"/>
      <c r="U605" s="40"/>
      <c r="V605" s="21">
        <f>SUBTOTAL(1,V555:V604)</f>
        <v>82.2978723404255</v>
      </c>
      <c r="W605" s="6"/>
      <c r="X605" s="21">
        <f>SUBTOTAL(1,X555:X604)</f>
        <v>52.486</v>
      </c>
      <c r="Y605" s="51">
        <f>SUBTOTAL(1,Y555:Y604)</f>
        <v>78.08</v>
      </c>
    </row>
    <row r="606" s="34" customFormat="1" ht="15.6" hidden="1" outlineLevel="2" spans="1:25">
      <c r="A606" s="6">
        <v>114</v>
      </c>
      <c r="B606" s="6">
        <v>1</v>
      </c>
      <c r="C606" s="39" t="s">
        <v>677</v>
      </c>
      <c r="D606" s="29" t="s">
        <v>11</v>
      </c>
      <c r="E606" s="6">
        <v>14.5</v>
      </c>
      <c r="F606" s="1">
        <f>LOOKUP(E606,{0,-4,-3,-2,-1,0,1,2.4,3.8,5.2,6.6,8,9.4,10.8,12.2,13.6,15,17.2,19.4,21.5,23.6},{0,10,20,30,40,50,60,62,64,66,68,70,72,74,76,78,80,85,90,95,100})</f>
        <v>78</v>
      </c>
      <c r="G606" s="6">
        <v>250</v>
      </c>
      <c r="H606" s="1">
        <f>LOOKUP(G606,{0,170,175,180,185,190,195,199,203,207,211,215,219,223,227,231,235,243,250,255,260},{0,10,20,30,40,50,60,62,64,66,68,70,72,74,76,78,80,85,90,95,100})</f>
        <v>90</v>
      </c>
      <c r="I606" s="6">
        <v>5</v>
      </c>
      <c r="J606" s="1">
        <f>LOOKUP(I606,{0,2,3,4,5,6,7,8,9,10,11,12,13,14,15,16},{0,10,20,30,40,50,60,64,68,72,76,80,85,90,95,100})</f>
        <v>40</v>
      </c>
      <c r="K606" s="7"/>
      <c r="L606" s="7"/>
      <c r="M606" s="21">
        <f t="shared" ref="M606:M669" si="268">J606+L606</f>
        <v>40</v>
      </c>
      <c r="N606" s="6">
        <v>6.9</v>
      </c>
      <c r="O606" s="43">
        <f t="shared" ref="O606:O648" si="269">13-N606</f>
        <v>6.1</v>
      </c>
      <c r="P606" s="1">
        <f>LOOKUP(O606,{0,2.5,2.7,2.9,3.1,3.3,3.5,3.7,3.9,4.1,4.3,4.5,4.7,4.9,5.1,5.3,5.5,5.6,5.7,5.8,5.9},{0,10,20,30,40,50,60,62,64,66,68,70,72,74,76,78,80,85,90,95,100})</f>
        <v>100</v>
      </c>
      <c r="Q606" s="6">
        <v>3.32</v>
      </c>
      <c r="R606" s="6">
        <f t="shared" ref="R606:R648" si="270">10-Q606</f>
        <v>6.68</v>
      </c>
      <c r="S606" s="1">
        <f>LOOKUP(R606,{0,3.75,3.95,4.55,4.75,4.95,5.55,5.6,5.65,5.7,5.75,5.8,5.85,5.9,5.95,6,6.45,6.53,6.6,6.65,6.7},{0,10,20,30,40,50,60,62,64,66,68,70,72,74,76,78,80,85,90,95,100})</f>
        <v>95</v>
      </c>
      <c r="T606" s="7"/>
      <c r="U606" s="7"/>
      <c r="V606" s="21">
        <f t="shared" ref="V606:V648" si="271">S606+U606</f>
        <v>95</v>
      </c>
      <c r="W606" s="6"/>
      <c r="X606" s="21">
        <f t="shared" ref="X606:X654" si="272">F606*0.1+H606*0.1+J606*0.1+P606*0.2+S606*0.2</f>
        <v>59.8</v>
      </c>
      <c r="Y606" s="37">
        <f t="shared" ref="Y606:Y648" si="273">X606/0.7+L606+U606</f>
        <v>85.4285714285714</v>
      </c>
    </row>
    <row r="607" ht="15.6" hidden="1" outlineLevel="2" spans="1:25">
      <c r="A607" s="6">
        <v>114</v>
      </c>
      <c r="B607" s="6">
        <v>2</v>
      </c>
      <c r="C607" s="29" t="s">
        <v>678</v>
      </c>
      <c r="D607" s="29" t="s">
        <v>11</v>
      </c>
      <c r="E607" s="6">
        <v>2.5</v>
      </c>
      <c r="F607" s="1">
        <f>LOOKUP(E607,{0,-4,-3,-2,-1,0,1,2.4,3.8,5.2,6.6,8,9.4,10.8,12.2,13.6,15,17.2,19.4,21.5,23.6},{0,10,20,30,40,50,60,62,64,66,68,70,72,74,76,78,80,85,90,95,100})</f>
        <v>62</v>
      </c>
      <c r="G607" s="6">
        <v>215</v>
      </c>
      <c r="H607" s="1">
        <f>LOOKUP(G607,{0,170,175,180,185,190,195,199,203,207,211,215,219,223,227,231,235,243,250,255,260},{0,10,20,30,40,50,60,62,64,66,68,70,72,74,76,78,80,85,90,95,100})</f>
        <v>70</v>
      </c>
      <c r="I607" s="6">
        <v>6</v>
      </c>
      <c r="J607" s="1">
        <f>LOOKUP(I607,{0,2,3,4,5,6,7,8,9,10,11,12,13,14,15,16},{0,10,20,30,40,50,60,64,68,72,76,80,85,90,95,100})</f>
        <v>50</v>
      </c>
      <c r="K607" s="7"/>
      <c r="L607" s="7"/>
      <c r="M607" s="21">
        <f t="shared" si="268"/>
        <v>50</v>
      </c>
      <c r="N607" s="6">
        <v>7.8</v>
      </c>
      <c r="O607" s="43">
        <f t="shared" si="269"/>
        <v>5.2</v>
      </c>
      <c r="P607" s="1">
        <f>LOOKUP(O607,{0,2.5,2.7,2.9,3.1,3.3,3.5,3.7,3.9,4.1,4.3,4.5,4.7,4.9,5.1,5.3,5.5,5.6,5.7,5.8,5.9},{0,10,20,30,40,50,60,62,64,66,68,70,72,74,76,78,80,85,90,95,100})</f>
        <v>76</v>
      </c>
      <c r="Q607" s="6">
        <v>5.2</v>
      </c>
      <c r="R607" s="6">
        <f t="shared" si="270"/>
        <v>4.8</v>
      </c>
      <c r="S607" s="1">
        <f>LOOKUP(R607,{0,3.75,3.95,4.55,4.75,4.95,5.55,5.6,5.65,5.7,5.75,5.8,5.85,5.9,5.95,6,6.45,6.53,6.6,6.65,6.7},{0,10,20,30,40,50,60,62,64,66,68,70,72,74,76,78,80,85,90,95,100})</f>
        <v>40</v>
      </c>
      <c r="T607" s="7"/>
      <c r="U607" s="7"/>
      <c r="V607" s="21">
        <f t="shared" si="271"/>
        <v>40</v>
      </c>
      <c r="X607" s="21">
        <f t="shared" si="272"/>
        <v>41.4</v>
      </c>
      <c r="Y607" s="37">
        <f t="shared" si="273"/>
        <v>59.1428571428571</v>
      </c>
    </row>
    <row r="608" ht="15.6" hidden="1" outlineLevel="2" spans="1:25">
      <c r="A608" s="52">
        <v>114</v>
      </c>
      <c r="B608" s="52">
        <v>3</v>
      </c>
      <c r="C608" s="29" t="s">
        <v>679</v>
      </c>
      <c r="D608" s="29" t="s">
        <v>11</v>
      </c>
      <c r="E608" s="52">
        <v>7</v>
      </c>
      <c r="F608" s="1">
        <f>LOOKUP(E608,{0,-4,-3,-2,-1,0,1,2.4,3.8,5.2,6.6,8,9.4,10.8,12.2,13.6,15,17.2,19.4,21.5,23.6},{0,10,20,30,40,50,60,62,64,66,68,70,72,74,76,78,80,85,90,95,100})</f>
        <v>68</v>
      </c>
      <c r="G608" s="52">
        <v>250</v>
      </c>
      <c r="H608" s="1">
        <f>LOOKUP(G608,{0,170,175,180,185,190,195,199,203,207,211,215,219,223,227,231,235,243,250,255,260},{0,10,20,30,40,50,60,62,64,66,68,70,72,74,76,78,80,85,90,95,100})</f>
        <v>90</v>
      </c>
      <c r="I608" s="52">
        <v>11</v>
      </c>
      <c r="J608" s="1">
        <f>LOOKUP(I608,{0,2,3,4,5,6,7,8,9,10,11,12,13,14,15,16},{0,10,20,30,40,50,60,64,68,72,76,80,85,90,95,100})</f>
        <v>76</v>
      </c>
      <c r="K608" s="34"/>
      <c r="L608" s="34"/>
      <c r="M608" s="21">
        <f t="shared" si="268"/>
        <v>76</v>
      </c>
      <c r="N608" s="52">
        <v>7</v>
      </c>
      <c r="O608" s="43">
        <f t="shared" si="269"/>
        <v>6</v>
      </c>
      <c r="P608" s="1">
        <f>LOOKUP(O608,{0,2.5,2.7,2.9,3.1,3.3,3.5,3.7,3.9,4.1,4.3,4.5,4.7,4.9,5.1,5.3,5.5,5.6,5.7,5.8,5.9},{0,10,20,30,40,50,60,62,64,66,68,70,72,74,76,78,80,85,90,95,100})</f>
        <v>100</v>
      </c>
      <c r="Q608" s="52">
        <v>3.59</v>
      </c>
      <c r="R608" s="6">
        <f t="shared" si="270"/>
        <v>6.41</v>
      </c>
      <c r="S608" s="1">
        <f>LOOKUP(R608,{0,3.75,3.95,4.55,4.75,4.95,5.55,5.6,5.65,5.7,5.75,5.8,5.85,5.9,5.95,6,6.45,6.53,6.6,6.65,6.7},{0,10,20,30,40,50,60,62,64,66,68,70,72,74,76,78,80,85,90,95,100})</f>
        <v>78</v>
      </c>
      <c r="T608" s="34"/>
      <c r="U608" s="34"/>
      <c r="V608" s="21">
        <f t="shared" si="271"/>
        <v>78</v>
      </c>
      <c r="W608" s="52"/>
      <c r="X608" s="21">
        <f t="shared" si="272"/>
        <v>59</v>
      </c>
      <c r="Y608" s="37">
        <f t="shared" si="273"/>
        <v>84.2857142857143</v>
      </c>
    </row>
    <row r="609" ht="15.6" hidden="1" outlineLevel="2" spans="1:25">
      <c r="A609" s="6">
        <v>114</v>
      </c>
      <c r="B609" s="6">
        <v>4</v>
      </c>
      <c r="C609" s="29" t="s">
        <v>680</v>
      </c>
      <c r="D609" s="29" t="s">
        <v>11</v>
      </c>
      <c r="E609" s="6">
        <v>18</v>
      </c>
      <c r="F609" s="1">
        <f>LOOKUP(E609,{0,-4,-3,-2,-1,0,1,2.4,3.8,5.2,6.6,8,9.4,10.8,12.2,13.6,15,17.2,19.4,21.5,23.6},{0,10,20,30,40,50,60,62,64,66,68,70,72,74,76,78,80,85,90,95,100})</f>
        <v>85</v>
      </c>
      <c r="G609" s="6">
        <v>275</v>
      </c>
      <c r="H609" s="1">
        <f>LOOKUP(G609,{0,170,175,180,185,190,195,199,203,207,211,215,219,223,227,231,235,243,250,255,260},{0,10,20,30,40,50,60,62,64,66,68,70,72,74,76,78,80,85,90,95,100})</f>
        <v>100</v>
      </c>
      <c r="I609" s="6">
        <v>19</v>
      </c>
      <c r="J609" s="1">
        <f>LOOKUP(I609,{0,2,3,4,5,6,7,8,9,10,11,12,13,14,15,16},{0,10,20,30,40,50,60,64,68,72,76,80,85,90,95,100})</f>
        <v>100</v>
      </c>
      <c r="K609" s="7">
        <f>I609-16</f>
        <v>3</v>
      </c>
      <c r="L609" s="40">
        <f>LOOKUP(K609,{0,1,2,3,4,5,6,7,8,9,10},{0,1,2,3,4,5,6,7,8,9,10})</f>
        <v>3</v>
      </c>
      <c r="M609" s="21">
        <f t="shared" si="268"/>
        <v>103</v>
      </c>
      <c r="N609" s="6">
        <v>6.8</v>
      </c>
      <c r="O609" s="43">
        <f t="shared" si="269"/>
        <v>6.2</v>
      </c>
      <c r="P609" s="1">
        <f>LOOKUP(O609,{0,2.5,2.7,2.9,3.1,3.3,3.5,3.7,3.9,4.1,4.3,4.5,4.7,4.9,5.1,5.3,5.5,5.6,5.7,5.8,5.9},{0,10,20,30,40,50,60,62,64,66,68,70,72,74,76,78,80,85,90,95,100})</f>
        <v>100</v>
      </c>
      <c r="Q609" s="6">
        <v>3.34</v>
      </c>
      <c r="R609" s="6">
        <f t="shared" si="270"/>
        <v>6.66</v>
      </c>
      <c r="S609" s="1">
        <f>LOOKUP(R609,{0,3.75,3.95,4.55,4.75,4.95,5.55,5.6,5.65,5.7,5.75,5.8,5.85,5.9,5.95,6,6.45,6.53,6.6,6.65,6.7},{0,10,20,30,40,50,60,62,64,66,68,70,72,74,76,78,80,85,90,95,100})</f>
        <v>95</v>
      </c>
      <c r="T609" s="7"/>
      <c r="U609" s="7"/>
      <c r="V609" s="21">
        <f t="shared" si="271"/>
        <v>95</v>
      </c>
      <c r="X609" s="21">
        <f t="shared" si="272"/>
        <v>67.5</v>
      </c>
      <c r="Y609" s="37">
        <f t="shared" si="273"/>
        <v>99.4285714285714</v>
      </c>
    </row>
    <row r="610" ht="15.6" hidden="1" outlineLevel="2" spans="1:25">
      <c r="A610" s="6">
        <v>114</v>
      </c>
      <c r="B610" s="6">
        <v>5</v>
      </c>
      <c r="C610" s="29" t="s">
        <v>681</v>
      </c>
      <c r="D610" s="29" t="s">
        <v>11</v>
      </c>
      <c r="E610" s="6">
        <v>-2</v>
      </c>
      <c r="F610" s="1">
        <f>LOOKUP(E610,{0,-4,-3,-2,-1,0,1,2.4,3.8,5.2,6.6,8,9.4,10.8,12.2,13.6,15,17.2,19.4,21.5,23.6},{0,10,20,30,40,50,60,62,64,66,68,70,72,74,76,78,80,85,90,95,100})</f>
        <v>30</v>
      </c>
      <c r="G610" s="6">
        <v>210</v>
      </c>
      <c r="H610" s="1">
        <f>LOOKUP(G610,{0,170,175,180,185,190,195,199,203,207,211,215,219,223,227,231,235,243,250,255,260},{0,10,20,30,40,50,60,62,64,66,68,70,72,74,76,78,80,85,90,95,100})</f>
        <v>66</v>
      </c>
      <c r="I610" s="6">
        <v>0</v>
      </c>
      <c r="J610" s="1">
        <f>LOOKUP(I610,{0,2,3,4,5,6,7,8,9,10,11,12,13,14,15,16},{0,10,20,30,40,50,60,64,68,72,76,80,85,90,95,100})</f>
        <v>0</v>
      </c>
      <c r="K610" s="7"/>
      <c r="L610" s="7"/>
      <c r="M610" s="21">
        <f t="shared" si="268"/>
        <v>0</v>
      </c>
      <c r="N610" s="6">
        <v>7.4</v>
      </c>
      <c r="O610" s="43">
        <f t="shared" si="269"/>
        <v>5.6</v>
      </c>
      <c r="P610" s="1">
        <f>LOOKUP(O610,{0,2.5,2.7,2.9,3.1,3.3,3.5,3.7,3.9,4.1,4.3,4.5,4.7,4.9,5.1,5.3,5.5,5.6,5.7,5.8,5.9},{0,10,20,30,40,50,60,62,64,66,68,70,72,74,76,78,80,85,90,95,100})</f>
        <v>85</v>
      </c>
      <c r="Q610" s="6">
        <v>3.44</v>
      </c>
      <c r="R610" s="6">
        <f t="shared" si="270"/>
        <v>6.56</v>
      </c>
      <c r="S610" s="1">
        <f>LOOKUP(R610,{0,3.75,3.95,4.55,4.75,4.95,5.55,5.6,5.65,5.7,5.75,5.8,5.85,5.9,5.95,6,6.45,6.53,6.6,6.65,6.7},{0,10,20,30,40,50,60,62,64,66,68,70,72,74,76,78,80,85,90,95,100})</f>
        <v>85</v>
      </c>
      <c r="T610" s="7"/>
      <c r="U610" s="7"/>
      <c r="V610" s="21">
        <f t="shared" si="271"/>
        <v>85</v>
      </c>
      <c r="X610" s="21">
        <f t="shared" si="272"/>
        <v>43.6</v>
      </c>
      <c r="Y610" s="37">
        <f t="shared" si="273"/>
        <v>62.2857142857143</v>
      </c>
    </row>
    <row r="611" ht="15.6" hidden="1" outlineLevel="2" spans="1:25">
      <c r="A611" s="6">
        <v>114</v>
      </c>
      <c r="B611" s="6">
        <v>6</v>
      </c>
      <c r="C611" s="29" t="s">
        <v>682</v>
      </c>
      <c r="D611" s="29" t="s">
        <v>11</v>
      </c>
      <c r="E611" s="6">
        <v>6</v>
      </c>
      <c r="F611" s="1">
        <f>LOOKUP(E611,{0,-4,-3,-2,-1,0,1,2.4,3.8,5.2,6.6,8,9.4,10.8,12.2,13.6,15,17.2,19.4,21.5,23.6},{0,10,20,30,40,50,60,62,64,66,68,70,72,74,76,78,80,85,90,95,100})</f>
        <v>66</v>
      </c>
      <c r="G611" s="6">
        <v>220</v>
      </c>
      <c r="H611" s="1">
        <f>LOOKUP(G611,{0,170,175,180,185,190,195,199,203,207,211,215,219,223,227,231,235,243,250,255,260},{0,10,20,30,40,50,60,62,64,66,68,70,72,74,76,78,80,85,90,95,100})</f>
        <v>72</v>
      </c>
      <c r="I611" s="6">
        <v>3</v>
      </c>
      <c r="J611" s="1">
        <f>LOOKUP(I611,{0,2,3,4,5,6,7,8,9,10,11,12,13,14,15,16},{0,10,20,30,40,50,60,64,68,72,76,80,85,90,95,100})</f>
        <v>20</v>
      </c>
      <c r="K611" s="7"/>
      <c r="L611" s="7"/>
      <c r="M611" s="21">
        <f t="shared" si="268"/>
        <v>20</v>
      </c>
      <c r="N611" s="6">
        <v>7.4</v>
      </c>
      <c r="O611" s="43">
        <f t="shared" si="269"/>
        <v>5.6</v>
      </c>
      <c r="P611" s="1">
        <f>LOOKUP(O611,{0,2.5,2.7,2.9,3.1,3.3,3.5,3.7,3.9,4.1,4.3,4.5,4.7,4.9,5.1,5.3,5.5,5.6,5.7,5.8,5.9},{0,10,20,30,40,50,60,62,64,66,68,70,72,74,76,78,80,85,90,95,100})</f>
        <v>85</v>
      </c>
      <c r="Q611" s="6">
        <v>3.4</v>
      </c>
      <c r="R611" s="6">
        <f t="shared" si="270"/>
        <v>6.6</v>
      </c>
      <c r="S611" s="1">
        <f>LOOKUP(R611,{0,3.75,3.95,4.55,4.75,4.95,5.55,5.6,5.65,5.7,5.75,5.8,5.85,5.9,5.95,6,6.45,6.53,6.6,6.65,6.7},{0,10,20,30,40,50,60,62,64,66,68,70,72,74,76,78,80,85,90,95,100})</f>
        <v>90</v>
      </c>
      <c r="T611" s="7"/>
      <c r="U611" s="7"/>
      <c r="V611" s="21">
        <f t="shared" si="271"/>
        <v>90</v>
      </c>
      <c r="X611" s="21">
        <f t="shared" si="272"/>
        <v>50.8</v>
      </c>
      <c r="Y611" s="37">
        <f t="shared" si="273"/>
        <v>72.5714285714286</v>
      </c>
    </row>
    <row r="612" ht="15.6" hidden="1" outlineLevel="2" spans="1:25">
      <c r="A612" s="6">
        <v>114</v>
      </c>
      <c r="B612" s="6">
        <v>7</v>
      </c>
      <c r="C612" s="29" t="s">
        <v>683</v>
      </c>
      <c r="D612" s="29" t="s">
        <v>11</v>
      </c>
      <c r="E612" s="6">
        <v>7</v>
      </c>
      <c r="F612" s="1">
        <f>LOOKUP(E612,{0,-4,-3,-2,-1,0,1,2.4,3.8,5.2,6.6,8,9.4,10.8,12.2,13.6,15,17.2,19.4,21.5,23.6},{0,10,20,30,40,50,60,62,64,66,68,70,72,74,76,78,80,85,90,95,100})</f>
        <v>68</v>
      </c>
      <c r="G612" s="6">
        <v>240</v>
      </c>
      <c r="H612" s="1">
        <f>LOOKUP(G612,{0,170,175,180,185,190,195,199,203,207,211,215,219,223,227,231,235,243,250,255,260},{0,10,20,30,40,50,60,62,64,66,68,70,72,74,76,78,80,85,90,95,100})</f>
        <v>80</v>
      </c>
      <c r="I612" s="6">
        <v>10</v>
      </c>
      <c r="J612" s="1">
        <f>LOOKUP(I612,{0,2,3,4,5,6,7,8,9,10,11,12,13,14,15,16},{0,10,20,30,40,50,60,64,68,72,76,80,85,90,95,100})</f>
        <v>72</v>
      </c>
      <c r="K612" s="7"/>
      <c r="L612" s="7"/>
      <c r="M612" s="21">
        <f t="shared" si="268"/>
        <v>72</v>
      </c>
      <c r="N612" s="6">
        <v>7.4</v>
      </c>
      <c r="O612" s="43">
        <f t="shared" si="269"/>
        <v>5.6</v>
      </c>
      <c r="P612" s="1">
        <f>LOOKUP(O612,{0,2.5,2.7,2.9,3.1,3.3,3.5,3.7,3.9,4.1,4.3,4.5,4.7,4.9,5.1,5.3,5.5,5.6,5.7,5.8,5.9},{0,10,20,30,40,50,60,62,64,66,68,70,72,74,76,78,80,85,90,95,100})</f>
        <v>85</v>
      </c>
      <c r="Q612" s="6">
        <v>4.15</v>
      </c>
      <c r="R612" s="6">
        <f t="shared" si="270"/>
        <v>5.85</v>
      </c>
      <c r="S612" s="1">
        <f>LOOKUP(R612,{0,3.75,3.95,4.55,4.75,4.95,5.55,5.6,5.65,5.7,5.75,5.8,5.85,5.9,5.95,6,6.45,6.53,6.6,6.65,6.7},{0,10,20,30,40,50,60,62,64,66,68,70,72,74,76,78,80,85,90,95,100})</f>
        <v>72</v>
      </c>
      <c r="T612" s="7"/>
      <c r="U612" s="7"/>
      <c r="V612" s="21">
        <f t="shared" si="271"/>
        <v>72</v>
      </c>
      <c r="X612" s="21">
        <f t="shared" si="272"/>
        <v>53.4</v>
      </c>
      <c r="Y612" s="37">
        <f t="shared" si="273"/>
        <v>76.2857142857143</v>
      </c>
    </row>
    <row r="613" ht="15.6" hidden="1" outlineLevel="2" spans="1:25">
      <c r="A613" s="6">
        <v>114</v>
      </c>
      <c r="B613" s="6">
        <v>8</v>
      </c>
      <c r="C613" s="29" t="s">
        <v>684</v>
      </c>
      <c r="D613" s="29" t="s">
        <v>11</v>
      </c>
      <c r="E613" s="6">
        <v>13</v>
      </c>
      <c r="F613" s="1">
        <f>LOOKUP(E613,{0,-4,-3,-2,-1,0,1,2.4,3.8,5.2,6.6,8,9.4,10.8,12.2,13.6,15,17.2,19.4,21.5,23.6},{0,10,20,30,40,50,60,62,64,66,68,70,72,74,76,78,80,85,90,95,100})</f>
        <v>76</v>
      </c>
      <c r="G613" s="6">
        <v>275</v>
      </c>
      <c r="H613" s="1">
        <f>LOOKUP(G613,{0,170,175,180,185,190,195,199,203,207,211,215,219,223,227,231,235,243,250,255,260},{0,10,20,30,40,50,60,62,64,66,68,70,72,74,76,78,80,85,90,95,100})</f>
        <v>100</v>
      </c>
      <c r="I613" s="6">
        <v>8</v>
      </c>
      <c r="J613" s="1">
        <f>LOOKUP(I613,{0,2,3,4,5,6,7,8,9,10,11,12,13,14,15,16},{0,10,20,30,40,50,60,64,68,72,76,80,85,90,95,100})</f>
        <v>64</v>
      </c>
      <c r="K613" s="7"/>
      <c r="L613" s="7"/>
      <c r="M613" s="21">
        <f t="shared" si="268"/>
        <v>64</v>
      </c>
      <c r="N613" s="6">
        <v>6.8</v>
      </c>
      <c r="O613" s="43">
        <f t="shared" si="269"/>
        <v>6.2</v>
      </c>
      <c r="P613" s="1">
        <f>LOOKUP(O613,{0,2.5,2.7,2.9,3.1,3.3,3.5,3.7,3.9,4.1,4.3,4.5,4.7,4.9,5.1,5.3,5.5,5.6,5.7,5.8,5.9},{0,10,20,30,40,50,60,62,64,66,68,70,72,74,76,78,80,85,90,95,100})</f>
        <v>100</v>
      </c>
      <c r="Q613" s="6">
        <v>3.07</v>
      </c>
      <c r="R613" s="6">
        <f t="shared" si="270"/>
        <v>6.93</v>
      </c>
      <c r="S613" s="1">
        <f>LOOKUP(R613,{0,3.75,3.95,4.55,4.75,4.95,5.55,5.6,5.65,5.7,5.75,5.8,5.85,5.9,5.95,6,6.45,6.53,6.6,6.65,6.7},{0,10,20,30,40,50,60,62,64,66,68,70,72,74,76,78,80,85,90,95,100})</f>
        <v>100</v>
      </c>
      <c r="T613" s="7">
        <f t="shared" ref="T613:T618" si="274">3.3-Q613</f>
        <v>0.23</v>
      </c>
      <c r="U613" s="40">
        <f>LOOKUP(T613,{0,0.04,0.08,0.12,0.16,0.2,0.23,0.26,0.29,0.32,0.35},{0,1,2,3,4,5,6,7,8,9,10})</f>
        <v>6</v>
      </c>
      <c r="V613" s="21">
        <f t="shared" si="271"/>
        <v>106</v>
      </c>
      <c r="X613" s="21">
        <f t="shared" si="272"/>
        <v>64</v>
      </c>
      <c r="Y613" s="37">
        <f t="shared" si="273"/>
        <v>97.4285714285714</v>
      </c>
    </row>
    <row r="614" ht="15.6" hidden="1" outlineLevel="2" spans="1:25">
      <c r="A614" s="6">
        <v>114</v>
      </c>
      <c r="B614" s="6">
        <v>9</v>
      </c>
      <c r="C614" s="29" t="s">
        <v>685</v>
      </c>
      <c r="D614" s="29" t="s">
        <v>11</v>
      </c>
      <c r="E614" s="6">
        <v>13.5</v>
      </c>
      <c r="F614" s="1">
        <f>LOOKUP(E614,{0,-4,-3,-2,-1,0,1,2.4,3.8,5.2,6.6,8,9.4,10.8,12.2,13.6,15,17.2,19.4,21.5,23.6},{0,10,20,30,40,50,60,62,64,66,68,70,72,74,76,78,80,85,90,95,100})</f>
        <v>76</v>
      </c>
      <c r="G614" s="6">
        <v>240</v>
      </c>
      <c r="H614" s="1">
        <f>LOOKUP(G614,{0,170,175,180,185,190,195,199,203,207,211,215,219,223,227,231,235,243,250,255,260},{0,10,20,30,40,50,60,62,64,66,68,70,72,74,76,78,80,85,90,95,100})</f>
        <v>80</v>
      </c>
      <c r="I614" s="6">
        <v>13</v>
      </c>
      <c r="J614" s="1">
        <f>LOOKUP(I614,{0,2,3,4,5,6,7,8,9,10,11,12,13,14,15,16},{0,10,20,30,40,50,60,64,68,72,76,80,85,90,95,100})</f>
        <v>85</v>
      </c>
      <c r="K614" s="7"/>
      <c r="L614" s="7"/>
      <c r="M614" s="21">
        <f t="shared" si="268"/>
        <v>85</v>
      </c>
      <c r="N614" s="6">
        <v>7.2</v>
      </c>
      <c r="O614" s="43">
        <f t="shared" si="269"/>
        <v>5.8</v>
      </c>
      <c r="P614" s="1">
        <f>LOOKUP(O614,{0,2.5,2.7,2.9,3.1,3.3,3.5,3.7,3.9,4.1,4.3,4.5,4.7,4.9,5.1,5.3,5.5,5.6,5.7,5.8,5.9},{0,10,20,30,40,50,60,62,64,66,68,70,72,74,76,78,80,85,90,95,100})</f>
        <v>95</v>
      </c>
      <c r="Q614" s="6">
        <v>4.06</v>
      </c>
      <c r="R614" s="6">
        <f t="shared" si="270"/>
        <v>5.94</v>
      </c>
      <c r="S614" s="1">
        <f>LOOKUP(R614,{0,3.75,3.95,4.55,4.75,4.95,5.55,5.6,5.65,5.7,5.75,5.8,5.85,5.9,5.95,6,6.45,6.53,6.6,6.65,6.7},{0,10,20,30,40,50,60,62,64,66,68,70,72,74,76,78,80,85,90,95,100})</f>
        <v>74</v>
      </c>
      <c r="T614" s="7"/>
      <c r="U614" s="7"/>
      <c r="V614" s="21">
        <f t="shared" si="271"/>
        <v>74</v>
      </c>
      <c r="X614" s="21">
        <f t="shared" si="272"/>
        <v>57.9</v>
      </c>
      <c r="Y614" s="37">
        <f t="shared" si="273"/>
        <v>82.7142857142857</v>
      </c>
    </row>
    <row r="615" ht="15.6" hidden="1" outlineLevel="2" spans="1:25">
      <c r="A615" s="6">
        <v>114</v>
      </c>
      <c r="B615" s="6">
        <v>10</v>
      </c>
      <c r="C615" s="29" t="s">
        <v>686</v>
      </c>
      <c r="D615" s="29" t="s">
        <v>11</v>
      </c>
      <c r="E615" s="6">
        <v>7</v>
      </c>
      <c r="F615" s="1">
        <f>LOOKUP(E615,{0,-4,-3,-2,-1,0,1,2.4,3.8,5.2,6.6,8,9.4,10.8,12.2,13.6,15,17.2,19.4,21.5,23.6},{0,10,20,30,40,50,60,62,64,66,68,70,72,74,76,78,80,85,90,95,100})</f>
        <v>68</v>
      </c>
      <c r="G615" s="6">
        <v>220</v>
      </c>
      <c r="H615" s="1">
        <f>LOOKUP(G615,{0,170,175,180,185,190,195,199,203,207,211,215,219,223,227,231,235,243,250,255,260},{0,10,20,30,40,50,60,62,64,66,68,70,72,74,76,78,80,85,90,95,100})</f>
        <v>72</v>
      </c>
      <c r="I615" s="6">
        <v>19</v>
      </c>
      <c r="J615" s="1">
        <f>LOOKUP(I615,{0,2,3,4,5,6,7,8,9,10,11,12,13,14,15,16},{0,10,20,30,40,50,60,64,68,72,76,80,85,90,95,100})</f>
        <v>100</v>
      </c>
      <c r="K615" s="7">
        <f>I615-16</f>
        <v>3</v>
      </c>
      <c r="L615" s="40">
        <f>LOOKUP(K615,{0,1,2,3,4,5,6,7,8,9,10},{0,1,2,3,4,5,6,7,8,9,10})</f>
        <v>3</v>
      </c>
      <c r="M615" s="21">
        <f t="shared" si="268"/>
        <v>103</v>
      </c>
      <c r="N615" s="6">
        <v>7.4</v>
      </c>
      <c r="O615" s="43">
        <f t="shared" si="269"/>
        <v>5.6</v>
      </c>
      <c r="P615" s="1">
        <f>LOOKUP(O615,{0,2.5,2.7,2.9,3.1,3.3,3.5,3.7,3.9,4.1,4.3,4.5,4.7,4.9,5.1,5.3,5.5,5.6,5.7,5.8,5.9},{0,10,20,30,40,50,60,62,64,66,68,70,72,74,76,78,80,85,90,95,100})</f>
        <v>85</v>
      </c>
      <c r="Q615" s="6">
        <v>3.59</v>
      </c>
      <c r="R615" s="6">
        <f t="shared" si="270"/>
        <v>6.41</v>
      </c>
      <c r="S615" s="1">
        <f>LOOKUP(R615,{0,3.75,3.95,4.55,4.75,4.95,5.55,5.6,5.65,5.7,5.75,5.8,5.85,5.9,5.95,6,6.45,6.53,6.6,6.65,6.7},{0,10,20,30,40,50,60,62,64,66,68,70,72,74,76,78,80,85,90,95,100})</f>
        <v>78</v>
      </c>
      <c r="T615" s="7"/>
      <c r="U615" s="7"/>
      <c r="V615" s="21">
        <f t="shared" si="271"/>
        <v>78</v>
      </c>
      <c r="X615" s="21">
        <f t="shared" si="272"/>
        <v>56.6</v>
      </c>
      <c r="Y615" s="37">
        <f t="shared" si="273"/>
        <v>83.8571428571429</v>
      </c>
    </row>
    <row r="616" ht="15.6" hidden="1" outlineLevel="2" spans="1:25">
      <c r="A616" s="6">
        <v>114</v>
      </c>
      <c r="B616" s="6">
        <v>11</v>
      </c>
      <c r="C616" s="29" t="s">
        <v>687</v>
      </c>
      <c r="D616" s="29" t="s">
        <v>11</v>
      </c>
      <c r="E616" s="6">
        <v>15</v>
      </c>
      <c r="F616" s="1">
        <f>LOOKUP(E616,{0,-4,-3,-2,-1,0,1,2.4,3.8,5.2,6.6,8,9.4,10.8,12.2,13.6,15,17.2,19.4,21.5,23.6},{0,10,20,30,40,50,60,62,64,66,68,70,72,74,76,78,80,85,90,95,100})</f>
        <v>80</v>
      </c>
      <c r="G616" s="6">
        <v>234</v>
      </c>
      <c r="H616" s="1">
        <f>LOOKUP(G616,{0,170,175,180,185,190,195,199,203,207,211,215,219,223,227,231,235,243,250,255,260},{0,10,20,30,40,50,60,62,64,66,68,70,72,74,76,78,80,85,90,95,100})</f>
        <v>78</v>
      </c>
      <c r="I616" s="6">
        <v>4</v>
      </c>
      <c r="J616" s="1">
        <f>LOOKUP(I616,{0,2,3,4,5,6,7,8,9,10,11,12,13,14,15,16},{0,10,20,30,40,50,60,64,68,72,76,80,85,90,95,100})</f>
        <v>30</v>
      </c>
      <c r="K616" s="7"/>
      <c r="L616" s="7"/>
      <c r="M616" s="21">
        <f t="shared" si="268"/>
        <v>30</v>
      </c>
      <c r="N616" s="6">
        <v>7</v>
      </c>
      <c r="O616" s="43">
        <f t="shared" si="269"/>
        <v>6</v>
      </c>
      <c r="P616" s="1">
        <f>LOOKUP(O616,{0,2.5,2.7,2.9,3.1,3.3,3.5,3.7,3.9,4.1,4.3,4.5,4.7,4.9,5.1,5.3,5.5,5.6,5.7,5.8,5.9},{0,10,20,30,40,50,60,62,64,66,68,70,72,74,76,78,80,85,90,95,100})</f>
        <v>100</v>
      </c>
      <c r="Q616" s="6">
        <v>3.17</v>
      </c>
      <c r="R616" s="6">
        <f t="shared" si="270"/>
        <v>6.83</v>
      </c>
      <c r="S616" s="1">
        <f>LOOKUP(R616,{0,3.75,3.95,4.55,4.75,4.95,5.55,5.6,5.65,5.7,5.75,5.8,5.85,5.9,5.95,6,6.45,6.53,6.6,6.65,6.7},{0,10,20,30,40,50,60,62,64,66,68,70,72,74,76,78,80,85,90,95,100})</f>
        <v>100</v>
      </c>
      <c r="T616" s="7">
        <f t="shared" si="274"/>
        <v>0.13</v>
      </c>
      <c r="U616" s="40">
        <f>LOOKUP(T616,{0,0.04,0.08,0.12,0.16,0.2,0.23,0.26,0.29,0.32,0.35},{0,1,2,3,4,5,6,7,8,9,10})</f>
        <v>3</v>
      </c>
      <c r="V616" s="21">
        <f t="shared" si="271"/>
        <v>103</v>
      </c>
      <c r="X616" s="21">
        <f t="shared" si="272"/>
        <v>58.8</v>
      </c>
      <c r="Y616" s="37">
        <f t="shared" si="273"/>
        <v>87</v>
      </c>
    </row>
    <row r="617" ht="15.6" hidden="1" outlineLevel="2" spans="1:25">
      <c r="A617" s="6">
        <v>114</v>
      </c>
      <c r="B617" s="6">
        <v>12</v>
      </c>
      <c r="C617" s="29" t="s">
        <v>688</v>
      </c>
      <c r="D617" s="29" t="s">
        <v>11</v>
      </c>
      <c r="E617" s="6">
        <v>10</v>
      </c>
      <c r="F617" s="1">
        <f>LOOKUP(E617,{0,-4,-3,-2,-1,0,1,2.4,3.8,5.2,6.6,8,9.4,10.8,12.2,13.6,15,17.2,19.4,21.5,23.6},{0,10,20,30,40,50,60,62,64,66,68,70,72,74,76,78,80,85,90,95,100})</f>
        <v>72</v>
      </c>
      <c r="G617" s="6">
        <v>259</v>
      </c>
      <c r="H617" s="1">
        <f>LOOKUP(G617,{0,170,175,180,185,190,195,199,203,207,211,215,219,223,227,231,235,243,250,255,260},{0,10,20,30,40,50,60,62,64,66,68,70,72,74,76,78,80,85,90,95,100})</f>
        <v>95</v>
      </c>
      <c r="I617" s="6">
        <v>17</v>
      </c>
      <c r="J617" s="1">
        <f>LOOKUP(I617,{0,2,3,4,5,6,7,8,9,10,11,12,13,14,15,16},{0,10,20,30,40,50,60,64,68,72,76,80,85,90,95,100})</f>
        <v>100</v>
      </c>
      <c r="K617" s="7">
        <f>I617-16</f>
        <v>1</v>
      </c>
      <c r="L617" s="40">
        <f>LOOKUP(K617,{0,1,2,3,4,5,6,7,8,9,10},{0,1,2,3,4,5,6,7,8,9,10})</f>
        <v>1</v>
      </c>
      <c r="M617" s="21">
        <f t="shared" si="268"/>
        <v>101</v>
      </c>
      <c r="N617" s="6">
        <v>7.1</v>
      </c>
      <c r="O617" s="43">
        <f t="shared" si="269"/>
        <v>5.9</v>
      </c>
      <c r="P617" s="1">
        <f>LOOKUP(O617,{0,2.5,2.7,2.9,3.1,3.3,3.5,3.7,3.9,4.1,4.3,4.5,4.7,4.9,5.1,5.3,5.5,5.6,5.7,5.8,5.9},{0,10,20,30,40,50,60,62,64,66,68,70,72,74,76,78,80,85,90,95,100})</f>
        <v>100</v>
      </c>
      <c r="Q617" s="6">
        <v>4</v>
      </c>
      <c r="R617" s="6">
        <f t="shared" si="270"/>
        <v>6</v>
      </c>
      <c r="S617" s="1">
        <f>LOOKUP(R617,{0,3.75,3.95,4.55,4.75,4.95,5.55,5.6,5.65,5.7,5.75,5.8,5.85,5.9,5.95,6,6.45,6.53,6.6,6.65,6.7},{0,10,20,30,40,50,60,62,64,66,68,70,72,74,76,78,80,85,90,95,100})</f>
        <v>78</v>
      </c>
      <c r="T617" s="7"/>
      <c r="U617" s="7"/>
      <c r="V617" s="21">
        <f t="shared" si="271"/>
        <v>78</v>
      </c>
      <c r="X617" s="21">
        <f t="shared" si="272"/>
        <v>62.3</v>
      </c>
      <c r="Y617" s="37">
        <f t="shared" si="273"/>
        <v>90</v>
      </c>
    </row>
    <row r="618" ht="15.6" hidden="1" outlineLevel="2" spans="1:25">
      <c r="A618" s="6">
        <v>114</v>
      </c>
      <c r="B618" s="6">
        <v>13</v>
      </c>
      <c r="C618" s="39" t="s">
        <v>690</v>
      </c>
      <c r="D618" s="29" t="s">
        <v>11</v>
      </c>
      <c r="E618" s="6">
        <v>2.4</v>
      </c>
      <c r="F618" s="1">
        <f>LOOKUP(E618,{0,-4,-3,-2,-1,0,1,2.4,3.8,5.2,6.6,8,9.4,10.8,12.2,13.6,15,17.2,19.4,21.5,23.6},{0,10,20,30,40,50,60,62,64,66,68,70,72,74,76,78,80,85,90,95,100})</f>
        <v>62</v>
      </c>
      <c r="G618" s="6">
        <v>258</v>
      </c>
      <c r="H618" s="1">
        <f>LOOKUP(G618,{0,170,175,180,185,190,195,199,203,207,211,215,219,223,227,231,235,243,250,255,260},{0,10,20,30,40,50,60,62,64,66,68,70,72,74,76,78,80,85,90,95,100})</f>
        <v>95</v>
      </c>
      <c r="I618" s="6">
        <v>11</v>
      </c>
      <c r="J618" s="1">
        <f>LOOKUP(I618,{0,2,3,4,5,6,7,8,9,10,11,12,13,14,15,16},{0,10,20,30,40,50,60,64,68,72,76,80,85,90,95,100})</f>
        <v>76</v>
      </c>
      <c r="K618" s="7"/>
      <c r="L618" s="7"/>
      <c r="M618" s="21">
        <f t="shared" si="268"/>
        <v>76</v>
      </c>
      <c r="N618" s="6">
        <v>7</v>
      </c>
      <c r="O618" s="43">
        <f t="shared" si="269"/>
        <v>6</v>
      </c>
      <c r="P618" s="1">
        <f>LOOKUP(O618,{0,2.5,2.7,2.9,3.1,3.3,3.5,3.7,3.9,4.1,4.3,4.5,4.7,4.9,5.1,5.3,5.5,5.6,5.7,5.8,5.9},{0,10,20,30,40,50,60,62,64,66,68,70,72,74,76,78,80,85,90,95,100})</f>
        <v>100</v>
      </c>
      <c r="Q618" s="6">
        <v>3.25</v>
      </c>
      <c r="R618" s="6">
        <f t="shared" si="270"/>
        <v>6.75</v>
      </c>
      <c r="S618" s="1">
        <f>LOOKUP(R618,{0,3.75,3.95,4.55,4.75,4.95,5.55,5.6,5.65,5.7,5.75,5.8,5.85,5.9,5.95,6,6.45,6.53,6.6,6.65,6.7},{0,10,20,30,40,50,60,62,64,66,68,70,72,74,76,78,80,85,90,95,100})</f>
        <v>100</v>
      </c>
      <c r="T618" s="7">
        <f t="shared" si="274"/>
        <v>0.0499999999999998</v>
      </c>
      <c r="U618" s="40">
        <f>LOOKUP(T618,{0,0.04,0.08,0.12,0.16,0.2,0.23,0.26,0.29,0.32,0.35},{0,1,2,3,4,5,6,7,8,9,10})</f>
        <v>1</v>
      </c>
      <c r="V618" s="21">
        <f t="shared" si="271"/>
        <v>101</v>
      </c>
      <c r="X618" s="21">
        <f t="shared" si="272"/>
        <v>63.3</v>
      </c>
      <c r="Y618" s="37">
        <f t="shared" si="273"/>
        <v>91.4285714285714</v>
      </c>
    </row>
    <row r="619" ht="15.6" hidden="1" outlineLevel="2" spans="1:25">
      <c r="A619" s="6">
        <v>114</v>
      </c>
      <c r="B619" s="6">
        <v>14</v>
      </c>
      <c r="C619" s="29" t="s">
        <v>691</v>
      </c>
      <c r="D619" s="29" t="s">
        <v>11</v>
      </c>
      <c r="E619" s="6">
        <v>8.5</v>
      </c>
      <c r="F619" s="1">
        <f>LOOKUP(E619,{0,-4,-3,-2,-1,0,1,2.4,3.8,5.2,6.6,8,9.4,10.8,12.2,13.6,15,17.2,19.4,21.5,23.6},{0,10,20,30,40,50,60,62,64,66,68,70,72,74,76,78,80,85,90,95,100})</f>
        <v>70</v>
      </c>
      <c r="G619" s="6">
        <v>228</v>
      </c>
      <c r="H619" s="1">
        <f>LOOKUP(G619,{0,170,175,180,185,190,195,199,203,207,211,215,219,223,227,231,235,243,250,255,260},{0,10,20,30,40,50,60,62,64,66,68,70,72,74,76,78,80,85,90,95,100})</f>
        <v>76</v>
      </c>
      <c r="I619" s="6">
        <v>6</v>
      </c>
      <c r="J619" s="1">
        <f>LOOKUP(I619,{0,2,3,4,5,6,7,8,9,10,11,12,13,14,15,16},{0,10,20,30,40,50,60,64,68,72,76,80,85,90,95,100})</f>
        <v>50</v>
      </c>
      <c r="K619" s="7"/>
      <c r="L619" s="7"/>
      <c r="M619" s="21">
        <f t="shared" si="268"/>
        <v>50</v>
      </c>
      <c r="N619" s="6">
        <v>7.5</v>
      </c>
      <c r="O619" s="43">
        <f t="shared" si="269"/>
        <v>5.5</v>
      </c>
      <c r="P619" s="1">
        <f>LOOKUP(O619,{0,2.5,2.7,2.9,3.1,3.3,3.5,3.7,3.9,4.1,4.3,4.5,4.7,4.9,5.1,5.3,5.5,5.6,5.7,5.8,5.9},{0,10,20,30,40,50,60,62,64,66,68,70,72,74,76,78,80,85,90,95,100})</f>
        <v>80</v>
      </c>
      <c r="Q619" s="6">
        <v>3.55</v>
      </c>
      <c r="R619" s="6">
        <f t="shared" si="270"/>
        <v>6.45</v>
      </c>
      <c r="S619" s="1">
        <f>LOOKUP(R619,{0,3.75,3.95,4.55,4.75,4.95,5.55,5.6,5.65,5.7,5.75,5.8,5.85,5.9,5.95,6,6.45,6.53,6.6,6.65,6.7},{0,10,20,30,40,50,60,62,64,66,68,70,72,74,76,78,80,85,90,95,100})</f>
        <v>80</v>
      </c>
      <c r="T619" s="7"/>
      <c r="U619" s="7"/>
      <c r="V619" s="21">
        <f t="shared" si="271"/>
        <v>80</v>
      </c>
      <c r="X619" s="21">
        <f t="shared" si="272"/>
        <v>51.6</v>
      </c>
      <c r="Y619" s="37">
        <f t="shared" si="273"/>
        <v>73.7142857142857</v>
      </c>
    </row>
    <row r="620" ht="15.6" hidden="1" outlineLevel="2" spans="1:25">
      <c r="A620" s="6">
        <v>114</v>
      </c>
      <c r="B620" s="6">
        <v>15</v>
      </c>
      <c r="C620" s="29" t="s">
        <v>692</v>
      </c>
      <c r="D620" s="29" t="s">
        <v>11</v>
      </c>
      <c r="E620" s="6">
        <v>6.5</v>
      </c>
      <c r="F620" s="1">
        <f>LOOKUP(E620,{0,-4,-3,-2,-1,0,1,2.4,3.8,5.2,6.6,8,9.4,10.8,12.2,13.6,15,17.2,19.4,21.5,23.6},{0,10,20,30,40,50,60,62,64,66,68,70,72,74,76,78,80,85,90,95,100})</f>
        <v>66</v>
      </c>
      <c r="G620" s="6">
        <v>198</v>
      </c>
      <c r="H620" s="1">
        <f>LOOKUP(G620,{0,170,175,180,185,190,195,199,203,207,211,215,219,223,227,231,235,243,250,255,260},{0,10,20,30,40,50,60,62,64,66,68,70,72,74,76,78,80,85,90,95,100})</f>
        <v>60</v>
      </c>
      <c r="I620" s="6">
        <v>8</v>
      </c>
      <c r="J620" s="1">
        <f>LOOKUP(I620,{0,2,3,4,5,6,7,8,9,10,11,12,13,14,15,16},{0,10,20,30,40,50,60,64,68,72,76,80,85,90,95,100})</f>
        <v>64</v>
      </c>
      <c r="K620" s="7"/>
      <c r="L620" s="7"/>
      <c r="M620" s="21">
        <f t="shared" si="268"/>
        <v>64</v>
      </c>
      <c r="N620" s="6">
        <v>7.6</v>
      </c>
      <c r="O620" s="43">
        <f t="shared" si="269"/>
        <v>5.4</v>
      </c>
      <c r="P620" s="1">
        <f>LOOKUP(O620,{0,2.5,2.7,2.9,3.1,3.3,3.5,3.7,3.9,4.1,4.3,4.5,4.7,4.9,5.1,5.3,5.5,5.6,5.7,5.8,5.9},{0,10,20,30,40,50,60,62,64,66,68,70,72,74,76,78,80,85,90,95,100})</f>
        <v>78</v>
      </c>
      <c r="Q620" s="6">
        <v>3.43</v>
      </c>
      <c r="R620" s="6">
        <f t="shared" si="270"/>
        <v>6.57</v>
      </c>
      <c r="S620" s="1">
        <f>LOOKUP(R620,{0,3.75,3.95,4.55,4.75,4.95,5.55,5.6,5.65,5.7,5.75,5.8,5.85,5.9,5.95,6,6.45,6.53,6.6,6.65,6.7},{0,10,20,30,40,50,60,62,64,66,68,70,72,74,76,78,80,85,90,95,100})</f>
        <v>85</v>
      </c>
      <c r="T620" s="7"/>
      <c r="U620" s="7"/>
      <c r="V620" s="21">
        <f t="shared" si="271"/>
        <v>85</v>
      </c>
      <c r="X620" s="21">
        <f t="shared" si="272"/>
        <v>51.6</v>
      </c>
      <c r="Y620" s="37">
        <f t="shared" si="273"/>
        <v>73.7142857142857</v>
      </c>
    </row>
    <row r="621" ht="15.6" hidden="1" outlineLevel="2" spans="1:25">
      <c r="A621" s="6">
        <v>114</v>
      </c>
      <c r="B621" s="6">
        <v>16</v>
      </c>
      <c r="C621" s="29" t="s">
        <v>693</v>
      </c>
      <c r="D621" s="29" t="s">
        <v>11</v>
      </c>
      <c r="E621" s="6">
        <v>7.5</v>
      </c>
      <c r="F621" s="1">
        <f>LOOKUP(E621,{0,-4,-3,-2,-1,0,1,2.4,3.8,5.2,6.6,8,9.4,10.8,12.2,13.6,15,17.2,19.4,21.5,23.6},{0,10,20,30,40,50,60,62,64,66,68,70,72,74,76,78,80,85,90,95,100})</f>
        <v>68</v>
      </c>
      <c r="G621" s="6">
        <v>266</v>
      </c>
      <c r="H621" s="1">
        <f>LOOKUP(G621,{0,170,175,180,185,190,195,199,203,207,211,215,219,223,227,231,235,243,250,255,260},{0,10,20,30,40,50,60,62,64,66,68,70,72,74,76,78,80,85,90,95,100})</f>
        <v>100</v>
      </c>
      <c r="I621" s="6">
        <v>26</v>
      </c>
      <c r="J621" s="1">
        <f>LOOKUP(I621,{0,2,3,4,5,6,7,8,9,10,11,12,13,14,15,16},{0,10,20,30,40,50,60,64,68,72,76,80,85,90,95,100})</f>
        <v>100</v>
      </c>
      <c r="K621" s="7">
        <f>I621-16</f>
        <v>10</v>
      </c>
      <c r="L621" s="40">
        <f>LOOKUP(K621,{0,1,2,3,4,5,6,7,8,9,10},{0,1,2,3,4,5,6,7,8,9,10})</f>
        <v>10</v>
      </c>
      <c r="M621" s="21">
        <f t="shared" si="268"/>
        <v>110</v>
      </c>
      <c r="N621" s="6">
        <v>7.2</v>
      </c>
      <c r="O621" s="43">
        <f t="shared" si="269"/>
        <v>5.8</v>
      </c>
      <c r="P621" s="1">
        <f>LOOKUP(O621,{0,2.5,2.7,2.9,3.1,3.3,3.5,3.7,3.9,4.1,4.3,4.5,4.7,4.9,5.1,5.3,5.5,5.6,5.7,5.8,5.9},{0,10,20,30,40,50,60,62,64,66,68,70,72,74,76,78,80,85,90,95,100})</f>
        <v>95</v>
      </c>
      <c r="Q621" s="6">
        <v>3.46</v>
      </c>
      <c r="R621" s="6">
        <f t="shared" si="270"/>
        <v>6.54</v>
      </c>
      <c r="S621" s="1">
        <f>LOOKUP(R621,{0,3.75,3.95,4.55,4.75,4.95,5.55,5.6,5.65,5.7,5.75,5.8,5.85,5.9,5.95,6,6.45,6.53,6.6,6.65,6.7},{0,10,20,30,40,50,60,62,64,66,68,70,72,74,76,78,80,85,90,95,100})</f>
        <v>85</v>
      </c>
      <c r="T621" s="7"/>
      <c r="U621" s="7"/>
      <c r="V621" s="21">
        <f t="shared" si="271"/>
        <v>85</v>
      </c>
      <c r="X621" s="21">
        <f t="shared" si="272"/>
        <v>62.8</v>
      </c>
      <c r="Y621" s="37">
        <f t="shared" si="273"/>
        <v>99.7142857142857</v>
      </c>
    </row>
    <row r="622" ht="15.6" hidden="1" outlineLevel="2" spans="1:25">
      <c r="A622" s="6">
        <v>114</v>
      </c>
      <c r="B622" s="6">
        <v>17</v>
      </c>
      <c r="C622" s="29" t="s">
        <v>694</v>
      </c>
      <c r="D622" s="29" t="s">
        <v>11</v>
      </c>
      <c r="E622" s="6">
        <v>14</v>
      </c>
      <c r="F622" s="1">
        <f>LOOKUP(E622,{0,-4,-3,-2,-1,0,1,2.4,3.8,5.2,6.6,8,9.4,10.8,12.2,13.6,15,17.2,19.4,21.5,23.6},{0,10,20,30,40,50,60,62,64,66,68,70,72,74,76,78,80,85,90,95,100})</f>
        <v>78</v>
      </c>
      <c r="G622" s="6">
        <v>223</v>
      </c>
      <c r="H622" s="1">
        <f>LOOKUP(G622,{0,170,175,180,185,190,195,199,203,207,211,215,219,223,227,231,235,243,250,255,260},{0,10,20,30,40,50,60,62,64,66,68,70,72,74,76,78,80,85,90,95,100})</f>
        <v>74</v>
      </c>
      <c r="I622" s="6">
        <v>12</v>
      </c>
      <c r="J622" s="1">
        <f>LOOKUP(I622,{0,2,3,4,5,6,7,8,9,10,11,12,13,14,15,16},{0,10,20,30,40,50,60,64,68,72,76,80,85,90,95,100})</f>
        <v>80</v>
      </c>
      <c r="K622" s="7"/>
      <c r="L622" s="7"/>
      <c r="M622" s="21">
        <f t="shared" si="268"/>
        <v>80</v>
      </c>
      <c r="N622" s="6">
        <v>7.2</v>
      </c>
      <c r="O622" s="43">
        <f t="shared" si="269"/>
        <v>5.8</v>
      </c>
      <c r="P622" s="1">
        <f>LOOKUP(O622,{0,2.5,2.7,2.9,3.1,3.3,3.5,3.7,3.9,4.1,4.3,4.5,4.7,4.9,5.1,5.3,5.5,5.6,5.7,5.8,5.9},{0,10,20,30,40,50,60,62,64,66,68,70,72,74,76,78,80,85,90,95,100})</f>
        <v>95</v>
      </c>
      <c r="Q622" s="6">
        <v>3.47</v>
      </c>
      <c r="R622" s="6">
        <f t="shared" si="270"/>
        <v>6.53</v>
      </c>
      <c r="S622" s="1">
        <f>LOOKUP(R622,{0,3.75,3.95,4.55,4.75,4.95,5.55,5.6,5.65,5.7,5.75,5.8,5.85,5.9,5.95,6,6.45,6.53,6.6,6.65,6.7},{0,10,20,30,40,50,60,62,64,66,68,70,72,74,76,78,80,85,90,95,100})</f>
        <v>85</v>
      </c>
      <c r="T622" s="7"/>
      <c r="U622" s="7"/>
      <c r="V622" s="21">
        <f t="shared" si="271"/>
        <v>85</v>
      </c>
      <c r="X622" s="21">
        <f t="shared" si="272"/>
        <v>59.2</v>
      </c>
      <c r="Y622" s="37">
        <f t="shared" si="273"/>
        <v>84.5714285714286</v>
      </c>
    </row>
    <row r="623" ht="15.6" hidden="1" outlineLevel="2" spans="1:25">
      <c r="A623" s="6">
        <v>114</v>
      </c>
      <c r="B623" s="6">
        <v>18</v>
      </c>
      <c r="C623" s="29" t="s">
        <v>695</v>
      </c>
      <c r="D623" s="29" t="s">
        <v>11</v>
      </c>
      <c r="E623" s="6">
        <v>1.5</v>
      </c>
      <c r="F623" s="1">
        <f>LOOKUP(E623,{0,-4,-3,-2,-1,0,1,2.4,3.8,5.2,6.6,8,9.4,10.8,12.2,13.6,15,17.2,19.4,21.5,23.6},{0,10,20,30,40,50,60,62,64,66,68,70,72,74,76,78,80,85,90,95,100})</f>
        <v>60</v>
      </c>
      <c r="G623" s="6">
        <v>226</v>
      </c>
      <c r="H623" s="1">
        <f>LOOKUP(G623,{0,170,175,180,185,190,195,199,203,207,211,215,219,223,227,231,235,243,250,255,260},{0,10,20,30,40,50,60,62,64,66,68,70,72,74,76,78,80,85,90,95,100})</f>
        <v>74</v>
      </c>
      <c r="I623" s="6">
        <v>17</v>
      </c>
      <c r="J623" s="1">
        <f>LOOKUP(I623,{0,2,3,4,5,6,7,8,9,10,11,12,13,14,15,16},{0,10,20,30,40,50,60,64,68,72,76,80,85,90,95,100})</f>
        <v>100</v>
      </c>
      <c r="K623" s="7">
        <f>I623-16</f>
        <v>1</v>
      </c>
      <c r="L623" s="40">
        <f>LOOKUP(K623,{0,1,2,3,4,5,6,7,8,9,10},{0,1,2,3,4,5,6,7,8,9,10})</f>
        <v>1</v>
      </c>
      <c r="M623" s="21">
        <f t="shared" si="268"/>
        <v>101</v>
      </c>
      <c r="N623" s="6">
        <v>7.7</v>
      </c>
      <c r="O623" s="43">
        <f t="shared" si="269"/>
        <v>5.3</v>
      </c>
      <c r="P623" s="1">
        <f>LOOKUP(O623,{0,2.5,2.7,2.9,3.1,3.3,3.5,3.7,3.9,4.1,4.3,4.5,4.7,4.9,5.1,5.3,5.5,5.6,5.7,5.8,5.9},{0,10,20,30,40,50,60,62,64,66,68,70,72,74,76,78,80,85,90,95,100})</f>
        <v>78</v>
      </c>
      <c r="Q623" s="6">
        <v>3.13</v>
      </c>
      <c r="R623" s="6">
        <f t="shared" si="270"/>
        <v>6.87</v>
      </c>
      <c r="S623" s="1">
        <f>LOOKUP(R623,{0,3.75,3.95,4.55,4.75,4.95,5.55,5.6,5.65,5.7,5.75,5.8,5.85,5.9,5.95,6,6.45,6.53,6.6,6.65,6.7},{0,10,20,30,40,50,60,62,64,66,68,70,72,74,76,78,80,85,90,95,100})</f>
        <v>100</v>
      </c>
      <c r="T623" s="7">
        <f t="shared" ref="T623:T628" si="275">3.3-Q623</f>
        <v>0.17</v>
      </c>
      <c r="U623" s="40">
        <f>LOOKUP(T623,{0,0.04,0.08,0.12,0.16,0.2,0.23,0.26,0.29,0.32,0.35},{0,1,2,3,4,5,6,7,8,9,10})</f>
        <v>4</v>
      </c>
      <c r="V623" s="21">
        <f t="shared" si="271"/>
        <v>104</v>
      </c>
      <c r="X623" s="21">
        <f t="shared" si="272"/>
        <v>59</v>
      </c>
      <c r="Y623" s="37">
        <f t="shared" si="273"/>
        <v>89.2857142857143</v>
      </c>
    </row>
    <row r="624" ht="15.6" hidden="1" outlineLevel="2" spans="1:25">
      <c r="A624" s="6">
        <v>114</v>
      </c>
      <c r="B624" s="6">
        <v>19</v>
      </c>
      <c r="C624" s="29" t="s">
        <v>696</v>
      </c>
      <c r="D624" s="29" t="s">
        <v>11</v>
      </c>
      <c r="E624" s="6">
        <v>10</v>
      </c>
      <c r="F624" s="1">
        <f>LOOKUP(E624,{0,-4,-3,-2,-1,0,1,2.4,3.8,5.2,6.6,8,9.4,10.8,12.2,13.6,15,17.2,19.4,21.5,23.6},{0,10,20,30,40,50,60,62,64,66,68,70,72,74,76,78,80,85,90,95,100})</f>
        <v>72</v>
      </c>
      <c r="G624" s="6">
        <v>252</v>
      </c>
      <c r="H624" s="1">
        <f>LOOKUP(G624,{0,170,175,180,185,190,195,199,203,207,211,215,219,223,227,231,235,243,250,255,260},{0,10,20,30,40,50,60,62,64,66,68,70,72,74,76,78,80,85,90,95,100})</f>
        <v>90</v>
      </c>
      <c r="I624" s="6">
        <v>5</v>
      </c>
      <c r="J624" s="1">
        <f>LOOKUP(I624,{0,2,3,4,5,6,7,8,9,10,11,12,13,14,15,16},{0,10,20,30,40,50,60,64,68,72,76,80,85,90,95,100})</f>
        <v>40</v>
      </c>
      <c r="K624" s="7"/>
      <c r="L624" s="7"/>
      <c r="M624" s="21">
        <f t="shared" si="268"/>
        <v>40</v>
      </c>
      <c r="N624" s="6">
        <v>6.9</v>
      </c>
      <c r="O624" s="43">
        <f t="shared" si="269"/>
        <v>6.1</v>
      </c>
      <c r="P624" s="1">
        <f>LOOKUP(O624,{0,2.5,2.7,2.9,3.1,3.3,3.5,3.7,3.9,4.1,4.3,4.5,4.7,4.9,5.1,5.3,5.5,5.6,5.7,5.8,5.9},{0,10,20,30,40,50,60,62,64,66,68,70,72,74,76,78,80,85,90,95,100})</f>
        <v>100</v>
      </c>
      <c r="Q624" s="6">
        <v>3.27</v>
      </c>
      <c r="R624" s="6">
        <f t="shared" si="270"/>
        <v>6.73</v>
      </c>
      <c r="S624" s="1">
        <f>LOOKUP(R624,{0,3.75,3.95,4.55,4.75,4.95,5.55,5.6,5.65,5.7,5.75,5.8,5.85,5.9,5.95,6,6.45,6.53,6.6,6.65,6.7},{0,10,20,30,40,50,60,62,64,66,68,70,72,74,76,78,80,85,90,95,100})</f>
        <v>100</v>
      </c>
      <c r="T624" s="7">
        <f t="shared" si="275"/>
        <v>0.0299999999999998</v>
      </c>
      <c r="U624" s="40">
        <f>LOOKUP(T624,{0,0.04,0.08,0.12,0.16,0.2,0.23,0.26,0.29,0.32,0.35},{0,1,2,3,4,5,6,7,8,9,10})</f>
        <v>0</v>
      </c>
      <c r="V624" s="21">
        <f t="shared" si="271"/>
        <v>100</v>
      </c>
      <c r="X624" s="21">
        <f t="shared" si="272"/>
        <v>60.2</v>
      </c>
      <c r="Y624" s="37">
        <f t="shared" si="273"/>
        <v>86</v>
      </c>
    </row>
    <row r="625" ht="15.6" hidden="1" outlineLevel="2" spans="1:25">
      <c r="A625" s="6">
        <v>114</v>
      </c>
      <c r="B625" s="6">
        <v>20</v>
      </c>
      <c r="C625" s="29" t="s">
        <v>697</v>
      </c>
      <c r="D625" s="29" t="s">
        <v>11</v>
      </c>
      <c r="E625" s="6">
        <v>3.5</v>
      </c>
      <c r="F625" s="1">
        <f>LOOKUP(E625,{0,-4,-3,-2,-1,0,1,2.4,3.8,5.2,6.6,8,9.4,10.8,12.2,13.6,15,17.2,19.4,21.5,23.6},{0,10,20,30,40,50,60,62,64,66,68,70,72,74,76,78,80,85,90,95,100})</f>
        <v>62</v>
      </c>
      <c r="G625" s="6">
        <v>237</v>
      </c>
      <c r="H625" s="1">
        <f>LOOKUP(G625,{0,170,175,180,185,190,195,199,203,207,211,215,219,223,227,231,235,243,250,255,260},{0,10,20,30,40,50,60,62,64,66,68,70,72,74,76,78,80,85,90,95,100})</f>
        <v>80</v>
      </c>
      <c r="I625" s="6">
        <v>2</v>
      </c>
      <c r="J625" s="1">
        <f>LOOKUP(I625,{0,2,3,4,5,6,7,8,9,10,11,12,13,14,15,16},{0,10,20,30,40,50,60,64,68,72,76,80,85,90,95,100})</f>
        <v>10</v>
      </c>
      <c r="K625" s="7"/>
      <c r="L625" s="7"/>
      <c r="M625" s="21">
        <f t="shared" si="268"/>
        <v>10</v>
      </c>
      <c r="N625" s="6">
        <v>7.3</v>
      </c>
      <c r="O625" s="43">
        <f t="shared" si="269"/>
        <v>5.7</v>
      </c>
      <c r="P625" s="1">
        <f>LOOKUP(O625,{0,2.5,2.7,2.9,3.1,3.3,3.5,3.7,3.9,4.1,4.3,4.5,4.7,4.9,5.1,5.3,5.5,5.6,5.7,5.8,5.9},{0,10,20,30,40,50,60,62,64,66,68,70,72,74,76,78,80,85,90,95,100})</f>
        <v>90</v>
      </c>
      <c r="Q625" s="6">
        <v>3.35</v>
      </c>
      <c r="R625" s="6">
        <f t="shared" si="270"/>
        <v>6.65</v>
      </c>
      <c r="S625" s="1">
        <f>LOOKUP(R625,{0,3.75,3.95,4.55,4.75,4.95,5.55,5.6,5.65,5.7,5.75,5.8,5.85,5.9,5.95,6,6.45,6.53,6.6,6.65,6.7},{0,10,20,30,40,50,60,62,64,66,68,70,72,74,76,78,80,85,90,95,100})</f>
        <v>95</v>
      </c>
      <c r="T625" s="7"/>
      <c r="U625" s="7"/>
      <c r="V625" s="21">
        <f t="shared" si="271"/>
        <v>95</v>
      </c>
      <c r="X625" s="21">
        <f t="shared" si="272"/>
        <v>52.2</v>
      </c>
      <c r="Y625" s="37">
        <f t="shared" si="273"/>
        <v>74.5714285714286</v>
      </c>
    </row>
    <row r="626" s="3" customFormat="1" ht="15.6" hidden="1" outlineLevel="2" spans="1:25">
      <c r="A626" s="6">
        <v>114</v>
      </c>
      <c r="B626" s="6">
        <v>21</v>
      </c>
      <c r="C626" s="29" t="s">
        <v>698</v>
      </c>
      <c r="D626" s="29" t="s">
        <v>11</v>
      </c>
      <c r="E626" s="6">
        <v>12.9</v>
      </c>
      <c r="F626" s="1">
        <f>LOOKUP(E626,{0,-4,-3,-2,-1,0,1,2.4,3.8,5.2,6.6,8,9.4,10.8,12.2,13.6,15,17.2,19.4,21.5,23.6},{0,10,20,30,40,50,60,62,64,66,68,70,72,74,76,78,80,85,90,95,100})</f>
        <v>76</v>
      </c>
      <c r="G626" s="6">
        <v>223</v>
      </c>
      <c r="H626" s="1">
        <f>LOOKUP(G626,{0,170,175,180,185,190,195,199,203,207,211,215,219,223,227,231,235,243,250,255,260},{0,10,20,30,40,50,60,62,64,66,68,70,72,74,76,78,80,85,90,95,100})</f>
        <v>74</v>
      </c>
      <c r="I626" s="6">
        <v>10</v>
      </c>
      <c r="J626" s="1">
        <f>LOOKUP(I626,{0,2,3,4,5,6,7,8,9,10,11,12,13,14,15,16},{0,10,20,30,40,50,60,64,68,72,76,80,85,90,95,100})</f>
        <v>72</v>
      </c>
      <c r="K626" s="7"/>
      <c r="L626" s="7"/>
      <c r="M626" s="21">
        <f t="shared" si="268"/>
        <v>72</v>
      </c>
      <c r="N626" s="6">
        <v>8</v>
      </c>
      <c r="O626" s="43">
        <f t="shared" si="269"/>
        <v>5</v>
      </c>
      <c r="P626" s="1">
        <f>LOOKUP(O626,{0,2.5,2.7,2.9,3.1,3.3,3.5,3.7,3.9,4.1,4.3,4.5,4.7,4.9,5.1,5.3,5.5,5.6,5.7,5.8,5.9},{0,10,20,30,40,50,60,62,64,66,68,70,72,74,76,78,80,85,90,95,100})</f>
        <v>74</v>
      </c>
      <c r="Q626" s="6">
        <v>4.18</v>
      </c>
      <c r="R626" s="6">
        <f t="shared" si="270"/>
        <v>5.82</v>
      </c>
      <c r="S626" s="1">
        <f>LOOKUP(R626,{0,3.75,3.95,4.55,4.75,4.95,5.55,5.6,5.65,5.7,5.75,5.8,5.85,5.9,5.95,6,6.45,6.53,6.6,6.65,6.7},{0,10,20,30,40,50,60,62,64,66,68,70,72,74,76,78,80,85,90,95,100})</f>
        <v>70</v>
      </c>
      <c r="T626" s="7"/>
      <c r="U626" s="7"/>
      <c r="V626" s="21">
        <f t="shared" si="271"/>
        <v>70</v>
      </c>
      <c r="W626" s="6"/>
      <c r="X626" s="21">
        <f t="shared" si="272"/>
        <v>51</v>
      </c>
      <c r="Y626" s="37">
        <f t="shared" si="273"/>
        <v>72.8571428571429</v>
      </c>
    </row>
    <row r="627" ht="15.6" hidden="1" outlineLevel="2" spans="1:25">
      <c r="A627" s="6">
        <v>114</v>
      </c>
      <c r="B627" s="6">
        <v>22</v>
      </c>
      <c r="C627" s="29" t="s">
        <v>699</v>
      </c>
      <c r="D627" s="29" t="s">
        <v>11</v>
      </c>
      <c r="E627" s="6">
        <v>-1.8</v>
      </c>
      <c r="F627" s="1">
        <f>LOOKUP(E627,{0,-4,-3,-2,-1,0,1,2.4,3.8,5.2,6.6,8,9.4,10.8,12.2,13.6,15,17.2,19.4,21.5,23.6},{0,10,20,30,40,50,60,62,64,66,68,70,72,74,76,78,80,85,90,95,100})</f>
        <v>30</v>
      </c>
      <c r="G627" s="6">
        <v>218</v>
      </c>
      <c r="H627" s="1">
        <f>LOOKUP(G627,{0,170,175,180,185,190,195,199,203,207,211,215,219,223,227,231,235,243,250,255,260},{0,10,20,30,40,50,60,62,64,66,68,70,72,74,76,78,80,85,90,95,100})</f>
        <v>70</v>
      </c>
      <c r="I627" s="6">
        <v>0</v>
      </c>
      <c r="J627" s="1">
        <f>LOOKUP(I627,{0,2,3,4,5,6,7,8,9,10,11,12,13,14,15,16},{0,10,20,30,40,50,60,64,68,72,76,80,85,90,95,100})</f>
        <v>0</v>
      </c>
      <c r="K627" s="7"/>
      <c r="L627" s="7"/>
      <c r="M627" s="21">
        <f t="shared" si="268"/>
        <v>0</v>
      </c>
      <c r="N627" s="6">
        <v>7.4</v>
      </c>
      <c r="O627" s="43">
        <f t="shared" si="269"/>
        <v>5.6</v>
      </c>
      <c r="P627" s="1">
        <f>LOOKUP(O627,{0,2.5,2.7,2.9,3.1,3.3,3.5,3.7,3.9,4.1,4.3,4.5,4.7,4.9,5.1,5.3,5.5,5.6,5.7,5.8,5.9},{0,10,20,30,40,50,60,62,64,66,68,70,72,74,76,78,80,85,90,95,100})</f>
        <v>85</v>
      </c>
      <c r="Q627" s="6">
        <v>3.48</v>
      </c>
      <c r="R627" s="6">
        <f t="shared" si="270"/>
        <v>6.52</v>
      </c>
      <c r="S627" s="1">
        <f>LOOKUP(R627,{0,3.75,3.95,4.55,4.75,4.95,5.55,5.6,5.65,5.7,5.75,5.8,5.85,5.9,5.95,6,6.45,6.53,6.6,6.65,6.7},{0,10,20,30,40,50,60,62,64,66,68,70,72,74,76,78,80,85,90,95,100})</f>
        <v>80</v>
      </c>
      <c r="T627" s="7"/>
      <c r="U627" s="7"/>
      <c r="V627" s="21">
        <f t="shared" si="271"/>
        <v>80</v>
      </c>
      <c r="X627" s="21">
        <f t="shared" si="272"/>
        <v>43</v>
      </c>
      <c r="Y627" s="37">
        <f t="shared" si="273"/>
        <v>61.4285714285714</v>
      </c>
    </row>
    <row r="628" ht="15.6" hidden="1" outlineLevel="2" spans="1:25">
      <c r="A628" s="6">
        <v>114</v>
      </c>
      <c r="B628" s="6">
        <v>23</v>
      </c>
      <c r="C628" s="29" t="s">
        <v>700</v>
      </c>
      <c r="D628" s="29" t="s">
        <v>11</v>
      </c>
      <c r="E628" s="6">
        <v>13.5</v>
      </c>
      <c r="F628" s="1">
        <f>LOOKUP(E628,{0,-4,-3,-2,-1,0,1,2.4,3.8,5.2,6.6,8,9.4,10.8,12.2,13.6,15,17.2,19.4,21.5,23.6},{0,10,20,30,40,50,60,62,64,66,68,70,72,74,76,78,80,85,90,95,100})</f>
        <v>76</v>
      </c>
      <c r="G628" s="6">
        <v>253</v>
      </c>
      <c r="H628" s="1">
        <f>LOOKUP(G628,{0,170,175,180,185,190,195,199,203,207,211,215,219,223,227,231,235,243,250,255,260},{0,10,20,30,40,50,60,62,64,66,68,70,72,74,76,78,80,85,90,95,100})</f>
        <v>90</v>
      </c>
      <c r="I628" s="6">
        <v>26</v>
      </c>
      <c r="J628" s="1">
        <f>LOOKUP(I628,{0,2,3,4,5,6,7,8,9,10,11,12,13,14,15,16},{0,10,20,30,40,50,60,64,68,72,76,80,85,90,95,100})</f>
        <v>100</v>
      </c>
      <c r="K628" s="7">
        <f>I628-16</f>
        <v>10</v>
      </c>
      <c r="L628" s="40">
        <f>LOOKUP(K628,{0,1,2,3,4,5,6,7,8,9,10},{0,1,2,3,4,5,6,7,8,9,10})</f>
        <v>10</v>
      </c>
      <c r="M628" s="21">
        <f t="shared" si="268"/>
        <v>110</v>
      </c>
      <c r="N628" s="6">
        <v>6.9</v>
      </c>
      <c r="O628" s="43">
        <f t="shared" si="269"/>
        <v>6.1</v>
      </c>
      <c r="P628" s="1">
        <f>LOOKUP(O628,{0,2.5,2.7,2.9,3.1,3.3,3.5,3.7,3.9,4.1,4.3,4.5,4.7,4.9,5.1,5.3,5.5,5.6,5.7,5.8,5.9},{0,10,20,30,40,50,60,62,64,66,68,70,72,74,76,78,80,85,90,95,100})</f>
        <v>100</v>
      </c>
      <c r="Q628" s="6">
        <v>3.14</v>
      </c>
      <c r="R628" s="6">
        <f t="shared" si="270"/>
        <v>6.86</v>
      </c>
      <c r="S628" s="1">
        <f>LOOKUP(R628,{0,3.75,3.95,4.55,4.75,4.95,5.55,5.6,5.65,5.7,5.75,5.8,5.85,5.9,5.95,6,6.45,6.53,6.6,6.65,6.7},{0,10,20,30,40,50,60,62,64,66,68,70,72,74,76,78,80,85,90,95,100})</f>
        <v>100</v>
      </c>
      <c r="T628" s="7">
        <f t="shared" si="275"/>
        <v>0.16</v>
      </c>
      <c r="U628" s="40">
        <f>LOOKUP(T628,{0,0.04,0.08,0.12,0.16,0.2,0.23,0.26,0.29,0.32,0.35},{0,1,2,3,4,5,6,7,8,9,10})</f>
        <v>3</v>
      </c>
      <c r="V628" s="21">
        <f t="shared" si="271"/>
        <v>103</v>
      </c>
      <c r="X628" s="21">
        <f t="shared" si="272"/>
        <v>66.6</v>
      </c>
      <c r="Y628" s="37">
        <f t="shared" si="273"/>
        <v>108.142857142857</v>
      </c>
    </row>
    <row r="629" ht="15.6" hidden="1" outlineLevel="2" spans="1:25">
      <c r="A629" s="6">
        <v>114</v>
      </c>
      <c r="B629" s="6">
        <v>24</v>
      </c>
      <c r="C629" s="29" t="s">
        <v>701</v>
      </c>
      <c r="D629" s="29" t="s">
        <v>11</v>
      </c>
      <c r="E629" s="6">
        <v>-4</v>
      </c>
      <c r="F629" s="1">
        <f>LOOKUP(E629,{0,-4,-3,-2,-1,0,1,2.4,3.8,5.2,6.6,8,9.4,10.8,12.2,13.6,15,17.2,19.4,21.5,23.6},{0,10,20,30,40,50,60,62,64,66,68,70,72,74,76,78,80,85,90,95,100})</f>
        <v>10</v>
      </c>
      <c r="G629" s="6">
        <v>237</v>
      </c>
      <c r="H629" s="1">
        <f>LOOKUP(G629,{0,170,175,180,185,190,195,199,203,207,211,215,219,223,227,231,235,243,250,255,260},{0,10,20,30,40,50,60,62,64,66,68,70,72,74,76,78,80,85,90,95,100})</f>
        <v>80</v>
      </c>
      <c r="I629" s="6">
        <v>3</v>
      </c>
      <c r="J629" s="1">
        <f>LOOKUP(I629,{0,2,3,4,5,6,7,8,9,10,11,12,13,14,15,16},{0,10,20,30,40,50,60,64,68,72,76,80,85,90,95,100})</f>
        <v>20</v>
      </c>
      <c r="K629" s="7"/>
      <c r="L629" s="7"/>
      <c r="M629" s="21">
        <f t="shared" si="268"/>
        <v>20</v>
      </c>
      <c r="N629" s="6">
        <v>7.2</v>
      </c>
      <c r="O629" s="43">
        <f t="shared" si="269"/>
        <v>5.8</v>
      </c>
      <c r="P629" s="1">
        <f>LOOKUP(O629,{0,2.5,2.7,2.9,3.1,3.3,3.5,3.7,3.9,4.1,4.3,4.5,4.7,4.9,5.1,5.3,5.5,5.6,5.7,5.8,5.9},{0,10,20,30,40,50,60,62,64,66,68,70,72,74,76,78,80,85,90,95,100})</f>
        <v>95</v>
      </c>
      <c r="Q629" s="6">
        <v>3.53</v>
      </c>
      <c r="R629" s="6">
        <f t="shared" si="270"/>
        <v>6.47</v>
      </c>
      <c r="S629" s="1">
        <f>LOOKUP(R629,{0,3.75,3.95,4.55,4.75,4.95,5.55,5.6,5.65,5.7,5.75,5.8,5.85,5.9,5.95,6,6.45,6.53,6.6,6.65,6.7},{0,10,20,30,40,50,60,62,64,66,68,70,72,74,76,78,80,85,90,95,100})</f>
        <v>80</v>
      </c>
      <c r="T629" s="7"/>
      <c r="U629" s="7"/>
      <c r="V629" s="21">
        <f t="shared" si="271"/>
        <v>80</v>
      </c>
      <c r="X629" s="21">
        <f t="shared" si="272"/>
        <v>46</v>
      </c>
      <c r="Y629" s="37">
        <f t="shared" si="273"/>
        <v>65.7142857142857</v>
      </c>
    </row>
    <row r="630" ht="15.6" hidden="1" outlineLevel="2" spans="1:25">
      <c r="A630" s="6">
        <v>114</v>
      </c>
      <c r="B630" s="6">
        <v>25</v>
      </c>
      <c r="C630" s="6" t="s">
        <v>702</v>
      </c>
      <c r="D630" s="30" t="s">
        <v>11</v>
      </c>
      <c r="E630" s="6">
        <v>3</v>
      </c>
      <c r="F630" s="1">
        <f>LOOKUP(E630,{0,-4,-3,-2,-1,0,1,2.4,3.8,5.2,6.6,8,9.4,10.8,12.2,13.6,15,17.2,19.4,21.5,23.6},{0,10,20,30,40,50,60,62,64,66,68,70,72,74,76,78,80,85,90,95,100})</f>
        <v>62</v>
      </c>
      <c r="H630" s="1"/>
      <c r="I630" s="6">
        <v>2</v>
      </c>
      <c r="J630" s="1">
        <f>LOOKUP(I630,{0,2,3,4,5,6,7,8,9,10,11,12,13,14,15,16},{0,10,20,30,40,50,60,64,68,72,76,80,85,90,95,100})</f>
        <v>10</v>
      </c>
      <c r="K630" s="7"/>
      <c r="L630" s="7"/>
      <c r="M630" s="21">
        <f t="shared" si="268"/>
        <v>10</v>
      </c>
      <c r="N630" s="6">
        <v>7.4</v>
      </c>
      <c r="O630" s="43">
        <f t="shared" si="269"/>
        <v>5.6</v>
      </c>
      <c r="P630" s="1">
        <f>LOOKUP(O630,{0,2.5,2.7,2.9,3.1,3.3,3.5,3.7,3.9,4.1,4.3,4.5,4.7,4.9,5.1,5.3,5.5,5.6,5.7,5.8,5.9},{0,10,20,30,40,50,60,62,64,66,68,70,72,74,76,78,80,85,90,95,100})</f>
        <v>85</v>
      </c>
      <c r="Q630" s="6">
        <v>3.54</v>
      </c>
      <c r="R630" s="6">
        <f t="shared" si="270"/>
        <v>6.46</v>
      </c>
      <c r="S630" s="1">
        <f>LOOKUP(R630,{0,3.75,3.95,4.55,4.75,4.95,5.55,5.6,5.65,5.7,5.75,5.8,5.85,5.9,5.95,6,6.45,6.53,6.6,6.65,6.7},{0,10,20,30,40,50,60,62,64,66,68,70,72,74,76,78,80,85,90,95,100})</f>
        <v>80</v>
      </c>
      <c r="T630" s="7"/>
      <c r="U630" s="7"/>
      <c r="V630" s="21">
        <f t="shared" si="271"/>
        <v>80</v>
      </c>
      <c r="X630" s="21">
        <f t="shared" si="272"/>
        <v>40.2</v>
      </c>
      <c r="Y630" s="37">
        <f t="shared" si="273"/>
        <v>57.4285714285714</v>
      </c>
    </row>
    <row r="631" ht="15.6" hidden="1" outlineLevel="2" spans="1:25">
      <c r="A631" s="6">
        <v>114</v>
      </c>
      <c r="B631" s="6">
        <v>26</v>
      </c>
      <c r="C631" s="39" t="s">
        <v>704</v>
      </c>
      <c r="D631" s="29" t="s">
        <v>46</v>
      </c>
      <c r="E631" s="6">
        <v>19.3</v>
      </c>
      <c r="F631" s="1">
        <f>LOOKUP(E631,{0,0.4,1.2,2,2.8,3.6,4.4,5.7,7,8.3,9.6,10.9,12.2,13.5,14.8,16.1,17.4,19.1,20.8,22.5,24.2},{0,10,20,30,40,50,60,62,64,66,68,70,72,74,76,78,80,85,90,95,100})</f>
        <v>85</v>
      </c>
      <c r="G631" s="6">
        <v>153</v>
      </c>
      <c r="H631" s="1">
        <f>LOOKUP(G631,{0,123,128,133,138,143,148,151,154,157,160,163,166,169,172,175,178,185,192,198,204},{0,10,20,30,40,50,60,62,64,66,68,70,72,74,76,78,80,85,90,95,100})</f>
        <v>62</v>
      </c>
      <c r="I631" s="6">
        <v>54</v>
      </c>
      <c r="J631" s="1">
        <f>LOOKUP(I631,{0,13,15,17,19,21,23,25,27,29,31,33,35,37,39,41,43,46,49,51,53},{0,10,20,30,40,50,60,62,64,66,68,70,72,74,76,78,80,85,90,95,100})</f>
        <v>100</v>
      </c>
      <c r="K631" s="45">
        <f>I631-53</f>
        <v>1</v>
      </c>
      <c r="L631" s="40">
        <f>LOOKUP(K631,{0,2,4,6,7,8,9,10,11,12,13},{0,1,2,3,4,5,6,7,8,9,10})</f>
        <v>0</v>
      </c>
      <c r="M631" s="21">
        <f t="shared" si="268"/>
        <v>100</v>
      </c>
      <c r="N631" s="6">
        <v>9.3</v>
      </c>
      <c r="O631" s="43">
        <f t="shared" si="269"/>
        <v>3.7</v>
      </c>
      <c r="P631" s="1">
        <f>LOOKUP(O631,{0,1.4,1.6,1.8,2,2.2,2.4,2.6,2.8,3,3.2,3.4,3.6,3.8,4,4.2,4.4,4.7,5,5.1,5.2},{0,10,20,30,40,50,60,62,64,66,68,70,72,74,76,78,80,85,90,95,100})</f>
        <v>72</v>
      </c>
      <c r="Q631" s="6">
        <v>3.42</v>
      </c>
      <c r="R631" s="6">
        <f t="shared" si="270"/>
        <v>6.58</v>
      </c>
      <c r="S631" s="1">
        <f>LOOKUP(R631,{0,4.7,4.8,4.9,5,5.5,5.6,5.65,5.7,5.75,5.8,5.85,5.9,5.95,6,6.45,6.5,6.57,6.64,6.7,6.76},{0,10,20,30,40,50,60,62,64,66,68,70,72,74,76,78,80,85,90,95,100})</f>
        <v>85</v>
      </c>
      <c r="T631" s="45"/>
      <c r="U631" s="45"/>
      <c r="V631" s="21">
        <f t="shared" si="271"/>
        <v>85</v>
      </c>
      <c r="X631" s="21">
        <f t="shared" si="272"/>
        <v>56.1</v>
      </c>
      <c r="Y631" s="37">
        <f t="shared" si="273"/>
        <v>80.1428571428572</v>
      </c>
    </row>
    <row r="632" ht="15.6" hidden="1" outlineLevel="2" spans="1:25">
      <c r="A632" s="6">
        <v>114</v>
      </c>
      <c r="B632" s="6">
        <v>27</v>
      </c>
      <c r="C632" s="29" t="s">
        <v>705</v>
      </c>
      <c r="D632" s="29" t="s">
        <v>46</v>
      </c>
      <c r="E632" s="6">
        <v>11</v>
      </c>
      <c r="F632" s="1">
        <f>LOOKUP(E632,{0,0.4,1.2,2,2.8,3.6,4.4,5.7,7,8.3,9.6,10.9,12.2,13.5,14.8,16.1,17.4,19.1,20.8,22.5,24.2},{0,10,20,30,40,50,60,62,64,66,68,70,72,74,76,78,80,85,90,95,100})</f>
        <v>70</v>
      </c>
      <c r="G632" s="6">
        <v>189</v>
      </c>
      <c r="H632" s="1">
        <f>LOOKUP(G632,{0,123,128,133,138,143,148,151,154,157,160,163,166,169,172,175,178,185,192,198,204},{0,10,20,30,40,50,60,62,64,66,68,70,72,74,76,78,80,85,90,95,100})</f>
        <v>85</v>
      </c>
      <c r="I632" s="6">
        <v>48</v>
      </c>
      <c r="J632" s="1">
        <f>LOOKUP(I632,{0,13,15,17,19,21,23,25,27,29,31,33,35,37,39,41,43,46,49,51,53},{0,10,20,30,40,50,60,62,64,66,68,70,72,74,76,78,80,85,90,95,100})</f>
        <v>85</v>
      </c>
      <c r="K632" s="45"/>
      <c r="L632" s="45"/>
      <c r="M632" s="21">
        <f t="shared" si="268"/>
        <v>85</v>
      </c>
      <c r="N632" s="6">
        <v>8.3</v>
      </c>
      <c r="O632" s="43">
        <f t="shared" si="269"/>
        <v>4.7</v>
      </c>
      <c r="P632" s="1">
        <f>LOOKUP(O632,{0,1.4,1.6,1.8,2,2.2,2.4,2.6,2.8,3,3.2,3.4,3.6,3.8,4,4.2,4.4,4.7,5,5.1,5.2},{0,10,20,30,40,50,60,62,64,66,68,70,72,74,76,78,80,85,90,95,100})</f>
        <v>85</v>
      </c>
      <c r="Q632" s="6">
        <v>3.36</v>
      </c>
      <c r="R632" s="6">
        <f t="shared" si="270"/>
        <v>6.64</v>
      </c>
      <c r="S632" s="1">
        <f>LOOKUP(R632,{0,4.7,4.8,4.9,5,5.5,5.6,5.65,5.7,5.75,5.8,5.85,5.9,5.95,6,6.45,6.5,6.57,6.64,6.7,6.76},{0,10,20,30,40,50,60,62,64,66,68,70,72,74,76,78,80,85,90,95,100})</f>
        <v>90</v>
      </c>
      <c r="T632" s="45"/>
      <c r="U632" s="45"/>
      <c r="V632" s="21">
        <f t="shared" si="271"/>
        <v>90</v>
      </c>
      <c r="X632" s="21">
        <f t="shared" si="272"/>
        <v>59</v>
      </c>
      <c r="Y632" s="37">
        <f t="shared" si="273"/>
        <v>84.2857142857143</v>
      </c>
    </row>
    <row r="633" ht="15.6" hidden="1" outlineLevel="2" spans="1:25">
      <c r="A633" s="6">
        <v>114</v>
      </c>
      <c r="B633" s="6">
        <v>28</v>
      </c>
      <c r="C633" s="29" t="s">
        <v>706</v>
      </c>
      <c r="D633" s="29" t="s">
        <v>46</v>
      </c>
      <c r="E633" s="6">
        <v>13.4</v>
      </c>
      <c r="F633" s="1">
        <f>LOOKUP(E633,{0,0.4,1.2,2,2.8,3.6,4.4,5.7,7,8.3,9.6,10.9,12.2,13.5,14.8,16.1,17.4,19.1,20.8,22.5,24.2},{0,10,20,30,40,50,60,62,64,66,68,70,72,74,76,78,80,85,90,95,100})</f>
        <v>72</v>
      </c>
      <c r="G633" s="6">
        <v>203</v>
      </c>
      <c r="H633" s="1">
        <f>LOOKUP(G633,{0,123,128,133,138,143,148,151,154,157,160,163,166,169,172,175,178,185,192,198,204},{0,10,20,30,40,50,60,62,64,66,68,70,72,74,76,78,80,85,90,95,100})</f>
        <v>95</v>
      </c>
      <c r="I633" s="6">
        <v>56</v>
      </c>
      <c r="J633" s="1">
        <f>LOOKUP(I633,{0,13,15,17,19,21,23,25,27,29,31,33,35,37,39,41,43,46,49,51,53},{0,10,20,30,40,50,60,62,64,66,68,70,72,74,76,78,80,85,90,95,100})</f>
        <v>100</v>
      </c>
      <c r="K633" s="45">
        <f>I633-53</f>
        <v>3</v>
      </c>
      <c r="L633" s="40">
        <f>LOOKUP(K633,{0,2,4,6,7,8,9,10,11,12,13},{0,1,2,3,4,5,6,7,8,9,10})</f>
        <v>1</v>
      </c>
      <c r="M633" s="21">
        <f t="shared" si="268"/>
        <v>101</v>
      </c>
      <c r="N633" s="6">
        <v>8.6</v>
      </c>
      <c r="O633" s="43">
        <f t="shared" si="269"/>
        <v>4.4</v>
      </c>
      <c r="P633" s="1">
        <f>LOOKUP(O633,{0,1.4,1.6,1.8,2,2.2,2.4,2.6,2.8,3,3.2,3.4,3.6,3.8,4,4.2,4.4,4.7,5,5.1,5.2},{0,10,20,30,40,50,60,62,64,66,68,70,72,74,76,78,80,85,90,95,100})</f>
        <v>80</v>
      </c>
      <c r="Q633" s="6">
        <v>3.2</v>
      </c>
      <c r="R633" s="6">
        <f t="shared" si="270"/>
        <v>6.8</v>
      </c>
      <c r="S633" s="1">
        <f>LOOKUP(R633,{0,4.7,4.8,4.9,5,5.5,5.6,5.65,5.7,5.75,5.8,5.85,5.9,5.95,6,6.45,6.5,6.57,6.64,6.7,6.76},{0,10,20,30,40,50,60,62,64,66,68,70,72,74,76,78,80,85,90,95,100})</f>
        <v>100</v>
      </c>
      <c r="T633" s="48">
        <f t="shared" ref="T633:T637" si="276">3.24-Q633</f>
        <v>0.04</v>
      </c>
      <c r="U633" s="40">
        <f>LOOKUP(T633,{0,0.05,0.1,0.15,0.2,0.25,0.3,0.35,0.4,0.45,0.5},{0,1,2,3,4,5,6,7,8,9,10})</f>
        <v>0</v>
      </c>
      <c r="V633" s="21">
        <f t="shared" si="271"/>
        <v>100</v>
      </c>
      <c r="X633" s="21">
        <f t="shared" si="272"/>
        <v>62.7</v>
      </c>
      <c r="Y633" s="37">
        <f t="shared" si="273"/>
        <v>90.5714285714286</v>
      </c>
    </row>
    <row r="634" ht="15.6" hidden="1" outlineLevel="2" spans="1:25">
      <c r="A634" s="6">
        <v>114</v>
      </c>
      <c r="B634" s="6">
        <v>29</v>
      </c>
      <c r="C634" s="29" t="s">
        <v>707</v>
      </c>
      <c r="D634" s="29" t="s">
        <v>46</v>
      </c>
      <c r="E634" s="6">
        <v>20.5</v>
      </c>
      <c r="F634" s="1">
        <f>LOOKUP(E634,{0,0.4,1.2,2,2.8,3.6,4.4,5.7,7,8.3,9.6,10.9,12.2,13.5,14.8,16.1,17.4,19.1,20.8,22.5,24.2},{0,10,20,30,40,50,60,62,64,66,68,70,72,74,76,78,80,85,90,95,100})</f>
        <v>85</v>
      </c>
      <c r="G634" s="6">
        <v>143</v>
      </c>
      <c r="H634" s="1">
        <f>LOOKUP(G634,{0,123,128,133,138,143,148,151,154,157,160,163,166,169,172,175,178,185,192,198,204},{0,10,20,30,40,50,60,62,64,66,68,70,72,74,76,78,80,85,90,95,100})</f>
        <v>50</v>
      </c>
      <c r="I634" s="6">
        <v>41</v>
      </c>
      <c r="J634" s="1">
        <f>LOOKUP(I634,{0,13,15,17,19,21,23,25,27,29,31,33,35,37,39,41,43,46,49,51,53},{0,10,20,30,40,50,60,62,64,66,68,70,72,74,76,78,80,85,90,95,100})</f>
        <v>78</v>
      </c>
      <c r="K634" s="45"/>
      <c r="L634" s="45"/>
      <c r="M634" s="21">
        <f t="shared" si="268"/>
        <v>78</v>
      </c>
      <c r="N634" s="6">
        <v>9.5</v>
      </c>
      <c r="O634" s="43">
        <f t="shared" si="269"/>
        <v>3.5</v>
      </c>
      <c r="P634" s="1">
        <f>LOOKUP(O634,{0,1.4,1.6,1.8,2,2.2,2.4,2.6,2.8,3,3.2,3.4,3.6,3.8,4,4.2,4.4,4.7,5,5.1,5.2},{0,10,20,30,40,50,60,62,64,66,68,70,72,74,76,78,80,85,90,95,100})</f>
        <v>70</v>
      </c>
      <c r="Q634" s="6">
        <v>3.53</v>
      </c>
      <c r="R634" s="6">
        <f t="shared" si="270"/>
        <v>6.47</v>
      </c>
      <c r="S634" s="1">
        <f>LOOKUP(R634,{0,4.7,4.8,4.9,5,5.5,5.6,5.65,5.7,5.75,5.8,5.85,5.9,5.95,6,6.45,6.5,6.57,6.64,6.7,6.76},{0,10,20,30,40,50,60,62,64,66,68,70,72,74,76,78,80,85,90,95,100})</f>
        <v>78</v>
      </c>
      <c r="T634" s="45"/>
      <c r="U634" s="45"/>
      <c r="V634" s="21">
        <f t="shared" si="271"/>
        <v>78</v>
      </c>
      <c r="X634" s="21">
        <f t="shared" si="272"/>
        <v>50.9</v>
      </c>
      <c r="Y634" s="37">
        <f t="shared" si="273"/>
        <v>72.7142857142857</v>
      </c>
    </row>
    <row r="635" ht="15.6" hidden="1" outlineLevel="2" spans="1:25">
      <c r="A635" s="6">
        <v>114</v>
      </c>
      <c r="B635" s="6">
        <v>30</v>
      </c>
      <c r="C635" s="29" t="s">
        <v>708</v>
      </c>
      <c r="D635" s="29" t="s">
        <v>46</v>
      </c>
      <c r="E635" s="6">
        <v>15.3</v>
      </c>
      <c r="F635" s="1">
        <f>LOOKUP(E635,{0,0.4,1.2,2,2.8,3.6,4.4,5.7,7,8.3,9.6,10.9,12.2,13.5,14.8,16.1,17.4,19.1,20.8,22.5,24.2},{0,10,20,30,40,50,60,62,64,66,68,70,72,74,76,78,80,85,90,95,100})</f>
        <v>76</v>
      </c>
      <c r="G635" s="6">
        <v>170</v>
      </c>
      <c r="H635" s="1">
        <f>LOOKUP(G635,{0,123,128,133,138,143,148,151,154,157,160,163,166,169,172,175,178,185,192,198,204},{0,10,20,30,40,50,60,62,64,66,68,70,72,74,76,78,80,85,90,95,100})</f>
        <v>74</v>
      </c>
      <c r="I635" s="6">
        <v>37</v>
      </c>
      <c r="J635" s="1">
        <f>LOOKUP(I635,{0,13,15,17,19,21,23,25,27,29,31,33,35,37,39,41,43,46,49,51,53},{0,10,20,30,40,50,60,62,64,66,68,70,72,74,76,78,80,85,90,95,100})</f>
        <v>74</v>
      </c>
      <c r="K635" s="45"/>
      <c r="L635" s="45"/>
      <c r="M635" s="21">
        <f t="shared" si="268"/>
        <v>74</v>
      </c>
      <c r="N635" s="6">
        <v>8.6</v>
      </c>
      <c r="O635" s="43">
        <f t="shared" si="269"/>
        <v>4.4</v>
      </c>
      <c r="P635" s="1">
        <f>LOOKUP(O635,{0,1.4,1.6,1.8,2,2.2,2.4,2.6,2.8,3,3.2,3.4,3.6,3.8,4,4.2,4.4,4.7,5,5.1,5.2},{0,10,20,30,40,50,60,62,64,66,68,70,72,74,76,78,80,85,90,95,100})</f>
        <v>80</v>
      </c>
      <c r="Q635" s="6">
        <v>3.49</v>
      </c>
      <c r="R635" s="6">
        <f t="shared" si="270"/>
        <v>6.51</v>
      </c>
      <c r="S635" s="1">
        <f>LOOKUP(R635,{0,4.7,4.8,4.9,5,5.5,5.6,5.65,5.7,5.75,5.8,5.85,5.9,5.95,6,6.45,6.5,6.57,6.64,6.7,6.76},{0,10,20,30,40,50,60,62,64,66,68,70,72,74,76,78,80,85,90,95,100})</f>
        <v>80</v>
      </c>
      <c r="T635" s="45"/>
      <c r="U635" s="45"/>
      <c r="V635" s="21">
        <f t="shared" si="271"/>
        <v>80</v>
      </c>
      <c r="X635" s="21">
        <f t="shared" si="272"/>
        <v>54.4</v>
      </c>
      <c r="Y635" s="37">
        <f t="shared" si="273"/>
        <v>77.7142857142857</v>
      </c>
    </row>
    <row r="636" ht="15.6" hidden="1" outlineLevel="2" spans="1:25">
      <c r="A636" s="6">
        <v>114</v>
      </c>
      <c r="B636" s="6">
        <v>31</v>
      </c>
      <c r="C636" s="29" t="s">
        <v>709</v>
      </c>
      <c r="D636" s="29" t="s">
        <v>46</v>
      </c>
      <c r="E636" s="6">
        <v>20.1</v>
      </c>
      <c r="F636" s="1">
        <f>LOOKUP(E636,{0,0.4,1.2,2,2.8,3.6,4.4,5.7,7,8.3,9.6,10.9,12.2,13.5,14.8,16.1,17.4,19.1,20.8,22.5,24.2},{0,10,20,30,40,50,60,62,64,66,68,70,72,74,76,78,80,85,90,95,100})</f>
        <v>85</v>
      </c>
      <c r="G636" s="6">
        <v>181</v>
      </c>
      <c r="H636" s="1">
        <f>LOOKUP(G636,{0,123,128,133,138,143,148,151,154,157,160,163,166,169,172,175,178,185,192,198,204},{0,10,20,30,40,50,60,62,64,66,68,70,72,74,76,78,80,85,90,95,100})</f>
        <v>80</v>
      </c>
      <c r="I636" s="6">
        <v>45</v>
      </c>
      <c r="J636" s="1">
        <f>LOOKUP(I636,{0,13,15,17,19,21,23,25,27,29,31,33,35,37,39,41,43,46,49,51,53},{0,10,20,30,40,50,60,62,64,66,68,70,72,74,76,78,80,85,90,95,100})</f>
        <v>80</v>
      </c>
      <c r="K636" s="45"/>
      <c r="L636" s="45"/>
      <c r="M636" s="21">
        <f t="shared" si="268"/>
        <v>80</v>
      </c>
      <c r="N636" s="6">
        <v>8</v>
      </c>
      <c r="O636" s="43">
        <f t="shared" si="269"/>
        <v>5</v>
      </c>
      <c r="P636" s="1">
        <f>LOOKUP(O636,{0,1.4,1.6,1.8,2,2.2,2.4,2.6,2.8,3,3.2,3.4,3.6,3.8,4,4.2,4.4,4.7,5,5.1,5.2},{0,10,20,30,40,50,60,62,64,66,68,70,72,74,76,78,80,85,90,95,100})</f>
        <v>90</v>
      </c>
      <c r="Q636" s="6">
        <v>3.2</v>
      </c>
      <c r="R636" s="6">
        <f t="shared" si="270"/>
        <v>6.8</v>
      </c>
      <c r="S636" s="1">
        <f>LOOKUP(R636,{0,4.7,4.8,4.9,5,5.5,5.6,5.65,5.7,5.75,5.8,5.85,5.9,5.95,6,6.45,6.5,6.57,6.64,6.7,6.76},{0,10,20,30,40,50,60,62,64,66,68,70,72,74,76,78,80,85,90,95,100})</f>
        <v>100</v>
      </c>
      <c r="T636" s="48">
        <f t="shared" si="276"/>
        <v>0.04</v>
      </c>
      <c r="U636" s="40">
        <f>LOOKUP(T636,{0,0.05,0.1,0.15,0.2,0.25,0.3,0.35,0.4,0.45,0.5},{0,1,2,3,4,5,6,7,8,9,10})</f>
        <v>0</v>
      </c>
      <c r="V636" s="21">
        <f t="shared" si="271"/>
        <v>100</v>
      </c>
      <c r="X636" s="21">
        <f t="shared" si="272"/>
        <v>62.5</v>
      </c>
      <c r="Y636" s="37">
        <f t="shared" si="273"/>
        <v>89.2857142857143</v>
      </c>
    </row>
    <row r="637" ht="15.6" hidden="1" outlineLevel="2" spans="1:25">
      <c r="A637" s="6">
        <v>114</v>
      </c>
      <c r="B637" s="6">
        <v>32</v>
      </c>
      <c r="C637" s="29" t="s">
        <v>710</v>
      </c>
      <c r="D637" s="29" t="s">
        <v>46</v>
      </c>
      <c r="E637" s="6">
        <v>13</v>
      </c>
      <c r="F637" s="1">
        <f>LOOKUP(E637,{0,0.4,1.2,2,2.8,3.6,4.4,5.7,7,8.3,9.6,10.9,12.2,13.5,14.8,16.1,17.4,19.1,20.8,22.5,24.2},{0,10,20,30,40,50,60,62,64,66,68,70,72,74,76,78,80,85,90,95,100})</f>
        <v>72</v>
      </c>
      <c r="G637" s="6">
        <v>181</v>
      </c>
      <c r="H637" s="1">
        <f>LOOKUP(G637,{0,123,128,133,138,143,148,151,154,157,160,163,166,169,172,175,178,185,192,198,204},{0,10,20,30,40,50,60,62,64,66,68,70,72,74,76,78,80,85,90,95,100})</f>
        <v>80</v>
      </c>
      <c r="I637" s="6">
        <v>53</v>
      </c>
      <c r="J637" s="1">
        <f>LOOKUP(I637,{0,13,15,17,19,21,23,25,27,29,31,33,35,37,39,41,43,46,49,51,53},{0,10,20,30,40,50,60,62,64,66,68,70,72,74,76,78,80,85,90,95,100})</f>
        <v>100</v>
      </c>
      <c r="K637" s="45">
        <f>I637-53</f>
        <v>0</v>
      </c>
      <c r="L637" s="40">
        <f>LOOKUP(K637,{0,2,4,6,7,8,9,10,11,12,13},{0,1,2,3,4,5,6,7,8,9,10})</f>
        <v>0</v>
      </c>
      <c r="M637" s="21">
        <f t="shared" si="268"/>
        <v>100</v>
      </c>
      <c r="N637" s="6">
        <v>8.4</v>
      </c>
      <c r="O637" s="43">
        <f t="shared" si="269"/>
        <v>4.6</v>
      </c>
      <c r="P637" s="1">
        <f>LOOKUP(O637,{0,1.4,1.6,1.8,2,2.2,2.4,2.6,2.8,3,3.2,3.4,3.6,3.8,4,4.2,4.4,4.7,5,5.1,5.2},{0,10,20,30,40,50,60,62,64,66,68,70,72,74,76,78,80,85,90,95,100})</f>
        <v>80</v>
      </c>
      <c r="Q637" s="6">
        <v>3.2</v>
      </c>
      <c r="R637" s="6">
        <f t="shared" si="270"/>
        <v>6.8</v>
      </c>
      <c r="S637" s="1">
        <f>LOOKUP(R637,{0,4.7,4.8,4.9,5,5.5,5.6,5.65,5.7,5.75,5.8,5.85,5.9,5.95,6,6.45,6.5,6.57,6.64,6.7,6.76},{0,10,20,30,40,50,60,62,64,66,68,70,72,74,76,78,80,85,90,95,100})</f>
        <v>100</v>
      </c>
      <c r="T637" s="48">
        <f t="shared" si="276"/>
        <v>0.04</v>
      </c>
      <c r="U637" s="40">
        <f>LOOKUP(T637,{0,0.05,0.1,0.15,0.2,0.25,0.3,0.35,0.4,0.45,0.5},{0,1,2,3,4,5,6,7,8,9,10})</f>
        <v>0</v>
      </c>
      <c r="V637" s="21">
        <f t="shared" si="271"/>
        <v>100</v>
      </c>
      <c r="X637" s="21">
        <f t="shared" si="272"/>
        <v>61.2</v>
      </c>
      <c r="Y637" s="37">
        <f t="shared" si="273"/>
        <v>87.4285714285714</v>
      </c>
    </row>
    <row r="638" ht="15.6" hidden="1" outlineLevel="2" spans="1:25">
      <c r="A638" s="6">
        <v>114</v>
      </c>
      <c r="B638" s="6">
        <v>33</v>
      </c>
      <c r="C638" s="29" t="s">
        <v>711</v>
      </c>
      <c r="D638" s="29" t="s">
        <v>46</v>
      </c>
      <c r="E638" s="6">
        <v>10.3</v>
      </c>
      <c r="F638" s="1">
        <f>LOOKUP(E638,{0,0.4,1.2,2,2.8,3.6,4.4,5.7,7,8.3,9.6,10.9,12.2,13.5,14.8,16.1,17.4,19.1,20.8,22.5,24.2},{0,10,20,30,40,50,60,62,64,66,68,70,72,74,76,78,80,85,90,95,100})</f>
        <v>68</v>
      </c>
      <c r="G638" s="6">
        <v>210</v>
      </c>
      <c r="H638" s="1">
        <f>LOOKUP(G638,{0,123,128,133,138,143,148,151,154,157,160,163,166,169,172,175,178,185,192,198,204},{0,10,20,30,40,50,60,62,64,66,68,70,72,74,76,78,80,85,90,95,100})</f>
        <v>100</v>
      </c>
      <c r="I638" s="6">
        <v>29</v>
      </c>
      <c r="J638" s="1">
        <f>LOOKUP(I638,{0,13,15,17,19,21,23,25,27,29,31,33,35,37,39,41,43,46,49,51,53},{0,10,20,30,40,50,60,62,64,66,68,70,72,74,76,78,80,85,90,95,100})</f>
        <v>66</v>
      </c>
      <c r="K638" s="45"/>
      <c r="L638" s="45"/>
      <c r="M638" s="21">
        <f t="shared" si="268"/>
        <v>66</v>
      </c>
      <c r="N638" s="6">
        <v>8</v>
      </c>
      <c r="O638" s="43">
        <f t="shared" si="269"/>
        <v>5</v>
      </c>
      <c r="P638" s="1">
        <f>LOOKUP(O638,{0,1.4,1.6,1.8,2,2.2,2.4,2.6,2.8,3,3.2,3.4,3.6,3.8,4,4.2,4.4,4.7,5,5.1,5.2},{0,10,20,30,40,50,60,62,64,66,68,70,72,74,76,78,80,85,90,95,100})</f>
        <v>90</v>
      </c>
      <c r="Q638" s="6">
        <v>3.46</v>
      </c>
      <c r="R638" s="6">
        <f t="shared" si="270"/>
        <v>6.54</v>
      </c>
      <c r="S638" s="1">
        <f>LOOKUP(R638,{0,4.7,4.8,4.9,5,5.5,5.6,5.65,5.7,5.75,5.8,5.85,5.9,5.95,6,6.45,6.5,6.57,6.64,6.7,6.76},{0,10,20,30,40,50,60,62,64,66,68,70,72,74,76,78,80,85,90,95,100})</f>
        <v>80</v>
      </c>
      <c r="T638" s="45"/>
      <c r="U638" s="45"/>
      <c r="V638" s="21">
        <f t="shared" si="271"/>
        <v>80</v>
      </c>
      <c r="X638" s="21">
        <f t="shared" si="272"/>
        <v>57.4</v>
      </c>
      <c r="Y638" s="37">
        <f t="shared" si="273"/>
        <v>82</v>
      </c>
    </row>
    <row r="639" ht="15.6" hidden="1" outlineLevel="2" spans="1:25">
      <c r="A639" s="6">
        <v>114</v>
      </c>
      <c r="B639" s="6">
        <v>34</v>
      </c>
      <c r="C639" s="29" t="s">
        <v>712</v>
      </c>
      <c r="D639" s="29" t="s">
        <v>46</v>
      </c>
      <c r="E639" s="6">
        <v>22.9</v>
      </c>
      <c r="F639" s="1">
        <f>LOOKUP(E639,{0,0.4,1.2,2,2.8,3.6,4.4,5.7,7,8.3,9.6,10.9,12.2,13.5,14.8,16.1,17.4,19.1,20.8,22.5,24.2},{0,10,20,30,40,50,60,62,64,66,68,70,72,74,76,78,80,85,90,95,100})</f>
        <v>95</v>
      </c>
      <c r="G639" s="6">
        <v>186</v>
      </c>
      <c r="H639" s="1">
        <f>LOOKUP(G639,{0,123,128,133,138,143,148,151,154,157,160,163,166,169,172,175,178,185,192,198,204},{0,10,20,30,40,50,60,62,64,66,68,70,72,74,76,78,80,85,90,95,100})</f>
        <v>85</v>
      </c>
      <c r="I639" s="6">
        <v>49</v>
      </c>
      <c r="J639" s="1">
        <f>LOOKUP(I639,{0,13,15,17,19,21,23,25,27,29,31,33,35,37,39,41,43,46,49,51,53},{0,10,20,30,40,50,60,62,64,66,68,70,72,74,76,78,80,85,90,95,100})</f>
        <v>90</v>
      </c>
      <c r="K639" s="45"/>
      <c r="L639" s="45"/>
      <c r="M639" s="21">
        <f t="shared" si="268"/>
        <v>90</v>
      </c>
      <c r="N639" s="6">
        <v>8.5</v>
      </c>
      <c r="O639" s="43">
        <f t="shared" si="269"/>
        <v>4.5</v>
      </c>
      <c r="P639" s="1">
        <f>LOOKUP(O639,{0,1.4,1.6,1.8,2,2.2,2.4,2.6,2.8,3,3.2,3.4,3.6,3.8,4,4.2,4.4,4.7,5,5.1,5.2},{0,10,20,30,40,50,60,62,64,66,68,70,72,74,76,78,80,85,90,95,100})</f>
        <v>80</v>
      </c>
      <c r="Q639" s="6">
        <v>3.5</v>
      </c>
      <c r="R639" s="6">
        <f t="shared" si="270"/>
        <v>6.5</v>
      </c>
      <c r="S639" s="1">
        <f>LOOKUP(R639,{0,4.7,4.8,4.9,5,5.5,5.6,5.65,5.7,5.75,5.8,5.85,5.9,5.95,6,6.45,6.5,6.57,6.64,6.7,6.76},{0,10,20,30,40,50,60,62,64,66,68,70,72,74,76,78,80,85,90,95,100})</f>
        <v>80</v>
      </c>
      <c r="T639" s="45"/>
      <c r="U639" s="45"/>
      <c r="V639" s="21">
        <f t="shared" si="271"/>
        <v>80</v>
      </c>
      <c r="X639" s="21">
        <f t="shared" si="272"/>
        <v>59</v>
      </c>
      <c r="Y639" s="37">
        <f t="shared" si="273"/>
        <v>84.2857142857143</v>
      </c>
    </row>
    <row r="640" s="3" customFormat="1" ht="15.6" hidden="1" outlineLevel="2" spans="1:25">
      <c r="A640" s="6">
        <v>114</v>
      </c>
      <c r="B640" s="6">
        <v>35</v>
      </c>
      <c r="C640" s="29" t="s">
        <v>713</v>
      </c>
      <c r="D640" s="29" t="s">
        <v>46</v>
      </c>
      <c r="E640" s="6">
        <v>16</v>
      </c>
      <c r="F640" s="1">
        <f>LOOKUP(E640,{0,0.4,1.2,2,2.8,3.6,4.4,5.7,7,8.3,9.6,10.9,12.2,13.5,14.8,16.1,17.4,19.1,20.8,22.5,24.2},{0,10,20,30,40,50,60,62,64,66,68,70,72,74,76,78,80,85,90,95,100})</f>
        <v>76</v>
      </c>
      <c r="G640" s="6">
        <v>168</v>
      </c>
      <c r="H640" s="1">
        <f>LOOKUP(G640,{0,123,128,133,138,143,148,151,154,157,160,163,166,169,172,175,178,185,192,198,204},{0,10,20,30,40,50,60,62,64,66,68,70,72,74,76,78,80,85,90,95,100})</f>
        <v>72</v>
      </c>
      <c r="I640" s="6">
        <v>53</v>
      </c>
      <c r="J640" s="1">
        <f>LOOKUP(I640,{0,13,15,17,19,21,23,25,27,29,31,33,35,37,39,41,43,46,49,51,53},{0,10,20,30,40,50,60,62,64,66,68,70,72,74,76,78,80,85,90,95,100})</f>
        <v>100</v>
      </c>
      <c r="K640" s="45">
        <f t="shared" ref="K640:K644" si="277">I640-53</f>
        <v>0</v>
      </c>
      <c r="L640" s="40">
        <f>LOOKUP(K640,{0,2,4,6,7,8,9,10,11,12,13},{0,1,2,3,4,5,6,7,8,9,10})</f>
        <v>0</v>
      </c>
      <c r="M640" s="21">
        <f t="shared" si="268"/>
        <v>100</v>
      </c>
      <c r="N640" s="6">
        <v>8.6</v>
      </c>
      <c r="O640" s="43">
        <f t="shared" si="269"/>
        <v>4.4</v>
      </c>
      <c r="P640" s="1">
        <f>LOOKUP(O640,{0,1.4,1.6,1.8,2,2.2,2.4,2.6,2.8,3,3.2,3.4,3.6,3.8,4,4.2,4.4,4.7,5,5.1,5.2},{0,10,20,30,40,50,60,62,64,66,68,70,72,74,76,78,80,85,90,95,100})</f>
        <v>80</v>
      </c>
      <c r="Q640" s="6">
        <v>3.17</v>
      </c>
      <c r="R640" s="6">
        <f t="shared" si="270"/>
        <v>6.83</v>
      </c>
      <c r="S640" s="1">
        <f>LOOKUP(R640,{0,4.7,4.8,4.9,5,5.5,5.6,5.65,5.7,5.75,5.8,5.85,5.9,5.95,6,6.45,6.5,6.57,6.64,6.7,6.76},{0,10,20,30,40,50,60,62,64,66,68,70,72,74,76,78,80,85,90,95,100})</f>
        <v>100</v>
      </c>
      <c r="T640" s="48">
        <f>3.24-Q640</f>
        <v>0.0700000000000003</v>
      </c>
      <c r="U640" s="40">
        <f>LOOKUP(T640,{0,0.05,0.1,0.15,0.2,0.25,0.3,0.35,0.4,0.45,0.5},{0,1,2,3,4,5,6,7,8,9,10})</f>
        <v>1</v>
      </c>
      <c r="V640" s="21">
        <f t="shared" si="271"/>
        <v>101</v>
      </c>
      <c r="W640" s="6"/>
      <c r="X640" s="21">
        <f t="shared" si="272"/>
        <v>60.8</v>
      </c>
      <c r="Y640" s="37">
        <f t="shared" si="273"/>
        <v>87.8571428571429</v>
      </c>
    </row>
    <row r="641" ht="15.6" hidden="1" outlineLevel="2" spans="1:25">
      <c r="A641" s="6">
        <v>114</v>
      </c>
      <c r="B641" s="6">
        <v>36</v>
      </c>
      <c r="C641" s="29" t="s">
        <v>714</v>
      </c>
      <c r="D641" s="29" t="s">
        <v>46</v>
      </c>
      <c r="E641" s="6">
        <v>12.3</v>
      </c>
      <c r="F641" s="1">
        <f>LOOKUP(E641,{0,0.4,1.2,2,2.8,3.6,4.4,5.7,7,8.3,9.6,10.9,12.2,13.5,14.8,16.1,17.4,19.1,20.8,22.5,24.2},{0,10,20,30,40,50,60,62,64,66,68,70,72,74,76,78,80,85,90,95,100})</f>
        <v>72</v>
      </c>
      <c r="G641" s="6">
        <v>157</v>
      </c>
      <c r="H641" s="1">
        <f>LOOKUP(G641,{0,123,128,133,138,143,148,151,154,157,160,163,166,169,172,175,178,185,192,198,204},{0,10,20,30,40,50,60,62,64,66,68,70,72,74,76,78,80,85,90,95,100})</f>
        <v>66</v>
      </c>
      <c r="I641" s="6">
        <v>45</v>
      </c>
      <c r="J641" s="1">
        <f>LOOKUP(I641,{0,13,15,17,19,21,23,25,27,29,31,33,35,37,39,41,43,46,49,51,53},{0,10,20,30,40,50,60,62,64,66,68,70,72,74,76,78,80,85,90,95,100})</f>
        <v>80</v>
      </c>
      <c r="K641" s="45"/>
      <c r="L641" s="45"/>
      <c r="M641" s="21">
        <f t="shared" si="268"/>
        <v>80</v>
      </c>
      <c r="N641" s="6">
        <v>9.8</v>
      </c>
      <c r="O641" s="43">
        <f t="shared" si="269"/>
        <v>3.2</v>
      </c>
      <c r="P641" s="1">
        <f>LOOKUP(O641,{0,1.4,1.6,1.8,2,2.2,2.4,2.6,2.8,3,3.2,3.4,3.6,3.8,4,4.2,4.4,4.7,5,5.1,5.2},{0,10,20,30,40,50,60,62,64,66,68,70,72,74,76,78,80,85,90,95,100})</f>
        <v>68</v>
      </c>
      <c r="Q641" s="6">
        <v>3.51</v>
      </c>
      <c r="R641" s="6">
        <f t="shared" si="270"/>
        <v>6.49</v>
      </c>
      <c r="S641" s="1">
        <f>LOOKUP(R641,{0,4.7,4.8,4.9,5,5.5,5.6,5.65,5.7,5.75,5.8,5.85,5.9,5.95,6,6.45,6.5,6.57,6.64,6.7,6.76},{0,10,20,30,40,50,60,62,64,66,68,70,72,74,76,78,80,85,90,95,100})</f>
        <v>78</v>
      </c>
      <c r="T641" s="45"/>
      <c r="U641" s="45"/>
      <c r="V641" s="21">
        <f t="shared" si="271"/>
        <v>78</v>
      </c>
      <c r="X641" s="21">
        <f t="shared" si="272"/>
        <v>51</v>
      </c>
      <c r="Y641" s="37">
        <f t="shared" si="273"/>
        <v>72.8571428571429</v>
      </c>
    </row>
    <row r="642" ht="15.6" hidden="1" outlineLevel="2" spans="1:25">
      <c r="A642" s="6">
        <v>114</v>
      </c>
      <c r="B642" s="6">
        <v>37</v>
      </c>
      <c r="C642" s="29" t="s">
        <v>715</v>
      </c>
      <c r="D642" s="29" t="s">
        <v>46</v>
      </c>
      <c r="E642" s="6">
        <v>4.4</v>
      </c>
      <c r="F642" s="1">
        <f>LOOKUP(E642,{0,0.4,1.2,2,2.8,3.6,4.4,5.7,7,8.3,9.6,10.9,12.2,13.5,14.8,16.1,17.4,19.1,20.8,22.5,24.2},{0,10,20,30,40,50,60,62,64,66,68,70,72,74,76,78,80,85,90,95,100})</f>
        <v>60</v>
      </c>
      <c r="G642" s="6">
        <v>189</v>
      </c>
      <c r="H642" s="1">
        <f>LOOKUP(G642,{0,123,128,133,138,143,148,151,154,157,160,163,166,169,172,175,178,185,192,198,204},{0,10,20,30,40,50,60,62,64,66,68,70,72,74,76,78,80,85,90,95,100})</f>
        <v>85</v>
      </c>
      <c r="I642" s="6">
        <v>41</v>
      </c>
      <c r="J642" s="1">
        <f>LOOKUP(I642,{0,13,15,17,19,21,23,25,27,29,31,33,35,37,39,41,43,46,49,51,53},{0,10,20,30,40,50,60,62,64,66,68,70,72,74,76,78,80,85,90,95,100})</f>
        <v>78</v>
      </c>
      <c r="K642" s="45"/>
      <c r="L642" s="45"/>
      <c r="M642" s="21">
        <f t="shared" si="268"/>
        <v>78</v>
      </c>
      <c r="N642" s="6">
        <v>8.4</v>
      </c>
      <c r="O642" s="43">
        <f t="shared" si="269"/>
        <v>4.6</v>
      </c>
      <c r="P642" s="1">
        <f>LOOKUP(O642,{0,1.4,1.6,1.8,2,2.2,2.4,2.6,2.8,3,3.2,3.4,3.6,3.8,4,4.2,4.4,4.7,5,5.1,5.2},{0,10,20,30,40,50,60,62,64,66,68,70,72,74,76,78,80,85,90,95,100})</f>
        <v>80</v>
      </c>
      <c r="Q642" s="6">
        <v>3.48</v>
      </c>
      <c r="R642" s="6">
        <f t="shared" si="270"/>
        <v>6.52</v>
      </c>
      <c r="S642" s="1">
        <f>LOOKUP(R642,{0,4.7,4.8,4.9,5,5.5,5.6,5.65,5.7,5.75,5.8,5.85,5.9,5.95,6,6.45,6.5,6.57,6.64,6.7,6.76},{0,10,20,30,40,50,60,62,64,66,68,70,72,74,76,78,80,85,90,95,100})</f>
        <v>80</v>
      </c>
      <c r="T642" s="45"/>
      <c r="U642" s="45"/>
      <c r="V642" s="21">
        <f t="shared" si="271"/>
        <v>80</v>
      </c>
      <c r="X642" s="21">
        <f t="shared" si="272"/>
        <v>54.3</v>
      </c>
      <c r="Y642" s="37">
        <f t="shared" si="273"/>
        <v>77.5714285714286</v>
      </c>
    </row>
    <row r="643" ht="15.6" hidden="1" outlineLevel="2" spans="1:25">
      <c r="A643" s="6">
        <v>114</v>
      </c>
      <c r="B643" s="6">
        <v>38</v>
      </c>
      <c r="C643" s="39" t="s">
        <v>717</v>
      </c>
      <c r="D643" s="29" t="s">
        <v>46</v>
      </c>
      <c r="E643" s="6">
        <v>16</v>
      </c>
      <c r="F643" s="1">
        <f>LOOKUP(E643,{0,0.4,1.2,2,2.8,3.6,4.4,5.7,7,8.3,9.6,10.9,12.2,13.5,14.8,16.1,17.4,19.1,20.8,22.5,24.2},{0,10,20,30,40,50,60,62,64,66,68,70,72,74,76,78,80,85,90,95,100})</f>
        <v>76</v>
      </c>
      <c r="G643" s="6">
        <v>175</v>
      </c>
      <c r="H643" s="1">
        <f>LOOKUP(G643,{0,123,128,133,138,143,148,151,154,157,160,163,166,169,172,175,178,185,192,198,204},{0,10,20,30,40,50,60,62,64,66,68,70,72,74,76,78,80,85,90,95,100})</f>
        <v>78</v>
      </c>
      <c r="I643" s="6">
        <v>53</v>
      </c>
      <c r="J643" s="1">
        <f>LOOKUP(I643,{0,13,15,17,19,21,23,25,27,29,31,33,35,37,39,41,43,46,49,51,53},{0,10,20,30,40,50,60,62,64,66,68,70,72,74,76,78,80,85,90,95,100})</f>
        <v>100</v>
      </c>
      <c r="K643" s="45">
        <f t="shared" si="277"/>
        <v>0</v>
      </c>
      <c r="L643" s="40">
        <f>LOOKUP(K643,{0,2,4,6,7,8,9,10,11,12,13},{0,1,2,3,4,5,6,7,8,9,10})</f>
        <v>0</v>
      </c>
      <c r="M643" s="21">
        <f t="shared" si="268"/>
        <v>100</v>
      </c>
      <c r="N643" s="6">
        <v>8.5</v>
      </c>
      <c r="O643" s="43">
        <f t="shared" si="269"/>
        <v>4.5</v>
      </c>
      <c r="P643" s="1">
        <f>LOOKUP(O643,{0,1.4,1.6,1.8,2,2.2,2.4,2.6,2.8,3,3.2,3.4,3.6,3.8,4,4.2,4.4,4.7,5,5.1,5.2},{0,10,20,30,40,50,60,62,64,66,68,70,72,74,76,78,80,85,90,95,100})</f>
        <v>80</v>
      </c>
      <c r="Q643" s="6">
        <v>3.34</v>
      </c>
      <c r="R643" s="6">
        <f t="shared" si="270"/>
        <v>6.66</v>
      </c>
      <c r="S643" s="1">
        <f>LOOKUP(R643,{0,4.7,4.8,4.9,5,5.5,5.6,5.65,5.7,5.75,5.8,5.85,5.9,5.95,6,6.45,6.5,6.57,6.64,6.7,6.76},{0,10,20,30,40,50,60,62,64,66,68,70,72,74,76,78,80,85,90,95,100})</f>
        <v>90</v>
      </c>
      <c r="T643" s="45"/>
      <c r="U643" s="45"/>
      <c r="V643" s="21">
        <f t="shared" si="271"/>
        <v>90</v>
      </c>
      <c r="X643" s="21">
        <f t="shared" si="272"/>
        <v>59.4</v>
      </c>
      <c r="Y643" s="37">
        <f t="shared" si="273"/>
        <v>84.8571428571429</v>
      </c>
    </row>
    <row r="644" ht="15.6" hidden="1" outlineLevel="2" spans="1:25">
      <c r="A644" s="6">
        <v>114</v>
      </c>
      <c r="B644" s="6">
        <v>39</v>
      </c>
      <c r="C644" s="29" t="s">
        <v>718</v>
      </c>
      <c r="D644" s="29" t="s">
        <v>46</v>
      </c>
      <c r="E644" s="6">
        <v>19.6</v>
      </c>
      <c r="F644" s="1">
        <f>LOOKUP(E644,{0,0.4,1.2,2,2.8,3.6,4.4,5.7,7,8.3,9.6,10.9,12.2,13.5,14.8,16.1,17.4,19.1,20.8,22.5,24.2},{0,10,20,30,40,50,60,62,64,66,68,70,72,74,76,78,80,85,90,95,100})</f>
        <v>85</v>
      </c>
      <c r="G644" s="6">
        <v>201</v>
      </c>
      <c r="H644" s="1">
        <f>LOOKUP(G644,{0,123,128,133,138,143,148,151,154,157,160,163,166,169,172,175,178,185,192,198,204},{0,10,20,30,40,50,60,62,64,66,68,70,72,74,76,78,80,85,90,95,100})</f>
        <v>95</v>
      </c>
      <c r="I644" s="6">
        <v>57</v>
      </c>
      <c r="J644" s="1">
        <f>LOOKUP(I644,{0,13,15,17,19,21,23,25,27,29,31,33,35,37,39,41,43,46,49,51,53},{0,10,20,30,40,50,60,62,64,66,68,70,72,74,76,78,80,85,90,95,100})</f>
        <v>100</v>
      </c>
      <c r="K644" s="45">
        <f t="shared" si="277"/>
        <v>4</v>
      </c>
      <c r="L644" s="40">
        <f>LOOKUP(K644,{0,2,4,6,7,8,9,10,11,12,13},{0,1,2,3,4,5,6,7,8,9,10})</f>
        <v>2</v>
      </c>
      <c r="M644" s="21">
        <f t="shared" si="268"/>
        <v>102</v>
      </c>
      <c r="N644" s="6">
        <v>7.8</v>
      </c>
      <c r="O644" s="43">
        <f t="shared" si="269"/>
        <v>5.2</v>
      </c>
      <c r="P644" s="1">
        <f>LOOKUP(O644,{0,1.4,1.6,1.8,2,2.2,2.4,2.6,2.8,3,3.2,3.4,3.6,3.8,4,4.2,4.4,4.7,5,5.1,5.2},{0,10,20,30,40,50,60,62,64,66,68,70,72,74,76,78,80,85,90,95,100})</f>
        <v>100</v>
      </c>
      <c r="Q644" s="6">
        <v>3.22</v>
      </c>
      <c r="R644" s="6">
        <f t="shared" si="270"/>
        <v>6.78</v>
      </c>
      <c r="S644" s="1">
        <f>LOOKUP(R644,{0,4.7,4.8,4.9,5,5.5,5.6,5.65,5.7,5.75,5.8,5.85,5.9,5.95,6,6.45,6.5,6.57,6.64,6.7,6.76},{0,10,20,30,40,50,60,62,64,66,68,70,72,74,76,78,80,85,90,95,100})</f>
        <v>100</v>
      </c>
      <c r="T644" s="48">
        <f>3.24-Q644</f>
        <v>0.02</v>
      </c>
      <c r="U644" s="40">
        <f>LOOKUP(T644,{0,0.05,0.1,0.15,0.2,0.25,0.3,0.35,0.4,0.45,0.5},{0,1,2,3,4,5,6,7,8,9,10})</f>
        <v>0</v>
      </c>
      <c r="V644" s="21">
        <f t="shared" si="271"/>
        <v>100</v>
      </c>
      <c r="X644" s="21">
        <f t="shared" si="272"/>
        <v>68</v>
      </c>
      <c r="Y644" s="37">
        <f t="shared" si="273"/>
        <v>99.1428571428572</v>
      </c>
    </row>
    <row r="645" ht="15.6" hidden="1" outlineLevel="2" spans="1:25">
      <c r="A645" s="6">
        <v>114</v>
      </c>
      <c r="B645" s="6">
        <v>40</v>
      </c>
      <c r="C645" s="29" t="s">
        <v>109</v>
      </c>
      <c r="D645" s="29" t="s">
        <v>46</v>
      </c>
      <c r="E645" s="6">
        <v>15.8</v>
      </c>
      <c r="F645" s="1">
        <f>LOOKUP(E645,{0,0.4,1.2,2,2.8,3.6,4.4,5.7,7,8.3,9.6,10.9,12.2,13.5,14.8,16.1,17.4,19.1,20.8,22.5,24.2},{0,10,20,30,40,50,60,62,64,66,68,70,72,74,76,78,80,85,90,95,100})</f>
        <v>76</v>
      </c>
      <c r="G645" s="6">
        <v>178</v>
      </c>
      <c r="H645" s="1">
        <f>LOOKUP(G645,{0,123,128,133,138,143,148,151,154,157,160,163,166,169,172,175,178,185,192,198,204},{0,10,20,30,40,50,60,62,64,66,68,70,72,74,76,78,80,85,90,95,100})</f>
        <v>80</v>
      </c>
      <c r="I645" s="6">
        <v>40</v>
      </c>
      <c r="J645" s="1">
        <f>LOOKUP(I645,{0,13,15,17,19,21,23,25,27,29,31,33,35,37,39,41,43,46,49,51,53},{0,10,20,30,40,50,60,62,64,66,68,70,72,74,76,78,80,85,90,95,100})</f>
        <v>76</v>
      </c>
      <c r="K645" s="45"/>
      <c r="L645" s="45"/>
      <c r="M645" s="21">
        <f t="shared" si="268"/>
        <v>76</v>
      </c>
      <c r="N645" s="6">
        <v>8.9</v>
      </c>
      <c r="O645" s="43">
        <f t="shared" si="269"/>
        <v>4.1</v>
      </c>
      <c r="P645" s="1">
        <f>LOOKUP(O645,{0,1.4,1.6,1.8,2,2.2,2.4,2.6,2.8,3,3.2,3.4,3.6,3.8,4,4.2,4.4,4.7,5,5.1,5.2},{0,10,20,30,40,50,60,62,64,66,68,70,72,74,76,78,80,85,90,95,100})</f>
        <v>76</v>
      </c>
      <c r="Q645" s="6">
        <v>3.39</v>
      </c>
      <c r="R645" s="6">
        <f t="shared" si="270"/>
        <v>6.61</v>
      </c>
      <c r="S645" s="1">
        <f>LOOKUP(R645,{0,4.7,4.8,4.9,5,5.5,5.6,5.65,5.7,5.75,5.8,5.85,5.9,5.95,6,6.45,6.5,6.57,6.64,6.7,6.76},{0,10,20,30,40,50,60,62,64,66,68,70,72,74,76,78,80,85,90,95,100})</f>
        <v>85</v>
      </c>
      <c r="T645" s="45"/>
      <c r="U645" s="45"/>
      <c r="V645" s="21">
        <f t="shared" si="271"/>
        <v>85</v>
      </c>
      <c r="X645" s="21">
        <f t="shared" si="272"/>
        <v>55.4</v>
      </c>
      <c r="Y645" s="37">
        <f t="shared" si="273"/>
        <v>79.1428571428572</v>
      </c>
    </row>
    <row r="646" ht="15.6" hidden="1" outlineLevel="2" spans="1:25">
      <c r="A646" s="6">
        <v>114</v>
      </c>
      <c r="B646" s="6">
        <v>41</v>
      </c>
      <c r="C646" s="29" t="s">
        <v>719</v>
      </c>
      <c r="D646" s="29" t="s">
        <v>46</v>
      </c>
      <c r="E646" s="6">
        <v>25.9</v>
      </c>
      <c r="F646" s="1">
        <f>LOOKUP(E646,{0,0.4,1.2,2,2.8,3.6,4.4,5.7,7,8.3,9.6,10.9,12.2,13.5,14.8,16.1,17.4,19.1,20.8,22.5,24.2},{0,10,20,30,40,50,60,62,64,66,68,70,72,74,76,78,80,85,90,95,100})</f>
        <v>100</v>
      </c>
      <c r="G646" s="6">
        <v>185</v>
      </c>
      <c r="H646" s="1">
        <f>LOOKUP(G646,{0,123,128,133,138,143,148,151,154,157,160,163,166,169,172,175,178,185,192,198,204},{0,10,20,30,40,50,60,62,64,66,68,70,72,74,76,78,80,85,90,95,100})</f>
        <v>85</v>
      </c>
      <c r="I646" s="6">
        <v>47</v>
      </c>
      <c r="J646" s="1">
        <f>LOOKUP(I646,{0,13,15,17,19,21,23,25,27,29,31,33,35,37,39,41,43,46,49,51,53},{0,10,20,30,40,50,60,62,64,66,68,70,72,74,76,78,80,85,90,95,100})</f>
        <v>85</v>
      </c>
      <c r="K646" s="45"/>
      <c r="L646" s="45"/>
      <c r="M646" s="21">
        <f t="shared" si="268"/>
        <v>85</v>
      </c>
      <c r="N646" s="6">
        <v>9.1</v>
      </c>
      <c r="O646" s="43">
        <f t="shared" si="269"/>
        <v>3.9</v>
      </c>
      <c r="P646" s="1">
        <f>LOOKUP(O646,{0,1.4,1.6,1.8,2,2.2,2.4,2.6,2.8,3,3.2,3.4,3.6,3.8,4,4.2,4.4,4.7,5,5.1,5.2},{0,10,20,30,40,50,60,62,64,66,68,70,72,74,76,78,80,85,90,95,100})</f>
        <v>74</v>
      </c>
      <c r="Q646" s="6">
        <v>4.22</v>
      </c>
      <c r="R646" s="6">
        <f t="shared" si="270"/>
        <v>5.78</v>
      </c>
      <c r="S646" s="1">
        <f>LOOKUP(R646,{0,4.7,4.8,4.9,5,5.5,5.6,5.65,5.7,5.75,5.8,5.85,5.9,5.95,6,6.45,6.5,6.57,6.64,6.7,6.76},{0,10,20,30,40,50,60,62,64,66,68,70,72,74,76,78,80,85,90,95,100})</f>
        <v>66</v>
      </c>
      <c r="T646" s="45"/>
      <c r="U646" s="45"/>
      <c r="V646" s="21">
        <f t="shared" si="271"/>
        <v>66</v>
      </c>
      <c r="X646" s="21">
        <f t="shared" si="272"/>
        <v>55</v>
      </c>
      <c r="Y646" s="37">
        <f t="shared" si="273"/>
        <v>78.5714285714286</v>
      </c>
    </row>
    <row r="647" ht="15.6" hidden="1" outlineLevel="2" spans="1:25">
      <c r="A647" s="6">
        <v>114</v>
      </c>
      <c r="B647" s="6">
        <v>42</v>
      </c>
      <c r="C647" s="29" t="s">
        <v>720</v>
      </c>
      <c r="D647" s="29" t="s">
        <v>46</v>
      </c>
      <c r="E647" s="6">
        <v>22</v>
      </c>
      <c r="F647" s="1">
        <f>LOOKUP(E647,{0,0.4,1.2,2,2.8,3.6,4.4,5.7,7,8.3,9.6,10.9,12.2,13.5,14.8,16.1,17.4,19.1,20.8,22.5,24.2},{0,10,20,30,40,50,60,62,64,66,68,70,72,74,76,78,80,85,90,95,100})</f>
        <v>90</v>
      </c>
      <c r="G647" s="6">
        <v>165</v>
      </c>
      <c r="H647" s="1">
        <f>LOOKUP(G647,{0,123,128,133,138,143,148,151,154,157,160,163,166,169,172,175,178,185,192,198,204},{0,10,20,30,40,50,60,62,64,66,68,70,72,74,76,78,80,85,90,95,100})</f>
        <v>70</v>
      </c>
      <c r="I647" s="6">
        <v>48</v>
      </c>
      <c r="J647" s="1">
        <f>LOOKUP(I647,{0,13,15,17,19,21,23,25,27,29,31,33,35,37,39,41,43,46,49,51,53},{0,10,20,30,40,50,60,62,64,66,68,70,72,74,76,78,80,85,90,95,100})</f>
        <v>85</v>
      </c>
      <c r="K647" s="45"/>
      <c r="L647" s="45"/>
      <c r="M647" s="21">
        <f t="shared" si="268"/>
        <v>85</v>
      </c>
      <c r="N647" s="6">
        <v>8.4</v>
      </c>
      <c r="O647" s="43">
        <f t="shared" si="269"/>
        <v>4.6</v>
      </c>
      <c r="P647" s="1">
        <f>LOOKUP(O647,{0,1.4,1.6,1.8,2,2.2,2.4,2.6,2.8,3,3.2,3.4,3.6,3.8,4,4.2,4.4,4.7,5,5.1,5.2},{0,10,20,30,40,50,60,62,64,66,68,70,72,74,76,78,80,85,90,95,100})</f>
        <v>80</v>
      </c>
      <c r="Q647" s="6">
        <v>3.43</v>
      </c>
      <c r="R647" s="6">
        <f t="shared" si="270"/>
        <v>6.57</v>
      </c>
      <c r="S647" s="1">
        <f>LOOKUP(R647,{0,4.7,4.8,4.9,5,5.5,5.6,5.65,5.7,5.75,5.8,5.85,5.9,5.95,6,6.45,6.5,6.57,6.64,6.7,6.76},{0,10,20,30,40,50,60,62,64,66,68,70,72,74,76,78,80,85,90,95,100})</f>
        <v>85</v>
      </c>
      <c r="T647" s="45"/>
      <c r="U647" s="45"/>
      <c r="V647" s="21">
        <f t="shared" si="271"/>
        <v>85</v>
      </c>
      <c r="X647" s="21">
        <f t="shared" si="272"/>
        <v>57.5</v>
      </c>
      <c r="Y647" s="37">
        <f t="shared" si="273"/>
        <v>82.1428571428572</v>
      </c>
    </row>
    <row r="648" ht="15.6" hidden="1" outlineLevel="2" spans="1:25">
      <c r="A648" s="6">
        <v>114</v>
      </c>
      <c r="B648" s="6">
        <v>43</v>
      </c>
      <c r="C648" s="29" t="s">
        <v>721</v>
      </c>
      <c r="D648" s="29" t="s">
        <v>46</v>
      </c>
      <c r="E648" s="6">
        <v>24.8</v>
      </c>
      <c r="F648" s="1">
        <f>LOOKUP(E648,{0,0.4,1.2,2,2.8,3.6,4.4,5.7,7,8.3,9.6,10.9,12.2,13.5,14.8,16.1,17.4,19.1,20.8,22.5,24.2},{0,10,20,30,40,50,60,62,64,66,68,70,72,74,76,78,80,85,90,95,100})</f>
        <v>100</v>
      </c>
      <c r="G648" s="6">
        <v>188</v>
      </c>
      <c r="H648" s="1">
        <f>LOOKUP(G648,{0,123,128,133,138,143,148,151,154,157,160,163,166,169,172,175,178,185,192,198,204},{0,10,20,30,40,50,60,62,64,66,68,70,72,74,76,78,80,85,90,95,100})</f>
        <v>85</v>
      </c>
      <c r="I648" s="6">
        <v>41</v>
      </c>
      <c r="J648" s="1">
        <f>LOOKUP(I648,{0,13,15,17,19,21,23,25,27,29,31,33,35,37,39,41,43,46,49,51,53},{0,10,20,30,40,50,60,62,64,66,68,70,72,74,76,78,80,85,90,95,100})</f>
        <v>78</v>
      </c>
      <c r="K648" s="45"/>
      <c r="L648" s="45"/>
      <c r="M648" s="21">
        <f t="shared" si="268"/>
        <v>78</v>
      </c>
      <c r="N648" s="6">
        <v>8.3</v>
      </c>
      <c r="O648" s="43">
        <f t="shared" si="269"/>
        <v>4.7</v>
      </c>
      <c r="P648" s="1">
        <f>LOOKUP(O648,{0,1.4,1.6,1.8,2,2.2,2.4,2.6,2.8,3,3.2,3.4,3.6,3.8,4,4.2,4.4,4.7,5,5.1,5.2},{0,10,20,30,40,50,60,62,64,66,68,70,72,74,76,78,80,85,90,95,100})</f>
        <v>85</v>
      </c>
      <c r="Q648" s="6">
        <v>3.21</v>
      </c>
      <c r="R648" s="6">
        <f t="shared" si="270"/>
        <v>6.79</v>
      </c>
      <c r="S648" s="1">
        <f>LOOKUP(R648,{0,4.7,4.8,4.9,5,5.5,5.6,5.65,5.7,5.75,5.8,5.85,5.9,5.95,6,6.45,6.5,6.57,6.64,6.7,6.76},{0,10,20,30,40,50,60,62,64,66,68,70,72,74,76,78,80,85,90,95,100})</f>
        <v>100</v>
      </c>
      <c r="T648" s="48">
        <f>3.24-Q648</f>
        <v>0.0300000000000002</v>
      </c>
      <c r="U648" s="40">
        <f>LOOKUP(T648,{0,0.05,0.1,0.15,0.2,0.25,0.3,0.35,0.4,0.45,0.5},{0,1,2,3,4,5,6,7,8,9,10})</f>
        <v>0</v>
      </c>
      <c r="V648" s="21">
        <f t="shared" si="271"/>
        <v>100</v>
      </c>
      <c r="X648" s="21">
        <f t="shared" si="272"/>
        <v>63.3</v>
      </c>
      <c r="Y648" s="37">
        <f t="shared" si="273"/>
        <v>90.4285714285714</v>
      </c>
    </row>
    <row r="649" ht="15.6" hidden="1" outlineLevel="2" spans="1:25">
      <c r="A649" s="6">
        <v>114</v>
      </c>
      <c r="B649" s="6">
        <v>44</v>
      </c>
      <c r="C649" s="29" t="s">
        <v>722</v>
      </c>
      <c r="D649" s="29" t="s">
        <v>46</v>
      </c>
      <c r="E649" s="6">
        <v>16.3</v>
      </c>
      <c r="F649" s="1">
        <f>LOOKUP(E649,{0,0.4,1.2,2,2.8,3.6,4.4,5.7,7,8.3,9.6,10.9,12.2,13.5,14.8,16.1,17.4,19.1,20.8,22.5,24.2},{0,10,20,30,40,50,60,62,64,66,68,70,72,74,76,78,80,85,90,95,100})</f>
        <v>78</v>
      </c>
      <c r="G649" s="6">
        <v>183</v>
      </c>
      <c r="H649" s="1">
        <f>LOOKUP(G649,{0,123,128,133,138,143,148,151,154,157,160,163,166,169,172,175,178,185,192,198,204},{0,10,20,30,40,50,60,62,64,66,68,70,72,74,76,78,80,85,90,95,100})</f>
        <v>80</v>
      </c>
      <c r="I649" s="6">
        <v>53</v>
      </c>
      <c r="J649" s="1">
        <f>LOOKUP(I649,{0,13,15,17,19,21,23,25,27,29,31,33,35,37,39,41,43,46,49,51,53},{0,10,20,30,40,50,60,62,64,66,68,70,72,74,76,78,80,85,90,95,100})</f>
        <v>100</v>
      </c>
      <c r="K649" s="45">
        <f t="shared" ref="K649:K653" si="278">I649-53</f>
        <v>0</v>
      </c>
      <c r="L649" s="40">
        <f>LOOKUP(K649,{0,2,4,6,7,8,9,10,11,12,13},{0,1,2,3,4,5,6,7,8,9,10})</f>
        <v>0</v>
      </c>
      <c r="M649" s="21">
        <f t="shared" si="268"/>
        <v>100</v>
      </c>
      <c r="O649" s="43"/>
      <c r="P649" s="1"/>
      <c r="S649" s="1"/>
      <c r="T649" s="48"/>
      <c r="U649" s="40"/>
      <c r="V649" s="21"/>
      <c r="X649" s="21">
        <f t="shared" si="272"/>
        <v>25.8</v>
      </c>
      <c r="Y649" s="51">
        <v>50</v>
      </c>
    </row>
    <row r="650" ht="15.6" hidden="1" outlineLevel="2" spans="1:25">
      <c r="A650" s="6">
        <v>114</v>
      </c>
      <c r="B650" s="6">
        <v>45</v>
      </c>
      <c r="C650" s="29" t="s">
        <v>723</v>
      </c>
      <c r="D650" s="29" t="s">
        <v>46</v>
      </c>
      <c r="E650" s="6">
        <v>17.3</v>
      </c>
      <c r="F650" s="1">
        <f>LOOKUP(E650,{0,0.4,1.2,2,2.8,3.6,4.4,5.7,7,8.3,9.6,10.9,12.2,13.5,14.8,16.1,17.4,19.1,20.8,22.5,24.2},{0,10,20,30,40,50,60,62,64,66,68,70,72,74,76,78,80,85,90,95,100})</f>
        <v>78</v>
      </c>
      <c r="G650" s="6">
        <v>189</v>
      </c>
      <c r="H650" s="1">
        <f>LOOKUP(G650,{0,123,128,133,138,143,148,151,154,157,160,163,166,169,172,175,178,185,192,198,204},{0,10,20,30,40,50,60,62,64,66,68,70,72,74,76,78,80,85,90,95,100})</f>
        <v>85</v>
      </c>
      <c r="I650" s="6">
        <v>53</v>
      </c>
      <c r="J650" s="1">
        <f>LOOKUP(I650,{0,13,15,17,19,21,23,25,27,29,31,33,35,37,39,41,43,46,49,51,53},{0,10,20,30,40,50,60,62,64,66,68,70,72,74,76,78,80,85,90,95,100})</f>
        <v>100</v>
      </c>
      <c r="K650" s="45">
        <f t="shared" si="278"/>
        <v>0</v>
      </c>
      <c r="L650" s="40">
        <f>LOOKUP(K650,{0,2,4,6,7,8,9,10,11,12,13},{0,1,2,3,4,5,6,7,8,9,10})</f>
        <v>0</v>
      </c>
      <c r="M650" s="21">
        <f t="shared" si="268"/>
        <v>100</v>
      </c>
      <c r="N650" s="6">
        <v>9</v>
      </c>
      <c r="O650" s="43">
        <f>13-N650</f>
        <v>4</v>
      </c>
      <c r="P650" s="1">
        <f>LOOKUP(O650,{0,1.4,1.6,1.8,2,2.2,2.4,2.6,2.8,3,3.2,3.4,3.6,3.8,4,4.2,4.4,4.7,5,5.1,5.2},{0,10,20,30,40,50,60,62,64,66,68,70,72,74,76,78,80,85,90,95,100})</f>
        <v>76</v>
      </c>
      <c r="Q650" s="6">
        <v>3.28</v>
      </c>
      <c r="R650" s="6">
        <f>10-Q650</f>
        <v>6.72</v>
      </c>
      <c r="S650" s="1">
        <f>LOOKUP(R650,{0,4.7,4.8,4.9,5,5.5,5.6,5.65,5.7,5.75,5.8,5.85,5.9,5.95,6,6.45,6.5,6.57,6.64,6.7,6.76},{0,10,20,30,40,50,60,62,64,66,68,70,72,74,76,78,80,85,90,95,100})</f>
        <v>95</v>
      </c>
      <c r="T650" s="45"/>
      <c r="U650" s="45"/>
      <c r="V650" s="21">
        <f>S650+U650</f>
        <v>95</v>
      </c>
      <c r="X650" s="21">
        <f t="shared" si="272"/>
        <v>60.5</v>
      </c>
      <c r="Y650" s="37">
        <f>X650/0.7+L650+U650</f>
        <v>86.4285714285714</v>
      </c>
    </row>
    <row r="651" ht="15.6" hidden="1" outlineLevel="2" spans="1:25">
      <c r="A651" s="6">
        <v>114</v>
      </c>
      <c r="B651" s="6">
        <v>46</v>
      </c>
      <c r="C651" s="29" t="s">
        <v>724</v>
      </c>
      <c r="D651" s="29" t="s">
        <v>46</v>
      </c>
      <c r="E651" s="6">
        <v>18.5</v>
      </c>
      <c r="F651" s="1">
        <f>LOOKUP(E651,{0,0.4,1.2,2,2.8,3.6,4.4,5.7,7,8.3,9.6,10.9,12.2,13.5,14.8,16.1,17.4,19.1,20.8,22.5,24.2},{0,10,20,30,40,50,60,62,64,66,68,70,72,74,76,78,80,85,90,95,100})</f>
        <v>80</v>
      </c>
      <c r="G651" s="6">
        <v>142</v>
      </c>
      <c r="H651" s="1">
        <f>LOOKUP(G651,{0,123,128,133,138,143,148,151,154,157,160,163,166,169,172,175,178,185,192,198,204},{0,10,20,30,40,50,60,62,64,66,68,70,72,74,76,78,80,85,90,95,100})</f>
        <v>40</v>
      </c>
      <c r="I651" s="6">
        <v>46</v>
      </c>
      <c r="J651" s="1">
        <f>LOOKUP(I651,{0,13,15,17,19,21,23,25,27,29,31,33,35,37,39,41,43,46,49,51,53},{0,10,20,30,40,50,60,62,64,66,68,70,72,74,76,78,80,85,90,95,100})</f>
        <v>85</v>
      </c>
      <c r="K651" s="45"/>
      <c r="L651" s="45"/>
      <c r="M651" s="21">
        <f t="shared" si="268"/>
        <v>85</v>
      </c>
      <c r="N651" s="6">
        <v>10.7</v>
      </c>
      <c r="O651" s="43">
        <f>13-N651</f>
        <v>2.3</v>
      </c>
      <c r="P651" s="1">
        <f>LOOKUP(O651,{0,1.4,1.6,1.8,2,2.2,2.4,2.6,2.8,3,3.2,3.4,3.6,3.8,4,4.2,4.4,4.7,5,5.1,5.2},{0,10,20,30,40,50,60,62,64,66,68,70,72,74,76,78,80,85,90,95,100})</f>
        <v>50</v>
      </c>
      <c r="Q651" s="6">
        <v>5.25</v>
      </c>
      <c r="R651" s="6">
        <f>10-Q651</f>
        <v>4.75</v>
      </c>
      <c r="S651" s="1">
        <f>LOOKUP(R651,{0,4.7,4.8,4.9,5,5.5,5.6,5.65,5.7,5.75,5.8,5.85,5.9,5.95,6,6.45,6.5,6.57,6.64,6.7,6.76},{0,10,20,30,40,50,60,62,64,66,68,70,72,74,76,78,80,85,90,95,100})</f>
        <v>10</v>
      </c>
      <c r="T651" s="45"/>
      <c r="U651" s="45"/>
      <c r="V651" s="21">
        <f>S651+U651</f>
        <v>10</v>
      </c>
      <c r="X651" s="21">
        <f t="shared" si="272"/>
        <v>32.5</v>
      </c>
      <c r="Y651" s="37">
        <f>X651/0.7+L651+U651</f>
        <v>46.4285714285714</v>
      </c>
    </row>
    <row r="652" s="3" customFormat="1" ht="15.6" hidden="1" outlineLevel="2" spans="1:25">
      <c r="A652" s="6">
        <v>114</v>
      </c>
      <c r="B652" s="6">
        <v>47</v>
      </c>
      <c r="C652" s="29" t="s">
        <v>725</v>
      </c>
      <c r="D652" s="29" t="s">
        <v>46</v>
      </c>
      <c r="E652" s="6">
        <v>20.2</v>
      </c>
      <c r="F652" s="1">
        <f>LOOKUP(E652,{0,0.4,1.2,2,2.8,3.6,4.4,5.7,7,8.3,9.6,10.9,12.2,13.5,14.8,16.1,17.4,19.1,20.8,22.5,24.2},{0,10,20,30,40,50,60,62,64,66,68,70,72,74,76,78,80,85,90,95,100})</f>
        <v>85</v>
      </c>
      <c r="G652" s="6">
        <v>163</v>
      </c>
      <c r="H652" s="1">
        <f>LOOKUP(G652,{0,123,128,133,138,143,148,151,154,157,160,163,166,169,172,175,178,185,192,198,204},{0,10,20,30,40,50,60,62,64,66,68,70,72,74,76,78,80,85,90,95,100})</f>
        <v>70</v>
      </c>
      <c r="I652" s="6">
        <v>50</v>
      </c>
      <c r="J652" s="1">
        <f>LOOKUP(I652,{0,13,15,17,19,21,23,25,27,29,31,33,35,37,39,41,43,46,49,51,53},{0,10,20,30,40,50,60,62,64,66,68,70,72,74,76,78,80,85,90,95,100})</f>
        <v>90</v>
      </c>
      <c r="K652" s="45"/>
      <c r="L652" s="45"/>
      <c r="M652" s="21">
        <f t="shared" si="268"/>
        <v>90</v>
      </c>
      <c r="N652" s="6">
        <v>8.8</v>
      </c>
      <c r="O652" s="43">
        <f>13-N652</f>
        <v>4.2</v>
      </c>
      <c r="P652" s="1">
        <f>LOOKUP(O652,{0,1.4,1.6,1.8,2,2.2,2.4,2.6,2.8,3,3.2,3.4,3.6,3.8,4,4.2,4.4,4.7,5,5.1,5.2},{0,10,20,30,40,50,60,62,64,66,68,70,72,74,76,78,80,85,90,95,100})</f>
        <v>78</v>
      </c>
      <c r="Q652" s="6">
        <v>3.58</v>
      </c>
      <c r="R652" s="6">
        <f>10-Q652</f>
        <v>6.42</v>
      </c>
      <c r="S652" s="1">
        <f>LOOKUP(R652,{0,4.7,4.8,4.9,5,5.5,5.6,5.65,5.7,5.75,5.8,5.85,5.9,5.95,6,6.45,6.5,6.57,6.64,6.7,6.76},{0,10,20,30,40,50,60,62,64,66,68,70,72,74,76,78,80,85,90,95,100})</f>
        <v>76</v>
      </c>
      <c r="T652" s="45"/>
      <c r="U652" s="45"/>
      <c r="V652" s="21">
        <f>S652+U652</f>
        <v>76</v>
      </c>
      <c r="W652" s="6"/>
      <c r="X652" s="21">
        <f t="shared" si="272"/>
        <v>55.3</v>
      </c>
      <c r="Y652" s="37">
        <f>X652/0.7+L652+U652</f>
        <v>79</v>
      </c>
    </row>
    <row r="653" ht="15.6" hidden="1" outlineLevel="2" spans="1:25">
      <c r="A653" s="6">
        <v>114</v>
      </c>
      <c r="B653" s="6">
        <v>48</v>
      </c>
      <c r="C653" s="29" t="s">
        <v>726</v>
      </c>
      <c r="D653" s="29" t="s">
        <v>46</v>
      </c>
      <c r="E653" s="6">
        <v>16.3</v>
      </c>
      <c r="F653" s="1">
        <f>LOOKUP(E653,{0,0.4,1.2,2,2.8,3.6,4.4,5.7,7,8.3,9.6,10.9,12.2,13.5,14.8,16.1,17.4,19.1,20.8,22.5,24.2},{0,10,20,30,40,50,60,62,64,66,68,70,72,74,76,78,80,85,90,95,100})</f>
        <v>78</v>
      </c>
      <c r="G653" s="6">
        <v>183</v>
      </c>
      <c r="H653" s="1">
        <f>LOOKUP(G653,{0,123,128,133,138,143,148,151,154,157,160,163,166,169,172,175,178,185,192,198,204},{0,10,20,30,40,50,60,62,64,66,68,70,72,74,76,78,80,85,90,95,100})</f>
        <v>80</v>
      </c>
      <c r="I653" s="6">
        <v>63</v>
      </c>
      <c r="J653" s="1">
        <f>LOOKUP(I653,{0,13,15,17,19,21,23,25,27,29,31,33,35,37,39,41,43,46,49,51,53},{0,10,20,30,40,50,60,62,64,66,68,70,72,74,76,78,80,85,90,95,100})</f>
        <v>100</v>
      </c>
      <c r="K653" s="45">
        <f t="shared" si="278"/>
        <v>10</v>
      </c>
      <c r="L653" s="40">
        <f>LOOKUP(K653,{0,2,4,6,7,8,9,10,11,12,13},{0,1,2,3,4,5,6,7,8,9,10})</f>
        <v>7</v>
      </c>
      <c r="M653" s="21">
        <f t="shared" si="268"/>
        <v>107</v>
      </c>
      <c r="N653" s="6">
        <v>8.1</v>
      </c>
      <c r="O653" s="43">
        <f>13-N653</f>
        <v>4.9</v>
      </c>
      <c r="P653" s="1">
        <f>LOOKUP(O653,{0,1.4,1.6,1.8,2,2.2,2.4,2.6,2.8,3,3.2,3.4,3.6,3.8,4,4.2,4.4,4.7,5,5.1,5.2},{0,10,20,30,40,50,60,62,64,66,68,70,72,74,76,78,80,85,90,95,100})</f>
        <v>85</v>
      </c>
      <c r="Q653" s="6">
        <v>3.11</v>
      </c>
      <c r="R653" s="6">
        <f>10-Q653</f>
        <v>6.89</v>
      </c>
      <c r="S653" s="1">
        <f>LOOKUP(R653,{0,4.7,4.8,4.9,5,5.5,5.6,5.65,5.7,5.75,5.8,5.85,5.9,5.95,6,6.45,6.5,6.57,6.64,6.7,6.76},{0,10,20,30,40,50,60,62,64,66,68,70,72,74,76,78,80,85,90,95,100})</f>
        <v>100</v>
      </c>
      <c r="T653" s="48">
        <f>3.24-Q653</f>
        <v>0.13</v>
      </c>
      <c r="U653" s="40">
        <f>LOOKUP(T653,{0,0.05,0.1,0.15,0.2,0.25,0.3,0.35,0.4,0.45,0.5},{0,1,2,3,4,5,6,7,8,9,10})</f>
        <v>2</v>
      </c>
      <c r="V653" s="21">
        <f>S653+U653</f>
        <v>102</v>
      </c>
      <c r="X653" s="21">
        <f t="shared" si="272"/>
        <v>62.8</v>
      </c>
      <c r="Y653" s="37">
        <f>X653/0.7+L653+U653</f>
        <v>98.7142857142857</v>
      </c>
    </row>
    <row r="654" ht="15.6" hidden="1" outlineLevel="2" spans="1:25">
      <c r="A654" s="6">
        <v>114</v>
      </c>
      <c r="B654" s="6">
        <v>49</v>
      </c>
      <c r="C654" s="6" t="s">
        <v>727</v>
      </c>
      <c r="D654" s="6" t="s">
        <v>46</v>
      </c>
      <c r="E654" s="6">
        <v>20.3</v>
      </c>
      <c r="F654" s="1">
        <f>LOOKUP(E654,{0,0.4,1.2,2,2.8,3.6,4.4,5.7,7,8.3,9.6,10.9,12.2,13.5,14.8,16.1,17.4,19.1,20.8,22.5,24.2},{0,10,20,30,40,50,60,62,64,66,68,70,72,74,76,78,80,85,90,95,100})</f>
        <v>85</v>
      </c>
      <c r="G654" s="6">
        <v>151</v>
      </c>
      <c r="H654" s="1">
        <f>LOOKUP(G654,{0,123,128,133,138,143,148,151,154,157,160,163,166,169,172,175,178,185,192,198,204},{0,10,20,30,40,50,60,62,64,66,68,70,72,74,76,78,80,85,90,95,100})</f>
        <v>62</v>
      </c>
      <c r="I654" s="6">
        <v>25</v>
      </c>
      <c r="J654" s="1">
        <f>LOOKUP(I654,{0,13,15,17,19,21,23,25,27,29,31,33,35,37,39,41,43,46,49,51,53},{0,10,20,30,40,50,60,62,64,66,68,70,72,74,76,78,80,85,90,95,100})</f>
        <v>62</v>
      </c>
      <c r="K654" s="45"/>
      <c r="L654" s="45"/>
      <c r="M654" s="21">
        <f t="shared" si="268"/>
        <v>62</v>
      </c>
      <c r="N654" s="6">
        <v>9</v>
      </c>
      <c r="O654" s="43">
        <f>13-N654</f>
        <v>4</v>
      </c>
      <c r="P654" s="1">
        <f>LOOKUP(O654,{0,1.4,1.6,1.8,2,2.2,2.4,2.6,2.8,3,3.2,3.4,3.6,3.8,4,4.2,4.4,4.7,5,5.1,5.2},{0,10,20,30,40,50,60,62,64,66,68,70,72,74,76,78,80,85,90,95,100})</f>
        <v>76</v>
      </c>
      <c r="Q654" s="6">
        <v>4.22</v>
      </c>
      <c r="R654" s="6">
        <f>10-Q654</f>
        <v>5.78</v>
      </c>
      <c r="S654" s="1">
        <f>LOOKUP(R654,{0,4.7,4.8,4.9,5,5.5,5.6,5.65,5.7,5.75,5.8,5.85,5.9,5.95,6,6.45,6.5,6.57,6.64,6.7,6.76},{0,10,20,30,40,50,60,62,64,66,68,70,72,74,76,78,80,85,90,95,100})</f>
        <v>66</v>
      </c>
      <c r="T654" s="45"/>
      <c r="U654" s="45"/>
      <c r="V654" s="21">
        <f>S654+U654</f>
        <v>66</v>
      </c>
      <c r="X654" s="21">
        <f t="shared" si="272"/>
        <v>49.3</v>
      </c>
      <c r="Y654" s="37">
        <f>X654/0.7+L654+U654</f>
        <v>70.4285714285714</v>
      </c>
    </row>
    <row r="655" ht="15.6" outlineLevel="1" collapsed="1" spans="1:25">
      <c r="A655" s="42" t="s">
        <v>855</v>
      </c>
      <c r="F655" s="1">
        <f>SUBTOTAL(1,F606:F654)</f>
        <v>72.4081632653061</v>
      </c>
      <c r="H655" s="1">
        <f>SUBTOTAL(1,H606:H654)</f>
        <v>79.1666666666667</v>
      </c>
      <c r="J655" s="1">
        <f>SUBTOTAL(1,J606:J654)</f>
        <v>72.469387755102</v>
      </c>
      <c r="K655" s="45"/>
      <c r="L655" s="45"/>
      <c r="M655" s="21">
        <f>SUBTOTAL(1,M606:M654)</f>
        <v>73.2448979591837</v>
      </c>
      <c r="O655" s="43"/>
      <c r="P655" s="1">
        <f>SUBTOTAL(1,P606:P654)</f>
        <v>85.0208333333333</v>
      </c>
      <c r="S655" s="1">
        <f>SUBTOTAL(1,S606:S654)</f>
        <v>84.3541666666667</v>
      </c>
      <c r="T655" s="45"/>
      <c r="U655" s="45"/>
      <c r="V655" s="21">
        <f>SUBTOTAL(1,V606:V654)</f>
        <v>84.7708333333333</v>
      </c>
      <c r="X655" s="21">
        <f>SUBTOTAL(1,X606:X654)</f>
        <v>55.4265306122449</v>
      </c>
      <c r="Y655" s="37">
        <f>SUBTOTAL(1,Y606:Y654)</f>
        <v>80.6326530612245</v>
      </c>
    </row>
    <row r="656" ht="15.6" hidden="1" outlineLevel="2" spans="1:25">
      <c r="A656" s="6">
        <v>115</v>
      </c>
      <c r="B656" s="6">
        <v>1</v>
      </c>
      <c r="C656" s="39" t="s">
        <v>729</v>
      </c>
      <c r="D656" s="29" t="s">
        <v>11</v>
      </c>
      <c r="E656" s="6">
        <v>20.9</v>
      </c>
      <c r="F656" s="1">
        <f>LOOKUP(E656,{0,-4,-3,-2,-1,0,1,2.4,3.8,5.2,6.6,8,9.4,10.8,12.2,13.6,15,17.2,19.4,21.5,23.6},{0,10,20,30,40,50,60,62,64,66,68,70,72,74,76,78,80,85,90,95,100})</f>
        <v>90</v>
      </c>
      <c r="G656" s="6">
        <v>256</v>
      </c>
      <c r="H656" s="1">
        <f>LOOKUP(G656,{0,170,175,180,185,190,195,199,203,207,211,215,219,223,227,231,235,243,250,255,260},{0,10,20,30,40,50,60,62,64,66,68,70,72,74,76,78,80,85,90,95,100})</f>
        <v>95</v>
      </c>
      <c r="I656" s="6">
        <v>26</v>
      </c>
      <c r="J656" s="1">
        <f>LOOKUP(I656,{0,2,3,4,5,6,7,8,9,10,11,12,13,14,15,16},{0,10,20,30,40,50,60,64,68,72,76,80,85,90,95,100})</f>
        <v>100</v>
      </c>
      <c r="K656" s="7">
        <f>I656-16</f>
        <v>10</v>
      </c>
      <c r="L656" s="40">
        <f>LOOKUP(K656,{0,1,2,3,4,5,6,7,8,9,10},{0,1,2,3,4,5,6,7,8,9,10})</f>
        <v>10</v>
      </c>
      <c r="M656" s="21">
        <f t="shared" ref="M656:M670" si="279">J656+L656</f>
        <v>110</v>
      </c>
      <c r="N656" s="6">
        <v>7.1</v>
      </c>
      <c r="O656" s="43">
        <f t="shared" ref="O656:O682" si="280">13-N656</f>
        <v>5.9</v>
      </c>
      <c r="P656" s="1">
        <f>LOOKUP(O656,{0,2.5,2.7,2.9,3.1,3.3,3.5,3.7,3.9,4.1,4.3,4.5,4.7,4.9,5.1,5.3,5.5,5.6,5.7,5.8,5.9},{0,10,20,30,40,50,60,62,64,66,68,70,72,74,76,78,80,85,90,95,100})</f>
        <v>100</v>
      </c>
      <c r="Q656" s="6">
        <v>3.1</v>
      </c>
      <c r="R656" s="6">
        <f t="shared" ref="R656:R682" si="281">10-Q656</f>
        <v>6.9</v>
      </c>
      <c r="S656" s="1">
        <f>LOOKUP(R656,{0,3.75,3.95,4.55,4.75,4.95,5.55,5.6,5.65,5.7,5.75,5.8,5.85,5.9,5.95,6,6.45,6.53,6.6,6.65,6.7},{0,10,20,30,40,50,60,62,64,66,68,70,72,74,76,78,80,85,90,95,100})</f>
        <v>100</v>
      </c>
      <c r="T656" s="7">
        <f t="shared" ref="T656:T658" si="282">3.3-Q656</f>
        <v>0.2</v>
      </c>
      <c r="U656" s="40">
        <f>LOOKUP(T656,{0,0.04,0.08,0.12,0.16,0.2,0.23,0.26,0.29,0.32,0.35},{0,1,2,3,4,5,6,7,8,9,10})</f>
        <v>4</v>
      </c>
      <c r="V656" s="21">
        <f t="shared" ref="V656:V682" si="283">S656+U656</f>
        <v>104</v>
      </c>
      <c r="X656" s="21">
        <f t="shared" ref="X656:X688" si="284">F656*0.1+H656*0.1+J656*0.1+P656*0.2+S656*0.2</f>
        <v>68.5</v>
      </c>
      <c r="Y656" s="37">
        <f t="shared" ref="Y656:Y682" si="285">X656/0.7+L656+U656</f>
        <v>111.857142857143</v>
      </c>
    </row>
    <row r="657" ht="15.6" hidden="1" outlineLevel="2" spans="1:25">
      <c r="A657" s="6">
        <v>115</v>
      </c>
      <c r="B657" s="6">
        <v>2</v>
      </c>
      <c r="C657" s="29" t="s">
        <v>730</v>
      </c>
      <c r="D657" s="29" t="s">
        <v>11</v>
      </c>
      <c r="E657" s="6">
        <v>7.5</v>
      </c>
      <c r="F657" s="1">
        <f>LOOKUP(E657,{0,-4,-3,-2,-1,0,1,2.4,3.8,5.2,6.6,8,9.4,10.8,12.2,13.6,15,17.2,19.4,21.5,23.6},{0,10,20,30,40,50,60,62,64,66,68,70,72,74,76,78,80,85,90,95,100})</f>
        <v>68</v>
      </c>
      <c r="G657" s="6">
        <v>235</v>
      </c>
      <c r="H657" s="1">
        <f>LOOKUP(G657,{0,170,175,180,185,190,195,199,203,207,211,215,219,223,227,231,235,243,250,255,260},{0,10,20,30,40,50,60,62,64,66,68,70,72,74,76,78,80,85,90,95,100})</f>
        <v>80</v>
      </c>
      <c r="I657" s="6">
        <v>18</v>
      </c>
      <c r="J657" s="1">
        <f>LOOKUP(I657,{0,2,3,4,5,6,7,8,9,10,11,12,13,14,15,16},{0,10,20,30,40,50,60,64,68,72,76,80,85,90,95,100})</f>
        <v>100</v>
      </c>
      <c r="K657" s="7">
        <f>I657-16</f>
        <v>2</v>
      </c>
      <c r="L657" s="40">
        <f>LOOKUP(K657,{0,1,2,3,4,5,6,7,8,9,10},{0,1,2,3,4,5,6,7,8,9,10})</f>
        <v>2</v>
      </c>
      <c r="M657" s="21">
        <f t="shared" si="279"/>
        <v>102</v>
      </c>
      <c r="N657" s="6">
        <v>6.9</v>
      </c>
      <c r="O657" s="43">
        <f t="shared" si="280"/>
        <v>6.1</v>
      </c>
      <c r="P657" s="1">
        <f>LOOKUP(O657,{0,2.5,2.7,2.9,3.1,3.3,3.5,3.7,3.9,4.1,4.3,4.5,4.7,4.9,5.1,5.3,5.5,5.6,5.7,5.8,5.9},{0,10,20,30,40,50,60,62,64,66,68,70,72,74,76,78,80,85,90,95,100})</f>
        <v>100</v>
      </c>
      <c r="Q657" s="6">
        <v>3.24</v>
      </c>
      <c r="R657" s="6">
        <f t="shared" si="281"/>
        <v>6.76</v>
      </c>
      <c r="S657" s="1">
        <f>LOOKUP(R657,{0,3.75,3.95,4.55,4.75,4.95,5.55,5.6,5.65,5.7,5.75,5.8,5.85,5.9,5.95,6,6.45,6.53,6.6,6.65,6.7},{0,10,20,30,40,50,60,62,64,66,68,70,72,74,76,78,80,85,90,95,100})</f>
        <v>100</v>
      </c>
      <c r="T657" s="7">
        <f t="shared" si="282"/>
        <v>0.0599999999999996</v>
      </c>
      <c r="U657" s="40">
        <f>LOOKUP(T657,{0,0.04,0.08,0.12,0.16,0.2,0.23,0.26,0.29,0.32,0.35},{0,1,2,3,4,5,6,7,8,9,10})</f>
        <v>1</v>
      </c>
      <c r="V657" s="21">
        <f t="shared" si="283"/>
        <v>101</v>
      </c>
      <c r="X657" s="21">
        <f t="shared" si="284"/>
        <v>64.8</v>
      </c>
      <c r="Y657" s="37">
        <f t="shared" si="285"/>
        <v>95.5714285714286</v>
      </c>
    </row>
    <row r="658" ht="15.6" hidden="1" outlineLevel="2" spans="1:25">
      <c r="A658" s="6">
        <v>115</v>
      </c>
      <c r="B658" s="6">
        <v>3</v>
      </c>
      <c r="C658" s="29" t="s">
        <v>731</v>
      </c>
      <c r="D658" s="29" t="s">
        <v>11</v>
      </c>
      <c r="E658" s="6">
        <v>4.3</v>
      </c>
      <c r="F658" s="1">
        <f>LOOKUP(E658,{0,-4,-3,-2,-1,0,1,2.4,3.8,5.2,6.6,8,9.4,10.8,12.2,13.6,15,17.2,19.4,21.5,23.6},{0,10,20,30,40,50,60,62,64,66,68,70,72,74,76,78,80,85,90,95,100})</f>
        <v>64</v>
      </c>
      <c r="G658" s="6">
        <v>234</v>
      </c>
      <c r="H658" s="1">
        <f>LOOKUP(G658,{0,170,175,180,185,190,195,199,203,207,211,215,219,223,227,231,235,243,250,255,260},{0,10,20,30,40,50,60,62,64,66,68,70,72,74,76,78,80,85,90,95,100})</f>
        <v>78</v>
      </c>
      <c r="I658" s="6">
        <v>15</v>
      </c>
      <c r="J658" s="1">
        <f>LOOKUP(I658,{0,2,3,4,5,6,7,8,9,10,11,12,13,14,15,16},{0,10,20,30,40,50,60,64,68,72,76,80,85,90,95,100})</f>
        <v>95</v>
      </c>
      <c r="K658" s="7"/>
      <c r="L658" s="7"/>
      <c r="M658" s="21">
        <f t="shared" si="279"/>
        <v>95</v>
      </c>
      <c r="N658" s="6">
        <v>7</v>
      </c>
      <c r="O658" s="43">
        <f t="shared" si="280"/>
        <v>6</v>
      </c>
      <c r="P658" s="1">
        <f>LOOKUP(O658,{0,2.5,2.7,2.9,3.1,3.3,3.5,3.7,3.9,4.1,4.3,4.5,4.7,4.9,5.1,5.3,5.5,5.6,5.7,5.8,5.9},{0,10,20,30,40,50,60,62,64,66,68,70,72,74,76,78,80,85,90,95,100})</f>
        <v>100</v>
      </c>
      <c r="Q658" s="6">
        <v>3.15</v>
      </c>
      <c r="R658" s="6">
        <f t="shared" si="281"/>
        <v>6.85</v>
      </c>
      <c r="S658" s="1">
        <f>LOOKUP(R658,{0,3.75,3.95,4.55,4.75,4.95,5.55,5.6,5.65,5.7,5.75,5.8,5.85,5.9,5.95,6,6.45,6.53,6.6,6.65,6.7},{0,10,20,30,40,50,60,62,64,66,68,70,72,74,76,78,80,85,90,95,100})</f>
        <v>100</v>
      </c>
      <c r="T658" s="7">
        <f t="shared" si="282"/>
        <v>0.15</v>
      </c>
      <c r="U658" s="40">
        <f>LOOKUP(T658,{0,0.04,0.08,0.12,0.16,0.2,0.23,0.26,0.29,0.32,0.35},{0,1,2,3,4,5,6,7,8,9,10})</f>
        <v>3</v>
      </c>
      <c r="V658" s="21">
        <f t="shared" si="283"/>
        <v>103</v>
      </c>
      <c r="X658" s="21">
        <f t="shared" si="284"/>
        <v>63.7</v>
      </c>
      <c r="Y658" s="37">
        <f t="shared" si="285"/>
        <v>94</v>
      </c>
    </row>
    <row r="659" ht="15.6" hidden="1" outlineLevel="2" spans="1:25">
      <c r="A659" s="6">
        <v>115</v>
      </c>
      <c r="B659" s="6">
        <v>4</v>
      </c>
      <c r="C659" s="29" t="s">
        <v>732</v>
      </c>
      <c r="D659" s="29" t="s">
        <v>11</v>
      </c>
      <c r="E659" s="6">
        <v>21.4</v>
      </c>
      <c r="F659" s="1">
        <f>LOOKUP(E659,{0,-4,-3,-2,-1,0,1,2.4,3.8,5.2,6.6,8,9.4,10.8,12.2,13.6,15,17.2,19.4,21.5,23.6},{0,10,20,30,40,50,60,62,64,66,68,70,72,74,76,78,80,85,90,95,100})</f>
        <v>90</v>
      </c>
      <c r="G659" s="6">
        <v>205</v>
      </c>
      <c r="H659" s="1">
        <f>LOOKUP(G659,{0,170,175,180,185,190,195,199,203,207,211,215,219,223,227,231,235,243,250,255,260},{0,10,20,30,40,50,60,62,64,66,68,70,72,74,76,78,80,85,90,95,100})</f>
        <v>64</v>
      </c>
      <c r="I659" s="6">
        <v>3</v>
      </c>
      <c r="J659" s="1">
        <f>LOOKUP(I659,{0,2,3,4,5,6,7,8,9,10,11,12,13,14,15,16},{0,10,20,30,40,50,60,64,68,72,76,80,85,90,95,100})</f>
        <v>20</v>
      </c>
      <c r="K659" s="7"/>
      <c r="L659" s="7"/>
      <c r="M659" s="21">
        <f t="shared" si="279"/>
        <v>20</v>
      </c>
      <c r="N659" s="6">
        <v>8.1</v>
      </c>
      <c r="O659" s="43">
        <f t="shared" si="280"/>
        <v>4.9</v>
      </c>
      <c r="P659" s="1">
        <f>LOOKUP(O659,{0,2.5,2.7,2.9,3.1,3.3,3.5,3.7,3.9,4.1,4.3,4.5,4.7,4.9,5.1,5.3,5.5,5.6,5.7,5.8,5.9},{0,10,20,30,40,50,60,62,64,66,68,70,72,74,76,78,80,85,90,95,100})</f>
        <v>74</v>
      </c>
      <c r="Q659" s="6">
        <v>3.57</v>
      </c>
      <c r="R659" s="6">
        <f t="shared" si="281"/>
        <v>6.43</v>
      </c>
      <c r="S659" s="1">
        <f>LOOKUP(R659,{0,3.75,3.95,4.55,4.75,4.95,5.55,5.6,5.65,5.7,5.75,5.8,5.85,5.9,5.95,6,6.45,6.53,6.6,6.65,6.7},{0,10,20,30,40,50,60,62,64,66,68,70,72,74,76,78,80,85,90,95,100})</f>
        <v>78</v>
      </c>
      <c r="T659" s="7"/>
      <c r="U659" s="7"/>
      <c r="V659" s="21">
        <f t="shared" si="283"/>
        <v>78</v>
      </c>
      <c r="X659" s="21">
        <f t="shared" si="284"/>
        <v>47.8</v>
      </c>
      <c r="Y659" s="37">
        <f t="shared" si="285"/>
        <v>68.2857142857143</v>
      </c>
    </row>
    <row r="660" ht="15.6" hidden="1" outlineLevel="2" spans="1:25">
      <c r="A660" s="6">
        <v>115</v>
      </c>
      <c r="B660" s="6">
        <v>5</v>
      </c>
      <c r="C660" s="29" t="s">
        <v>733</v>
      </c>
      <c r="D660" s="29" t="s">
        <v>11</v>
      </c>
      <c r="E660" s="6">
        <v>26.6</v>
      </c>
      <c r="F660" s="1">
        <f>LOOKUP(E660,{0,-4,-3,-2,-1,0,1,2.4,3.8,5.2,6.6,8,9.4,10.8,12.2,13.6,15,17.2,19.4,21.5,23.6},{0,10,20,30,40,50,60,62,64,66,68,70,72,74,76,78,80,85,90,95,100})</f>
        <v>100</v>
      </c>
      <c r="G660" s="6">
        <v>184</v>
      </c>
      <c r="H660" s="1">
        <f>LOOKUP(G660,{0,170,175,180,185,190,195,199,203,207,211,215,219,223,227,231,235,243,250,255,260},{0,10,20,30,40,50,60,62,64,66,68,70,72,74,76,78,80,85,90,95,100})</f>
        <v>30</v>
      </c>
      <c r="I660" s="6">
        <v>13</v>
      </c>
      <c r="J660" s="1">
        <f>LOOKUP(I660,{0,2,3,4,5,6,7,8,9,10,11,12,13,14,15,16},{0,10,20,30,40,50,60,64,68,72,76,80,85,90,95,100})</f>
        <v>85</v>
      </c>
      <c r="K660" s="7"/>
      <c r="L660" s="7"/>
      <c r="M660" s="21">
        <f t="shared" si="279"/>
        <v>85</v>
      </c>
      <c r="N660" s="6">
        <v>7.7</v>
      </c>
      <c r="O660" s="43">
        <f t="shared" si="280"/>
        <v>5.3</v>
      </c>
      <c r="P660" s="1">
        <f>LOOKUP(O660,{0,2.5,2.7,2.9,3.1,3.3,3.5,3.7,3.9,4.1,4.3,4.5,4.7,4.9,5.1,5.3,5.5,5.6,5.7,5.8,5.9},{0,10,20,30,40,50,60,62,64,66,68,70,72,74,76,78,80,85,90,95,100})</f>
        <v>78</v>
      </c>
      <c r="Q660" s="6">
        <v>3.37</v>
      </c>
      <c r="R660" s="6">
        <f t="shared" si="281"/>
        <v>6.63</v>
      </c>
      <c r="S660" s="1">
        <f>LOOKUP(R660,{0,3.75,3.95,4.55,4.75,4.95,5.55,5.6,5.65,5.7,5.75,5.8,5.85,5.9,5.95,6,6.45,6.53,6.6,6.65,6.7},{0,10,20,30,40,50,60,62,64,66,68,70,72,74,76,78,80,85,90,95,100})</f>
        <v>90</v>
      </c>
      <c r="T660" s="7"/>
      <c r="U660" s="7"/>
      <c r="V660" s="21">
        <f t="shared" si="283"/>
        <v>90</v>
      </c>
      <c r="X660" s="21">
        <f t="shared" si="284"/>
        <v>55.1</v>
      </c>
      <c r="Y660" s="37">
        <f t="shared" si="285"/>
        <v>78.7142857142857</v>
      </c>
    </row>
    <row r="661" ht="15.6" hidden="1" outlineLevel="2" spans="1:25">
      <c r="A661" s="6">
        <v>115</v>
      </c>
      <c r="B661" s="6">
        <v>6</v>
      </c>
      <c r="C661" s="29" t="s">
        <v>734</v>
      </c>
      <c r="D661" s="29" t="s">
        <v>11</v>
      </c>
      <c r="E661" s="6">
        <v>9.4</v>
      </c>
      <c r="F661" s="1">
        <f>LOOKUP(E661,{0,-4,-3,-2,-1,0,1,2.4,3.8,5.2,6.6,8,9.4,10.8,12.2,13.6,15,17.2,19.4,21.5,23.6},{0,10,20,30,40,50,60,62,64,66,68,70,72,74,76,78,80,85,90,95,100})</f>
        <v>72</v>
      </c>
      <c r="G661" s="6">
        <v>221</v>
      </c>
      <c r="H661" s="1">
        <f>LOOKUP(G661,{0,170,175,180,185,190,195,199,203,207,211,215,219,223,227,231,235,243,250,255,260},{0,10,20,30,40,50,60,62,64,66,68,70,72,74,76,78,80,85,90,95,100})</f>
        <v>72</v>
      </c>
      <c r="I661" s="6">
        <v>3</v>
      </c>
      <c r="J661" s="1">
        <f>LOOKUP(I661,{0,2,3,4,5,6,7,8,9,10,11,12,13,14,15,16},{0,10,20,30,40,50,60,64,68,72,76,80,85,90,95,100})</f>
        <v>20</v>
      </c>
      <c r="K661" s="7"/>
      <c r="L661" s="7"/>
      <c r="M661" s="21">
        <f t="shared" si="279"/>
        <v>20</v>
      </c>
      <c r="N661" s="6">
        <v>7.4</v>
      </c>
      <c r="O661" s="43">
        <f t="shared" si="280"/>
        <v>5.6</v>
      </c>
      <c r="P661" s="1">
        <f>LOOKUP(O661,{0,2.5,2.7,2.9,3.1,3.3,3.5,3.7,3.9,4.1,4.3,4.5,4.7,4.9,5.1,5.3,5.5,5.6,5.7,5.8,5.9},{0,10,20,30,40,50,60,62,64,66,68,70,72,74,76,78,80,85,90,95,100})</f>
        <v>85</v>
      </c>
      <c r="Q661" s="6">
        <v>3.5</v>
      </c>
      <c r="R661" s="6">
        <f t="shared" si="281"/>
        <v>6.5</v>
      </c>
      <c r="S661" s="1">
        <f>LOOKUP(R661,{0,3.75,3.95,4.55,4.75,4.95,5.55,5.6,5.65,5.7,5.75,5.8,5.85,5.9,5.95,6,6.45,6.53,6.6,6.65,6.7},{0,10,20,30,40,50,60,62,64,66,68,70,72,74,76,78,80,85,90,95,100})</f>
        <v>80</v>
      </c>
      <c r="T661" s="7"/>
      <c r="U661" s="7"/>
      <c r="V661" s="21">
        <f t="shared" si="283"/>
        <v>80</v>
      </c>
      <c r="X661" s="21">
        <f t="shared" si="284"/>
        <v>49.4</v>
      </c>
      <c r="Y661" s="37">
        <f t="shared" si="285"/>
        <v>70.5714285714286</v>
      </c>
    </row>
    <row r="662" ht="15.6" hidden="1" outlineLevel="2" spans="1:25">
      <c r="A662" s="6">
        <v>115</v>
      </c>
      <c r="B662" s="6">
        <v>7</v>
      </c>
      <c r="C662" s="29" t="s">
        <v>735</v>
      </c>
      <c r="D662" s="29" t="s">
        <v>11</v>
      </c>
      <c r="E662" s="6">
        <v>14</v>
      </c>
      <c r="F662" s="1">
        <f>LOOKUP(E662,{0,-4,-3,-2,-1,0,1,2.4,3.8,5.2,6.6,8,9.4,10.8,12.2,13.6,15,17.2,19.4,21.5,23.6},{0,10,20,30,40,50,60,62,64,66,68,70,72,74,76,78,80,85,90,95,100})</f>
        <v>78</v>
      </c>
      <c r="G662" s="6">
        <v>220</v>
      </c>
      <c r="H662" s="1">
        <f>LOOKUP(G662,{0,170,175,180,185,190,195,199,203,207,211,215,219,223,227,231,235,243,250,255,260},{0,10,20,30,40,50,60,62,64,66,68,70,72,74,76,78,80,85,90,95,100})</f>
        <v>72</v>
      </c>
      <c r="I662" s="6">
        <v>13</v>
      </c>
      <c r="J662" s="1">
        <f>LOOKUP(I662,{0,2,3,4,5,6,7,8,9,10,11,12,13,14,15,16},{0,10,20,30,40,50,60,64,68,72,76,80,85,90,95,100})</f>
        <v>85</v>
      </c>
      <c r="K662" s="7"/>
      <c r="L662" s="7"/>
      <c r="M662" s="21">
        <f t="shared" si="279"/>
        <v>85</v>
      </c>
      <c r="N662" s="6">
        <v>6.9</v>
      </c>
      <c r="O662" s="43">
        <f t="shared" si="280"/>
        <v>6.1</v>
      </c>
      <c r="P662" s="1">
        <f>LOOKUP(O662,{0,2.5,2.7,2.9,3.1,3.3,3.5,3.7,3.9,4.1,4.3,4.5,4.7,4.9,5.1,5.3,5.5,5.6,5.7,5.8,5.9},{0,10,20,30,40,50,60,62,64,66,68,70,72,74,76,78,80,85,90,95,100})</f>
        <v>100</v>
      </c>
      <c r="Q662" s="6">
        <v>3.16</v>
      </c>
      <c r="R662" s="6">
        <f t="shared" si="281"/>
        <v>6.84</v>
      </c>
      <c r="S662" s="1">
        <f>LOOKUP(R662,{0,3.75,3.95,4.55,4.75,4.95,5.55,5.6,5.65,5.7,5.75,5.8,5.85,5.9,5.95,6,6.45,6.53,6.6,6.65,6.7},{0,10,20,30,40,50,60,62,64,66,68,70,72,74,76,78,80,85,90,95,100})</f>
        <v>100</v>
      </c>
      <c r="T662" s="7">
        <f t="shared" ref="T662:T665" si="286">3.3-Q662</f>
        <v>0.14</v>
      </c>
      <c r="U662" s="40">
        <f>LOOKUP(T662,{0,0.04,0.08,0.12,0.16,0.2,0.23,0.26,0.29,0.32,0.35},{0,1,2,3,4,5,6,7,8,9,10})</f>
        <v>3</v>
      </c>
      <c r="V662" s="21">
        <f t="shared" si="283"/>
        <v>103</v>
      </c>
      <c r="X662" s="21">
        <f t="shared" si="284"/>
        <v>63.5</v>
      </c>
      <c r="Y662" s="37">
        <f t="shared" si="285"/>
        <v>93.7142857142857</v>
      </c>
    </row>
    <row r="663" ht="15.6" hidden="1" outlineLevel="2" spans="1:25">
      <c r="A663" s="6">
        <v>115</v>
      </c>
      <c r="B663" s="6">
        <v>8</v>
      </c>
      <c r="C663" s="29" t="s">
        <v>736</v>
      </c>
      <c r="D663" s="29" t="s">
        <v>11</v>
      </c>
      <c r="E663" s="6">
        <v>15.5</v>
      </c>
      <c r="F663" s="1">
        <f>LOOKUP(E663,{0,-4,-3,-2,-1,0,1,2.4,3.8,5.2,6.6,8,9.4,10.8,12.2,13.6,15,17.2,19.4,21.5,23.6},{0,10,20,30,40,50,60,62,64,66,68,70,72,74,76,78,80,85,90,95,100})</f>
        <v>80</v>
      </c>
      <c r="G663" s="6">
        <v>192</v>
      </c>
      <c r="H663" s="1">
        <f>LOOKUP(G663,{0,170,175,180,185,190,195,199,203,207,211,215,219,223,227,231,235,243,250,255,260},{0,10,20,30,40,50,60,62,64,66,68,70,72,74,76,78,80,85,90,95,100})</f>
        <v>50</v>
      </c>
      <c r="I663" s="6">
        <v>1</v>
      </c>
      <c r="J663" s="1">
        <f>LOOKUP(I663,{0,2,3,4,5,6,7,8,9,10,11,12,13,14,15,16},{0,10,20,30,40,50,60,64,68,72,76,80,85,90,95,100})</f>
        <v>0</v>
      </c>
      <c r="K663" s="7"/>
      <c r="L663" s="7"/>
      <c r="M663" s="21">
        <f t="shared" si="279"/>
        <v>0</v>
      </c>
      <c r="N663" s="6">
        <v>7.9</v>
      </c>
      <c r="O663" s="43">
        <f t="shared" si="280"/>
        <v>5.1</v>
      </c>
      <c r="P663" s="1">
        <f>LOOKUP(O663,{0,2.5,2.7,2.9,3.1,3.3,3.5,3.7,3.9,4.1,4.3,4.5,4.7,4.9,5.1,5.3,5.5,5.6,5.7,5.8,5.9},{0,10,20,30,40,50,60,62,64,66,68,70,72,74,76,78,80,85,90,95,100})</f>
        <v>76</v>
      </c>
      <c r="Q663" s="6">
        <v>3.55</v>
      </c>
      <c r="R663" s="6">
        <f t="shared" si="281"/>
        <v>6.45</v>
      </c>
      <c r="S663" s="1">
        <f>LOOKUP(R663,{0,3.75,3.95,4.55,4.75,4.95,5.55,5.6,5.65,5.7,5.75,5.8,5.85,5.9,5.95,6,6.45,6.53,6.6,6.65,6.7},{0,10,20,30,40,50,60,62,64,66,68,70,72,74,76,78,80,85,90,95,100})</f>
        <v>80</v>
      </c>
      <c r="T663" s="7"/>
      <c r="U663" s="7"/>
      <c r="V663" s="21">
        <f t="shared" si="283"/>
        <v>80</v>
      </c>
      <c r="X663" s="21">
        <f t="shared" si="284"/>
        <v>44.2</v>
      </c>
      <c r="Y663" s="37">
        <f t="shared" si="285"/>
        <v>63.1428571428572</v>
      </c>
    </row>
    <row r="664" ht="15.6" hidden="1" outlineLevel="2" spans="1:25">
      <c r="A664" s="6">
        <v>115</v>
      </c>
      <c r="B664" s="6">
        <v>9</v>
      </c>
      <c r="C664" s="29" t="s">
        <v>737</v>
      </c>
      <c r="D664" s="29" t="s">
        <v>11</v>
      </c>
      <c r="E664" s="6">
        <v>9.9</v>
      </c>
      <c r="F664" s="1">
        <f>LOOKUP(E664,{0,-4,-3,-2,-1,0,1,2.4,3.8,5.2,6.6,8,9.4,10.8,12.2,13.6,15,17.2,19.4,21.5,23.6},{0,10,20,30,40,50,60,62,64,66,68,70,72,74,76,78,80,85,90,95,100})</f>
        <v>72</v>
      </c>
      <c r="G664" s="6">
        <v>193</v>
      </c>
      <c r="H664" s="1">
        <f>LOOKUP(G664,{0,170,175,180,185,190,195,199,203,207,211,215,219,223,227,231,235,243,250,255,260},{0,10,20,30,40,50,60,62,64,66,68,70,72,74,76,78,80,85,90,95,100})</f>
        <v>50</v>
      </c>
      <c r="I664" s="6">
        <v>11</v>
      </c>
      <c r="J664" s="1">
        <f>LOOKUP(I664,{0,2,3,4,5,6,7,8,9,10,11,12,13,14,15,16},{0,10,20,30,40,50,60,64,68,72,76,80,85,90,95,100})</f>
        <v>76</v>
      </c>
      <c r="K664" s="7"/>
      <c r="L664" s="7"/>
      <c r="M664" s="21">
        <f t="shared" si="279"/>
        <v>76</v>
      </c>
      <c r="N664" s="6">
        <v>7.7</v>
      </c>
      <c r="O664" s="43">
        <f t="shared" si="280"/>
        <v>5.3</v>
      </c>
      <c r="P664" s="1">
        <f>LOOKUP(O664,{0,2.5,2.7,2.9,3.1,3.3,3.5,3.7,3.9,4.1,4.3,4.5,4.7,4.9,5.1,5.3,5.5,5.6,5.7,5.8,5.9},{0,10,20,30,40,50,60,62,64,66,68,70,72,74,76,78,80,85,90,95,100})</f>
        <v>78</v>
      </c>
      <c r="Q664" s="6">
        <v>3.27</v>
      </c>
      <c r="R664" s="6">
        <f t="shared" si="281"/>
        <v>6.73</v>
      </c>
      <c r="S664" s="1">
        <f>LOOKUP(R664,{0,3.75,3.95,4.55,4.75,4.95,5.55,5.6,5.65,5.7,5.75,5.8,5.85,5.9,5.95,6,6.45,6.53,6.6,6.65,6.7},{0,10,20,30,40,50,60,62,64,66,68,70,72,74,76,78,80,85,90,95,100})</f>
        <v>100</v>
      </c>
      <c r="T664" s="7">
        <f t="shared" si="286"/>
        <v>0.0299999999999998</v>
      </c>
      <c r="U664" s="40">
        <f>LOOKUP(T664,{0,0.04,0.08,0.12,0.16,0.2,0.23,0.26,0.29,0.32,0.35},{0,1,2,3,4,5,6,7,8,9,10})</f>
        <v>0</v>
      </c>
      <c r="V664" s="21">
        <f t="shared" si="283"/>
        <v>100</v>
      </c>
      <c r="X664" s="21">
        <f t="shared" si="284"/>
        <v>55.4</v>
      </c>
      <c r="Y664" s="37">
        <f t="shared" si="285"/>
        <v>79.1428571428572</v>
      </c>
    </row>
    <row r="665" ht="15.6" hidden="1" outlineLevel="2" spans="1:25">
      <c r="A665" s="6">
        <v>115</v>
      </c>
      <c r="B665" s="6">
        <v>10</v>
      </c>
      <c r="C665" s="29" t="s">
        <v>738</v>
      </c>
      <c r="D665" s="29" t="s">
        <v>11</v>
      </c>
      <c r="E665" s="6">
        <v>12</v>
      </c>
      <c r="F665" s="1">
        <f>LOOKUP(E665,{0,-4,-3,-2,-1,0,1,2.4,3.8,5.2,6.6,8,9.4,10.8,12.2,13.6,15,17.2,19.4,21.5,23.6},{0,10,20,30,40,50,60,62,64,66,68,70,72,74,76,78,80,85,90,95,100})</f>
        <v>74</v>
      </c>
      <c r="G665" s="6">
        <v>262</v>
      </c>
      <c r="H665" s="1">
        <f>LOOKUP(G665,{0,170,175,180,185,190,195,199,203,207,211,215,219,223,227,231,235,243,250,255,260},{0,10,20,30,40,50,60,62,64,66,68,70,72,74,76,78,80,85,90,95,100})</f>
        <v>100</v>
      </c>
      <c r="I665" s="6">
        <v>19</v>
      </c>
      <c r="J665" s="1">
        <f>LOOKUP(I665,{0,2,3,4,5,6,7,8,9,10,11,12,13,14,15,16},{0,10,20,30,40,50,60,64,68,72,76,80,85,90,95,100})</f>
        <v>100</v>
      </c>
      <c r="K665" s="7">
        <f>I665-16</f>
        <v>3</v>
      </c>
      <c r="L665" s="40">
        <f>LOOKUP(K665,{0,1,2,3,4,5,6,7,8,9,10},{0,1,2,3,4,5,6,7,8,9,10})</f>
        <v>3</v>
      </c>
      <c r="M665" s="21">
        <f t="shared" si="279"/>
        <v>103</v>
      </c>
      <c r="N665" s="6">
        <v>7</v>
      </c>
      <c r="O665" s="43">
        <f t="shared" si="280"/>
        <v>6</v>
      </c>
      <c r="P665" s="1">
        <f>LOOKUP(O665,{0,2.5,2.7,2.9,3.1,3.3,3.5,3.7,3.9,4.1,4.3,4.5,4.7,4.9,5.1,5.3,5.5,5.6,5.7,5.8,5.9},{0,10,20,30,40,50,60,62,64,66,68,70,72,74,76,78,80,85,90,95,100})</f>
        <v>100</v>
      </c>
      <c r="Q665" s="6">
        <v>3.15</v>
      </c>
      <c r="R665" s="6">
        <f t="shared" si="281"/>
        <v>6.85</v>
      </c>
      <c r="S665" s="1">
        <f>LOOKUP(R665,{0,3.75,3.95,4.55,4.75,4.95,5.55,5.6,5.65,5.7,5.75,5.8,5.85,5.9,5.95,6,6.45,6.53,6.6,6.65,6.7},{0,10,20,30,40,50,60,62,64,66,68,70,72,74,76,78,80,85,90,95,100})</f>
        <v>100</v>
      </c>
      <c r="T665" s="7">
        <f t="shared" si="286"/>
        <v>0.15</v>
      </c>
      <c r="U665" s="40">
        <f>LOOKUP(T665,{0,0.04,0.08,0.12,0.16,0.2,0.23,0.26,0.29,0.32,0.35},{0,1,2,3,4,5,6,7,8,9,10})</f>
        <v>3</v>
      </c>
      <c r="V665" s="21">
        <f t="shared" si="283"/>
        <v>103</v>
      </c>
      <c r="X665" s="21">
        <f t="shared" si="284"/>
        <v>67.4</v>
      </c>
      <c r="Y665" s="37">
        <f t="shared" si="285"/>
        <v>102.285714285714</v>
      </c>
    </row>
    <row r="666" s="3" customFormat="1" ht="15.6" hidden="1" outlineLevel="2" spans="1:25">
      <c r="A666" s="6">
        <v>115</v>
      </c>
      <c r="B666" s="6">
        <v>11</v>
      </c>
      <c r="C666" s="29" t="s">
        <v>739</v>
      </c>
      <c r="D666" s="29" t="s">
        <v>11</v>
      </c>
      <c r="E666" s="6">
        <v>24</v>
      </c>
      <c r="F666" s="1">
        <f>LOOKUP(E666,{0,-4,-3,-2,-1,0,1,2.4,3.8,5.2,6.6,8,9.4,10.8,12.2,13.6,15,17.2,19.4,21.5,23.6},{0,10,20,30,40,50,60,62,64,66,68,70,72,74,76,78,80,85,90,95,100})</f>
        <v>100</v>
      </c>
      <c r="G666" s="6">
        <v>263</v>
      </c>
      <c r="H666" s="1">
        <f>LOOKUP(G666,{0,170,175,180,185,190,195,199,203,207,211,215,219,223,227,231,235,243,250,255,260},{0,10,20,30,40,50,60,62,64,66,68,70,72,74,76,78,80,85,90,95,100})</f>
        <v>100</v>
      </c>
      <c r="I666" s="6">
        <v>9</v>
      </c>
      <c r="J666" s="1">
        <f>LOOKUP(I666,{0,2,3,4,5,6,7,8,9,10,11,12,13,14,15,16},{0,10,20,30,40,50,60,64,68,72,76,80,85,90,95,100})</f>
        <v>68</v>
      </c>
      <c r="K666" s="7"/>
      <c r="L666" s="7"/>
      <c r="M666" s="21">
        <f t="shared" si="279"/>
        <v>68</v>
      </c>
      <c r="N666" s="6">
        <v>7.6</v>
      </c>
      <c r="O666" s="43">
        <f t="shared" si="280"/>
        <v>5.4</v>
      </c>
      <c r="P666" s="1">
        <f>LOOKUP(O666,{0,2.5,2.7,2.9,3.1,3.3,3.5,3.7,3.9,4.1,4.3,4.5,4.7,4.9,5.1,5.3,5.5,5.6,5.7,5.8,5.9},{0,10,20,30,40,50,60,62,64,66,68,70,72,74,76,78,80,85,90,95,100})</f>
        <v>78</v>
      </c>
      <c r="Q666" s="6">
        <v>3.52</v>
      </c>
      <c r="R666" s="6">
        <f t="shared" si="281"/>
        <v>6.48</v>
      </c>
      <c r="S666" s="1">
        <f>LOOKUP(R666,{0,3.75,3.95,4.55,4.75,4.95,5.55,5.6,5.65,5.7,5.75,5.8,5.85,5.9,5.95,6,6.45,6.53,6.6,6.65,6.7},{0,10,20,30,40,50,60,62,64,66,68,70,72,74,76,78,80,85,90,95,100})</f>
        <v>80</v>
      </c>
      <c r="T666" s="7"/>
      <c r="U666" s="7"/>
      <c r="V666" s="21">
        <f t="shared" si="283"/>
        <v>80</v>
      </c>
      <c r="W666" s="6"/>
      <c r="X666" s="21">
        <f t="shared" si="284"/>
        <v>58.4</v>
      </c>
      <c r="Y666" s="37">
        <f t="shared" si="285"/>
        <v>83.4285714285714</v>
      </c>
    </row>
    <row r="667" ht="15.6" hidden="1" outlineLevel="2" spans="1:25">
      <c r="A667" s="6">
        <v>115</v>
      </c>
      <c r="B667" s="6">
        <v>12</v>
      </c>
      <c r="C667" s="29" t="s">
        <v>740</v>
      </c>
      <c r="D667" s="29" t="s">
        <v>11</v>
      </c>
      <c r="E667" s="6">
        <v>14</v>
      </c>
      <c r="F667" s="1">
        <f>LOOKUP(E667,{0,-4,-3,-2,-1,0,1,2.4,3.8,5.2,6.6,8,9.4,10.8,12.2,13.6,15,17.2,19.4,21.5,23.6},{0,10,20,30,40,50,60,62,64,66,68,70,72,74,76,78,80,85,90,95,100})</f>
        <v>78</v>
      </c>
      <c r="G667" s="6">
        <v>245</v>
      </c>
      <c r="H667" s="1">
        <f>LOOKUP(G667,{0,170,175,180,185,190,195,199,203,207,211,215,219,223,227,231,235,243,250,255,260},{0,10,20,30,40,50,60,62,64,66,68,70,72,74,76,78,80,85,90,95,100})</f>
        <v>85</v>
      </c>
      <c r="I667" s="6">
        <v>10</v>
      </c>
      <c r="J667" s="1">
        <f>LOOKUP(I667,{0,2,3,4,5,6,7,8,9,10,11,12,13,14,15,16},{0,10,20,30,40,50,60,64,68,72,76,80,85,90,95,100})</f>
        <v>72</v>
      </c>
      <c r="K667" s="7"/>
      <c r="L667" s="7"/>
      <c r="M667" s="21">
        <f t="shared" si="279"/>
        <v>72</v>
      </c>
      <c r="N667" s="6">
        <v>6.8</v>
      </c>
      <c r="O667" s="43">
        <f t="shared" si="280"/>
        <v>6.2</v>
      </c>
      <c r="P667" s="1">
        <f>LOOKUP(O667,{0,2.5,2.7,2.9,3.1,3.3,3.5,3.7,3.9,4.1,4.3,4.5,4.7,4.9,5.1,5.3,5.5,5.6,5.7,5.8,5.9},{0,10,20,30,40,50,60,62,64,66,68,70,72,74,76,78,80,85,90,95,100})</f>
        <v>100</v>
      </c>
      <c r="Q667" s="6">
        <v>3.32</v>
      </c>
      <c r="R667" s="6">
        <f t="shared" si="281"/>
        <v>6.68</v>
      </c>
      <c r="S667" s="1">
        <f>LOOKUP(R667,{0,3.75,3.95,4.55,4.75,4.95,5.55,5.6,5.65,5.7,5.75,5.8,5.85,5.9,5.95,6,6.45,6.53,6.6,6.65,6.7},{0,10,20,30,40,50,60,62,64,66,68,70,72,74,76,78,80,85,90,95,100})</f>
        <v>95</v>
      </c>
      <c r="T667" s="7"/>
      <c r="U667" s="7"/>
      <c r="V667" s="21">
        <f t="shared" si="283"/>
        <v>95</v>
      </c>
      <c r="X667" s="21">
        <f t="shared" si="284"/>
        <v>62.5</v>
      </c>
      <c r="Y667" s="37">
        <f t="shared" si="285"/>
        <v>89.2857142857143</v>
      </c>
    </row>
    <row r="668" ht="15.6" hidden="1" outlineLevel="2" spans="1:25">
      <c r="A668" s="6">
        <v>115</v>
      </c>
      <c r="B668" s="6">
        <v>13</v>
      </c>
      <c r="C668" s="39" t="s">
        <v>742</v>
      </c>
      <c r="D668" s="29" t="s">
        <v>11</v>
      </c>
      <c r="E668" s="6">
        <v>1</v>
      </c>
      <c r="F668" s="1">
        <f>LOOKUP(E668,{0,-4,-3,-2,-1,0,1,2.4,3.8,5.2,6.6,8,9.4,10.8,12.2,13.6,15,17.2,19.4,21.5,23.6},{0,10,20,30,40,50,60,62,64,66,68,70,72,74,76,78,80,85,90,95,100})</f>
        <v>60</v>
      </c>
      <c r="G668" s="6">
        <v>240</v>
      </c>
      <c r="H668" s="1">
        <f>LOOKUP(G668,{0,170,175,180,185,190,195,199,203,207,211,215,219,223,227,231,235,243,250,255,260},{0,10,20,30,40,50,60,62,64,66,68,70,72,74,76,78,80,85,90,95,100})</f>
        <v>80</v>
      </c>
      <c r="I668" s="6">
        <v>17</v>
      </c>
      <c r="J668" s="1">
        <f>LOOKUP(I668,{0,2,3,4,5,6,7,8,9,10,11,12,13,14,15,16},{0,10,20,30,40,50,60,64,68,72,76,80,85,90,95,100})</f>
        <v>100</v>
      </c>
      <c r="K668" s="7">
        <f>I668-16</f>
        <v>1</v>
      </c>
      <c r="L668" s="40">
        <f>LOOKUP(K668,{0,1,2,3,4,5,6,7,8,9,10},{0,1,2,3,4,5,6,7,8,9,10})</f>
        <v>1</v>
      </c>
      <c r="M668" s="21">
        <f t="shared" si="279"/>
        <v>101</v>
      </c>
      <c r="N668" s="6">
        <v>7.3</v>
      </c>
      <c r="O668" s="43">
        <f t="shared" si="280"/>
        <v>5.7</v>
      </c>
      <c r="P668" s="1">
        <f>LOOKUP(O668,{0,2.5,2.7,2.9,3.1,3.3,3.5,3.7,3.9,4.1,4.3,4.5,4.7,4.9,5.1,5.3,5.5,5.6,5.7,5.8,5.9},{0,10,20,30,40,50,60,62,64,66,68,70,72,74,76,78,80,85,90,95,100})</f>
        <v>90</v>
      </c>
      <c r="Q668" s="6">
        <v>3.33</v>
      </c>
      <c r="R668" s="6">
        <f t="shared" si="281"/>
        <v>6.67</v>
      </c>
      <c r="S668" s="1">
        <f>LOOKUP(R668,{0,3.75,3.95,4.55,4.75,4.95,5.55,5.6,5.65,5.7,5.75,5.8,5.85,5.9,5.95,6,6.45,6.53,6.6,6.65,6.7},{0,10,20,30,40,50,60,62,64,66,68,70,72,74,76,78,80,85,90,95,100})</f>
        <v>95</v>
      </c>
      <c r="T668" s="7"/>
      <c r="U668" s="7"/>
      <c r="V668" s="21">
        <f t="shared" si="283"/>
        <v>95</v>
      </c>
      <c r="X668" s="21">
        <f t="shared" si="284"/>
        <v>61</v>
      </c>
      <c r="Y668" s="37">
        <f t="shared" si="285"/>
        <v>88.1428571428572</v>
      </c>
    </row>
    <row r="669" ht="15.6" hidden="1" outlineLevel="2" spans="1:25">
      <c r="A669" s="6">
        <v>115</v>
      </c>
      <c r="B669" s="6">
        <v>14</v>
      </c>
      <c r="C669" s="29" t="s">
        <v>743</v>
      </c>
      <c r="D669" s="29" t="s">
        <v>11</v>
      </c>
      <c r="E669" s="6">
        <v>6.9</v>
      </c>
      <c r="F669" s="1">
        <f>LOOKUP(E669,{0,-4,-3,-2,-1,0,1,2.4,3.8,5.2,6.6,8,9.4,10.8,12.2,13.6,15,17.2,19.4,21.5,23.6},{0,10,20,30,40,50,60,62,64,66,68,70,72,74,76,78,80,85,90,95,100})</f>
        <v>68</v>
      </c>
      <c r="G669" s="6">
        <v>230</v>
      </c>
      <c r="H669" s="1">
        <f>LOOKUP(G669,{0,170,175,180,185,190,195,199,203,207,211,215,219,223,227,231,235,243,250,255,260},{0,10,20,30,40,50,60,62,64,66,68,70,72,74,76,78,80,85,90,95,100})</f>
        <v>76</v>
      </c>
      <c r="I669" s="6">
        <v>12</v>
      </c>
      <c r="J669" s="1">
        <f>LOOKUP(I669,{0,2,3,4,5,6,7,8,9,10,11,12,13,14,15,16},{0,10,20,30,40,50,60,64,68,72,76,80,85,90,95,100})</f>
        <v>80</v>
      </c>
      <c r="K669" s="7"/>
      <c r="L669" s="7"/>
      <c r="M669" s="21">
        <f t="shared" si="279"/>
        <v>80</v>
      </c>
      <c r="N669" s="6">
        <v>7.5</v>
      </c>
      <c r="O669" s="43">
        <f t="shared" si="280"/>
        <v>5.5</v>
      </c>
      <c r="P669" s="1">
        <f>LOOKUP(O669,{0,2.5,2.7,2.9,3.1,3.3,3.5,3.7,3.9,4.1,4.3,4.5,4.7,4.9,5.1,5.3,5.5,5.6,5.7,5.8,5.9},{0,10,20,30,40,50,60,62,64,66,68,70,72,74,76,78,80,85,90,95,100})</f>
        <v>80</v>
      </c>
      <c r="Q669" s="6">
        <v>3.34</v>
      </c>
      <c r="R669" s="6">
        <f t="shared" si="281"/>
        <v>6.66</v>
      </c>
      <c r="S669" s="1">
        <f>LOOKUP(R669,{0,3.75,3.95,4.55,4.75,4.95,5.55,5.6,5.65,5.7,5.75,5.8,5.85,5.9,5.95,6,6.45,6.53,6.6,6.65,6.7},{0,10,20,30,40,50,60,62,64,66,68,70,72,74,76,78,80,85,90,95,100})</f>
        <v>95</v>
      </c>
      <c r="T669" s="7"/>
      <c r="U669" s="7"/>
      <c r="V669" s="21">
        <f t="shared" si="283"/>
        <v>95</v>
      </c>
      <c r="X669" s="21">
        <f t="shared" si="284"/>
        <v>57.4</v>
      </c>
      <c r="Y669" s="37">
        <f t="shared" si="285"/>
        <v>82</v>
      </c>
    </row>
    <row r="670" ht="15.6" hidden="1" outlineLevel="2" spans="1:25">
      <c r="A670" s="6">
        <v>115</v>
      </c>
      <c r="B670" s="6">
        <v>15</v>
      </c>
      <c r="C670" s="29" t="s">
        <v>744</v>
      </c>
      <c r="D670" s="29" t="s">
        <v>11</v>
      </c>
      <c r="E670" s="6">
        <v>13</v>
      </c>
      <c r="F670" s="1">
        <f>LOOKUP(E670,{0,-4,-3,-2,-1,0,1,2.4,3.8,5.2,6.6,8,9.4,10.8,12.2,13.6,15,17.2,19.4,21.5,23.6},{0,10,20,30,40,50,60,62,64,66,68,70,72,74,76,78,80,85,90,95,100})</f>
        <v>76</v>
      </c>
      <c r="G670" s="6">
        <v>210</v>
      </c>
      <c r="H670" s="1">
        <f>LOOKUP(G670,{0,170,175,180,185,190,195,199,203,207,211,215,219,223,227,231,235,243,250,255,260},{0,10,20,30,40,50,60,62,64,66,68,70,72,74,76,78,80,85,90,95,100})</f>
        <v>66</v>
      </c>
      <c r="I670" s="6">
        <v>0</v>
      </c>
      <c r="J670" s="1">
        <f>LOOKUP(I670,{0,2,3,4,5,6,7,8,9,10,11,12,13,14,15,16},{0,10,20,30,40,50,60,64,68,72,76,80,85,90,95,100})</f>
        <v>0</v>
      </c>
      <c r="K670" s="7"/>
      <c r="L670" s="7"/>
      <c r="M670" s="21">
        <f t="shared" si="279"/>
        <v>0</v>
      </c>
      <c r="N670" s="6">
        <v>7.4</v>
      </c>
      <c r="O670" s="43">
        <f t="shared" si="280"/>
        <v>5.6</v>
      </c>
      <c r="P670" s="1">
        <f>LOOKUP(O670,{0,2.5,2.7,2.9,3.1,3.3,3.5,3.7,3.9,4.1,4.3,4.5,4.7,4.9,5.1,5.3,5.5,5.6,5.7,5.8,5.9},{0,10,20,30,40,50,60,62,64,66,68,70,72,74,76,78,80,85,90,95,100})</f>
        <v>85</v>
      </c>
      <c r="Q670" s="6">
        <v>3.36</v>
      </c>
      <c r="R670" s="6">
        <f t="shared" si="281"/>
        <v>6.64</v>
      </c>
      <c r="S670" s="1">
        <f>LOOKUP(R670,{0,3.75,3.95,4.55,4.75,4.95,5.55,5.6,5.65,5.7,5.75,5.8,5.85,5.9,5.95,6,6.45,6.53,6.6,6.65,6.7},{0,10,20,30,40,50,60,62,64,66,68,70,72,74,76,78,80,85,90,95,100})</f>
        <v>90</v>
      </c>
      <c r="T670" s="7"/>
      <c r="U670" s="7"/>
      <c r="V670" s="21">
        <f t="shared" si="283"/>
        <v>90</v>
      </c>
      <c r="X670" s="21">
        <f t="shared" si="284"/>
        <v>49.2</v>
      </c>
      <c r="Y670" s="37">
        <f t="shared" si="285"/>
        <v>70.2857142857143</v>
      </c>
    </row>
    <row r="671" ht="15.6" hidden="1" outlineLevel="2" spans="1:25">
      <c r="A671" s="6">
        <v>115</v>
      </c>
      <c r="B671" s="6">
        <v>16</v>
      </c>
      <c r="C671" s="29" t="s">
        <v>745</v>
      </c>
      <c r="D671" s="29" t="s">
        <v>11</v>
      </c>
      <c r="E671" s="6">
        <v>19.2</v>
      </c>
      <c r="F671" s="1">
        <f>LOOKUP(E671,{0,-4,-3,-2,-1,0,1,2.4,3.8,5.2,6.6,8,9.4,10.8,12.2,13.6,15,17.2,19.4,21.5,23.6},{0,10,20,30,40,50,60,62,64,66,68,70,72,74,76,78,80,85,90,95,100})</f>
        <v>85</v>
      </c>
      <c r="G671" s="6">
        <v>205</v>
      </c>
      <c r="H671" s="1">
        <f>LOOKUP(G671,{0,170,175,180,185,190,195,199,203,207,211,215,219,223,227,231,235,243,250,255,260},{0,10,20,30,40,50,60,62,64,66,68,70,72,74,76,78,80,85,90,95,100})</f>
        <v>64</v>
      </c>
      <c r="I671" s="6">
        <v>6</v>
      </c>
      <c r="J671" s="1">
        <f>LOOKUP(I671,{0,2,3,4,5,6,7,8,9,10,11,12,13,14,15,16},{0,10,20,30,40,50,60,64,68,72,76,80,85,90,95,100})</f>
        <v>50</v>
      </c>
      <c r="K671" s="7"/>
      <c r="L671" s="7"/>
      <c r="M671" s="21">
        <f t="shared" ref="M671:M682" si="287">J671+L671</f>
        <v>50</v>
      </c>
      <c r="N671" s="6">
        <v>7</v>
      </c>
      <c r="O671" s="43">
        <f t="shared" si="280"/>
        <v>6</v>
      </c>
      <c r="P671" s="1">
        <f>LOOKUP(O671,{0,2.5,2.7,2.9,3.1,3.3,3.5,3.7,3.9,4.1,4.3,4.5,4.7,4.9,5.1,5.3,5.5,5.6,5.7,5.8,5.9},{0,10,20,30,40,50,60,62,64,66,68,70,72,74,76,78,80,85,90,95,100})</f>
        <v>100</v>
      </c>
      <c r="Q671" s="6">
        <v>4.06</v>
      </c>
      <c r="R671" s="6">
        <f t="shared" si="281"/>
        <v>5.94</v>
      </c>
      <c r="S671" s="1">
        <f>LOOKUP(R671,{0,3.75,3.95,4.55,4.75,4.95,5.55,5.6,5.65,5.7,5.75,5.8,5.85,5.9,5.95,6,6.45,6.53,6.6,6.65,6.7},{0,10,20,30,40,50,60,62,64,66,68,70,72,74,76,78,80,85,90,95,100})</f>
        <v>74</v>
      </c>
      <c r="T671" s="7"/>
      <c r="U671" s="7"/>
      <c r="V671" s="21">
        <f t="shared" si="283"/>
        <v>74</v>
      </c>
      <c r="X671" s="21">
        <f t="shared" si="284"/>
        <v>54.7</v>
      </c>
      <c r="Y671" s="37">
        <f t="shared" si="285"/>
        <v>78.1428571428572</v>
      </c>
    </row>
    <row r="672" ht="15.6" hidden="1" outlineLevel="2" spans="1:25">
      <c r="A672" s="6">
        <v>115</v>
      </c>
      <c r="B672" s="6">
        <v>17</v>
      </c>
      <c r="C672" s="29" t="s">
        <v>746</v>
      </c>
      <c r="D672" s="29" t="s">
        <v>11</v>
      </c>
      <c r="E672" s="6">
        <v>17.2</v>
      </c>
      <c r="F672" s="1">
        <f>LOOKUP(E672,{0,-4,-3,-2,-1,0,1,2.4,3.8,5.2,6.6,8,9.4,10.8,12.2,13.6,15,17.2,19.4,21.5,23.6},{0,10,20,30,40,50,60,62,64,66,68,70,72,74,76,78,80,85,90,95,100})</f>
        <v>85</v>
      </c>
      <c r="G672" s="6">
        <v>216</v>
      </c>
      <c r="H672" s="1">
        <f>LOOKUP(G672,{0,170,175,180,185,190,195,199,203,207,211,215,219,223,227,231,235,243,250,255,260},{0,10,20,30,40,50,60,62,64,66,68,70,72,74,76,78,80,85,90,95,100})</f>
        <v>70</v>
      </c>
      <c r="I672" s="6">
        <v>16</v>
      </c>
      <c r="J672" s="1">
        <f>LOOKUP(I672,{0,2,3,4,5,6,7,8,9,10,11,12,13,14,15,16},{0,10,20,30,40,50,60,64,68,72,76,80,85,90,95,100})</f>
        <v>100</v>
      </c>
      <c r="K672" s="7">
        <f t="shared" ref="K672:K675" si="288">I672-16</f>
        <v>0</v>
      </c>
      <c r="L672" s="40">
        <f>LOOKUP(K672,{0,1,2,3,4,5,6,7,8,9,10},{0,1,2,3,4,5,6,7,8,9,10})</f>
        <v>0</v>
      </c>
      <c r="M672" s="21">
        <f t="shared" si="287"/>
        <v>100</v>
      </c>
      <c r="N672" s="6">
        <v>7.2</v>
      </c>
      <c r="O672" s="43">
        <f t="shared" si="280"/>
        <v>5.8</v>
      </c>
      <c r="P672" s="1">
        <f>LOOKUP(O672,{0,2.5,2.7,2.9,3.1,3.3,3.5,3.7,3.9,4.1,4.3,4.5,4.7,4.9,5.1,5.3,5.5,5.6,5.7,5.8,5.9},{0,10,20,30,40,50,60,62,64,66,68,70,72,74,76,78,80,85,90,95,100})</f>
        <v>95</v>
      </c>
      <c r="Q672" s="6">
        <v>3.26</v>
      </c>
      <c r="R672" s="6">
        <f t="shared" si="281"/>
        <v>6.74</v>
      </c>
      <c r="S672" s="1">
        <f>LOOKUP(R672,{0,3.75,3.95,4.55,4.75,4.95,5.55,5.6,5.65,5.7,5.75,5.8,5.85,5.9,5.95,6,6.45,6.53,6.6,6.65,6.7},{0,10,20,30,40,50,60,62,64,66,68,70,72,74,76,78,80,85,90,95,100})</f>
        <v>100</v>
      </c>
      <c r="T672" s="7">
        <f t="shared" ref="T672:T676" si="289">3.3-Q672</f>
        <v>0.04</v>
      </c>
      <c r="U672" s="40">
        <f>LOOKUP(T672,{0,0.04,0.08,0.12,0.16,0.2,0.23,0.26,0.29,0.32,0.35},{0,1,2,3,4,5,6,7,8,9,10})</f>
        <v>1</v>
      </c>
      <c r="V672" s="21">
        <f t="shared" si="283"/>
        <v>101</v>
      </c>
      <c r="X672" s="21">
        <f t="shared" si="284"/>
        <v>64.5</v>
      </c>
      <c r="Y672" s="37">
        <f t="shared" si="285"/>
        <v>93.1428571428572</v>
      </c>
    </row>
    <row r="673" ht="15.6" hidden="1" outlineLevel="2" spans="1:25">
      <c r="A673" s="6">
        <v>115</v>
      </c>
      <c r="B673" s="6">
        <v>18</v>
      </c>
      <c r="C673" s="29" t="s">
        <v>747</v>
      </c>
      <c r="D673" s="29" t="s">
        <v>11</v>
      </c>
      <c r="E673" s="6">
        <v>13.5</v>
      </c>
      <c r="F673" s="1">
        <f>LOOKUP(E673,{0,-4,-3,-2,-1,0,1,2.4,3.8,5.2,6.6,8,9.4,10.8,12.2,13.6,15,17.2,19.4,21.5,23.6},{0,10,20,30,40,50,60,62,64,66,68,70,72,74,76,78,80,85,90,95,100})</f>
        <v>76</v>
      </c>
      <c r="G673" s="6">
        <v>248</v>
      </c>
      <c r="H673" s="1">
        <f>LOOKUP(G673,{0,170,175,180,185,190,195,199,203,207,211,215,219,223,227,231,235,243,250,255,260},{0,10,20,30,40,50,60,62,64,66,68,70,72,74,76,78,80,85,90,95,100})</f>
        <v>85</v>
      </c>
      <c r="I673" s="6">
        <v>2</v>
      </c>
      <c r="J673" s="1">
        <f>LOOKUP(I673,{0,2,3,4,5,6,7,8,9,10,11,12,13,14,15,16},{0,10,20,30,40,50,60,64,68,72,76,80,85,90,95,100})</f>
        <v>10</v>
      </c>
      <c r="K673" s="7"/>
      <c r="L673" s="7"/>
      <c r="M673" s="21">
        <f t="shared" si="287"/>
        <v>10</v>
      </c>
      <c r="N673" s="6">
        <v>7.1</v>
      </c>
      <c r="O673" s="43">
        <f t="shared" si="280"/>
        <v>5.9</v>
      </c>
      <c r="P673" s="1">
        <f>LOOKUP(O673,{0,2.5,2.7,2.9,3.1,3.3,3.5,3.7,3.9,4.1,4.3,4.5,4.7,4.9,5.1,5.3,5.5,5.6,5.7,5.8,5.9},{0,10,20,30,40,50,60,62,64,66,68,70,72,74,76,78,80,85,90,95,100})</f>
        <v>100</v>
      </c>
      <c r="Q673" s="6">
        <v>3.23</v>
      </c>
      <c r="R673" s="6">
        <f t="shared" si="281"/>
        <v>6.77</v>
      </c>
      <c r="S673" s="1">
        <f>LOOKUP(R673,{0,3.75,3.95,4.55,4.75,4.95,5.55,5.6,5.65,5.7,5.75,5.8,5.85,5.9,5.95,6,6.45,6.53,6.6,6.65,6.7},{0,10,20,30,40,50,60,62,64,66,68,70,72,74,76,78,80,85,90,95,100})</f>
        <v>100</v>
      </c>
      <c r="T673" s="7">
        <f t="shared" si="289"/>
        <v>0.0699999999999998</v>
      </c>
      <c r="U673" s="40">
        <f>LOOKUP(T673,{0,0.04,0.08,0.12,0.16,0.2,0.23,0.26,0.29,0.32,0.35},{0,1,2,3,4,5,6,7,8,9,10})</f>
        <v>1</v>
      </c>
      <c r="V673" s="21">
        <f t="shared" si="283"/>
        <v>101</v>
      </c>
      <c r="X673" s="21">
        <f t="shared" si="284"/>
        <v>57.1</v>
      </c>
      <c r="Y673" s="37">
        <f t="shared" si="285"/>
        <v>82.5714285714286</v>
      </c>
    </row>
    <row r="674" ht="15.6" hidden="1" outlineLevel="2" spans="1:25">
      <c r="A674" s="6">
        <v>115</v>
      </c>
      <c r="B674" s="6">
        <v>19</v>
      </c>
      <c r="C674" s="29" t="s">
        <v>748</v>
      </c>
      <c r="D674" s="29" t="s">
        <v>11</v>
      </c>
      <c r="E674" s="6">
        <v>17.5</v>
      </c>
      <c r="F674" s="1">
        <f>LOOKUP(E674,{0,-4,-3,-2,-1,0,1,2.4,3.8,5.2,6.6,8,9.4,10.8,12.2,13.6,15,17.2,19.4,21.5,23.6},{0,10,20,30,40,50,60,62,64,66,68,70,72,74,76,78,80,85,90,95,100})</f>
        <v>85</v>
      </c>
      <c r="G674" s="6">
        <v>228</v>
      </c>
      <c r="H674" s="1">
        <f>LOOKUP(G674,{0,170,175,180,185,190,195,199,203,207,211,215,219,223,227,231,235,243,250,255,260},{0,10,20,30,40,50,60,62,64,66,68,70,72,74,76,78,80,85,90,95,100})</f>
        <v>76</v>
      </c>
      <c r="I674" s="6">
        <v>17</v>
      </c>
      <c r="J674" s="1">
        <f>LOOKUP(I674,{0,2,3,4,5,6,7,8,9,10,11,12,13,14,15,16},{0,10,20,30,40,50,60,64,68,72,76,80,85,90,95,100})</f>
        <v>100</v>
      </c>
      <c r="K674" s="7">
        <f t="shared" si="288"/>
        <v>1</v>
      </c>
      <c r="L674" s="40">
        <f>LOOKUP(K674,{0,1,2,3,4,5,6,7,8,9,10},{0,1,2,3,4,5,6,7,8,9,10})</f>
        <v>1</v>
      </c>
      <c r="M674" s="21">
        <f t="shared" si="287"/>
        <v>101</v>
      </c>
      <c r="N674" s="6">
        <v>7.9</v>
      </c>
      <c r="O674" s="43">
        <f t="shared" si="280"/>
        <v>5.1</v>
      </c>
      <c r="P674" s="1">
        <f>LOOKUP(O674,{0,2.5,2.7,2.9,3.1,3.3,3.5,3.7,3.9,4.1,4.3,4.5,4.7,4.9,5.1,5.3,5.5,5.6,5.7,5.8,5.9},{0,10,20,30,40,50,60,62,64,66,68,70,72,74,76,78,80,85,90,95,100})</f>
        <v>76</v>
      </c>
      <c r="Q674" s="6">
        <v>3.48</v>
      </c>
      <c r="R674" s="6">
        <f t="shared" si="281"/>
        <v>6.52</v>
      </c>
      <c r="S674" s="1">
        <f>LOOKUP(R674,{0,3.75,3.95,4.55,4.75,4.95,5.55,5.6,5.65,5.7,5.75,5.8,5.85,5.9,5.95,6,6.45,6.53,6.6,6.65,6.7},{0,10,20,30,40,50,60,62,64,66,68,70,72,74,76,78,80,85,90,95,100})</f>
        <v>80</v>
      </c>
      <c r="T674" s="7"/>
      <c r="U674" s="7"/>
      <c r="V674" s="21">
        <f t="shared" si="283"/>
        <v>80</v>
      </c>
      <c r="X674" s="21">
        <f t="shared" si="284"/>
        <v>57.3</v>
      </c>
      <c r="Y674" s="37">
        <f t="shared" si="285"/>
        <v>82.8571428571429</v>
      </c>
    </row>
    <row r="675" ht="15.6" hidden="1" outlineLevel="2" spans="1:25">
      <c r="A675" s="6">
        <v>115</v>
      </c>
      <c r="B675" s="6">
        <v>20</v>
      </c>
      <c r="C675" s="29" t="s">
        <v>749</v>
      </c>
      <c r="D675" s="29" t="s">
        <v>11</v>
      </c>
      <c r="E675" s="6">
        <v>21.5</v>
      </c>
      <c r="F675" s="1">
        <f>LOOKUP(E675,{0,-4,-3,-2,-1,0,1,2.4,3.8,5.2,6.6,8,9.4,10.8,12.2,13.6,15,17.2,19.4,21.5,23.6},{0,10,20,30,40,50,60,62,64,66,68,70,72,74,76,78,80,85,90,95,100})</f>
        <v>95</v>
      </c>
      <c r="G675" s="6">
        <v>235</v>
      </c>
      <c r="H675" s="1">
        <f>LOOKUP(G675,{0,170,175,180,185,190,195,199,203,207,211,215,219,223,227,231,235,243,250,255,260},{0,10,20,30,40,50,60,62,64,66,68,70,72,74,76,78,80,85,90,95,100})</f>
        <v>80</v>
      </c>
      <c r="I675" s="6">
        <v>24</v>
      </c>
      <c r="J675" s="1">
        <f>LOOKUP(I675,{0,2,3,4,5,6,7,8,9,10,11,12,13,14,15,16},{0,10,20,30,40,50,60,64,68,72,76,80,85,90,95,100})</f>
        <v>100</v>
      </c>
      <c r="K675" s="7">
        <f t="shared" si="288"/>
        <v>8</v>
      </c>
      <c r="L675" s="40">
        <f>LOOKUP(K675,{0,1,2,3,4,5,6,7,8,9,10},{0,1,2,3,4,5,6,7,8,9,10})</f>
        <v>8</v>
      </c>
      <c r="M675" s="21">
        <f t="shared" si="287"/>
        <v>108</v>
      </c>
      <c r="N675" s="6">
        <v>8.1</v>
      </c>
      <c r="O675" s="43">
        <f t="shared" si="280"/>
        <v>4.9</v>
      </c>
      <c r="P675" s="1">
        <f>LOOKUP(O675,{0,2.5,2.7,2.9,3.1,3.3,3.5,3.7,3.9,4.1,4.3,4.5,4.7,4.9,5.1,5.3,5.5,5.6,5.7,5.8,5.9},{0,10,20,30,40,50,60,62,64,66,68,70,72,74,76,78,80,85,90,95,100})</f>
        <v>74</v>
      </c>
      <c r="Q675" s="6">
        <v>3.53</v>
      </c>
      <c r="R675" s="6">
        <f t="shared" si="281"/>
        <v>6.47</v>
      </c>
      <c r="S675" s="1">
        <f>LOOKUP(R675,{0,3.75,3.95,4.55,4.75,4.95,5.55,5.6,5.65,5.7,5.75,5.8,5.85,5.9,5.95,6,6.45,6.53,6.6,6.65,6.7},{0,10,20,30,40,50,60,62,64,66,68,70,72,74,76,78,80,85,90,95,100})</f>
        <v>80</v>
      </c>
      <c r="T675" s="7"/>
      <c r="U675" s="7"/>
      <c r="V675" s="21">
        <f t="shared" si="283"/>
        <v>80</v>
      </c>
      <c r="X675" s="21">
        <f t="shared" si="284"/>
        <v>58.3</v>
      </c>
      <c r="Y675" s="37">
        <f t="shared" si="285"/>
        <v>91.2857142857143</v>
      </c>
    </row>
    <row r="676" s="3" customFormat="1" ht="15.6" hidden="1" outlineLevel="2" spans="1:25">
      <c r="A676" s="6">
        <v>115</v>
      </c>
      <c r="B676" s="6">
        <v>21</v>
      </c>
      <c r="C676" s="29" t="s">
        <v>96</v>
      </c>
      <c r="D676" s="29" t="s">
        <v>11</v>
      </c>
      <c r="E676" s="6">
        <v>8</v>
      </c>
      <c r="F676" s="1">
        <f>LOOKUP(E676,{0,-4,-3,-2,-1,0,1,2.4,3.8,5.2,6.6,8,9.4,10.8,12.2,13.6,15,17.2,19.4,21.5,23.6},{0,10,20,30,40,50,60,62,64,66,68,70,72,74,76,78,80,85,90,95,100})</f>
        <v>70</v>
      </c>
      <c r="G676" s="6">
        <v>222</v>
      </c>
      <c r="H676" s="1">
        <f>LOOKUP(G676,{0,170,175,180,185,190,195,199,203,207,211,215,219,223,227,231,235,243,250,255,260},{0,10,20,30,40,50,60,62,64,66,68,70,72,74,76,78,80,85,90,95,100})</f>
        <v>72</v>
      </c>
      <c r="I676" s="6">
        <v>4</v>
      </c>
      <c r="J676" s="1">
        <f>LOOKUP(I676,{0,2,3,4,5,6,7,8,9,10,11,12,13,14,15,16},{0,10,20,30,40,50,60,64,68,72,76,80,85,90,95,100})</f>
        <v>30</v>
      </c>
      <c r="K676" s="7"/>
      <c r="L676" s="7"/>
      <c r="M676" s="21">
        <f t="shared" si="287"/>
        <v>30</v>
      </c>
      <c r="N676" s="6">
        <v>7.4</v>
      </c>
      <c r="O676" s="43">
        <f t="shared" si="280"/>
        <v>5.6</v>
      </c>
      <c r="P676" s="1">
        <f>LOOKUP(O676,{0,2.5,2.7,2.9,3.1,3.3,3.5,3.7,3.9,4.1,4.3,4.5,4.7,4.9,5.1,5.3,5.5,5.6,5.7,5.8,5.9},{0,10,20,30,40,50,60,62,64,66,68,70,72,74,76,78,80,85,90,95,100})</f>
        <v>85</v>
      </c>
      <c r="Q676" s="6">
        <v>3.28</v>
      </c>
      <c r="R676" s="6">
        <f t="shared" si="281"/>
        <v>6.72</v>
      </c>
      <c r="S676" s="1">
        <f>LOOKUP(R676,{0,3.75,3.95,4.55,4.75,4.95,5.55,5.6,5.65,5.7,5.75,5.8,5.85,5.9,5.95,6,6.45,6.53,6.6,6.65,6.7},{0,10,20,30,40,50,60,62,64,66,68,70,72,74,76,78,80,85,90,95,100})</f>
        <v>100</v>
      </c>
      <c r="T676" s="7">
        <f t="shared" si="289"/>
        <v>0.02</v>
      </c>
      <c r="U676" s="40">
        <f>LOOKUP(T676,{0,0.04,0.08,0.12,0.16,0.2,0.23,0.26,0.29,0.32,0.35},{0,1,2,3,4,5,6,7,8,9,10})</f>
        <v>0</v>
      </c>
      <c r="V676" s="21">
        <f t="shared" si="283"/>
        <v>100</v>
      </c>
      <c r="W676" s="6"/>
      <c r="X676" s="21">
        <f t="shared" si="284"/>
        <v>54.2</v>
      </c>
      <c r="Y676" s="37">
        <f t="shared" si="285"/>
        <v>77.4285714285714</v>
      </c>
    </row>
    <row r="677" ht="15.6" hidden="1" outlineLevel="2" spans="1:25">
      <c r="A677" s="6">
        <v>115</v>
      </c>
      <c r="B677" s="6">
        <v>22</v>
      </c>
      <c r="C677" s="29" t="s">
        <v>750</v>
      </c>
      <c r="D677" s="29" t="s">
        <v>11</v>
      </c>
      <c r="E677" s="6">
        <v>13.5</v>
      </c>
      <c r="F677" s="1">
        <f>LOOKUP(E677,{0,-4,-3,-2,-1,0,1,2.4,3.8,5.2,6.6,8,9.4,10.8,12.2,13.6,15,17.2,19.4,21.5,23.6},{0,10,20,30,40,50,60,62,64,66,68,70,72,74,76,78,80,85,90,95,100})</f>
        <v>76</v>
      </c>
      <c r="G677" s="6">
        <v>230</v>
      </c>
      <c r="H677" s="1">
        <f>LOOKUP(G677,{0,170,175,180,185,190,195,199,203,207,211,215,219,223,227,231,235,243,250,255,260},{0,10,20,30,40,50,60,62,64,66,68,70,72,74,76,78,80,85,90,95,100})</f>
        <v>76</v>
      </c>
      <c r="I677" s="6">
        <v>6</v>
      </c>
      <c r="J677" s="1">
        <f>LOOKUP(I677,{0,2,3,4,5,6,7,8,9,10,11,12,13,14,15,16},{0,10,20,30,40,50,60,64,68,72,76,80,85,90,95,100})</f>
        <v>50</v>
      </c>
      <c r="K677" s="7"/>
      <c r="L677" s="7"/>
      <c r="M677" s="21">
        <f t="shared" si="287"/>
        <v>50</v>
      </c>
      <c r="N677" s="6">
        <v>7.1</v>
      </c>
      <c r="O677" s="43">
        <f t="shared" si="280"/>
        <v>5.9</v>
      </c>
      <c r="P677" s="1">
        <f>LOOKUP(O677,{0,2.5,2.7,2.9,3.1,3.3,3.5,3.7,3.9,4.1,4.3,4.5,4.7,4.9,5.1,5.3,5.5,5.6,5.7,5.8,5.9},{0,10,20,30,40,50,60,62,64,66,68,70,72,74,76,78,80,85,90,95,100})</f>
        <v>100</v>
      </c>
      <c r="Q677" s="6">
        <v>3.31</v>
      </c>
      <c r="R677" s="6">
        <f t="shared" si="281"/>
        <v>6.69</v>
      </c>
      <c r="S677" s="1">
        <f>LOOKUP(R677,{0,3.75,3.95,4.55,4.75,4.95,5.55,5.6,5.65,5.7,5.75,5.8,5.85,5.9,5.95,6,6.45,6.53,6.6,6.65,6.7},{0,10,20,30,40,50,60,62,64,66,68,70,72,74,76,78,80,85,90,95,100})</f>
        <v>95</v>
      </c>
      <c r="T677" s="7"/>
      <c r="U677" s="7"/>
      <c r="V677" s="21">
        <f t="shared" si="283"/>
        <v>95</v>
      </c>
      <c r="X677" s="21">
        <f t="shared" si="284"/>
        <v>59.2</v>
      </c>
      <c r="Y677" s="37">
        <f t="shared" si="285"/>
        <v>84.5714285714286</v>
      </c>
    </row>
    <row r="678" ht="15.6" hidden="1" outlineLevel="2" spans="1:25">
      <c r="A678" s="6">
        <v>115</v>
      </c>
      <c r="B678" s="6">
        <v>23</v>
      </c>
      <c r="C678" s="29" t="s">
        <v>751</v>
      </c>
      <c r="D678" s="29" t="s">
        <v>11</v>
      </c>
      <c r="E678" s="6">
        <v>18.4</v>
      </c>
      <c r="F678" s="1">
        <f>LOOKUP(E678,{0,-4,-3,-2,-1,0,1,2.4,3.8,5.2,6.6,8,9.4,10.8,12.2,13.6,15,17.2,19.4,21.5,23.6},{0,10,20,30,40,50,60,62,64,66,68,70,72,74,76,78,80,85,90,95,100})</f>
        <v>85</v>
      </c>
      <c r="G678" s="6">
        <v>240</v>
      </c>
      <c r="H678" s="1">
        <f>LOOKUP(G678,{0,170,175,180,185,190,195,199,203,207,211,215,219,223,227,231,235,243,250,255,260},{0,10,20,30,40,50,60,62,64,66,68,70,72,74,76,78,80,85,90,95,100})</f>
        <v>80</v>
      </c>
      <c r="I678" s="6">
        <v>20</v>
      </c>
      <c r="J678" s="1">
        <f>LOOKUP(I678,{0,2,3,4,5,6,7,8,9,10,11,12,13,14,15,16},{0,10,20,30,40,50,60,64,68,72,76,80,85,90,95,100})</f>
        <v>100</v>
      </c>
      <c r="K678" s="7">
        <f>I678-16</f>
        <v>4</v>
      </c>
      <c r="L678" s="40">
        <f>LOOKUP(K678,{0,1,2,3,4,5,6,7,8,9,10},{0,1,2,3,4,5,6,7,8,9,10})</f>
        <v>4</v>
      </c>
      <c r="M678" s="21">
        <f t="shared" si="287"/>
        <v>104</v>
      </c>
      <c r="N678" s="6">
        <v>6.6</v>
      </c>
      <c r="O678" s="43">
        <f t="shared" si="280"/>
        <v>6.4</v>
      </c>
      <c r="P678" s="1">
        <f>LOOKUP(O678,{0,2.5,2.7,2.9,3.1,3.3,3.5,3.7,3.9,4.1,4.3,4.5,4.7,4.9,5.1,5.3,5.5,5.6,5.7,5.8,5.9},{0,10,20,30,40,50,60,62,64,66,68,70,72,74,76,78,80,85,90,95,100})</f>
        <v>100</v>
      </c>
      <c r="Q678" s="6">
        <v>3.13</v>
      </c>
      <c r="R678" s="6">
        <f t="shared" si="281"/>
        <v>6.87</v>
      </c>
      <c r="S678" s="1">
        <f>LOOKUP(R678,{0,3.75,3.95,4.55,4.75,4.95,5.55,5.6,5.65,5.7,5.75,5.8,5.85,5.9,5.95,6,6.45,6.53,6.6,6.65,6.7},{0,10,20,30,40,50,60,62,64,66,68,70,72,74,76,78,80,85,90,95,100})</f>
        <v>100</v>
      </c>
      <c r="T678" s="7">
        <f>3.3-Q678</f>
        <v>0.17</v>
      </c>
      <c r="U678" s="40">
        <f>LOOKUP(T678,{0,0.04,0.08,0.12,0.16,0.2,0.23,0.26,0.29,0.32,0.35},{0,1,2,3,4,5,6,7,8,9,10})</f>
        <v>4</v>
      </c>
      <c r="V678" s="21">
        <f t="shared" si="283"/>
        <v>104</v>
      </c>
      <c r="X678" s="21">
        <f t="shared" si="284"/>
        <v>66.5</v>
      </c>
      <c r="Y678" s="37">
        <f t="shared" si="285"/>
        <v>103</v>
      </c>
    </row>
    <row r="679" ht="15.6" hidden="1" outlineLevel="2" spans="1:25">
      <c r="A679" s="6">
        <v>115</v>
      </c>
      <c r="B679" s="6">
        <v>24</v>
      </c>
      <c r="C679" s="29" t="s">
        <v>752</v>
      </c>
      <c r="D679" s="29" t="s">
        <v>11</v>
      </c>
      <c r="E679" s="6">
        <v>3.5</v>
      </c>
      <c r="F679" s="1">
        <f>LOOKUP(E679,{0,-4,-3,-2,-1,0,1,2.4,3.8,5.2,6.6,8,9.4,10.8,12.2,13.6,15,17.2,19.4,21.5,23.6},{0,10,20,30,40,50,60,62,64,66,68,70,72,74,76,78,80,85,90,95,100})</f>
        <v>62</v>
      </c>
      <c r="G679" s="6">
        <v>215</v>
      </c>
      <c r="H679" s="1">
        <f>LOOKUP(G679,{0,170,175,180,185,190,195,199,203,207,211,215,219,223,227,231,235,243,250,255,260},{0,10,20,30,40,50,60,62,64,66,68,70,72,74,76,78,80,85,90,95,100})</f>
        <v>70</v>
      </c>
      <c r="I679" s="6">
        <v>10</v>
      </c>
      <c r="J679" s="1">
        <f>LOOKUP(I679,{0,2,3,4,5,6,7,8,9,10,11,12,13,14,15,16},{0,10,20,30,40,50,60,64,68,72,76,80,85,90,95,100})</f>
        <v>72</v>
      </c>
      <c r="K679" s="7"/>
      <c r="L679" s="7"/>
      <c r="M679" s="21">
        <f t="shared" si="287"/>
        <v>72</v>
      </c>
      <c r="N679" s="6">
        <v>7.4</v>
      </c>
      <c r="O679" s="43">
        <f t="shared" si="280"/>
        <v>5.6</v>
      </c>
      <c r="P679" s="1">
        <f>LOOKUP(O679,{0,2.5,2.7,2.9,3.1,3.3,3.5,3.7,3.9,4.1,4.3,4.5,4.7,4.9,5.1,5.3,5.5,5.6,5.7,5.8,5.9},{0,10,20,30,40,50,60,62,64,66,68,70,72,74,76,78,80,85,90,95,100})</f>
        <v>85</v>
      </c>
      <c r="Q679" s="6">
        <v>4.24</v>
      </c>
      <c r="R679" s="6">
        <f t="shared" si="281"/>
        <v>5.76</v>
      </c>
      <c r="S679" s="1">
        <f>LOOKUP(R679,{0,3.75,3.95,4.55,4.75,4.95,5.55,5.6,5.65,5.7,5.75,5.8,5.85,5.9,5.95,6,6.45,6.53,6.6,6.65,6.7},{0,10,20,30,40,50,60,62,64,66,68,70,72,74,76,78,80,85,90,95,100})</f>
        <v>68</v>
      </c>
      <c r="T679" s="7"/>
      <c r="U679" s="7"/>
      <c r="V679" s="21">
        <f t="shared" si="283"/>
        <v>68</v>
      </c>
      <c r="X679" s="21">
        <f t="shared" si="284"/>
        <v>51</v>
      </c>
      <c r="Y679" s="37">
        <f t="shared" si="285"/>
        <v>72.8571428571429</v>
      </c>
    </row>
    <row r="680" ht="15.6" hidden="1" outlineLevel="2" spans="1:25">
      <c r="A680" s="6">
        <v>115</v>
      </c>
      <c r="B680" s="6">
        <v>25</v>
      </c>
      <c r="C680" s="39" t="s">
        <v>754</v>
      </c>
      <c r="D680" s="29" t="s">
        <v>46</v>
      </c>
      <c r="E680" s="6">
        <v>10</v>
      </c>
      <c r="F680" s="1">
        <f>LOOKUP(E680,{0,0.4,1.2,2,2.8,3.6,4.4,5.7,7,8.3,9.6,10.9,12.2,13.5,14.8,16.1,17.4,19.1,20.8,22.5,24.2},{0,10,20,30,40,50,60,62,64,66,68,70,72,74,76,78,80,85,90,95,100})</f>
        <v>68</v>
      </c>
      <c r="G680" s="6">
        <v>173</v>
      </c>
      <c r="H680" s="1">
        <f>LOOKUP(G680,{0,123,128,133,138,143,148,151,154,157,160,163,166,169,172,175,178,185,192,198,204},{0,10,20,30,40,50,60,62,64,66,68,70,72,74,76,78,80,85,90,95,100})</f>
        <v>76</v>
      </c>
      <c r="I680" s="6">
        <v>41</v>
      </c>
      <c r="J680" s="1">
        <f>LOOKUP(I680,{0,13,15,17,19,21,23,25,27,29,31,33,35,37,39,41,43,46,49,51,53},{0,10,20,30,40,50,60,62,64,66,68,70,72,74,76,78,80,85,90,95,100})</f>
        <v>78</v>
      </c>
      <c r="K680" s="45"/>
      <c r="L680" s="45"/>
      <c r="M680" s="21">
        <f t="shared" si="287"/>
        <v>78</v>
      </c>
      <c r="N680" s="6">
        <v>8.7</v>
      </c>
      <c r="O680" s="43">
        <f t="shared" si="280"/>
        <v>4.3</v>
      </c>
      <c r="P680" s="1">
        <f>LOOKUP(O680,{0,1.4,1.6,1.8,2,2.2,2.4,2.6,2.8,3,3.2,3.4,3.6,3.8,4,4.2,4.4,4.7,5,5.1,5.2},{0,10,20,30,40,50,60,62,64,66,68,70,72,74,76,78,80,85,90,95,100})</f>
        <v>78</v>
      </c>
      <c r="Q680" s="6">
        <v>3.34</v>
      </c>
      <c r="R680" s="6">
        <f t="shared" si="281"/>
        <v>6.66</v>
      </c>
      <c r="S680" s="1">
        <f>LOOKUP(R680,{0,4.7,4.8,4.9,5,5.5,5.6,5.65,5.7,5.75,5.8,5.85,5.9,5.95,6,6.45,6.5,6.57,6.64,6.7,6.76},{0,10,20,30,40,50,60,62,64,66,68,70,72,74,76,78,80,85,90,95,100})</f>
        <v>90</v>
      </c>
      <c r="T680" s="45"/>
      <c r="U680" s="45"/>
      <c r="V680" s="21">
        <f t="shared" si="283"/>
        <v>90</v>
      </c>
      <c r="X680" s="21">
        <f t="shared" si="284"/>
        <v>55.8</v>
      </c>
      <c r="Y680" s="37">
        <f t="shared" si="285"/>
        <v>79.7142857142857</v>
      </c>
    </row>
    <row r="681" ht="15.6" hidden="1" outlineLevel="2" spans="1:25">
      <c r="A681" s="6">
        <v>115</v>
      </c>
      <c r="B681" s="6">
        <v>26</v>
      </c>
      <c r="C681" s="29" t="s">
        <v>755</v>
      </c>
      <c r="D681" s="29" t="s">
        <v>46</v>
      </c>
      <c r="E681" s="6">
        <v>15.5</v>
      </c>
      <c r="F681" s="1">
        <f>LOOKUP(E681,{0,0.4,1.2,2,2.8,3.6,4.4,5.7,7,8.3,9.6,10.9,12.2,13.5,14.8,16.1,17.4,19.1,20.8,22.5,24.2},{0,10,20,30,40,50,60,62,64,66,68,70,72,74,76,78,80,85,90,95,100})</f>
        <v>76</v>
      </c>
      <c r="G681" s="6">
        <v>197</v>
      </c>
      <c r="H681" s="1">
        <f>LOOKUP(G681,{0,123,128,133,138,143,148,151,154,157,160,163,166,169,172,175,178,185,192,198,204},{0,10,20,30,40,50,60,62,64,66,68,70,72,74,76,78,80,85,90,95,100})</f>
        <v>90</v>
      </c>
      <c r="I681" s="6">
        <v>47</v>
      </c>
      <c r="J681" s="1">
        <f>LOOKUP(I681,{0,13,15,17,19,21,23,25,27,29,31,33,35,37,39,41,43,46,49,51,53},{0,10,20,30,40,50,60,62,64,66,68,70,72,74,76,78,80,85,90,95,100})</f>
        <v>85</v>
      </c>
      <c r="K681" s="45"/>
      <c r="L681" s="45"/>
      <c r="M681" s="21">
        <f t="shared" si="287"/>
        <v>85</v>
      </c>
      <c r="N681" s="6">
        <v>8.1</v>
      </c>
      <c r="O681" s="43">
        <f t="shared" si="280"/>
        <v>4.9</v>
      </c>
      <c r="P681" s="1">
        <f>LOOKUP(O681,{0,1.4,1.6,1.8,2,2.2,2.4,2.6,2.8,3,3.2,3.4,3.6,3.8,4,4.2,4.4,4.7,5,5.1,5.2},{0,10,20,30,40,50,60,62,64,66,68,70,72,74,76,78,80,85,90,95,100})</f>
        <v>85</v>
      </c>
      <c r="Q681" s="6">
        <v>3.21</v>
      </c>
      <c r="R681" s="6">
        <f t="shared" si="281"/>
        <v>6.79</v>
      </c>
      <c r="S681" s="1">
        <f>LOOKUP(R681,{0,4.7,4.8,4.9,5,5.5,5.6,5.65,5.7,5.75,5.8,5.85,5.9,5.95,6,6.45,6.5,6.57,6.64,6.7,6.76},{0,10,20,30,40,50,60,62,64,66,68,70,72,74,76,78,80,85,90,95,100})</f>
        <v>100</v>
      </c>
      <c r="T681" s="48">
        <f>3.24-Q681</f>
        <v>0.0300000000000002</v>
      </c>
      <c r="U681" s="40">
        <f>LOOKUP(T681,{0,0.05,0.1,0.15,0.2,0.25,0.3,0.35,0.4,0.45,0.5},{0,1,2,3,4,5,6,7,8,9,10})</f>
        <v>0</v>
      </c>
      <c r="V681" s="21">
        <f t="shared" si="283"/>
        <v>100</v>
      </c>
      <c r="X681" s="21">
        <f t="shared" si="284"/>
        <v>62.1</v>
      </c>
      <c r="Y681" s="37">
        <f t="shared" si="285"/>
        <v>88.7142857142857</v>
      </c>
    </row>
    <row r="682" ht="15.6" hidden="1" outlineLevel="2" spans="1:25">
      <c r="A682" s="6">
        <v>115</v>
      </c>
      <c r="B682" s="6">
        <v>27</v>
      </c>
      <c r="C682" s="29" t="s">
        <v>756</v>
      </c>
      <c r="D682" s="29" t="s">
        <v>46</v>
      </c>
      <c r="E682" s="6">
        <v>25.5</v>
      </c>
      <c r="F682" s="1">
        <f>LOOKUP(E682,{0,0.4,1.2,2,2.8,3.6,4.4,5.7,7,8.3,9.6,10.9,12.2,13.5,14.8,16.1,17.4,19.1,20.8,22.5,24.2},{0,10,20,30,40,50,60,62,64,66,68,70,72,74,76,78,80,85,90,95,100})</f>
        <v>100</v>
      </c>
      <c r="G682" s="6">
        <v>190</v>
      </c>
      <c r="H682" s="1">
        <f>LOOKUP(G682,{0,123,128,133,138,143,148,151,154,157,160,163,166,169,172,175,178,185,192,198,204},{0,10,20,30,40,50,60,62,64,66,68,70,72,74,76,78,80,85,90,95,100})</f>
        <v>85</v>
      </c>
      <c r="I682" s="6">
        <v>54</v>
      </c>
      <c r="J682" s="1">
        <f>LOOKUP(I682,{0,13,15,17,19,21,23,25,27,29,31,33,35,37,39,41,43,46,49,51,53},{0,10,20,30,40,50,60,62,64,66,68,70,72,74,76,78,80,85,90,95,100})</f>
        <v>100</v>
      </c>
      <c r="K682" s="45">
        <f>I682-53</f>
        <v>1</v>
      </c>
      <c r="L682" s="40">
        <f>LOOKUP(K682,{0,2,4,6,7,8,9,10,11,12,13},{0,1,2,3,4,5,6,7,8,9,10})</f>
        <v>0</v>
      </c>
      <c r="M682" s="21">
        <f t="shared" si="287"/>
        <v>100</v>
      </c>
      <c r="N682" s="6">
        <v>8.7</v>
      </c>
      <c r="O682" s="43">
        <f t="shared" si="280"/>
        <v>4.3</v>
      </c>
      <c r="P682" s="1">
        <f>LOOKUP(O682,{0,1.4,1.6,1.8,2,2.2,2.4,2.6,2.8,3,3.2,3.4,3.6,3.8,4,4.2,4.4,4.7,5,5.1,5.2},{0,10,20,30,40,50,60,62,64,66,68,70,72,74,76,78,80,85,90,95,100})</f>
        <v>78</v>
      </c>
      <c r="Q682" s="6">
        <v>3.35</v>
      </c>
      <c r="R682" s="6">
        <f t="shared" si="281"/>
        <v>6.65</v>
      </c>
      <c r="S682" s="1">
        <f>LOOKUP(R682,{0,4.7,4.8,4.9,5,5.5,5.6,5.65,5.7,5.75,5.8,5.85,5.9,5.95,6,6.45,6.5,6.57,6.64,6.7,6.76},{0,10,20,30,40,50,60,62,64,66,68,70,72,74,76,78,80,85,90,95,100})</f>
        <v>90</v>
      </c>
      <c r="T682" s="45"/>
      <c r="U682" s="45"/>
      <c r="V682" s="21">
        <f t="shared" si="283"/>
        <v>90</v>
      </c>
      <c r="X682" s="21">
        <f t="shared" si="284"/>
        <v>62.1</v>
      </c>
      <c r="Y682" s="37">
        <f t="shared" si="285"/>
        <v>88.7142857142857</v>
      </c>
    </row>
    <row r="683" ht="15.6" hidden="1" outlineLevel="2" spans="1:25">
      <c r="A683" s="6">
        <v>115</v>
      </c>
      <c r="B683" s="6">
        <v>29</v>
      </c>
      <c r="C683" s="29" t="s">
        <v>757</v>
      </c>
      <c r="D683" s="29" t="s">
        <v>46</v>
      </c>
      <c r="E683" s="6">
        <v>14.2</v>
      </c>
      <c r="F683" s="1">
        <f>LOOKUP(E683,{0,0.4,1.2,2,2.8,3.6,4.4,5.7,7,8.3,9.6,10.9,12.2,13.5,14.8,16.1,17.4,19.1,20.8,22.5,24.2},{0,10,20,30,40,50,60,62,64,66,68,70,72,74,76,78,80,85,90,95,100})</f>
        <v>74</v>
      </c>
      <c r="G683" s="6">
        <v>197</v>
      </c>
      <c r="H683" s="1">
        <f>LOOKUP(G683,{0,123,128,133,138,143,148,151,154,157,160,163,166,169,172,175,178,185,192,198,204},{0,10,20,30,40,50,60,62,64,66,68,70,72,74,76,78,80,85,90,95,100})</f>
        <v>90</v>
      </c>
      <c r="I683" s="6">
        <v>27</v>
      </c>
      <c r="J683" s="1">
        <f>LOOKUP(I683,{0,13,15,17,19,21,23,25,27,29,31,33,35,37,39,41,43,46,49,51,53},{0,10,20,30,40,50,60,62,64,66,68,70,72,74,76,78,80,85,90,95,100})</f>
        <v>64</v>
      </c>
      <c r="K683" s="45"/>
      <c r="L683" s="45"/>
      <c r="M683" s="21">
        <f t="shared" ref="M683:M688" si="290">J683+L683</f>
        <v>64</v>
      </c>
      <c r="N683" s="6">
        <v>8.4</v>
      </c>
      <c r="O683" s="43">
        <f t="shared" ref="O683:O688" si="291">13-N683</f>
        <v>4.6</v>
      </c>
      <c r="P683" s="1">
        <f>LOOKUP(O683,{0,1.4,1.6,1.8,2,2.2,2.4,2.6,2.8,3,3.2,3.4,3.6,3.8,4,4.2,4.4,4.7,5,5.1,5.2},{0,10,20,30,40,50,60,62,64,66,68,70,72,74,76,78,80,85,90,95,100})</f>
        <v>80</v>
      </c>
      <c r="Q683" s="6">
        <v>3.57</v>
      </c>
      <c r="R683" s="6">
        <f t="shared" ref="R683:R688" si="292">10-Q683</f>
        <v>6.43</v>
      </c>
      <c r="S683" s="1">
        <f>LOOKUP(R683,{0,4.7,4.8,4.9,5,5.5,5.6,5.65,5.7,5.75,5.8,5.85,5.9,5.95,6,6.45,6.5,6.57,6.64,6.7,6.76},{0,10,20,30,40,50,60,62,64,66,68,70,72,74,76,78,80,85,90,95,100})</f>
        <v>76</v>
      </c>
      <c r="T683" s="45"/>
      <c r="U683" s="45"/>
      <c r="V683" s="21">
        <f t="shared" ref="V683:V688" si="293">S683+U683</f>
        <v>76</v>
      </c>
      <c r="X683" s="21">
        <f t="shared" si="284"/>
        <v>54</v>
      </c>
      <c r="Y683" s="37">
        <f t="shared" ref="Y683:Y688" si="294">X683/0.7+L683+U683</f>
        <v>77.1428571428572</v>
      </c>
    </row>
    <row r="684" ht="15.6" hidden="1" outlineLevel="2" spans="1:25">
      <c r="A684" s="6">
        <v>115</v>
      </c>
      <c r="B684" s="6">
        <v>30</v>
      </c>
      <c r="C684" s="29" t="s">
        <v>758</v>
      </c>
      <c r="D684" s="29" t="s">
        <v>46</v>
      </c>
      <c r="E684" s="6">
        <v>19.1</v>
      </c>
      <c r="F684" s="1">
        <f>LOOKUP(E684,{0,0.4,1.2,2,2.8,3.6,4.4,5.7,7,8.3,9.6,10.9,12.2,13.5,14.8,16.1,17.4,19.1,20.8,22.5,24.2},{0,10,20,30,40,50,60,62,64,66,68,70,72,74,76,78,80,85,90,95,100})</f>
        <v>85</v>
      </c>
      <c r="G684" s="6">
        <v>175</v>
      </c>
      <c r="H684" s="1">
        <f>LOOKUP(G684,{0,123,128,133,138,143,148,151,154,157,160,163,166,169,172,175,178,185,192,198,204},{0,10,20,30,40,50,60,62,64,66,68,70,72,74,76,78,80,85,90,95,100})</f>
        <v>78</v>
      </c>
      <c r="I684" s="6">
        <v>25</v>
      </c>
      <c r="J684" s="1">
        <f>LOOKUP(I684,{0,13,15,17,19,21,23,25,27,29,31,33,35,37,39,41,43,46,49,51,53},{0,10,20,30,40,50,60,62,64,66,68,70,72,74,76,78,80,85,90,95,100})</f>
        <v>62</v>
      </c>
      <c r="K684" s="45"/>
      <c r="L684" s="45"/>
      <c r="M684" s="21">
        <f t="shared" si="290"/>
        <v>62</v>
      </c>
      <c r="N684" s="6">
        <v>9.6</v>
      </c>
      <c r="O684" s="43">
        <f t="shared" si="291"/>
        <v>3.4</v>
      </c>
      <c r="P684" s="1">
        <f>LOOKUP(O684,{0,1.4,1.6,1.8,2,2.2,2.4,2.6,2.8,3,3.2,3.4,3.6,3.8,4,4.2,4.4,4.7,5,5.1,5.2},{0,10,20,30,40,50,60,62,64,66,68,70,72,74,76,78,80,85,90,95,100})</f>
        <v>70</v>
      </c>
      <c r="Q684" s="6">
        <v>4.21</v>
      </c>
      <c r="R684" s="6">
        <f t="shared" si="292"/>
        <v>5.79</v>
      </c>
      <c r="S684" s="1">
        <f>LOOKUP(R684,{0,4.7,4.8,4.9,5,5.5,5.6,5.65,5.7,5.75,5.8,5.85,5.9,5.95,6,6.45,6.5,6.57,6.64,6.7,6.76},{0,10,20,30,40,50,60,62,64,66,68,70,72,74,76,78,80,85,90,95,100})</f>
        <v>66</v>
      </c>
      <c r="T684" s="45"/>
      <c r="U684" s="45"/>
      <c r="V684" s="21">
        <f t="shared" si="293"/>
        <v>66</v>
      </c>
      <c r="X684" s="21">
        <f t="shared" si="284"/>
        <v>49.7</v>
      </c>
      <c r="Y684" s="37">
        <f t="shared" si="294"/>
        <v>71</v>
      </c>
    </row>
    <row r="685" ht="15.6" hidden="1" outlineLevel="2" spans="1:25">
      <c r="A685" s="6">
        <v>115</v>
      </c>
      <c r="B685" s="6">
        <v>31</v>
      </c>
      <c r="C685" s="29" t="s">
        <v>759</v>
      </c>
      <c r="D685" s="29" t="s">
        <v>46</v>
      </c>
      <c r="E685" s="6">
        <v>22.3</v>
      </c>
      <c r="F685" s="1">
        <f>LOOKUP(E685,{0,0.4,1.2,2,2.8,3.6,4.4,5.7,7,8.3,9.6,10.9,12.2,13.5,14.8,16.1,17.4,19.1,20.8,22.5,24.2},{0,10,20,30,40,50,60,62,64,66,68,70,72,74,76,78,80,85,90,95,100})</f>
        <v>90</v>
      </c>
      <c r="G685" s="6">
        <v>181</v>
      </c>
      <c r="H685" s="1">
        <f>LOOKUP(G685,{0,123,128,133,138,143,148,151,154,157,160,163,166,169,172,175,178,185,192,198,204},{0,10,20,30,40,50,60,62,64,66,68,70,72,74,76,78,80,85,90,95,100})</f>
        <v>80</v>
      </c>
      <c r="I685" s="6">
        <v>43</v>
      </c>
      <c r="J685" s="1">
        <f>LOOKUP(I685,{0,13,15,17,19,21,23,25,27,29,31,33,35,37,39,41,43,46,49,51,53},{0,10,20,30,40,50,60,62,64,66,68,70,72,74,76,78,80,85,90,95,100})</f>
        <v>80</v>
      </c>
      <c r="K685" s="45"/>
      <c r="L685" s="45"/>
      <c r="M685" s="21">
        <f t="shared" si="290"/>
        <v>80</v>
      </c>
      <c r="N685" s="6">
        <v>8.4</v>
      </c>
      <c r="O685" s="43">
        <f t="shared" si="291"/>
        <v>4.6</v>
      </c>
      <c r="P685" s="1">
        <f>LOOKUP(O685,{0,1.4,1.6,1.8,2,2.2,2.4,2.6,2.8,3,3.2,3.4,3.6,3.8,4,4.2,4.4,4.7,5,5.1,5.2},{0,10,20,30,40,50,60,62,64,66,68,70,72,74,76,78,80,85,90,95,100})</f>
        <v>80</v>
      </c>
      <c r="Q685" s="6">
        <v>3.2</v>
      </c>
      <c r="R685" s="6">
        <f t="shared" si="292"/>
        <v>6.8</v>
      </c>
      <c r="S685" s="1">
        <f>LOOKUP(R685,{0,4.7,4.8,4.9,5,5.5,5.6,5.65,5.7,5.75,5.8,5.85,5.9,5.95,6,6.45,6.5,6.57,6.64,6.7,6.76},{0,10,20,30,40,50,60,62,64,66,68,70,72,74,76,78,80,85,90,95,100})</f>
        <v>100</v>
      </c>
      <c r="T685" s="48">
        <f>3.24-Q685</f>
        <v>0.04</v>
      </c>
      <c r="U685" s="40">
        <f>LOOKUP(T685,{0,0.05,0.1,0.15,0.2,0.25,0.3,0.35,0.4,0.45,0.5},{0,1,2,3,4,5,6,7,8,9,10})</f>
        <v>0</v>
      </c>
      <c r="V685" s="21">
        <f t="shared" si="293"/>
        <v>100</v>
      </c>
      <c r="X685" s="21">
        <f t="shared" si="284"/>
        <v>61</v>
      </c>
      <c r="Y685" s="37">
        <f t="shared" si="294"/>
        <v>87.1428571428572</v>
      </c>
    </row>
    <row r="686" ht="15.6" hidden="1" outlineLevel="2" spans="1:25">
      <c r="A686" s="6">
        <v>115</v>
      </c>
      <c r="B686" s="6">
        <v>32</v>
      </c>
      <c r="C686" s="29" t="s">
        <v>760</v>
      </c>
      <c r="D686" s="29" t="s">
        <v>46</v>
      </c>
      <c r="E686" s="6">
        <v>26.3</v>
      </c>
      <c r="F686" s="1">
        <f>LOOKUP(E686,{0,0.4,1.2,2,2.8,3.6,4.4,5.7,7,8.3,9.6,10.9,12.2,13.5,14.8,16.1,17.4,19.1,20.8,22.5,24.2},{0,10,20,30,40,50,60,62,64,66,68,70,72,74,76,78,80,85,90,95,100})</f>
        <v>100</v>
      </c>
      <c r="G686" s="6">
        <v>210</v>
      </c>
      <c r="H686" s="1">
        <f>LOOKUP(G686,{0,123,128,133,138,143,148,151,154,157,160,163,166,169,172,175,178,185,192,198,204},{0,10,20,30,40,50,60,62,64,66,68,70,72,74,76,78,80,85,90,95,100})</f>
        <v>100</v>
      </c>
      <c r="I686" s="6">
        <v>45</v>
      </c>
      <c r="J686" s="1">
        <f>LOOKUP(I686,{0,13,15,17,19,21,23,25,27,29,31,33,35,37,39,41,43,46,49,51,53},{0,10,20,30,40,50,60,62,64,66,68,70,72,74,76,78,80,85,90,95,100})</f>
        <v>80</v>
      </c>
      <c r="K686" s="45"/>
      <c r="L686" s="45"/>
      <c r="M686" s="21">
        <f t="shared" si="290"/>
        <v>80</v>
      </c>
      <c r="N686" s="6">
        <v>8</v>
      </c>
      <c r="O686" s="43">
        <f t="shared" si="291"/>
        <v>5</v>
      </c>
      <c r="P686" s="1">
        <f>LOOKUP(O686,{0,1.4,1.6,1.8,2,2.2,2.4,2.6,2.8,3,3.2,3.4,3.6,3.8,4,4.2,4.4,4.7,5,5.1,5.2},{0,10,20,30,40,50,60,62,64,66,68,70,72,74,76,78,80,85,90,95,100})</f>
        <v>90</v>
      </c>
      <c r="Q686" s="6">
        <v>3.14</v>
      </c>
      <c r="R686" s="6">
        <f t="shared" si="292"/>
        <v>6.86</v>
      </c>
      <c r="S686" s="1">
        <f>LOOKUP(R686,{0,4.7,4.8,4.9,5,5.5,5.6,5.65,5.7,5.75,5.8,5.85,5.9,5.95,6,6.45,6.5,6.57,6.64,6.7,6.76},{0,10,20,30,40,50,60,62,64,66,68,70,72,74,76,78,80,85,90,95,100})</f>
        <v>100</v>
      </c>
      <c r="T686" s="48">
        <f>3.24-Q686</f>
        <v>0.1</v>
      </c>
      <c r="U686" s="40">
        <f>LOOKUP(T686,{0,0.05,0.1,0.15,0.2,0.25,0.3,0.35,0.4,0.45,0.5},{0,1,2,3,4,5,6,7,8,9,10})</f>
        <v>2</v>
      </c>
      <c r="V686" s="21">
        <f t="shared" si="293"/>
        <v>102</v>
      </c>
      <c r="X686" s="21">
        <f t="shared" si="284"/>
        <v>66</v>
      </c>
      <c r="Y686" s="37">
        <f t="shared" si="294"/>
        <v>96.2857142857143</v>
      </c>
    </row>
    <row r="687" ht="15.6" hidden="1" outlineLevel="2" spans="1:25">
      <c r="A687" s="6">
        <v>115</v>
      </c>
      <c r="B687" s="6">
        <v>33</v>
      </c>
      <c r="C687" s="29" t="s">
        <v>761</v>
      </c>
      <c r="D687" s="29" t="s">
        <v>46</v>
      </c>
      <c r="E687" s="6">
        <v>12.6</v>
      </c>
      <c r="F687" s="1">
        <f>LOOKUP(E687,{0,0.4,1.2,2,2.8,3.6,4.4,5.7,7,8.3,9.6,10.9,12.2,13.5,14.8,16.1,17.4,19.1,20.8,22.5,24.2},{0,10,20,30,40,50,60,62,64,66,68,70,72,74,76,78,80,85,90,95,100})</f>
        <v>72</v>
      </c>
      <c r="G687" s="6">
        <v>201</v>
      </c>
      <c r="H687" s="1">
        <f>LOOKUP(G687,{0,123,128,133,138,143,148,151,154,157,160,163,166,169,172,175,178,185,192,198,204},{0,10,20,30,40,50,60,62,64,66,68,70,72,74,76,78,80,85,90,95,100})</f>
        <v>95</v>
      </c>
      <c r="I687" s="6">
        <v>57</v>
      </c>
      <c r="J687" s="1">
        <f>LOOKUP(I687,{0,13,15,17,19,21,23,25,27,29,31,33,35,37,39,41,43,46,49,51,53},{0,10,20,30,40,50,60,62,64,66,68,70,72,74,76,78,80,85,90,95,100})</f>
        <v>100</v>
      </c>
      <c r="K687" s="45">
        <f>I687-53</f>
        <v>4</v>
      </c>
      <c r="L687" s="40">
        <f>LOOKUP(K687,{0,2,4,6,7,8,9,10,11,12,13},{0,1,2,3,4,5,6,7,8,9,10})</f>
        <v>2</v>
      </c>
      <c r="M687" s="21">
        <f t="shared" si="290"/>
        <v>102</v>
      </c>
      <c r="N687" s="6">
        <v>7.7</v>
      </c>
      <c r="O687" s="43">
        <f t="shared" si="291"/>
        <v>5.3</v>
      </c>
      <c r="P687" s="1">
        <f>LOOKUP(O687,{0,1.4,1.6,1.8,2,2.2,2.4,2.6,2.8,3,3.2,3.4,3.6,3.8,4,4.2,4.4,4.7,5,5.1,5.2},{0,10,20,30,40,50,60,62,64,66,68,70,72,74,76,78,80,85,90,95,100})</f>
        <v>100</v>
      </c>
      <c r="Q687" s="6">
        <v>3.55</v>
      </c>
      <c r="R687" s="6">
        <f t="shared" si="292"/>
        <v>6.45</v>
      </c>
      <c r="S687" s="1">
        <f>LOOKUP(R687,{0,4.7,4.8,4.9,5,5.5,5.6,5.65,5.7,5.75,5.8,5.85,5.9,5.95,6,6.45,6.5,6.57,6.64,6.7,6.76},{0,10,20,30,40,50,60,62,64,66,68,70,72,74,76,78,80,85,90,95,100})</f>
        <v>78</v>
      </c>
      <c r="T687" s="45"/>
      <c r="U687" s="45"/>
      <c r="V687" s="21">
        <f t="shared" si="293"/>
        <v>78</v>
      </c>
      <c r="X687" s="21">
        <f t="shared" si="284"/>
        <v>62.3</v>
      </c>
      <c r="Y687" s="37">
        <f t="shared" si="294"/>
        <v>91</v>
      </c>
    </row>
    <row r="688" ht="15.6" hidden="1" outlineLevel="2" spans="1:25">
      <c r="A688" s="6">
        <v>115</v>
      </c>
      <c r="B688" s="6">
        <v>34</v>
      </c>
      <c r="C688" s="29" t="s">
        <v>762</v>
      </c>
      <c r="D688" s="29" t="s">
        <v>46</v>
      </c>
      <c r="E688" s="6">
        <v>12.2</v>
      </c>
      <c r="F688" s="1">
        <f>LOOKUP(E688,{0,0.4,1.2,2,2.8,3.6,4.4,5.7,7,8.3,9.6,10.9,12.2,13.5,14.8,16.1,17.4,19.1,20.8,22.5,24.2},{0,10,20,30,40,50,60,62,64,66,68,70,72,74,76,78,80,85,90,95,100})</f>
        <v>72</v>
      </c>
      <c r="G688" s="6">
        <v>154</v>
      </c>
      <c r="H688" s="1">
        <f>LOOKUP(G688,{0,123,128,133,138,143,148,151,154,157,160,163,166,169,172,175,178,185,192,198,204},{0,10,20,30,40,50,60,62,64,66,68,70,72,74,76,78,80,85,90,95,100})</f>
        <v>64</v>
      </c>
      <c r="I688" s="6">
        <v>51</v>
      </c>
      <c r="J688" s="1">
        <f>LOOKUP(I688,{0,13,15,17,19,21,23,25,27,29,31,33,35,37,39,41,43,46,49,51,53},{0,10,20,30,40,50,60,62,64,66,68,70,72,74,76,78,80,85,90,95,100})</f>
        <v>95</v>
      </c>
      <c r="K688" s="45"/>
      <c r="L688" s="45"/>
      <c r="M688" s="21">
        <f t="shared" si="290"/>
        <v>95</v>
      </c>
      <c r="N688" s="6">
        <v>8.8</v>
      </c>
      <c r="O688" s="43">
        <f t="shared" si="291"/>
        <v>4.2</v>
      </c>
      <c r="P688" s="1">
        <f>LOOKUP(O688,{0,1.4,1.6,1.8,2,2.2,2.4,2.6,2.8,3,3.2,3.4,3.6,3.8,4,4.2,4.4,4.7,5,5.1,5.2},{0,10,20,30,40,50,60,62,64,66,68,70,72,74,76,78,80,85,90,95,100})</f>
        <v>78</v>
      </c>
      <c r="Q688" s="6">
        <v>3.36</v>
      </c>
      <c r="R688" s="6">
        <f t="shared" si="292"/>
        <v>6.64</v>
      </c>
      <c r="S688" s="1">
        <f>LOOKUP(R688,{0,4.7,4.8,4.9,5,5.5,5.6,5.65,5.7,5.75,5.8,5.85,5.9,5.95,6,6.45,6.5,6.57,6.64,6.7,6.76},{0,10,20,30,40,50,60,62,64,66,68,70,72,74,76,78,80,85,90,95,100})</f>
        <v>90</v>
      </c>
      <c r="T688" s="45"/>
      <c r="U688" s="45"/>
      <c r="V688" s="21">
        <f t="shared" si="293"/>
        <v>90</v>
      </c>
      <c r="X688" s="21">
        <f t="shared" si="284"/>
        <v>56.7</v>
      </c>
      <c r="Y688" s="37">
        <f t="shared" si="294"/>
        <v>81</v>
      </c>
    </row>
    <row r="689" ht="15.6" hidden="1" outlineLevel="2" spans="1:25">
      <c r="A689" s="6">
        <v>115</v>
      </c>
      <c r="B689" s="6">
        <v>36</v>
      </c>
      <c r="C689" s="29" t="s">
        <v>764</v>
      </c>
      <c r="D689" s="29" t="s">
        <v>46</v>
      </c>
      <c r="E689" s="6">
        <v>15.3</v>
      </c>
      <c r="F689" s="1">
        <f>LOOKUP(E689,{0,0.4,1.2,2,2.8,3.6,4.4,5.7,7,8.3,9.6,10.9,12.2,13.5,14.8,16.1,17.4,19.1,20.8,22.5,24.2},{0,10,20,30,40,50,60,62,64,66,68,70,72,74,76,78,80,85,90,95,100})</f>
        <v>76</v>
      </c>
      <c r="G689" s="6">
        <v>212</v>
      </c>
      <c r="H689" s="1">
        <f>LOOKUP(G689,{0,123,128,133,138,143,148,151,154,157,160,163,166,169,172,175,178,185,192,198,204},{0,10,20,30,40,50,60,62,64,66,68,70,72,74,76,78,80,85,90,95,100})</f>
        <v>100</v>
      </c>
      <c r="I689" s="6">
        <v>33</v>
      </c>
      <c r="J689" s="1">
        <f>LOOKUP(I689,{0,13,15,17,19,21,23,25,27,29,31,33,35,37,39,41,43,46,49,51,53},{0,10,20,30,40,50,60,62,64,66,68,70,72,74,76,78,80,85,90,95,100})</f>
        <v>70</v>
      </c>
      <c r="K689" s="45"/>
      <c r="L689" s="45"/>
      <c r="M689" s="21">
        <f t="shared" ref="M689:M708" si="295">J689+L689</f>
        <v>70</v>
      </c>
      <c r="N689" s="6">
        <v>8.4</v>
      </c>
      <c r="O689" s="43">
        <f t="shared" ref="O689:O702" si="296">13-N689</f>
        <v>4.6</v>
      </c>
      <c r="P689" s="1">
        <f>LOOKUP(O689,{0,1.4,1.6,1.8,2,2.2,2.4,2.6,2.8,3,3.2,3.4,3.6,3.8,4,4.2,4.4,4.7,5,5.1,5.2},{0,10,20,30,40,50,60,62,64,66,68,70,72,74,76,78,80,85,90,95,100})</f>
        <v>80</v>
      </c>
      <c r="Q689" s="6">
        <v>3.26</v>
      </c>
      <c r="R689" s="6">
        <f t="shared" ref="R689:R708" si="297">10-Q689</f>
        <v>6.74</v>
      </c>
      <c r="S689" s="1">
        <f>LOOKUP(R689,{0,4.7,4.8,4.9,5,5.5,5.6,5.65,5.7,5.75,5.8,5.85,5.9,5.95,6,6.45,6.5,6.57,6.64,6.7,6.76},{0,10,20,30,40,50,60,62,64,66,68,70,72,74,76,78,80,85,90,95,100})</f>
        <v>95</v>
      </c>
      <c r="T689" s="45"/>
      <c r="U689" s="45"/>
      <c r="V689" s="21">
        <f t="shared" ref="V689:V708" si="298">S689+U689</f>
        <v>95</v>
      </c>
      <c r="X689" s="21">
        <f t="shared" ref="X689:X713" si="299">F689*0.1+H689*0.1+J689*0.1+P689*0.2+S689*0.2</f>
        <v>59.6</v>
      </c>
      <c r="Y689" s="37">
        <f t="shared" ref="Y689:Y708" si="300">X689/0.7+L689+U689</f>
        <v>85.1428571428572</v>
      </c>
    </row>
    <row r="690" ht="15.6" hidden="1" outlineLevel="2" spans="1:25">
      <c r="A690" s="6">
        <v>115</v>
      </c>
      <c r="B690" s="6">
        <v>37</v>
      </c>
      <c r="C690" s="29" t="s">
        <v>765</v>
      </c>
      <c r="D690" s="29" t="s">
        <v>46</v>
      </c>
      <c r="E690" s="6">
        <v>18.6</v>
      </c>
      <c r="F690" s="1">
        <f>LOOKUP(E690,{0,0.4,1.2,2,2.8,3.6,4.4,5.7,7,8.3,9.6,10.9,12.2,13.5,14.8,16.1,17.4,19.1,20.8,22.5,24.2},{0,10,20,30,40,50,60,62,64,66,68,70,72,74,76,78,80,85,90,95,100})</f>
        <v>80</v>
      </c>
      <c r="G690" s="6">
        <v>192</v>
      </c>
      <c r="H690" s="1">
        <f>LOOKUP(G690,{0,123,128,133,138,143,148,151,154,157,160,163,166,169,172,175,178,185,192,198,204},{0,10,20,30,40,50,60,62,64,66,68,70,72,74,76,78,80,85,90,95,100})</f>
        <v>90</v>
      </c>
      <c r="I690" s="6">
        <v>37</v>
      </c>
      <c r="J690" s="1">
        <f>LOOKUP(I690,{0,13,15,17,19,21,23,25,27,29,31,33,35,37,39,41,43,46,49,51,53},{0,10,20,30,40,50,60,62,64,66,68,70,72,74,76,78,80,85,90,95,100})</f>
        <v>74</v>
      </c>
      <c r="K690" s="45"/>
      <c r="L690" s="45"/>
      <c r="M690" s="21">
        <f t="shared" si="295"/>
        <v>74</v>
      </c>
      <c r="N690" s="6">
        <v>8.5</v>
      </c>
      <c r="O690" s="43">
        <f t="shared" si="296"/>
        <v>4.5</v>
      </c>
      <c r="P690" s="1">
        <f>LOOKUP(O690,{0,1.4,1.6,1.8,2,2.2,2.4,2.6,2.8,3,3.2,3.4,3.6,3.8,4,4.2,4.4,4.7,5,5.1,5.2},{0,10,20,30,40,50,60,62,64,66,68,70,72,74,76,78,80,85,90,95,100})</f>
        <v>80</v>
      </c>
      <c r="Q690" s="6">
        <v>3.33</v>
      </c>
      <c r="R690" s="6">
        <f t="shared" si="297"/>
        <v>6.67</v>
      </c>
      <c r="S690" s="1">
        <f>LOOKUP(R690,{0,4.7,4.8,4.9,5,5.5,5.6,5.65,5.7,5.75,5.8,5.85,5.9,5.95,6,6.45,6.5,6.57,6.64,6.7,6.76},{0,10,20,30,40,50,60,62,64,66,68,70,72,74,76,78,80,85,90,95,100})</f>
        <v>90</v>
      </c>
      <c r="T690" s="45"/>
      <c r="U690" s="45"/>
      <c r="V690" s="21">
        <f t="shared" si="298"/>
        <v>90</v>
      </c>
      <c r="X690" s="21">
        <f t="shared" si="299"/>
        <v>58.4</v>
      </c>
      <c r="Y690" s="37">
        <f t="shared" si="300"/>
        <v>83.4285714285714</v>
      </c>
    </row>
    <row r="691" ht="15.6" hidden="1" outlineLevel="2" spans="1:25">
      <c r="A691" s="6">
        <v>115</v>
      </c>
      <c r="B691" s="6">
        <v>38</v>
      </c>
      <c r="C691" s="39" t="s">
        <v>767</v>
      </c>
      <c r="D691" s="29" t="s">
        <v>46</v>
      </c>
      <c r="E691" s="6">
        <v>21</v>
      </c>
      <c r="F691" s="1">
        <f>LOOKUP(E691,{0,0.4,1.2,2,2.8,3.6,4.4,5.7,7,8.3,9.6,10.9,12.2,13.5,14.8,16.1,17.4,19.1,20.8,22.5,24.2},{0,10,20,30,40,50,60,62,64,66,68,70,72,74,76,78,80,85,90,95,100})</f>
        <v>90</v>
      </c>
      <c r="G691" s="6">
        <v>180</v>
      </c>
      <c r="H691" s="1">
        <f>LOOKUP(G691,{0,123,128,133,138,143,148,151,154,157,160,163,166,169,172,175,178,185,192,198,204},{0,10,20,30,40,50,60,62,64,66,68,70,72,74,76,78,80,85,90,95,100})</f>
        <v>80</v>
      </c>
      <c r="I691" s="6">
        <v>48</v>
      </c>
      <c r="J691" s="1">
        <f>LOOKUP(I691,{0,13,15,17,19,21,23,25,27,29,31,33,35,37,39,41,43,46,49,51,53},{0,10,20,30,40,50,60,62,64,66,68,70,72,74,76,78,80,85,90,95,100})</f>
        <v>85</v>
      </c>
      <c r="K691" s="45"/>
      <c r="L691" s="45"/>
      <c r="M691" s="21">
        <f t="shared" si="295"/>
        <v>85</v>
      </c>
      <c r="N691" s="6">
        <v>8.2</v>
      </c>
      <c r="O691" s="43">
        <f t="shared" si="296"/>
        <v>4.8</v>
      </c>
      <c r="P691" s="1">
        <f>LOOKUP(O691,{0,1.4,1.6,1.8,2,2.2,2.4,2.6,2.8,3,3.2,3.4,3.6,3.8,4,4.2,4.4,4.7,5,5.1,5.2},{0,10,20,30,40,50,60,62,64,66,68,70,72,74,76,78,80,85,90,95,100})</f>
        <v>85</v>
      </c>
      <c r="Q691" s="6">
        <v>3.56</v>
      </c>
      <c r="R691" s="6">
        <f t="shared" si="297"/>
        <v>6.44</v>
      </c>
      <c r="S691" s="1">
        <f>LOOKUP(R691,{0,4.7,4.8,4.9,5,5.5,5.6,5.65,5.7,5.75,5.8,5.85,5.9,5.95,6,6.45,6.5,6.57,6.64,6.7,6.76},{0,10,20,30,40,50,60,62,64,66,68,70,72,74,76,78,80,85,90,95,100})</f>
        <v>76</v>
      </c>
      <c r="T691" s="45"/>
      <c r="U691" s="45"/>
      <c r="V691" s="21">
        <f t="shared" si="298"/>
        <v>76</v>
      </c>
      <c r="X691" s="21">
        <f t="shared" si="299"/>
        <v>57.7</v>
      </c>
      <c r="Y691" s="37">
        <f t="shared" si="300"/>
        <v>82.4285714285714</v>
      </c>
    </row>
    <row r="692" ht="15.6" hidden="1" outlineLevel="2" spans="1:25">
      <c r="A692" s="6">
        <v>115</v>
      </c>
      <c r="B692" s="6">
        <v>39</v>
      </c>
      <c r="C692" s="29" t="s">
        <v>768</v>
      </c>
      <c r="D692" s="29" t="s">
        <v>46</v>
      </c>
      <c r="E692" s="6">
        <v>14</v>
      </c>
      <c r="F692" s="1">
        <f>LOOKUP(E692,{0,0.4,1.2,2,2.8,3.6,4.4,5.7,7,8.3,9.6,10.9,12.2,13.5,14.8,16.1,17.4,19.1,20.8,22.5,24.2},{0,10,20,30,40,50,60,62,64,66,68,70,72,74,76,78,80,85,90,95,100})</f>
        <v>74</v>
      </c>
      <c r="G692" s="6">
        <v>198</v>
      </c>
      <c r="H692" s="1">
        <f>LOOKUP(G692,{0,123,128,133,138,143,148,151,154,157,160,163,166,169,172,175,178,185,192,198,204},{0,10,20,30,40,50,60,62,64,66,68,70,72,74,76,78,80,85,90,95,100})</f>
        <v>95</v>
      </c>
      <c r="I692" s="6">
        <v>52</v>
      </c>
      <c r="J692" s="1">
        <f>LOOKUP(I692,{0,13,15,17,19,21,23,25,27,29,31,33,35,37,39,41,43,46,49,51,53},{0,10,20,30,40,50,60,62,64,66,68,70,72,74,76,78,80,85,90,95,100})</f>
        <v>95</v>
      </c>
      <c r="K692" s="45"/>
      <c r="L692" s="45"/>
      <c r="M692" s="21">
        <f t="shared" si="295"/>
        <v>95</v>
      </c>
      <c r="N692" s="6">
        <v>8.6</v>
      </c>
      <c r="O692" s="43">
        <f t="shared" si="296"/>
        <v>4.4</v>
      </c>
      <c r="P692" s="1">
        <f>LOOKUP(O692,{0,1.4,1.6,1.8,2,2.2,2.4,2.6,2.8,3,3.2,3.4,3.6,3.8,4,4.2,4.4,4.7,5,5.1,5.2},{0,10,20,30,40,50,60,62,64,66,68,70,72,74,76,78,80,85,90,95,100})</f>
        <v>80</v>
      </c>
      <c r="Q692" s="6">
        <v>3.4</v>
      </c>
      <c r="R692" s="6">
        <f t="shared" si="297"/>
        <v>6.6</v>
      </c>
      <c r="S692" s="1">
        <f>LOOKUP(R692,{0,4.7,4.8,4.9,5,5.5,5.6,5.65,5.7,5.75,5.8,5.85,5.9,5.95,6,6.45,6.5,6.57,6.64,6.7,6.76},{0,10,20,30,40,50,60,62,64,66,68,70,72,74,76,78,80,85,90,95,100})</f>
        <v>85</v>
      </c>
      <c r="T692" s="45"/>
      <c r="U692" s="45"/>
      <c r="V692" s="21">
        <f t="shared" si="298"/>
        <v>85</v>
      </c>
      <c r="X692" s="21">
        <f t="shared" si="299"/>
        <v>59.4</v>
      </c>
      <c r="Y692" s="37">
        <f t="shared" si="300"/>
        <v>84.8571428571429</v>
      </c>
    </row>
    <row r="693" ht="15.6" hidden="1" outlineLevel="2" spans="1:25">
      <c r="A693" s="6">
        <v>115</v>
      </c>
      <c r="B693" s="6">
        <v>40</v>
      </c>
      <c r="C693" s="29" t="s">
        <v>769</v>
      </c>
      <c r="D693" s="29" t="s">
        <v>46</v>
      </c>
      <c r="E693" s="6">
        <v>13</v>
      </c>
      <c r="F693" s="1">
        <f>LOOKUP(E693,{0,0.4,1.2,2,2.8,3.6,4.4,5.7,7,8.3,9.6,10.9,12.2,13.5,14.8,16.1,17.4,19.1,20.8,22.5,24.2},{0,10,20,30,40,50,60,62,64,66,68,70,72,74,76,78,80,85,90,95,100})</f>
        <v>72</v>
      </c>
      <c r="G693" s="6">
        <v>170</v>
      </c>
      <c r="H693" s="1">
        <f>LOOKUP(G693,{0,123,128,133,138,143,148,151,154,157,160,163,166,169,172,175,178,185,192,198,204},{0,10,20,30,40,50,60,62,64,66,68,70,72,74,76,78,80,85,90,95,100})</f>
        <v>74</v>
      </c>
      <c r="I693" s="6">
        <v>50</v>
      </c>
      <c r="J693" s="1">
        <f>LOOKUP(I693,{0,13,15,17,19,21,23,25,27,29,31,33,35,37,39,41,43,46,49,51,53},{0,10,20,30,40,50,60,62,64,66,68,70,72,74,76,78,80,85,90,95,100})</f>
        <v>90</v>
      </c>
      <c r="K693" s="45"/>
      <c r="L693" s="45"/>
      <c r="M693" s="21">
        <f t="shared" si="295"/>
        <v>90</v>
      </c>
      <c r="N693" s="6">
        <v>8.1</v>
      </c>
      <c r="O693" s="43">
        <f t="shared" si="296"/>
        <v>4.9</v>
      </c>
      <c r="P693" s="1">
        <f>LOOKUP(O693,{0,1.4,1.6,1.8,2,2.2,2.4,2.6,2.8,3,3.2,3.4,3.6,3.8,4,4.2,4.4,4.7,5,5.1,5.2},{0,10,20,30,40,50,60,62,64,66,68,70,72,74,76,78,80,85,90,95,100})</f>
        <v>85</v>
      </c>
      <c r="Q693" s="6">
        <v>3.32</v>
      </c>
      <c r="R693" s="6">
        <f t="shared" si="297"/>
        <v>6.68</v>
      </c>
      <c r="S693" s="1">
        <f>LOOKUP(R693,{0,4.7,4.8,4.9,5,5.5,5.6,5.65,5.7,5.75,5.8,5.85,5.9,5.95,6,6.45,6.5,6.57,6.64,6.7,6.76},{0,10,20,30,40,50,60,62,64,66,68,70,72,74,76,78,80,85,90,95,100})</f>
        <v>90</v>
      </c>
      <c r="T693" s="45"/>
      <c r="U693" s="45"/>
      <c r="V693" s="21">
        <f t="shared" si="298"/>
        <v>90</v>
      </c>
      <c r="X693" s="21">
        <f t="shared" si="299"/>
        <v>58.6</v>
      </c>
      <c r="Y693" s="37">
        <f t="shared" si="300"/>
        <v>83.7142857142857</v>
      </c>
    </row>
    <row r="694" ht="15.6" hidden="1" outlineLevel="2" spans="1:25">
      <c r="A694" s="6">
        <v>115</v>
      </c>
      <c r="B694" s="6">
        <v>41</v>
      </c>
      <c r="C694" s="29" t="s">
        <v>770</v>
      </c>
      <c r="D694" s="29" t="s">
        <v>46</v>
      </c>
      <c r="E694" s="6">
        <v>22.5</v>
      </c>
      <c r="F694" s="1">
        <f>LOOKUP(E694,{0,0.4,1.2,2,2.8,3.6,4.4,5.7,7,8.3,9.6,10.9,12.2,13.5,14.8,16.1,17.4,19.1,20.8,22.5,24.2},{0,10,20,30,40,50,60,62,64,66,68,70,72,74,76,78,80,85,90,95,100})</f>
        <v>95</v>
      </c>
      <c r="G694" s="6">
        <v>168</v>
      </c>
      <c r="H694" s="1">
        <f>LOOKUP(G694,{0,123,128,133,138,143,148,151,154,157,160,163,166,169,172,175,178,185,192,198,204},{0,10,20,30,40,50,60,62,64,66,68,70,72,74,76,78,80,85,90,95,100})</f>
        <v>72</v>
      </c>
      <c r="I694" s="6">
        <v>47</v>
      </c>
      <c r="J694" s="1">
        <f>LOOKUP(I694,{0,13,15,17,19,21,23,25,27,29,31,33,35,37,39,41,43,46,49,51,53},{0,10,20,30,40,50,60,62,64,66,68,70,72,74,76,78,80,85,90,95,100})</f>
        <v>85</v>
      </c>
      <c r="K694" s="45"/>
      <c r="L694" s="45"/>
      <c r="M694" s="21">
        <f t="shared" si="295"/>
        <v>85</v>
      </c>
      <c r="N694" s="6">
        <v>9.4</v>
      </c>
      <c r="O694" s="43">
        <f t="shared" si="296"/>
        <v>3.6</v>
      </c>
      <c r="P694" s="1">
        <f>LOOKUP(O694,{0,1.4,1.6,1.8,2,2.2,2.4,2.6,2.8,3,3.2,3.4,3.6,3.8,4,4.2,4.4,4.7,5,5.1,5.2},{0,10,20,30,40,50,60,62,64,66,68,70,72,74,76,78,80,85,90,95,100})</f>
        <v>72</v>
      </c>
      <c r="Q694" s="6">
        <v>3.48</v>
      </c>
      <c r="R694" s="6">
        <f t="shared" si="297"/>
        <v>6.52</v>
      </c>
      <c r="S694" s="1">
        <f>LOOKUP(R694,{0,4.7,4.8,4.9,5,5.5,5.6,5.65,5.7,5.75,5.8,5.85,5.9,5.95,6,6.45,6.5,6.57,6.64,6.7,6.76},{0,10,20,30,40,50,60,62,64,66,68,70,72,74,76,78,80,85,90,95,100})</f>
        <v>80</v>
      </c>
      <c r="T694" s="45"/>
      <c r="U694" s="45"/>
      <c r="V694" s="21">
        <f t="shared" si="298"/>
        <v>80</v>
      </c>
      <c r="X694" s="21">
        <f t="shared" si="299"/>
        <v>55.6</v>
      </c>
      <c r="Y694" s="37">
        <f t="shared" si="300"/>
        <v>79.4285714285714</v>
      </c>
    </row>
    <row r="695" ht="15.6" hidden="1" outlineLevel="2" spans="1:25">
      <c r="A695" s="6">
        <v>115</v>
      </c>
      <c r="B695" s="6">
        <v>42</v>
      </c>
      <c r="C695" s="29" t="s">
        <v>771</v>
      </c>
      <c r="D695" s="29" t="s">
        <v>46</v>
      </c>
      <c r="E695" s="6">
        <v>13.5</v>
      </c>
      <c r="F695" s="1">
        <f>LOOKUP(E695,{0,0.4,1.2,2,2.8,3.6,4.4,5.7,7,8.3,9.6,10.9,12.2,13.5,14.8,16.1,17.4,19.1,20.8,22.5,24.2},{0,10,20,30,40,50,60,62,64,66,68,70,72,74,76,78,80,85,90,95,100})</f>
        <v>74</v>
      </c>
      <c r="G695" s="6">
        <v>195</v>
      </c>
      <c r="H695" s="1">
        <f>LOOKUP(G695,{0,123,128,133,138,143,148,151,154,157,160,163,166,169,172,175,178,185,192,198,204},{0,10,20,30,40,50,60,62,64,66,68,70,72,74,76,78,80,85,90,95,100})</f>
        <v>90</v>
      </c>
      <c r="I695" s="6">
        <v>53</v>
      </c>
      <c r="J695" s="1">
        <f>LOOKUP(I695,{0,13,15,17,19,21,23,25,27,29,31,33,35,37,39,41,43,46,49,51,53},{0,10,20,30,40,50,60,62,64,66,68,70,72,74,76,78,80,85,90,95,100})</f>
        <v>100</v>
      </c>
      <c r="K695" s="45">
        <f>I695-53</f>
        <v>0</v>
      </c>
      <c r="L695" s="40">
        <f>LOOKUP(K695,{0,2,4,6,7,8,9,10,11,12,13},{0,1,2,3,4,5,6,7,8,9,10})</f>
        <v>0</v>
      </c>
      <c r="M695" s="21">
        <f t="shared" si="295"/>
        <v>100</v>
      </c>
      <c r="N695" s="6">
        <v>7.6</v>
      </c>
      <c r="O695" s="43">
        <f t="shared" si="296"/>
        <v>5.4</v>
      </c>
      <c r="P695" s="1">
        <f>LOOKUP(O695,{0,1.4,1.6,1.8,2,2.2,2.4,2.6,2.8,3,3.2,3.4,3.6,3.8,4,4.2,4.4,4.7,5,5.1,5.2},{0,10,20,30,40,50,60,62,64,66,68,70,72,74,76,78,80,85,90,95,100})</f>
        <v>100</v>
      </c>
      <c r="Q695" s="6">
        <v>3.22</v>
      </c>
      <c r="R695" s="6">
        <f t="shared" si="297"/>
        <v>6.78</v>
      </c>
      <c r="S695" s="1">
        <f>LOOKUP(R695,{0,4.7,4.8,4.9,5,5.5,5.6,5.65,5.7,5.75,5.8,5.85,5.9,5.95,6,6.45,6.5,6.57,6.64,6.7,6.76},{0,10,20,30,40,50,60,62,64,66,68,70,72,74,76,78,80,85,90,95,100})</f>
        <v>100</v>
      </c>
      <c r="T695" s="48">
        <f>3.24-Q695</f>
        <v>0.02</v>
      </c>
      <c r="U695" s="40">
        <f>LOOKUP(T695,{0,0.05,0.1,0.15,0.2,0.25,0.3,0.35,0.4,0.45,0.5},{0,1,2,3,4,5,6,7,8,9,10})</f>
        <v>0</v>
      </c>
      <c r="V695" s="21">
        <f t="shared" si="298"/>
        <v>100</v>
      </c>
      <c r="X695" s="21">
        <f t="shared" si="299"/>
        <v>66.4</v>
      </c>
      <c r="Y695" s="37">
        <f t="shared" si="300"/>
        <v>94.8571428571429</v>
      </c>
    </row>
    <row r="696" s="3" customFormat="1" ht="15.6" hidden="1" outlineLevel="2" spans="1:25">
      <c r="A696" s="6">
        <v>115</v>
      </c>
      <c r="B696" s="6">
        <v>43</v>
      </c>
      <c r="C696" s="29" t="s">
        <v>772</v>
      </c>
      <c r="D696" s="29" t="s">
        <v>46</v>
      </c>
      <c r="E696" s="6">
        <v>20</v>
      </c>
      <c r="F696" s="1">
        <f>LOOKUP(E696,{0,0.4,1.2,2,2.8,3.6,4.4,5.7,7,8.3,9.6,10.9,12.2,13.5,14.8,16.1,17.4,19.1,20.8,22.5,24.2},{0,10,20,30,40,50,60,62,64,66,68,70,72,74,76,78,80,85,90,95,100})</f>
        <v>85</v>
      </c>
      <c r="G696" s="6">
        <v>174</v>
      </c>
      <c r="H696" s="1">
        <f>LOOKUP(G696,{0,123,128,133,138,143,148,151,154,157,160,163,166,169,172,175,178,185,192,198,204},{0,10,20,30,40,50,60,62,64,66,68,70,72,74,76,78,80,85,90,95,100})</f>
        <v>76</v>
      </c>
      <c r="I696" s="6">
        <v>46</v>
      </c>
      <c r="J696" s="1">
        <f>LOOKUP(I696,{0,13,15,17,19,21,23,25,27,29,31,33,35,37,39,41,43,46,49,51,53},{0,10,20,30,40,50,60,62,64,66,68,70,72,74,76,78,80,85,90,95,100})</f>
        <v>85</v>
      </c>
      <c r="K696" s="45"/>
      <c r="L696" s="45"/>
      <c r="M696" s="21">
        <f t="shared" si="295"/>
        <v>85</v>
      </c>
      <c r="N696" s="6">
        <v>8.4</v>
      </c>
      <c r="O696" s="43">
        <f t="shared" si="296"/>
        <v>4.6</v>
      </c>
      <c r="P696" s="1">
        <f>LOOKUP(O696,{0,1.4,1.6,1.8,2,2.2,2.4,2.6,2.8,3,3.2,3.4,3.6,3.8,4,4.2,4.4,4.7,5,5.1,5.2},{0,10,20,30,40,50,60,62,64,66,68,70,72,74,76,78,80,85,90,95,100})</f>
        <v>80</v>
      </c>
      <c r="Q696" s="6">
        <v>3.43</v>
      </c>
      <c r="R696" s="6">
        <f t="shared" si="297"/>
        <v>6.57</v>
      </c>
      <c r="S696" s="1">
        <f>LOOKUP(R696,{0,4.7,4.8,4.9,5,5.5,5.6,5.65,5.7,5.75,5.8,5.85,5.9,5.95,6,6.45,6.5,6.57,6.64,6.7,6.76},{0,10,20,30,40,50,60,62,64,66,68,70,72,74,76,78,80,85,90,95,100})</f>
        <v>85</v>
      </c>
      <c r="T696" s="45"/>
      <c r="U696" s="45"/>
      <c r="V696" s="21">
        <f t="shared" si="298"/>
        <v>85</v>
      </c>
      <c r="W696" s="6"/>
      <c r="X696" s="21">
        <f t="shared" si="299"/>
        <v>57.6</v>
      </c>
      <c r="Y696" s="37">
        <f t="shared" si="300"/>
        <v>82.2857142857143</v>
      </c>
    </row>
    <row r="697" ht="15.6" hidden="1" outlineLevel="2" spans="1:25">
      <c r="A697" s="6">
        <v>115</v>
      </c>
      <c r="B697" s="6">
        <v>44</v>
      </c>
      <c r="C697" s="29" t="s">
        <v>773</v>
      </c>
      <c r="D697" s="29" t="s">
        <v>46</v>
      </c>
      <c r="E697" s="6">
        <v>15</v>
      </c>
      <c r="F697" s="1">
        <f>LOOKUP(E697,{0,0.4,1.2,2,2.8,3.6,4.4,5.7,7,8.3,9.6,10.9,12.2,13.5,14.8,16.1,17.4,19.1,20.8,22.5,24.2},{0,10,20,30,40,50,60,62,64,66,68,70,72,74,76,78,80,85,90,95,100})</f>
        <v>76</v>
      </c>
      <c r="G697" s="6">
        <v>185</v>
      </c>
      <c r="H697" s="1">
        <f>LOOKUP(G697,{0,123,128,133,138,143,148,151,154,157,160,163,166,169,172,175,178,185,192,198,204},{0,10,20,30,40,50,60,62,64,66,68,70,72,74,76,78,80,85,90,95,100})</f>
        <v>85</v>
      </c>
      <c r="I697" s="6">
        <v>51</v>
      </c>
      <c r="J697" s="1">
        <f>LOOKUP(I697,{0,13,15,17,19,21,23,25,27,29,31,33,35,37,39,41,43,46,49,51,53},{0,10,20,30,40,50,60,62,64,66,68,70,72,74,76,78,80,85,90,95,100})</f>
        <v>95</v>
      </c>
      <c r="K697" s="45"/>
      <c r="L697" s="45"/>
      <c r="M697" s="21">
        <f t="shared" si="295"/>
        <v>95</v>
      </c>
      <c r="N697" s="6">
        <v>8.5</v>
      </c>
      <c r="O697" s="43">
        <f t="shared" si="296"/>
        <v>4.5</v>
      </c>
      <c r="P697" s="1">
        <f>LOOKUP(O697,{0,1.4,1.6,1.8,2,2.2,2.4,2.6,2.8,3,3.2,3.4,3.6,3.8,4,4.2,4.4,4.7,5,5.1,5.2},{0,10,20,30,40,50,60,62,64,66,68,70,72,74,76,78,80,85,90,95,100})</f>
        <v>80</v>
      </c>
      <c r="Q697" s="6">
        <v>3.39</v>
      </c>
      <c r="R697" s="6">
        <f t="shared" si="297"/>
        <v>6.61</v>
      </c>
      <c r="S697" s="1">
        <f>LOOKUP(R697,{0,4.7,4.8,4.9,5,5.5,5.6,5.65,5.7,5.75,5.8,5.85,5.9,5.95,6,6.45,6.5,6.57,6.64,6.7,6.76},{0,10,20,30,40,50,60,62,64,66,68,70,72,74,76,78,80,85,90,95,100})</f>
        <v>85</v>
      </c>
      <c r="T697" s="45"/>
      <c r="U697" s="45"/>
      <c r="V697" s="21">
        <f t="shared" si="298"/>
        <v>85</v>
      </c>
      <c r="X697" s="21">
        <f t="shared" si="299"/>
        <v>58.6</v>
      </c>
      <c r="Y697" s="37">
        <f t="shared" si="300"/>
        <v>83.7142857142857</v>
      </c>
    </row>
    <row r="698" ht="15.6" hidden="1" outlineLevel="2" spans="1:25">
      <c r="A698" s="6">
        <v>115</v>
      </c>
      <c r="B698" s="6">
        <v>45</v>
      </c>
      <c r="C698" s="29" t="s">
        <v>774</v>
      </c>
      <c r="D698" s="29" t="s">
        <v>46</v>
      </c>
      <c r="E698" s="6">
        <v>19.5</v>
      </c>
      <c r="F698" s="1">
        <f>LOOKUP(E698,{0,0.4,1.2,2,2.8,3.6,4.4,5.7,7,8.3,9.6,10.9,12.2,13.5,14.8,16.1,17.4,19.1,20.8,22.5,24.2},{0,10,20,30,40,50,60,62,64,66,68,70,72,74,76,78,80,85,90,95,100})</f>
        <v>85</v>
      </c>
      <c r="G698" s="6">
        <v>178</v>
      </c>
      <c r="H698" s="1">
        <f>LOOKUP(G698,{0,123,128,133,138,143,148,151,154,157,160,163,166,169,172,175,178,185,192,198,204},{0,10,20,30,40,50,60,62,64,66,68,70,72,74,76,78,80,85,90,95,100})</f>
        <v>80</v>
      </c>
      <c r="I698" s="6">
        <v>41</v>
      </c>
      <c r="J698" s="1">
        <f>LOOKUP(I698,{0,13,15,17,19,21,23,25,27,29,31,33,35,37,39,41,43,46,49,51,53},{0,10,20,30,40,50,60,62,64,66,68,70,72,74,76,78,80,85,90,95,100})</f>
        <v>78</v>
      </c>
      <c r="K698" s="45"/>
      <c r="L698" s="45"/>
      <c r="M698" s="21">
        <f t="shared" si="295"/>
        <v>78</v>
      </c>
      <c r="N698" s="6">
        <v>9</v>
      </c>
      <c r="O698" s="43">
        <f t="shared" si="296"/>
        <v>4</v>
      </c>
      <c r="P698" s="1">
        <f>LOOKUP(O698,{0,1.4,1.6,1.8,2,2.2,2.4,2.6,2.8,3,3.2,3.4,3.6,3.8,4,4.2,4.4,4.7,5,5.1,5.2},{0,10,20,30,40,50,60,62,64,66,68,70,72,74,76,78,80,85,90,95,100})</f>
        <v>76</v>
      </c>
      <c r="Q698" s="6">
        <v>3.49</v>
      </c>
      <c r="R698" s="6">
        <f t="shared" si="297"/>
        <v>6.51</v>
      </c>
      <c r="S698" s="1">
        <f>LOOKUP(R698,{0,4.7,4.8,4.9,5,5.5,5.6,5.65,5.7,5.75,5.8,5.85,5.9,5.95,6,6.45,6.5,6.57,6.64,6.7,6.76},{0,10,20,30,40,50,60,62,64,66,68,70,72,74,76,78,80,85,90,95,100})</f>
        <v>80</v>
      </c>
      <c r="T698" s="45"/>
      <c r="U698" s="45"/>
      <c r="V698" s="21">
        <f t="shared" si="298"/>
        <v>80</v>
      </c>
      <c r="X698" s="21">
        <f t="shared" si="299"/>
        <v>55.5</v>
      </c>
      <c r="Y698" s="37">
        <f t="shared" si="300"/>
        <v>79.2857142857143</v>
      </c>
    </row>
    <row r="699" ht="15.6" hidden="1" outlineLevel="2" spans="1:25">
      <c r="A699" s="6">
        <v>115</v>
      </c>
      <c r="B699" s="6">
        <v>46</v>
      </c>
      <c r="C699" s="29" t="s">
        <v>775</v>
      </c>
      <c r="D699" s="29" t="s">
        <v>46</v>
      </c>
      <c r="E699" s="6">
        <v>12</v>
      </c>
      <c r="F699" s="1">
        <f>LOOKUP(E699,{0,0.4,1.2,2,2.8,3.6,4.4,5.7,7,8.3,9.6,10.9,12.2,13.5,14.8,16.1,17.4,19.1,20.8,22.5,24.2},{0,10,20,30,40,50,60,62,64,66,68,70,72,74,76,78,80,85,90,95,100})</f>
        <v>70</v>
      </c>
      <c r="G699" s="6">
        <v>185</v>
      </c>
      <c r="H699" s="1">
        <f>LOOKUP(G699,{0,123,128,133,138,143,148,151,154,157,160,163,166,169,172,175,178,185,192,198,204},{0,10,20,30,40,50,60,62,64,66,68,70,72,74,76,78,80,85,90,95,100})</f>
        <v>85</v>
      </c>
      <c r="I699" s="6">
        <v>53</v>
      </c>
      <c r="J699" s="1">
        <f>LOOKUP(I699,{0,13,15,17,19,21,23,25,27,29,31,33,35,37,39,41,43,46,49,51,53},{0,10,20,30,40,50,60,62,64,66,68,70,72,74,76,78,80,85,90,95,100})</f>
        <v>100</v>
      </c>
      <c r="K699" s="45">
        <f t="shared" ref="K699:K702" si="301">I699-53</f>
        <v>0</v>
      </c>
      <c r="L699" s="40">
        <f>LOOKUP(K699,{0,2,4,6,7,8,9,10,11,12,13},{0,1,2,3,4,5,6,7,8,9,10})</f>
        <v>0</v>
      </c>
      <c r="M699" s="21">
        <f t="shared" si="295"/>
        <v>100</v>
      </c>
      <c r="N699" s="6">
        <v>8.1</v>
      </c>
      <c r="O699" s="43">
        <f t="shared" si="296"/>
        <v>4.9</v>
      </c>
      <c r="P699" s="1">
        <f>LOOKUP(O699,{0,1.4,1.6,1.8,2,2.2,2.4,2.6,2.8,3,3.2,3.4,3.6,3.8,4,4.2,4.4,4.7,5,5.1,5.2},{0,10,20,30,40,50,60,62,64,66,68,70,72,74,76,78,80,85,90,95,100})</f>
        <v>85</v>
      </c>
      <c r="Q699" s="6">
        <v>3.25</v>
      </c>
      <c r="R699" s="6">
        <f t="shared" si="297"/>
        <v>6.75</v>
      </c>
      <c r="S699" s="1">
        <f>LOOKUP(R699,{0,4.7,4.8,4.9,5,5.5,5.6,5.65,5.7,5.75,5.8,5.85,5.9,5.95,6,6.45,6.5,6.57,6.64,6.7,6.76},{0,10,20,30,40,50,60,62,64,66,68,70,72,74,76,78,80,85,90,95,100})</f>
        <v>95</v>
      </c>
      <c r="T699" s="45"/>
      <c r="U699" s="45"/>
      <c r="V699" s="21">
        <f t="shared" si="298"/>
        <v>95</v>
      </c>
      <c r="X699" s="21">
        <f t="shared" si="299"/>
        <v>61.5</v>
      </c>
      <c r="Y699" s="37">
        <f t="shared" si="300"/>
        <v>87.8571428571429</v>
      </c>
    </row>
    <row r="700" ht="15.6" hidden="1" outlineLevel="2" spans="1:25">
      <c r="A700" s="6">
        <v>115</v>
      </c>
      <c r="B700" s="6">
        <v>47</v>
      </c>
      <c r="C700" s="29" t="s">
        <v>776</v>
      </c>
      <c r="D700" s="29" t="s">
        <v>46</v>
      </c>
      <c r="E700" s="6">
        <v>18</v>
      </c>
      <c r="F700" s="1">
        <f>LOOKUP(E700,{0,0.4,1.2,2,2.8,3.6,4.4,5.7,7,8.3,9.6,10.9,12.2,13.5,14.8,16.1,17.4,19.1,20.8,22.5,24.2},{0,10,20,30,40,50,60,62,64,66,68,70,72,74,76,78,80,85,90,95,100})</f>
        <v>80</v>
      </c>
      <c r="G700" s="6">
        <v>180</v>
      </c>
      <c r="H700" s="1">
        <f>LOOKUP(G700,{0,123,128,133,138,143,148,151,154,157,160,163,166,169,172,175,178,185,192,198,204},{0,10,20,30,40,50,60,62,64,66,68,70,72,74,76,78,80,85,90,95,100})</f>
        <v>80</v>
      </c>
      <c r="I700" s="6">
        <v>49</v>
      </c>
      <c r="J700" s="1">
        <f>LOOKUP(I700,{0,13,15,17,19,21,23,25,27,29,31,33,35,37,39,41,43,46,49,51,53},{0,10,20,30,40,50,60,62,64,66,68,70,72,74,76,78,80,85,90,95,100})</f>
        <v>90</v>
      </c>
      <c r="K700" s="45"/>
      <c r="L700" s="45"/>
      <c r="M700" s="21">
        <f t="shared" si="295"/>
        <v>90</v>
      </c>
      <c r="N700" s="6">
        <v>8.7</v>
      </c>
      <c r="O700" s="43">
        <f t="shared" si="296"/>
        <v>4.3</v>
      </c>
      <c r="P700" s="1">
        <f>LOOKUP(O700,{0,1.4,1.6,1.8,2,2.2,2.4,2.6,2.8,3,3.2,3.4,3.6,3.8,4,4.2,4.4,4.7,5,5.1,5.2},{0,10,20,30,40,50,60,62,64,66,68,70,72,74,76,78,80,85,90,95,100})</f>
        <v>78</v>
      </c>
      <c r="Q700" s="6">
        <v>3.27</v>
      </c>
      <c r="R700" s="6">
        <f t="shared" si="297"/>
        <v>6.73</v>
      </c>
      <c r="S700" s="1">
        <f>LOOKUP(R700,{0,4.7,4.8,4.9,5,5.5,5.6,5.65,5.7,5.75,5.8,5.85,5.9,5.95,6,6.45,6.5,6.57,6.64,6.7,6.76},{0,10,20,30,40,50,60,62,64,66,68,70,72,74,76,78,80,85,90,95,100})</f>
        <v>95</v>
      </c>
      <c r="T700" s="45"/>
      <c r="U700" s="45"/>
      <c r="V700" s="21">
        <f t="shared" si="298"/>
        <v>95</v>
      </c>
      <c r="X700" s="21">
        <f t="shared" si="299"/>
        <v>59.6</v>
      </c>
      <c r="Y700" s="37">
        <f t="shared" si="300"/>
        <v>85.1428571428572</v>
      </c>
    </row>
    <row r="701" ht="15.6" hidden="1" outlineLevel="2" spans="1:25">
      <c r="A701" s="6">
        <v>115</v>
      </c>
      <c r="B701" s="6">
        <v>48</v>
      </c>
      <c r="C701" s="29" t="s">
        <v>777</v>
      </c>
      <c r="D701" s="29" t="s">
        <v>46</v>
      </c>
      <c r="E701" s="6">
        <v>19</v>
      </c>
      <c r="F701" s="1">
        <f>LOOKUP(E701,{0,0.4,1.2,2,2.8,3.6,4.4,5.7,7,8.3,9.6,10.9,12.2,13.5,14.8,16.1,17.4,19.1,20.8,22.5,24.2},{0,10,20,30,40,50,60,62,64,66,68,70,72,74,76,78,80,85,90,95,100})</f>
        <v>80</v>
      </c>
      <c r="G701" s="6">
        <v>180</v>
      </c>
      <c r="H701" s="1">
        <f>LOOKUP(G701,{0,123,128,133,138,143,148,151,154,157,160,163,166,169,172,175,178,185,192,198,204},{0,10,20,30,40,50,60,62,64,66,68,70,72,74,76,78,80,85,90,95,100})</f>
        <v>80</v>
      </c>
      <c r="I701" s="6">
        <v>53</v>
      </c>
      <c r="J701" s="1">
        <f>LOOKUP(I701,{0,13,15,17,19,21,23,25,27,29,31,33,35,37,39,41,43,46,49,51,53},{0,10,20,30,40,50,60,62,64,66,68,70,72,74,76,78,80,85,90,95,100})</f>
        <v>100</v>
      </c>
      <c r="K701" s="45">
        <f t="shared" si="301"/>
        <v>0</v>
      </c>
      <c r="L701" s="40">
        <f>LOOKUP(K701,{0,2,4,6,7,8,9,10,11,12,13},{0,1,2,3,4,5,6,7,8,9,10})</f>
        <v>0</v>
      </c>
      <c r="M701" s="21">
        <f t="shared" si="295"/>
        <v>100</v>
      </c>
      <c r="N701" s="6">
        <v>9.2</v>
      </c>
      <c r="O701" s="43">
        <f t="shared" si="296"/>
        <v>3.8</v>
      </c>
      <c r="P701" s="1">
        <f>LOOKUP(O701,{0,1.4,1.6,1.8,2,2.2,2.4,2.6,2.8,3,3.2,3.4,3.6,3.8,4,4.2,4.4,4.7,5,5.1,5.2},{0,10,20,30,40,50,60,62,64,66,68,70,72,74,76,78,80,85,90,95,100})</f>
        <v>74</v>
      </c>
      <c r="Q701" s="6">
        <v>4.13</v>
      </c>
      <c r="R701" s="6">
        <f t="shared" si="297"/>
        <v>5.87</v>
      </c>
      <c r="S701" s="1">
        <f>LOOKUP(R701,{0,4.7,4.8,4.9,5,5.5,5.6,5.65,5.7,5.75,5.8,5.85,5.9,5.95,6,6.45,6.5,6.57,6.64,6.7,6.76},{0,10,20,30,40,50,60,62,64,66,68,70,72,74,76,78,80,85,90,95,100})</f>
        <v>70</v>
      </c>
      <c r="T701" s="45"/>
      <c r="U701" s="45"/>
      <c r="V701" s="21">
        <f t="shared" si="298"/>
        <v>70</v>
      </c>
      <c r="X701" s="21">
        <f t="shared" si="299"/>
        <v>54.8</v>
      </c>
      <c r="Y701" s="37">
        <f t="shared" si="300"/>
        <v>78.2857142857143</v>
      </c>
    </row>
    <row r="702" ht="15.6" hidden="1" outlineLevel="2" spans="1:25">
      <c r="A702" s="6">
        <v>115</v>
      </c>
      <c r="B702" s="6">
        <v>49</v>
      </c>
      <c r="C702" s="29" t="s">
        <v>778</v>
      </c>
      <c r="D702" s="29" t="s">
        <v>46</v>
      </c>
      <c r="E702" s="6">
        <v>24.5</v>
      </c>
      <c r="F702" s="1">
        <f>LOOKUP(E702,{0,0.4,1.2,2,2.8,3.6,4.4,5.7,7,8.3,9.6,10.9,12.2,13.5,14.8,16.1,17.4,19.1,20.8,22.5,24.2},{0,10,20,30,40,50,60,62,64,66,68,70,72,74,76,78,80,85,90,95,100})</f>
        <v>100</v>
      </c>
      <c r="G702" s="6">
        <v>190</v>
      </c>
      <c r="H702" s="1">
        <f>LOOKUP(G702,{0,123,128,133,138,143,148,151,154,157,160,163,166,169,172,175,178,185,192,198,204},{0,10,20,30,40,50,60,62,64,66,68,70,72,74,76,78,80,85,90,95,100})</f>
        <v>85</v>
      </c>
      <c r="I702" s="6">
        <v>53</v>
      </c>
      <c r="J702" s="1">
        <f>LOOKUP(I702,{0,13,15,17,19,21,23,25,27,29,31,33,35,37,39,41,43,46,49,51,53},{0,10,20,30,40,50,60,62,64,66,68,70,72,74,76,78,80,85,90,95,100})</f>
        <v>100</v>
      </c>
      <c r="K702" s="45">
        <f t="shared" si="301"/>
        <v>0</v>
      </c>
      <c r="L702" s="40">
        <f>LOOKUP(K702,{0,2,4,6,7,8,9,10,11,12,13},{0,1,2,3,4,5,6,7,8,9,10})</f>
        <v>0</v>
      </c>
      <c r="M702" s="21">
        <f t="shared" si="295"/>
        <v>100</v>
      </c>
      <c r="N702" s="6">
        <v>8.6</v>
      </c>
      <c r="O702" s="43">
        <f t="shared" si="296"/>
        <v>4.4</v>
      </c>
      <c r="P702" s="1">
        <f>LOOKUP(O702,{0,1.4,1.6,1.8,2,2.2,2.4,2.6,2.8,3,3.2,3.4,3.6,3.8,4,4.2,4.4,4.7,5,5.1,5.2},{0,10,20,30,40,50,60,62,64,66,68,70,72,74,76,78,80,85,90,95,100})</f>
        <v>80</v>
      </c>
      <c r="Q702" s="6">
        <v>4.02</v>
      </c>
      <c r="R702" s="6">
        <f t="shared" si="297"/>
        <v>5.98</v>
      </c>
      <c r="S702" s="1">
        <f>LOOKUP(R702,{0,4.7,4.8,4.9,5,5.5,5.6,5.65,5.7,5.75,5.8,5.85,5.9,5.95,6,6.45,6.5,6.57,6.64,6.7,6.76},{0,10,20,30,40,50,60,62,64,66,68,70,72,74,76,78,80,85,90,95,100})</f>
        <v>74</v>
      </c>
      <c r="T702" s="45"/>
      <c r="U702" s="45"/>
      <c r="V702" s="21">
        <f t="shared" si="298"/>
        <v>74</v>
      </c>
      <c r="X702" s="21">
        <f t="shared" si="299"/>
        <v>59.3</v>
      </c>
      <c r="Y702" s="37">
        <f t="shared" si="300"/>
        <v>84.7142857142857</v>
      </c>
    </row>
    <row r="703" ht="15.6" outlineLevel="1" collapsed="1" spans="1:25">
      <c r="A703" s="42" t="s">
        <v>856</v>
      </c>
      <c r="C703" s="29"/>
      <c r="D703" s="29"/>
      <c r="F703" s="1">
        <f>SUBTOTAL(1,F656:F702)</f>
        <v>80.063829787234</v>
      </c>
      <c r="H703" s="1">
        <f>SUBTOTAL(1,H656:H702)</f>
        <v>78.7446808510638</v>
      </c>
      <c r="J703" s="1">
        <f>SUBTOTAL(1,J656:J702)</f>
        <v>76.6808510638298</v>
      </c>
      <c r="K703" s="45"/>
      <c r="L703" s="40"/>
      <c r="M703" s="21">
        <f>SUBTOTAL(1,M656:M702)</f>
        <v>77.3404255319149</v>
      </c>
      <c r="O703" s="43"/>
      <c r="P703" s="1">
        <f>SUBTOTAL(1,P656:P702)</f>
        <v>85.3829787234042</v>
      </c>
      <c r="S703" s="1">
        <f>SUBTOTAL(1,S656:S702)</f>
        <v>88.7234042553192</v>
      </c>
      <c r="T703" s="45"/>
      <c r="U703" s="45"/>
      <c r="V703" s="21">
        <f>SUBTOTAL(1,V656:V702)</f>
        <v>89.1914893617021</v>
      </c>
      <c r="X703" s="21">
        <f>SUBTOTAL(1,X656:X702)</f>
        <v>58.3702127659574</v>
      </c>
      <c r="Y703" s="37">
        <f>SUBTOTAL(1,Y656:Y702)</f>
        <v>84.5136778115502</v>
      </c>
    </row>
    <row r="704" ht="15.6" hidden="1" outlineLevel="2" spans="1:25">
      <c r="A704" s="6">
        <v>116</v>
      </c>
      <c r="B704" s="6">
        <v>1</v>
      </c>
      <c r="C704" s="39" t="s">
        <v>780</v>
      </c>
      <c r="D704" s="29" t="s">
        <v>11</v>
      </c>
      <c r="E704" s="6">
        <v>13.5</v>
      </c>
      <c r="F704" s="1">
        <f>LOOKUP(E704,{0,-4,-3,-2,-1,0,1,2.4,3.8,5.2,6.6,8,9.4,10.8,12.2,13.6,15,17.2,19.4,21.5,23.6},{0,10,20,30,40,50,60,62,64,66,68,70,72,74,76,78,80,85,90,95,100})</f>
        <v>76</v>
      </c>
      <c r="G704" s="6">
        <v>260</v>
      </c>
      <c r="H704" s="1">
        <f>LOOKUP(G704,{0,170,175,180,185,190,195,199,203,207,211,215,219,223,227,231,235,243,250,255,260},{0,10,20,30,40,50,60,62,64,66,68,70,72,74,76,78,80,85,90,95,100})</f>
        <v>100</v>
      </c>
      <c r="I704" s="6">
        <v>22</v>
      </c>
      <c r="J704" s="1">
        <f>LOOKUP(I704,{0,2,3,4,5,6,7,8,9,10,11,12,13,14,15,16},{0,10,20,30,40,50,60,64,68,72,76,80,85,90,95,100})</f>
        <v>100</v>
      </c>
      <c r="K704" s="7">
        <f>I704-16</f>
        <v>6</v>
      </c>
      <c r="L704" s="40">
        <f>LOOKUP(K704,{0,1,2,3,4,5,6,7,8,9,10},{0,1,2,3,4,5,6,7,8,9,10})</f>
        <v>6</v>
      </c>
      <c r="M704" s="21">
        <f t="shared" ref="M704:M709" si="302">J704+L704</f>
        <v>106</v>
      </c>
      <c r="O704" s="43"/>
      <c r="P704" s="1"/>
      <c r="Q704" s="6">
        <v>3.37</v>
      </c>
      <c r="R704" s="6">
        <f t="shared" ref="R704:R709" si="303">10-Q704</f>
        <v>6.63</v>
      </c>
      <c r="S704" s="1">
        <f>LOOKUP(R704,{0,3.75,3.95,4.55,4.75,4.95,5.55,5.6,5.65,5.7,5.75,5.8,5.85,5.9,5.95,6,6.45,6.53,6.6,6.65,6.7},{0,10,20,30,40,50,60,62,64,66,68,70,72,74,76,78,80,85,90,95,100})</f>
        <v>90</v>
      </c>
      <c r="T704" s="7"/>
      <c r="U704" s="7"/>
      <c r="V704" s="21">
        <f t="shared" ref="V704:V709" si="304">S704+U704</f>
        <v>90</v>
      </c>
      <c r="X704" s="21">
        <f t="shared" ref="X704:X714" si="305">F704*0.1+H704*0.1+J704*0.1+P704*0.2+S704*0.2</f>
        <v>45.6</v>
      </c>
      <c r="Y704" s="37">
        <f t="shared" ref="Y704:Y709" si="306">X704/0.7+L704+U704</f>
        <v>71.1428571428572</v>
      </c>
    </row>
    <row r="705" ht="15.6" hidden="1" outlineLevel="2" spans="1:25">
      <c r="A705" s="6">
        <v>116</v>
      </c>
      <c r="B705" s="6">
        <v>2</v>
      </c>
      <c r="C705" s="29" t="s">
        <v>781</v>
      </c>
      <c r="D705" s="29" t="s">
        <v>11</v>
      </c>
      <c r="E705" s="6">
        <v>11</v>
      </c>
      <c r="F705" s="1">
        <f>LOOKUP(E705,{0,-4,-3,-2,-1,0,1,2.4,3.8,5.2,6.6,8,9.4,10.8,12.2,13.6,15,17.2,19.4,21.5,23.6},{0,10,20,30,40,50,60,62,64,66,68,70,72,74,76,78,80,85,90,95,100})</f>
        <v>74</v>
      </c>
      <c r="G705" s="6">
        <v>258</v>
      </c>
      <c r="H705" s="1">
        <f>LOOKUP(G705,{0,170,175,180,185,190,195,199,203,207,211,215,219,223,227,231,235,243,250,255,260},{0,10,20,30,40,50,60,62,64,66,68,70,72,74,76,78,80,85,90,95,100})</f>
        <v>95</v>
      </c>
      <c r="I705" s="6">
        <v>7</v>
      </c>
      <c r="J705" s="1">
        <f>LOOKUP(I705,{0,2,3,4,5,6,7,8,9,10,11,12,13,14,15,16},{0,10,20,30,40,50,60,64,68,72,76,80,85,90,95,100})</f>
        <v>60</v>
      </c>
      <c r="K705" s="7"/>
      <c r="L705" s="7"/>
      <c r="M705" s="21">
        <f t="shared" si="302"/>
        <v>60</v>
      </c>
      <c r="N705" s="6">
        <v>7.2</v>
      </c>
      <c r="O705" s="43">
        <f t="shared" ref="O705:O709" si="307">13-N705</f>
        <v>5.8</v>
      </c>
      <c r="P705" s="1">
        <f>LOOKUP(O705,{0,2.5,2.7,2.9,3.1,3.3,3.5,3.7,3.9,4.1,4.3,4.5,4.7,4.9,5.1,5.3,5.5,5.6,5.7,5.8,5.9},{0,10,20,30,40,50,60,62,64,66,68,70,72,74,76,78,80,85,90,95,100})</f>
        <v>95</v>
      </c>
      <c r="Q705" s="6">
        <v>4.08</v>
      </c>
      <c r="R705" s="6">
        <f t="shared" si="303"/>
        <v>5.92</v>
      </c>
      <c r="S705" s="1">
        <f>LOOKUP(R705,{0,3.75,3.95,4.55,4.75,4.95,5.55,5.6,5.65,5.7,5.75,5.8,5.85,5.9,5.95,6,6.45,6.53,6.6,6.65,6.7},{0,10,20,30,40,50,60,62,64,66,68,70,72,74,76,78,80,85,90,95,100})</f>
        <v>74</v>
      </c>
      <c r="T705" s="7"/>
      <c r="U705" s="7"/>
      <c r="V705" s="21">
        <f t="shared" si="304"/>
        <v>74</v>
      </c>
      <c r="X705" s="21">
        <f t="shared" si="305"/>
        <v>56.7</v>
      </c>
      <c r="Y705" s="37">
        <f t="shared" si="306"/>
        <v>81</v>
      </c>
    </row>
    <row r="706" ht="15.6" hidden="1" outlineLevel="2" spans="1:25">
      <c r="A706" s="6">
        <v>116</v>
      </c>
      <c r="B706" s="6">
        <v>3</v>
      </c>
      <c r="C706" s="29" t="s">
        <v>782</v>
      </c>
      <c r="D706" s="29" t="s">
        <v>11</v>
      </c>
      <c r="E706" s="6">
        <v>11</v>
      </c>
      <c r="F706" s="1">
        <f>LOOKUP(E706,{0,-4,-3,-2,-1,0,1,2.4,3.8,5.2,6.6,8,9.4,10.8,12.2,13.6,15,17.2,19.4,21.5,23.6},{0,10,20,30,40,50,60,62,64,66,68,70,72,74,76,78,80,85,90,95,100})</f>
        <v>74</v>
      </c>
      <c r="G706" s="6">
        <v>237</v>
      </c>
      <c r="H706" s="1">
        <f>LOOKUP(G706,{0,170,175,180,185,190,195,199,203,207,211,215,219,223,227,231,235,243,250,255,260},{0,10,20,30,40,50,60,62,64,66,68,70,72,74,76,78,80,85,90,95,100})</f>
        <v>80</v>
      </c>
      <c r="I706" s="6">
        <v>10</v>
      </c>
      <c r="J706" s="1">
        <f>LOOKUP(I706,{0,2,3,4,5,6,7,8,9,10,11,12,13,14,15,16},{0,10,20,30,40,50,60,64,68,72,76,80,85,90,95,100})</f>
        <v>72</v>
      </c>
      <c r="K706" s="7"/>
      <c r="L706" s="7"/>
      <c r="M706" s="21">
        <f t="shared" si="302"/>
        <v>72</v>
      </c>
      <c r="N706" s="6">
        <v>7.2</v>
      </c>
      <c r="O706" s="43">
        <f t="shared" si="307"/>
        <v>5.8</v>
      </c>
      <c r="P706" s="1">
        <f>LOOKUP(O706,{0,2.5,2.7,2.9,3.1,3.3,3.5,3.7,3.9,4.1,4.3,4.5,4.7,4.9,5.1,5.3,5.5,5.6,5.7,5.8,5.9},{0,10,20,30,40,50,60,62,64,66,68,70,72,74,76,78,80,85,90,95,100})</f>
        <v>95</v>
      </c>
      <c r="Q706" s="6">
        <v>3.26</v>
      </c>
      <c r="R706" s="6">
        <f t="shared" si="303"/>
        <v>6.74</v>
      </c>
      <c r="S706" s="1">
        <f>LOOKUP(R706,{0,3.75,3.95,4.55,4.75,4.95,5.55,5.6,5.65,5.7,5.75,5.8,5.85,5.9,5.95,6,6.45,6.53,6.6,6.65,6.7},{0,10,20,30,40,50,60,62,64,66,68,70,72,74,76,78,80,85,90,95,100})</f>
        <v>100</v>
      </c>
      <c r="T706" s="7">
        <f>3.3-Q706</f>
        <v>0.04</v>
      </c>
      <c r="U706" s="40">
        <f>LOOKUP(T706,{0,0.04,0.08,0.12,0.16,0.2,0.23,0.26,0.29,0.32,0.35},{0,1,2,3,4,5,6,7,8,9,10})</f>
        <v>1</v>
      </c>
      <c r="V706" s="21">
        <f t="shared" si="304"/>
        <v>101</v>
      </c>
      <c r="X706" s="21">
        <f t="shared" si="305"/>
        <v>61.6</v>
      </c>
      <c r="Y706" s="37">
        <f t="shared" si="306"/>
        <v>89</v>
      </c>
    </row>
    <row r="707" ht="15.6" hidden="1" outlineLevel="2" spans="1:25">
      <c r="A707" s="6">
        <v>116</v>
      </c>
      <c r="B707" s="6">
        <v>4</v>
      </c>
      <c r="C707" s="29" t="s">
        <v>783</v>
      </c>
      <c r="D707" s="29" t="s">
        <v>11</v>
      </c>
      <c r="E707" s="6">
        <v>7.5</v>
      </c>
      <c r="F707" s="1">
        <f>LOOKUP(E707,{0,-4,-3,-2,-1,0,1,2.4,3.8,5.2,6.6,8,9.4,10.8,12.2,13.6,15,17.2,19.4,21.5,23.6},{0,10,20,30,40,50,60,62,64,66,68,70,72,74,76,78,80,85,90,95,100})</f>
        <v>68</v>
      </c>
      <c r="G707" s="6">
        <v>210</v>
      </c>
      <c r="H707" s="1">
        <f>LOOKUP(G707,{0,170,175,180,185,190,195,199,203,207,211,215,219,223,227,231,235,243,250,255,260},{0,10,20,30,40,50,60,62,64,66,68,70,72,74,76,78,80,85,90,95,100})</f>
        <v>66</v>
      </c>
      <c r="I707" s="6">
        <v>4</v>
      </c>
      <c r="J707" s="1">
        <f>LOOKUP(I707,{0,2,3,4,5,6,7,8,9,10,11,12,13,14,15,16},{0,10,20,30,40,50,60,64,68,72,76,80,85,90,95,100})</f>
        <v>30</v>
      </c>
      <c r="K707" s="7"/>
      <c r="L707" s="7"/>
      <c r="M707" s="21">
        <f t="shared" si="302"/>
        <v>30</v>
      </c>
      <c r="N707" s="6">
        <v>7.6</v>
      </c>
      <c r="O707" s="43">
        <f t="shared" si="307"/>
        <v>5.4</v>
      </c>
      <c r="P707" s="1">
        <f>LOOKUP(O707,{0,2.5,2.7,2.9,3.1,3.3,3.5,3.7,3.9,4.1,4.3,4.5,4.7,4.9,5.1,5.3,5.5,5.6,5.7,5.8,5.9},{0,10,20,30,40,50,60,62,64,66,68,70,72,74,76,78,80,85,90,95,100})</f>
        <v>78</v>
      </c>
      <c r="Q707" s="6">
        <v>3.42</v>
      </c>
      <c r="R707" s="6">
        <f t="shared" si="303"/>
        <v>6.58</v>
      </c>
      <c r="S707" s="1">
        <f>LOOKUP(R707,{0,3.75,3.95,4.55,4.75,4.95,5.55,5.6,5.65,5.7,5.75,5.8,5.85,5.9,5.95,6,6.45,6.53,6.6,6.65,6.7},{0,10,20,30,40,50,60,62,64,66,68,70,72,74,76,78,80,85,90,95,100})</f>
        <v>85</v>
      </c>
      <c r="T707" s="7"/>
      <c r="U707" s="7"/>
      <c r="V707" s="21">
        <f t="shared" si="304"/>
        <v>85</v>
      </c>
      <c r="X707" s="21">
        <f t="shared" si="305"/>
        <v>49</v>
      </c>
      <c r="Y707" s="37">
        <f t="shared" si="306"/>
        <v>70</v>
      </c>
    </row>
    <row r="708" ht="15.6" hidden="1" outlineLevel="2" spans="1:25">
      <c r="A708" s="6">
        <v>116</v>
      </c>
      <c r="B708" s="6">
        <v>5</v>
      </c>
      <c r="C708" s="29" t="s">
        <v>784</v>
      </c>
      <c r="D708" s="29" t="s">
        <v>11</v>
      </c>
      <c r="E708" s="6">
        <v>11.5</v>
      </c>
      <c r="F708" s="1">
        <f>LOOKUP(E708,{0,-4,-3,-2,-1,0,1,2.4,3.8,5.2,6.6,8,9.4,10.8,12.2,13.6,15,17.2,19.4,21.5,23.6},{0,10,20,30,40,50,60,62,64,66,68,70,72,74,76,78,80,85,90,95,100})</f>
        <v>74</v>
      </c>
      <c r="G708" s="6">
        <v>202</v>
      </c>
      <c r="H708" s="1">
        <f>LOOKUP(G708,{0,170,175,180,185,190,195,199,203,207,211,215,219,223,227,231,235,243,250,255,260},{0,10,20,30,40,50,60,62,64,66,68,70,72,74,76,78,80,85,90,95,100})</f>
        <v>62</v>
      </c>
      <c r="I708" s="6">
        <v>1</v>
      </c>
      <c r="J708" s="1">
        <f>LOOKUP(I708,{0,2,3,4,5,6,7,8,9,10,11,12,13,14,15,16},{0,10,20,30,40,50,60,64,68,72,76,80,85,90,95,100})</f>
        <v>0</v>
      </c>
      <c r="K708" s="7"/>
      <c r="L708" s="7"/>
      <c r="M708" s="21">
        <f t="shared" si="302"/>
        <v>0</v>
      </c>
      <c r="N708" s="6">
        <v>7.8</v>
      </c>
      <c r="O708" s="43">
        <f t="shared" si="307"/>
        <v>5.2</v>
      </c>
      <c r="P708" s="1">
        <f>LOOKUP(O708,{0,2.5,2.7,2.9,3.1,3.3,3.5,3.7,3.9,4.1,4.3,4.5,4.7,4.9,5.1,5.3,5.5,5.6,5.7,5.8,5.9},{0,10,20,30,40,50,60,62,64,66,68,70,72,74,76,78,80,85,90,95,100})</f>
        <v>76</v>
      </c>
      <c r="Q708" s="6">
        <v>3.58</v>
      </c>
      <c r="R708" s="6">
        <f t="shared" si="303"/>
        <v>6.42</v>
      </c>
      <c r="S708" s="1">
        <f>LOOKUP(R708,{0,3.75,3.95,4.55,4.75,4.95,5.55,5.6,5.65,5.7,5.75,5.8,5.85,5.9,5.95,6,6.45,6.53,6.6,6.65,6.7},{0,10,20,30,40,50,60,62,64,66,68,70,72,74,76,78,80,85,90,95,100})</f>
        <v>78</v>
      </c>
      <c r="T708" s="7"/>
      <c r="U708" s="7"/>
      <c r="V708" s="21">
        <f t="shared" si="304"/>
        <v>78</v>
      </c>
      <c r="X708" s="21">
        <f t="shared" si="305"/>
        <v>44.4</v>
      </c>
      <c r="Y708" s="37">
        <f t="shared" si="306"/>
        <v>63.4285714285714</v>
      </c>
    </row>
    <row r="709" ht="15.6" hidden="1" outlineLevel="2" spans="1:25">
      <c r="A709" s="6">
        <v>116</v>
      </c>
      <c r="B709" s="6">
        <v>6</v>
      </c>
      <c r="C709" s="29" t="s">
        <v>785</v>
      </c>
      <c r="D709" s="29" t="s">
        <v>11</v>
      </c>
      <c r="E709" s="6">
        <v>1.5</v>
      </c>
      <c r="F709" s="1">
        <f>LOOKUP(E709,{0,-4,-3,-2,-1,0,1,2.4,3.8,5.2,6.6,8,9.4,10.8,12.2,13.6,15,17.2,19.4,21.5,23.6},{0,10,20,30,40,50,60,62,64,66,68,70,72,74,76,78,80,85,90,95,100})</f>
        <v>60</v>
      </c>
      <c r="G709" s="6">
        <v>155</v>
      </c>
      <c r="H709" s="1">
        <f>LOOKUP(G709,{0,170,175,180,185,190,195,199,203,207,211,215,219,223,227,231,235,243,250,255,260},{0,10,20,30,40,50,60,62,64,66,68,70,72,74,76,78,80,85,90,95,100})</f>
        <v>0</v>
      </c>
      <c r="I709" s="6">
        <v>0</v>
      </c>
      <c r="J709" s="1">
        <f>LOOKUP(I709,{0,2,3,4,5,6,7,8,9,10,11,12,13,14,15,16},{0,10,20,30,40,50,60,64,68,72,76,80,85,90,95,100})</f>
        <v>0</v>
      </c>
      <c r="K709" s="7"/>
      <c r="L709" s="7"/>
      <c r="M709" s="21">
        <f t="shared" si="302"/>
        <v>0</v>
      </c>
      <c r="N709" s="6">
        <v>10.6</v>
      </c>
      <c r="O709" s="43">
        <f t="shared" si="307"/>
        <v>2.4</v>
      </c>
      <c r="P709" s="1">
        <f>LOOKUP(O709,{0,2.5,2.7,2.9,3.1,3.3,3.5,3.7,3.9,4.1,4.3,4.5,4.7,4.9,5.1,5.3,5.5,5.6,5.7,5.8,5.9},{0,10,20,30,40,50,60,62,64,66,68,70,72,74,76,78,80,85,90,95,100})</f>
        <v>0</v>
      </c>
      <c r="Q709" s="6">
        <v>6.09</v>
      </c>
      <c r="R709" s="6">
        <f t="shared" si="303"/>
        <v>3.91</v>
      </c>
      <c r="S709" s="1">
        <f>LOOKUP(R709,{0,3.75,3.95,4.55,4.75,4.95,5.55,5.6,5.65,5.7,5.75,5.8,5.85,5.9,5.95,6,6.45,6.53,6.6,6.65,6.7},{0,10,20,30,40,50,60,62,64,66,68,70,72,74,76,78,80,85,90,95,100})</f>
        <v>10</v>
      </c>
      <c r="T709" s="7"/>
      <c r="U709" s="7"/>
      <c r="V709" s="21">
        <f t="shared" si="304"/>
        <v>10</v>
      </c>
      <c r="X709" s="21">
        <f t="shared" si="305"/>
        <v>8</v>
      </c>
      <c r="Y709" s="37">
        <f t="shared" si="306"/>
        <v>11.4285714285714</v>
      </c>
    </row>
    <row r="710" s="3" customFormat="1" ht="15.6" hidden="1" outlineLevel="2" spans="1:25">
      <c r="A710" s="6">
        <v>116</v>
      </c>
      <c r="B710" s="6">
        <v>7</v>
      </c>
      <c r="C710" s="29" t="s">
        <v>786</v>
      </c>
      <c r="D710" s="29" t="s">
        <v>11</v>
      </c>
      <c r="E710" s="6"/>
      <c r="F710" s="1"/>
      <c r="G710" s="6"/>
      <c r="H710" s="1"/>
      <c r="I710" s="6"/>
      <c r="J710" s="1"/>
      <c r="K710" s="7"/>
      <c r="L710" s="7"/>
      <c r="M710" s="21"/>
      <c r="N710" s="6"/>
      <c r="O710" s="43"/>
      <c r="P710" s="1"/>
      <c r="Q710" s="6"/>
      <c r="R710" s="6"/>
      <c r="S710" s="1"/>
      <c r="T710" s="7"/>
      <c r="U710" s="40"/>
      <c r="V710" s="21"/>
      <c r="W710" s="6" t="s">
        <v>513</v>
      </c>
      <c r="X710" s="21">
        <f t="shared" si="305"/>
        <v>0</v>
      </c>
      <c r="Y710" s="37">
        <v>50</v>
      </c>
    </row>
    <row r="711" ht="15.6" hidden="1" outlineLevel="2" spans="1:25">
      <c r="A711" s="6">
        <v>116</v>
      </c>
      <c r="B711" s="6">
        <v>8</v>
      </c>
      <c r="C711" s="29" t="s">
        <v>787</v>
      </c>
      <c r="D711" s="29" t="s">
        <v>11</v>
      </c>
      <c r="E711" s="6">
        <v>14.5</v>
      </c>
      <c r="F711" s="1">
        <f>LOOKUP(E711,{0,-4,-3,-2,-1,0,1,2.4,3.8,5.2,6.6,8,9.4,10.8,12.2,13.6,15,17.2,19.4,21.5,23.6},{0,10,20,30,40,50,60,62,64,66,68,70,72,74,76,78,80,85,90,95,100})</f>
        <v>78</v>
      </c>
      <c r="G711" s="6">
        <v>213</v>
      </c>
      <c r="H711" s="1">
        <f>LOOKUP(G711,{0,170,175,180,185,190,195,199,203,207,211,215,219,223,227,231,235,243,250,255,260},{0,10,20,30,40,50,60,62,64,66,68,70,72,74,76,78,80,85,90,95,100})</f>
        <v>68</v>
      </c>
      <c r="I711" s="6">
        <v>6</v>
      </c>
      <c r="J711" s="1">
        <f>LOOKUP(I711,{0,2,3,4,5,6,7,8,9,10,11,12,13,14,15,16},{0,10,20,30,40,50,60,64,68,72,76,80,85,90,95,100})</f>
        <v>50</v>
      </c>
      <c r="K711" s="7"/>
      <c r="L711" s="7"/>
      <c r="M711" s="21">
        <f t="shared" ref="M711:M741" si="308">J711+L711</f>
        <v>50</v>
      </c>
      <c r="N711" s="6">
        <v>7.6</v>
      </c>
      <c r="O711" s="43">
        <f t="shared" ref="O711:O720" si="309">13-N711</f>
        <v>5.4</v>
      </c>
      <c r="P711" s="1">
        <f>LOOKUP(O711,{0,2.5,2.7,2.9,3.1,3.3,3.5,3.7,3.9,4.1,4.3,4.5,4.7,4.9,5.1,5.3,5.5,5.6,5.7,5.8,5.9},{0,10,20,30,40,50,60,62,64,66,68,70,72,74,76,78,80,85,90,95,100})</f>
        <v>78</v>
      </c>
      <c r="Q711" s="6">
        <v>3.49</v>
      </c>
      <c r="R711" s="6">
        <f t="shared" ref="R711:R744" si="310">10-Q711</f>
        <v>6.51</v>
      </c>
      <c r="S711" s="1">
        <f>LOOKUP(R711,{0,3.75,3.95,4.55,4.75,4.95,5.55,5.6,5.65,5.7,5.75,5.8,5.85,5.9,5.95,6,6.45,6.53,6.6,6.65,6.7},{0,10,20,30,40,50,60,62,64,66,68,70,72,74,76,78,80,85,90,95,100})</f>
        <v>80</v>
      </c>
      <c r="T711" s="7"/>
      <c r="U711" s="7"/>
      <c r="V711" s="21">
        <f t="shared" ref="V711:V744" si="311">S711+U711</f>
        <v>80</v>
      </c>
      <c r="X711" s="21">
        <f t="shared" si="305"/>
        <v>51.2</v>
      </c>
      <c r="Y711" s="37">
        <f t="shared" ref="Y711:Y744" si="312">X711/0.7+L711+U711</f>
        <v>73.1428571428572</v>
      </c>
    </row>
    <row r="712" ht="15.6" hidden="1" outlineLevel="2" spans="1:25">
      <c r="A712" s="6">
        <v>116</v>
      </c>
      <c r="B712" s="6">
        <v>9</v>
      </c>
      <c r="C712" s="29" t="s">
        <v>788</v>
      </c>
      <c r="D712" s="29" t="s">
        <v>11</v>
      </c>
      <c r="E712" s="6">
        <v>10.5</v>
      </c>
      <c r="F712" s="1">
        <f>LOOKUP(E712,{0,-4,-3,-2,-1,0,1,2.4,3.8,5.2,6.6,8,9.4,10.8,12.2,13.6,15,17.2,19.4,21.5,23.6},{0,10,20,30,40,50,60,62,64,66,68,70,72,74,76,78,80,85,90,95,100})</f>
        <v>72</v>
      </c>
      <c r="G712" s="6">
        <v>242</v>
      </c>
      <c r="H712" s="1">
        <f>LOOKUP(G712,{0,170,175,180,185,190,195,199,203,207,211,215,219,223,227,231,235,243,250,255,260},{0,10,20,30,40,50,60,62,64,66,68,70,72,74,76,78,80,85,90,95,100})</f>
        <v>80</v>
      </c>
      <c r="I712" s="6">
        <v>5</v>
      </c>
      <c r="J712" s="1">
        <f>LOOKUP(I712,{0,2,3,4,5,6,7,8,9,10,11,12,13,14,15,16},{0,10,20,30,40,50,60,64,68,72,76,80,85,90,95,100})</f>
        <v>40</v>
      </c>
      <c r="K712" s="7"/>
      <c r="L712" s="7"/>
      <c r="M712" s="21">
        <f t="shared" si="308"/>
        <v>40</v>
      </c>
      <c r="N712" s="6">
        <v>7.1</v>
      </c>
      <c r="O712" s="43">
        <f t="shared" si="309"/>
        <v>5.9</v>
      </c>
      <c r="P712" s="1">
        <f>LOOKUP(O712,{0,2.5,2.7,2.9,3.1,3.3,3.5,3.7,3.9,4.1,4.3,4.5,4.7,4.9,5.1,5.3,5.5,5.6,5.7,5.8,5.9},{0,10,20,30,40,50,60,62,64,66,68,70,72,74,76,78,80,85,90,95,100})</f>
        <v>100</v>
      </c>
      <c r="Q712" s="6">
        <v>3.33</v>
      </c>
      <c r="R712" s="6">
        <f t="shared" si="310"/>
        <v>6.67</v>
      </c>
      <c r="S712" s="1">
        <f>LOOKUP(R712,{0,3.75,3.95,4.55,4.75,4.95,5.55,5.6,5.65,5.7,5.75,5.8,5.85,5.9,5.95,6,6.45,6.53,6.6,6.65,6.7},{0,10,20,30,40,50,60,62,64,66,68,70,72,74,76,78,80,85,90,95,100})</f>
        <v>95</v>
      </c>
      <c r="T712" s="7"/>
      <c r="U712" s="7"/>
      <c r="V712" s="21">
        <f t="shared" si="311"/>
        <v>95</v>
      </c>
      <c r="X712" s="21">
        <f t="shared" si="305"/>
        <v>58.2</v>
      </c>
      <c r="Y712" s="37">
        <f t="shared" si="312"/>
        <v>83.1428571428572</v>
      </c>
    </row>
    <row r="713" ht="15.6" hidden="1" outlineLevel="2" spans="1:25">
      <c r="A713" s="6">
        <v>116</v>
      </c>
      <c r="B713" s="6">
        <v>10</v>
      </c>
      <c r="C713" s="29" t="s">
        <v>789</v>
      </c>
      <c r="D713" s="29" t="s">
        <v>11</v>
      </c>
      <c r="E713" s="6">
        <v>6.5</v>
      </c>
      <c r="F713" s="1">
        <f>LOOKUP(E713,{0,-4,-3,-2,-1,0,1,2.4,3.8,5.2,6.6,8,9.4,10.8,12.2,13.6,15,17.2,19.4,21.5,23.6},{0,10,20,30,40,50,60,62,64,66,68,70,72,74,76,78,80,85,90,95,100})</f>
        <v>66</v>
      </c>
      <c r="G713" s="6">
        <v>177</v>
      </c>
      <c r="H713" s="1">
        <f>LOOKUP(G713,{0,170,175,180,185,190,195,199,203,207,211,215,219,223,227,231,235,243,250,255,260},{0,10,20,30,40,50,60,62,64,66,68,70,72,74,76,78,80,85,90,95,100})</f>
        <v>20</v>
      </c>
      <c r="I713" s="6">
        <v>0</v>
      </c>
      <c r="J713" s="1">
        <f>LOOKUP(I713,{0,2,3,4,5,6,7,8,9,10,11,12,13,14,15,16},{0,10,20,30,40,50,60,64,68,72,76,80,85,90,95,100})</f>
        <v>0</v>
      </c>
      <c r="K713" s="7"/>
      <c r="L713" s="7"/>
      <c r="M713" s="21">
        <f t="shared" si="308"/>
        <v>0</v>
      </c>
      <c r="N713" s="6">
        <v>8.3</v>
      </c>
      <c r="O713" s="43">
        <f t="shared" si="309"/>
        <v>4.7</v>
      </c>
      <c r="P713" s="1">
        <f>LOOKUP(O713,{0,2.5,2.7,2.9,3.1,3.3,3.5,3.7,3.9,4.1,4.3,4.5,4.7,4.9,5.1,5.3,5.5,5.6,5.7,5.8,5.9},{0,10,20,30,40,50,60,62,64,66,68,70,72,74,76,78,80,85,90,95,100})</f>
        <v>72</v>
      </c>
      <c r="Q713" s="6">
        <v>4.44</v>
      </c>
      <c r="R713" s="6">
        <f t="shared" si="310"/>
        <v>5.56</v>
      </c>
      <c r="S713" s="1">
        <f>LOOKUP(R713,{0,3.75,3.95,4.55,4.75,4.95,5.55,5.6,5.65,5.7,5.75,5.8,5.85,5.9,5.95,6,6.45,6.53,6.6,6.65,6.7},{0,10,20,30,40,50,60,62,64,66,68,70,72,74,76,78,80,85,90,95,100})</f>
        <v>60</v>
      </c>
      <c r="T713" s="7"/>
      <c r="U713" s="7"/>
      <c r="V713" s="21">
        <f t="shared" si="311"/>
        <v>60</v>
      </c>
      <c r="X713" s="21">
        <f t="shared" si="305"/>
        <v>35</v>
      </c>
      <c r="Y713" s="37">
        <f t="shared" si="312"/>
        <v>50</v>
      </c>
    </row>
    <row r="714" ht="15.6" hidden="1" outlineLevel="2" spans="1:25">
      <c r="A714" s="6">
        <v>116</v>
      </c>
      <c r="B714" s="6">
        <v>11</v>
      </c>
      <c r="C714" s="29" t="s">
        <v>790</v>
      </c>
      <c r="D714" s="29" t="s">
        <v>11</v>
      </c>
      <c r="E714" s="6">
        <v>16</v>
      </c>
      <c r="F714" s="1">
        <f>LOOKUP(E714,{0,-4,-3,-2,-1,0,1,2.4,3.8,5.2,6.6,8,9.4,10.8,12.2,13.6,15,17.2,19.4,21.5,23.6},{0,10,20,30,40,50,60,62,64,66,68,70,72,74,76,78,80,85,90,95,100})</f>
        <v>80</v>
      </c>
      <c r="G714" s="6">
        <v>228</v>
      </c>
      <c r="H714" s="1">
        <f>LOOKUP(G714,{0,170,175,180,185,190,195,199,203,207,211,215,219,223,227,231,235,243,250,255,260},{0,10,20,30,40,50,60,62,64,66,68,70,72,74,76,78,80,85,90,95,100})</f>
        <v>76</v>
      </c>
      <c r="I714" s="6">
        <v>16</v>
      </c>
      <c r="J714" s="1">
        <f>LOOKUP(I714,{0,2,3,4,5,6,7,8,9,10,11,12,13,14,15,16},{0,10,20,30,40,50,60,64,68,72,76,80,85,90,95,100})</f>
        <v>100</v>
      </c>
      <c r="K714" s="7">
        <f t="shared" ref="K714:K718" si="313">I714-16</f>
        <v>0</v>
      </c>
      <c r="L714" s="40">
        <f>LOOKUP(K714,{0,1,2,3,4,5,6,7,8,9,10},{0,1,2,3,4,5,6,7,8,9,10})</f>
        <v>0</v>
      </c>
      <c r="M714" s="21">
        <f t="shared" si="308"/>
        <v>100</v>
      </c>
      <c r="N714" s="6">
        <v>7.5</v>
      </c>
      <c r="O714" s="43">
        <f t="shared" si="309"/>
        <v>5.5</v>
      </c>
      <c r="P714" s="1">
        <f>LOOKUP(O714,{0,2.5,2.7,2.9,3.1,3.3,3.5,3.7,3.9,4.1,4.3,4.5,4.7,4.9,5.1,5.3,5.5,5.6,5.7,5.8,5.9},{0,10,20,30,40,50,60,62,64,66,68,70,72,74,76,78,80,85,90,95,100})</f>
        <v>80</v>
      </c>
      <c r="Q714" s="6">
        <v>3.43</v>
      </c>
      <c r="R714" s="6">
        <f t="shared" si="310"/>
        <v>6.57</v>
      </c>
      <c r="S714" s="1">
        <f>LOOKUP(R714,{0,3.75,3.95,4.55,4.75,4.95,5.55,5.6,5.65,5.7,5.75,5.8,5.85,5.9,5.95,6,6.45,6.53,6.6,6.65,6.7},{0,10,20,30,40,50,60,62,64,66,68,70,72,74,76,78,80,85,90,95,100})</f>
        <v>85</v>
      </c>
      <c r="T714" s="7"/>
      <c r="U714" s="7"/>
      <c r="V714" s="21">
        <f t="shared" si="311"/>
        <v>85</v>
      </c>
      <c r="X714" s="21">
        <f t="shared" si="305"/>
        <v>58.6</v>
      </c>
      <c r="Y714" s="37">
        <f t="shared" si="312"/>
        <v>83.7142857142857</v>
      </c>
    </row>
    <row r="715" ht="15.6" hidden="1" outlineLevel="2" spans="1:25">
      <c r="A715" s="6">
        <v>116</v>
      </c>
      <c r="B715" s="6">
        <v>12</v>
      </c>
      <c r="C715" s="29" t="s">
        <v>791</v>
      </c>
      <c r="D715" s="29" t="s">
        <v>11</v>
      </c>
      <c r="E715" s="6">
        <v>13</v>
      </c>
      <c r="F715" s="1">
        <f>LOOKUP(E715,{0,-4,-3,-2,-1,0,1,2.4,3.8,5.2,6.6,8,9.4,10.8,12.2,13.6,15,17.2,19.4,21.5,23.6},{0,10,20,30,40,50,60,62,64,66,68,70,72,74,76,78,80,85,90,95,100})</f>
        <v>76</v>
      </c>
      <c r="G715" s="6">
        <v>221</v>
      </c>
      <c r="H715" s="1">
        <f>LOOKUP(G715,{0,170,175,180,185,190,195,199,203,207,211,215,219,223,227,231,235,243,250,255,260},{0,10,20,30,40,50,60,62,64,66,68,70,72,74,76,78,80,85,90,95,100})</f>
        <v>72</v>
      </c>
      <c r="I715" s="6">
        <v>18</v>
      </c>
      <c r="J715" s="1">
        <f>LOOKUP(I715,{0,2,3,4,5,6,7,8,9,10,11,12,13,14,15,16},{0,10,20,30,40,50,60,64,68,72,76,80,85,90,95,100})</f>
        <v>100</v>
      </c>
      <c r="K715" s="7">
        <f t="shared" si="313"/>
        <v>2</v>
      </c>
      <c r="L715" s="40">
        <f>LOOKUP(K715,{0,1,2,3,4,5,6,7,8,9,10},{0,1,2,3,4,5,6,7,8,9,10})</f>
        <v>2</v>
      </c>
      <c r="M715" s="21">
        <f t="shared" si="308"/>
        <v>102</v>
      </c>
      <c r="N715" s="6">
        <v>7.4</v>
      </c>
      <c r="O715" s="43">
        <f t="shared" si="309"/>
        <v>5.6</v>
      </c>
      <c r="P715" s="1">
        <f>LOOKUP(O715,{0,2.5,2.7,2.9,3.1,3.3,3.5,3.7,3.9,4.1,4.3,4.5,4.7,4.9,5.1,5.3,5.5,5.6,5.7,5.8,5.9},{0,10,20,30,40,50,60,62,64,66,68,70,72,74,76,78,80,85,90,95,100})</f>
        <v>85</v>
      </c>
      <c r="Q715" s="6">
        <v>3.3</v>
      </c>
      <c r="R715" s="6">
        <f t="shared" si="310"/>
        <v>6.7</v>
      </c>
      <c r="S715" s="1">
        <f>LOOKUP(R715,{0,3.75,3.95,4.55,4.75,4.95,5.55,5.6,5.65,5.7,5.75,5.8,5.85,5.9,5.95,6,6.45,6.53,6.6,6.65,6.7},{0,10,20,30,40,50,60,62,64,66,68,70,72,74,76,78,80,85,90,95,100})</f>
        <v>100</v>
      </c>
      <c r="T715" s="7">
        <f>3.3-Q715</f>
        <v>0</v>
      </c>
      <c r="U715" s="40">
        <f>LOOKUP(T715,{0,0.04,0.08,0.12,0.16,0.2,0.23,0.26,0.29,0.32,0.35},{0,1,2,3,4,5,6,7,8,9,10})</f>
        <v>0</v>
      </c>
      <c r="V715" s="21">
        <f t="shared" si="311"/>
        <v>100</v>
      </c>
      <c r="X715" s="21">
        <f t="shared" ref="X715:X753" si="314">F715*0.1+H715*0.1+J715*0.1+P715*0.2+S715*0.2</f>
        <v>61.8</v>
      </c>
      <c r="Y715" s="37">
        <f t="shared" si="312"/>
        <v>90.2857142857143</v>
      </c>
    </row>
    <row r="716" s="34" customFormat="1" ht="15.6" hidden="1" outlineLevel="2" spans="1:25">
      <c r="A716" s="6">
        <v>116</v>
      </c>
      <c r="B716" s="6">
        <v>13</v>
      </c>
      <c r="C716" s="29" t="s">
        <v>792</v>
      </c>
      <c r="D716" s="29" t="s">
        <v>11</v>
      </c>
      <c r="E716" s="6">
        <v>1</v>
      </c>
      <c r="F716" s="1">
        <f>LOOKUP(E716,{0,-4,-3,-2,-1,0,1,2.4,3.8,5.2,6.6,8,9.4,10.8,12.2,13.6,15,17.2,19.4,21.5,23.6},{0,10,20,30,40,50,60,62,64,66,68,70,72,74,76,78,80,85,90,95,100})</f>
        <v>60</v>
      </c>
      <c r="G716" s="6">
        <v>212</v>
      </c>
      <c r="H716" s="1">
        <f>LOOKUP(G716,{0,170,175,180,185,190,195,199,203,207,211,215,219,223,227,231,235,243,250,255,260},{0,10,20,30,40,50,60,62,64,66,68,70,72,74,76,78,80,85,90,95,100})</f>
        <v>68</v>
      </c>
      <c r="I716" s="6">
        <v>0</v>
      </c>
      <c r="J716" s="1">
        <f>LOOKUP(I716,{0,2,3,4,5,6,7,8,9,10,11,12,13,14,15,16},{0,10,20,30,40,50,60,64,68,72,76,80,85,90,95,100})</f>
        <v>0</v>
      </c>
      <c r="K716" s="7"/>
      <c r="L716" s="7"/>
      <c r="M716" s="21">
        <f t="shared" si="308"/>
        <v>0</v>
      </c>
      <c r="N716" s="6">
        <v>7.8</v>
      </c>
      <c r="O716" s="43">
        <f t="shared" si="309"/>
        <v>5.2</v>
      </c>
      <c r="P716" s="1">
        <f>LOOKUP(O716,{0,2.5,2.7,2.9,3.1,3.3,3.5,3.7,3.9,4.1,4.3,4.5,4.7,4.9,5.1,5.3,5.5,5.6,5.7,5.8,5.9},{0,10,20,30,40,50,60,62,64,66,68,70,72,74,76,78,80,85,90,95,100})</f>
        <v>76</v>
      </c>
      <c r="Q716" s="6">
        <v>4.41</v>
      </c>
      <c r="R716" s="6">
        <f t="shared" si="310"/>
        <v>5.59</v>
      </c>
      <c r="S716" s="1">
        <f>LOOKUP(R716,{0,3.75,3.95,4.55,4.75,4.95,5.55,5.6,5.65,5.7,5.75,5.8,5.85,5.9,5.95,6,6.45,6.53,6.6,6.65,6.7},{0,10,20,30,40,50,60,62,64,66,68,70,72,74,76,78,80,85,90,95,100})</f>
        <v>60</v>
      </c>
      <c r="T716" s="7"/>
      <c r="U716" s="7"/>
      <c r="V716" s="21">
        <f t="shared" si="311"/>
        <v>60</v>
      </c>
      <c r="W716" s="6"/>
      <c r="X716" s="21">
        <f t="shared" si="314"/>
        <v>40</v>
      </c>
      <c r="Y716" s="37">
        <f t="shared" si="312"/>
        <v>57.1428571428571</v>
      </c>
    </row>
    <row r="717" ht="15.6" hidden="1" outlineLevel="2" spans="1:25">
      <c r="A717" s="6">
        <v>116</v>
      </c>
      <c r="B717" s="6">
        <v>14</v>
      </c>
      <c r="C717" s="39" t="s">
        <v>794</v>
      </c>
      <c r="D717" s="29" t="s">
        <v>11</v>
      </c>
      <c r="E717" s="6">
        <v>3.6</v>
      </c>
      <c r="F717" s="1">
        <f>LOOKUP(E717,{0,-4,-3,-2,-1,0,1,2.4,3.8,5.2,6.6,8,9.4,10.8,12.2,13.6,15,17.2,19.4,21.5,23.6},{0,10,20,30,40,50,60,62,64,66,68,70,72,74,76,78,80,85,90,95,100})</f>
        <v>62</v>
      </c>
      <c r="G717" s="6">
        <v>235</v>
      </c>
      <c r="H717" s="1">
        <f>LOOKUP(G717,{0,170,175,180,185,190,195,199,203,207,211,215,219,223,227,231,235,243,250,255,260},{0,10,20,30,40,50,60,62,64,66,68,70,72,74,76,78,80,85,90,95,100})</f>
        <v>80</v>
      </c>
      <c r="I717" s="6">
        <v>16</v>
      </c>
      <c r="J717" s="1">
        <f>LOOKUP(I717,{0,2,3,4,5,6,7,8,9,10,11,12,13,14,15,16},{0,10,20,30,40,50,60,64,68,72,76,80,85,90,95,100})</f>
        <v>100</v>
      </c>
      <c r="K717" s="7">
        <f t="shared" si="313"/>
        <v>0</v>
      </c>
      <c r="L717" s="40">
        <f>LOOKUP(K717,{0,1,2,3,4,5,6,7,8,9,10},{0,1,2,3,4,5,6,7,8,9,10})</f>
        <v>0</v>
      </c>
      <c r="M717" s="21">
        <f t="shared" si="308"/>
        <v>100</v>
      </c>
      <c r="N717" s="6">
        <v>7</v>
      </c>
      <c r="O717" s="43">
        <f t="shared" si="309"/>
        <v>6</v>
      </c>
      <c r="P717" s="1">
        <f>LOOKUP(O717,{0,2.5,2.7,2.9,3.1,3.3,3.5,3.7,3.9,4.1,4.3,4.5,4.7,4.9,5.1,5.3,5.5,5.6,5.7,5.8,5.9},{0,10,20,30,40,50,60,62,64,66,68,70,72,74,76,78,80,85,90,95,100})</f>
        <v>100</v>
      </c>
      <c r="Q717" s="6">
        <v>3.31</v>
      </c>
      <c r="R717" s="6">
        <f t="shared" si="310"/>
        <v>6.69</v>
      </c>
      <c r="S717" s="1">
        <f>LOOKUP(R717,{0,3.75,3.95,4.55,4.75,4.95,5.55,5.6,5.65,5.7,5.75,5.8,5.85,5.9,5.95,6,6.45,6.53,6.6,6.65,6.7},{0,10,20,30,40,50,60,62,64,66,68,70,72,74,76,78,80,85,90,95,100})</f>
        <v>95</v>
      </c>
      <c r="T717" s="7"/>
      <c r="U717" s="7"/>
      <c r="V717" s="21">
        <f t="shared" si="311"/>
        <v>95</v>
      </c>
      <c r="X717" s="21">
        <f t="shared" si="314"/>
        <v>63.2</v>
      </c>
      <c r="Y717" s="37">
        <f t="shared" si="312"/>
        <v>90.2857142857143</v>
      </c>
    </row>
    <row r="718" ht="15.6" hidden="1" outlineLevel="2" spans="1:25">
      <c r="A718" s="6">
        <v>116</v>
      </c>
      <c r="B718" s="6">
        <v>15</v>
      </c>
      <c r="C718" s="29" t="s">
        <v>795</v>
      </c>
      <c r="D718" s="29" t="s">
        <v>11</v>
      </c>
      <c r="E718" s="6">
        <v>2.5</v>
      </c>
      <c r="F718" s="1">
        <f>LOOKUP(E718,{0,-4,-3,-2,-1,0,1,2.4,3.8,5.2,6.6,8,9.4,10.8,12.2,13.6,15,17.2,19.4,21.5,23.6},{0,10,20,30,40,50,60,62,64,66,68,70,72,74,76,78,80,85,90,95,100})</f>
        <v>62</v>
      </c>
      <c r="G718" s="6">
        <v>240</v>
      </c>
      <c r="H718" s="1">
        <f>LOOKUP(G718,{0,170,175,180,185,190,195,199,203,207,211,215,219,223,227,231,235,243,250,255,260},{0,10,20,30,40,50,60,62,64,66,68,70,72,74,76,78,80,85,90,95,100})</f>
        <v>80</v>
      </c>
      <c r="I718" s="6">
        <v>28</v>
      </c>
      <c r="J718" s="1">
        <f>LOOKUP(I718,{0,2,3,4,5,6,7,8,9,10,11,12,13,14,15,16},{0,10,20,30,40,50,60,64,68,72,76,80,85,90,95,100})</f>
        <v>100</v>
      </c>
      <c r="K718" s="7">
        <f t="shared" si="313"/>
        <v>12</v>
      </c>
      <c r="L718" s="40">
        <f>LOOKUP(K718,{0,1,2,3,4,5,6,7,8,9,10},{0,1,2,3,4,5,6,7,8,9,10})</f>
        <v>10</v>
      </c>
      <c r="M718" s="21">
        <f t="shared" si="308"/>
        <v>110</v>
      </c>
      <c r="N718" s="6">
        <v>7</v>
      </c>
      <c r="O718" s="43">
        <f t="shared" si="309"/>
        <v>6</v>
      </c>
      <c r="P718" s="1">
        <f>LOOKUP(O718,{0,2.5,2.7,2.9,3.1,3.3,3.5,3.7,3.9,4.1,4.3,4.5,4.7,4.9,5.1,5.3,5.5,5.6,5.7,5.8,5.9},{0,10,20,30,40,50,60,62,64,66,68,70,72,74,76,78,80,85,90,95,100})</f>
        <v>100</v>
      </c>
      <c r="Q718" s="6">
        <v>4.02</v>
      </c>
      <c r="R718" s="6">
        <f t="shared" si="310"/>
        <v>5.98</v>
      </c>
      <c r="S718" s="1">
        <f>LOOKUP(R718,{0,3.75,3.95,4.55,4.75,4.95,5.55,5.6,5.65,5.7,5.75,5.8,5.85,5.9,5.95,6,6.45,6.53,6.6,6.65,6.7},{0,10,20,30,40,50,60,62,64,66,68,70,72,74,76,78,80,85,90,95,100})</f>
        <v>76</v>
      </c>
      <c r="T718" s="7"/>
      <c r="U718" s="7"/>
      <c r="V718" s="21">
        <f t="shared" si="311"/>
        <v>76</v>
      </c>
      <c r="X718" s="21">
        <f t="shared" si="314"/>
        <v>59.4</v>
      </c>
      <c r="Y718" s="37">
        <f t="shared" si="312"/>
        <v>94.8571428571429</v>
      </c>
    </row>
    <row r="719" ht="15.6" hidden="1" outlineLevel="2" spans="1:25">
      <c r="A719" s="6">
        <v>116</v>
      </c>
      <c r="B719" s="6">
        <v>16</v>
      </c>
      <c r="C719" s="29" t="s">
        <v>796</v>
      </c>
      <c r="D719" s="29" t="s">
        <v>11</v>
      </c>
      <c r="E719" s="6">
        <v>10.1</v>
      </c>
      <c r="F719" s="1">
        <f>LOOKUP(E719,{0,-4,-3,-2,-1,0,1,2.4,3.8,5.2,6.6,8,9.4,10.8,12.2,13.6,15,17.2,19.4,21.5,23.6},{0,10,20,30,40,50,60,62,64,66,68,70,72,74,76,78,80,85,90,95,100})</f>
        <v>72</v>
      </c>
      <c r="G719" s="6">
        <v>260</v>
      </c>
      <c r="H719" s="1">
        <f>LOOKUP(G719,{0,170,175,180,185,190,195,199,203,207,211,215,219,223,227,231,235,243,250,255,260},{0,10,20,30,40,50,60,62,64,66,68,70,72,74,76,78,80,85,90,95,100})</f>
        <v>100</v>
      </c>
      <c r="I719" s="6">
        <v>6</v>
      </c>
      <c r="J719" s="1">
        <f>LOOKUP(I719,{0,2,3,4,5,6,7,8,9,10,11,12,13,14,15,16},{0,10,20,30,40,50,60,64,68,72,76,80,85,90,95,100})</f>
        <v>50</v>
      </c>
      <c r="K719" s="7"/>
      <c r="L719" s="7"/>
      <c r="M719" s="21">
        <f t="shared" si="308"/>
        <v>50</v>
      </c>
      <c r="N719" s="6">
        <v>7.5</v>
      </c>
      <c r="O719" s="43">
        <f t="shared" si="309"/>
        <v>5.5</v>
      </c>
      <c r="P719" s="1">
        <f>LOOKUP(O719,{0,2.5,2.7,2.9,3.1,3.3,3.5,3.7,3.9,4.1,4.3,4.5,4.7,4.9,5.1,5.3,5.5,5.6,5.7,5.8,5.9},{0,10,20,30,40,50,60,62,64,66,68,70,72,74,76,78,80,85,90,95,100})</f>
        <v>80</v>
      </c>
      <c r="Q719" s="6">
        <v>3.42</v>
      </c>
      <c r="R719" s="6">
        <f t="shared" si="310"/>
        <v>6.58</v>
      </c>
      <c r="S719" s="1">
        <f>LOOKUP(R719,{0,3.75,3.95,4.55,4.75,4.95,5.55,5.6,5.65,5.7,5.75,5.8,5.85,5.9,5.95,6,6.45,6.53,6.6,6.65,6.7},{0,10,20,30,40,50,60,62,64,66,68,70,72,74,76,78,80,85,90,95,100})</f>
        <v>85</v>
      </c>
      <c r="T719" s="7"/>
      <c r="U719" s="7"/>
      <c r="V719" s="21">
        <f t="shared" si="311"/>
        <v>85</v>
      </c>
      <c r="X719" s="21">
        <f t="shared" si="314"/>
        <v>55.2</v>
      </c>
      <c r="Y719" s="37">
        <f t="shared" si="312"/>
        <v>78.8571428571429</v>
      </c>
    </row>
    <row r="720" ht="15.6" hidden="1" outlineLevel="2" spans="1:25">
      <c r="A720" s="6">
        <v>116</v>
      </c>
      <c r="B720" s="6">
        <v>17</v>
      </c>
      <c r="C720" s="29" t="s">
        <v>797</v>
      </c>
      <c r="D720" s="29" t="s">
        <v>11</v>
      </c>
      <c r="E720" s="6">
        <v>7.1</v>
      </c>
      <c r="F720" s="1">
        <f>LOOKUP(E720,{0,-4,-3,-2,-1,0,1,2.4,3.8,5.2,6.6,8,9.4,10.8,12.2,13.6,15,17.2,19.4,21.5,23.6},{0,10,20,30,40,50,60,62,64,66,68,70,72,74,76,78,80,85,90,95,100})</f>
        <v>68</v>
      </c>
      <c r="G720" s="6">
        <v>185</v>
      </c>
      <c r="H720" s="1">
        <f>LOOKUP(G720,{0,170,175,180,185,190,195,199,203,207,211,215,219,223,227,231,235,243,250,255,260},{0,10,20,30,40,50,60,62,64,66,68,70,72,74,76,78,80,85,90,95,100})</f>
        <v>40</v>
      </c>
      <c r="I720" s="6">
        <v>19</v>
      </c>
      <c r="J720" s="1">
        <f>LOOKUP(I720,{0,2,3,4,5,6,7,8,9,10,11,12,13,14,15,16},{0,10,20,30,40,50,60,64,68,72,76,80,85,90,95,100})</f>
        <v>100</v>
      </c>
      <c r="K720" s="7">
        <f t="shared" ref="K720:K723" si="315">I720-16</f>
        <v>3</v>
      </c>
      <c r="L720" s="40">
        <f>LOOKUP(K720,{0,1,2,3,4,5,6,7,8,9,10},{0,1,2,3,4,5,6,7,8,9,10})</f>
        <v>3</v>
      </c>
      <c r="M720" s="21">
        <f t="shared" si="308"/>
        <v>103</v>
      </c>
      <c r="N720" s="6">
        <v>7.9</v>
      </c>
      <c r="O720" s="43">
        <f t="shared" si="309"/>
        <v>5.1</v>
      </c>
      <c r="P720" s="1">
        <f>LOOKUP(O720,{0,2.5,2.7,2.9,3.1,3.3,3.5,3.7,3.9,4.1,4.3,4.5,4.7,4.9,5.1,5.3,5.5,5.6,5.7,5.8,5.9},{0,10,20,30,40,50,60,62,64,66,68,70,72,74,76,78,80,85,90,95,100})</f>
        <v>76</v>
      </c>
      <c r="Q720" s="6">
        <v>3.52</v>
      </c>
      <c r="R720" s="6">
        <f t="shared" si="310"/>
        <v>6.48</v>
      </c>
      <c r="S720" s="1">
        <f>LOOKUP(R720,{0,3.75,3.95,4.55,4.75,4.95,5.55,5.6,5.65,5.7,5.75,5.8,5.85,5.9,5.95,6,6.45,6.53,6.6,6.65,6.7},{0,10,20,30,40,50,60,62,64,66,68,70,72,74,76,78,80,85,90,95,100})</f>
        <v>80</v>
      </c>
      <c r="T720" s="7"/>
      <c r="U720" s="7"/>
      <c r="V720" s="21">
        <f t="shared" si="311"/>
        <v>80</v>
      </c>
      <c r="X720" s="21">
        <f t="shared" si="314"/>
        <v>52</v>
      </c>
      <c r="Y720" s="37">
        <f t="shared" si="312"/>
        <v>77.2857142857143</v>
      </c>
    </row>
    <row r="721" ht="15.6" hidden="1" outlineLevel="2" spans="1:25">
      <c r="A721" s="6">
        <v>116</v>
      </c>
      <c r="B721" s="6">
        <v>18</v>
      </c>
      <c r="C721" s="29" t="s">
        <v>798</v>
      </c>
      <c r="D721" s="29" t="s">
        <v>11</v>
      </c>
      <c r="E721" s="6">
        <v>7.5</v>
      </c>
      <c r="F721" s="1">
        <f>LOOKUP(E721,{0,-4,-3,-2,-1,0,1,2.4,3.8,5.2,6.6,8,9.4,10.8,12.2,13.6,15,17.2,19.4,21.5,23.6},{0,10,20,30,40,50,60,62,64,66,68,70,72,74,76,78,80,85,90,95,100})</f>
        <v>68</v>
      </c>
      <c r="G721" s="6">
        <v>265</v>
      </c>
      <c r="H721" s="1">
        <f>LOOKUP(G721,{0,170,175,180,185,190,195,199,203,207,211,215,219,223,227,231,235,243,250,255,260},{0,10,20,30,40,50,60,62,64,66,68,70,72,74,76,78,80,85,90,95,100})</f>
        <v>100</v>
      </c>
      <c r="I721" s="6">
        <v>12</v>
      </c>
      <c r="J721" s="1">
        <f>LOOKUP(I721,{0,2,3,4,5,6,7,8,9,10,11,12,13,14,15,16},{0,10,20,30,40,50,60,64,68,72,76,80,85,90,95,100})</f>
        <v>80</v>
      </c>
      <c r="K721" s="7"/>
      <c r="L721" s="7"/>
      <c r="M721" s="21">
        <f t="shared" si="308"/>
        <v>80</v>
      </c>
      <c r="O721" s="43"/>
      <c r="P721" s="1"/>
      <c r="Q721" s="6">
        <v>3.3</v>
      </c>
      <c r="R721" s="6">
        <f t="shared" si="310"/>
        <v>6.7</v>
      </c>
      <c r="S721" s="1">
        <f>LOOKUP(R721,{0,3.75,3.95,4.55,4.75,4.95,5.55,5.6,5.65,5.7,5.75,5.8,5.85,5.9,5.95,6,6.45,6.53,6.6,6.65,6.7},{0,10,20,30,40,50,60,62,64,66,68,70,72,74,76,78,80,85,90,95,100})</f>
        <v>100</v>
      </c>
      <c r="T721" s="7">
        <f>3.3-Q721</f>
        <v>0</v>
      </c>
      <c r="U721" s="40">
        <f>LOOKUP(T721,{0,0.04,0.08,0.12,0.16,0.2,0.23,0.26,0.29,0.32,0.35},{0,1,2,3,4,5,6,7,8,9,10})</f>
        <v>0</v>
      </c>
      <c r="V721" s="21">
        <f t="shared" si="311"/>
        <v>100</v>
      </c>
      <c r="X721" s="21">
        <f t="shared" si="314"/>
        <v>44.8</v>
      </c>
      <c r="Y721" s="37">
        <f t="shared" si="312"/>
        <v>64</v>
      </c>
    </row>
    <row r="722" ht="15.6" hidden="1" outlineLevel="2" spans="1:25">
      <c r="A722" s="6">
        <v>116</v>
      </c>
      <c r="B722" s="6">
        <v>19</v>
      </c>
      <c r="C722" s="29" t="s">
        <v>799</v>
      </c>
      <c r="D722" s="29" t="s">
        <v>11</v>
      </c>
      <c r="E722" s="6">
        <v>15.5</v>
      </c>
      <c r="F722" s="1">
        <f>LOOKUP(E722,{0,-4,-3,-2,-1,0,1,2.4,3.8,5.2,6.6,8,9.4,10.8,12.2,13.6,15,17.2,19.4,21.5,23.6},{0,10,20,30,40,50,60,62,64,66,68,70,72,74,76,78,80,85,90,95,100})</f>
        <v>80</v>
      </c>
      <c r="G722" s="6">
        <v>250</v>
      </c>
      <c r="H722" s="1">
        <f>LOOKUP(G722,{0,170,175,180,185,190,195,199,203,207,211,215,219,223,227,231,235,243,250,255,260},{0,10,20,30,40,50,60,62,64,66,68,70,72,74,76,78,80,85,90,95,100})</f>
        <v>90</v>
      </c>
      <c r="I722" s="6">
        <v>35</v>
      </c>
      <c r="J722" s="1">
        <f>LOOKUP(I722,{0,2,3,4,5,6,7,8,9,10,11,12,13,14,15,16},{0,10,20,30,40,50,60,64,68,72,76,80,85,90,95,100})</f>
        <v>100</v>
      </c>
      <c r="K722" s="7">
        <f t="shared" si="315"/>
        <v>19</v>
      </c>
      <c r="L722" s="40">
        <f>LOOKUP(K722,{0,1,2,3,4,5,6,7,8,9,10},{0,1,2,3,4,5,6,7,8,9,10})</f>
        <v>10</v>
      </c>
      <c r="M722" s="21">
        <f t="shared" si="308"/>
        <v>110</v>
      </c>
      <c r="N722" s="6">
        <v>7.1</v>
      </c>
      <c r="O722" s="43">
        <f t="shared" ref="O722:O744" si="316">13-N722</f>
        <v>5.9</v>
      </c>
      <c r="P722" s="1">
        <f>LOOKUP(O722,{0,2.5,2.7,2.9,3.1,3.3,3.5,3.7,3.9,4.1,4.3,4.5,4.7,4.9,5.1,5.3,5.5,5.6,5.7,5.8,5.9},{0,10,20,30,40,50,60,62,64,66,68,70,72,74,76,78,80,85,90,95,100})</f>
        <v>100</v>
      </c>
      <c r="Q722" s="6">
        <v>3.44</v>
      </c>
      <c r="R722" s="6">
        <f t="shared" si="310"/>
        <v>6.56</v>
      </c>
      <c r="S722" s="1">
        <f>LOOKUP(R722,{0,3.75,3.95,4.55,4.75,4.95,5.55,5.6,5.65,5.7,5.75,5.8,5.85,5.9,5.95,6,6.45,6.53,6.6,6.65,6.7},{0,10,20,30,40,50,60,62,64,66,68,70,72,74,76,78,80,85,90,95,100})</f>
        <v>85</v>
      </c>
      <c r="T722" s="7"/>
      <c r="U722" s="7"/>
      <c r="V722" s="21">
        <f t="shared" si="311"/>
        <v>85</v>
      </c>
      <c r="X722" s="21">
        <f t="shared" si="314"/>
        <v>64</v>
      </c>
      <c r="Y722" s="37">
        <f t="shared" si="312"/>
        <v>101.428571428571</v>
      </c>
    </row>
    <row r="723" ht="15.6" hidden="1" outlineLevel="2" spans="1:25">
      <c r="A723" s="6">
        <v>116</v>
      </c>
      <c r="B723" s="6">
        <v>20</v>
      </c>
      <c r="C723" s="29" t="s">
        <v>800</v>
      </c>
      <c r="D723" s="29" t="s">
        <v>11</v>
      </c>
      <c r="E723" s="6">
        <v>16</v>
      </c>
      <c r="F723" s="1">
        <f>LOOKUP(E723,{0,-4,-3,-2,-1,0,1,2.4,3.8,5.2,6.6,8,9.4,10.8,12.2,13.6,15,17.2,19.4,21.5,23.6},{0,10,20,30,40,50,60,62,64,66,68,70,72,74,76,78,80,85,90,95,100})</f>
        <v>80</v>
      </c>
      <c r="G723" s="6">
        <v>230</v>
      </c>
      <c r="H723" s="1">
        <f>LOOKUP(G723,{0,170,175,180,185,190,195,199,203,207,211,215,219,223,227,231,235,243,250,255,260},{0,10,20,30,40,50,60,62,64,66,68,70,72,74,76,78,80,85,90,95,100})</f>
        <v>76</v>
      </c>
      <c r="I723" s="6">
        <v>16</v>
      </c>
      <c r="J723" s="1">
        <f>LOOKUP(I723,{0,2,3,4,5,6,7,8,9,10,11,12,13,14,15,16},{0,10,20,30,40,50,60,64,68,72,76,80,85,90,95,100})</f>
        <v>100</v>
      </c>
      <c r="K723" s="7">
        <f t="shared" si="315"/>
        <v>0</v>
      </c>
      <c r="L723" s="40">
        <f>LOOKUP(K723,{0,1,2,3,4,5,6,7,8,9,10},{0,1,2,3,4,5,6,7,8,9,10})</f>
        <v>0</v>
      </c>
      <c r="M723" s="21">
        <f t="shared" si="308"/>
        <v>100</v>
      </c>
      <c r="N723" s="6">
        <v>7.4</v>
      </c>
      <c r="O723" s="43">
        <f t="shared" si="316"/>
        <v>5.6</v>
      </c>
      <c r="P723" s="1">
        <f>LOOKUP(O723,{0,2.5,2.7,2.9,3.1,3.3,3.5,3.7,3.9,4.1,4.3,4.5,4.7,4.9,5.1,5.3,5.5,5.6,5.7,5.8,5.9},{0,10,20,30,40,50,60,62,64,66,68,70,72,74,76,78,80,85,90,95,100})</f>
        <v>85</v>
      </c>
      <c r="Q723" s="6">
        <v>4.22</v>
      </c>
      <c r="R723" s="6">
        <f t="shared" si="310"/>
        <v>5.78</v>
      </c>
      <c r="S723" s="1">
        <f>LOOKUP(R723,{0,3.75,3.95,4.55,4.75,4.95,5.55,5.6,5.65,5.7,5.75,5.8,5.85,5.9,5.95,6,6.45,6.53,6.6,6.65,6.7},{0,10,20,30,40,50,60,62,64,66,68,70,72,74,76,78,80,85,90,95,100})</f>
        <v>68</v>
      </c>
      <c r="T723" s="7"/>
      <c r="U723" s="7"/>
      <c r="V723" s="21">
        <f t="shared" si="311"/>
        <v>68</v>
      </c>
      <c r="X723" s="21">
        <f t="shared" si="314"/>
        <v>56.2</v>
      </c>
      <c r="Y723" s="37">
        <f t="shared" si="312"/>
        <v>80.2857142857143</v>
      </c>
    </row>
    <row r="724" ht="15.6" hidden="1" outlineLevel="2" spans="1:25">
      <c r="A724" s="6">
        <v>116</v>
      </c>
      <c r="B724" s="6">
        <v>21</v>
      </c>
      <c r="C724" s="29" t="s">
        <v>411</v>
      </c>
      <c r="D724" s="29" t="s">
        <v>11</v>
      </c>
      <c r="E724" s="6">
        <v>18.5</v>
      </c>
      <c r="F724" s="1">
        <f>LOOKUP(E724,{0,-4,-3,-2,-1,0,1,2.4,3.8,5.2,6.6,8,9.4,10.8,12.2,13.6,15,17.2,19.4,21.5,23.6},{0,10,20,30,40,50,60,62,64,66,68,70,72,74,76,78,80,85,90,95,100})</f>
        <v>85</v>
      </c>
      <c r="G724" s="6">
        <v>200</v>
      </c>
      <c r="H724" s="1">
        <f>LOOKUP(G724,{0,170,175,180,185,190,195,199,203,207,211,215,219,223,227,231,235,243,250,255,260},{0,10,20,30,40,50,60,62,64,66,68,70,72,74,76,78,80,85,90,95,100})</f>
        <v>62</v>
      </c>
      <c r="I724" s="6">
        <v>1</v>
      </c>
      <c r="J724" s="1">
        <f>LOOKUP(I724,{0,2,3,4,5,6,7,8,9,10,11,12,13,14,15,16},{0,10,20,30,40,50,60,64,68,72,76,80,85,90,95,100})</f>
        <v>0</v>
      </c>
      <c r="K724" s="7"/>
      <c r="L724" s="7"/>
      <c r="M724" s="21">
        <f t="shared" si="308"/>
        <v>0</v>
      </c>
      <c r="N724" s="6">
        <v>8.2</v>
      </c>
      <c r="O724" s="43">
        <f t="shared" si="316"/>
        <v>4.8</v>
      </c>
      <c r="P724" s="1">
        <f>LOOKUP(O724,{0,2.5,2.7,2.9,3.1,3.3,3.5,3.7,3.9,4.1,4.3,4.5,4.7,4.9,5.1,5.3,5.5,5.6,5.7,5.8,5.9},{0,10,20,30,40,50,60,62,64,66,68,70,72,74,76,78,80,85,90,95,100})</f>
        <v>72</v>
      </c>
      <c r="Q724" s="6">
        <v>4.59</v>
      </c>
      <c r="R724" s="6">
        <f t="shared" si="310"/>
        <v>5.41</v>
      </c>
      <c r="S724" s="1">
        <f>LOOKUP(R724,{0,3.75,3.95,4.55,4.75,4.95,5.55,5.6,5.65,5.7,5.75,5.8,5.85,5.9,5.95,6,6.45,6.53,6.6,6.65,6.7},{0,10,20,30,40,50,60,62,64,66,68,70,72,74,76,78,80,85,90,95,100})</f>
        <v>50</v>
      </c>
      <c r="T724" s="7"/>
      <c r="U724" s="7"/>
      <c r="V724" s="21">
        <f t="shared" si="311"/>
        <v>50</v>
      </c>
      <c r="X724" s="21">
        <f t="shared" si="314"/>
        <v>39.1</v>
      </c>
      <c r="Y724" s="37">
        <f t="shared" si="312"/>
        <v>55.8571428571429</v>
      </c>
    </row>
    <row r="725" ht="15.6" hidden="1" outlineLevel="2" spans="1:25">
      <c r="A725" s="6">
        <v>116</v>
      </c>
      <c r="B725" s="6">
        <v>22</v>
      </c>
      <c r="C725" s="29" t="s">
        <v>801</v>
      </c>
      <c r="D725" s="29" t="s">
        <v>11</v>
      </c>
      <c r="E725" s="6">
        <v>6.8</v>
      </c>
      <c r="F725" s="1">
        <f>LOOKUP(E725,{0,-4,-3,-2,-1,0,1,2.4,3.8,5.2,6.6,8,9.4,10.8,12.2,13.6,15,17.2,19.4,21.5,23.6},{0,10,20,30,40,50,60,62,64,66,68,70,72,74,76,78,80,85,90,95,100})</f>
        <v>68</v>
      </c>
      <c r="G725" s="6">
        <v>257</v>
      </c>
      <c r="H725" s="1">
        <f>LOOKUP(G725,{0,170,175,180,185,190,195,199,203,207,211,215,219,223,227,231,235,243,250,255,260},{0,10,20,30,40,50,60,62,64,66,68,70,72,74,76,78,80,85,90,95,100})</f>
        <v>95</v>
      </c>
      <c r="I725" s="6">
        <v>26</v>
      </c>
      <c r="J725" s="1">
        <f>LOOKUP(I725,{0,2,3,4,5,6,7,8,9,10,11,12,13,14,15,16},{0,10,20,30,40,50,60,64,68,72,76,80,85,90,95,100})</f>
        <v>100</v>
      </c>
      <c r="K725" s="7">
        <f t="shared" ref="K725:K728" si="317">I725-16</f>
        <v>10</v>
      </c>
      <c r="L725" s="40">
        <f>LOOKUP(K725,{0,1,2,3,4,5,6,7,8,9,10},{0,1,2,3,4,5,6,7,8,9,10})</f>
        <v>10</v>
      </c>
      <c r="M725" s="21">
        <f t="shared" si="308"/>
        <v>110</v>
      </c>
      <c r="N725" s="6">
        <v>7</v>
      </c>
      <c r="O725" s="43">
        <f t="shared" si="316"/>
        <v>6</v>
      </c>
      <c r="P725" s="1">
        <f>LOOKUP(O725,{0,2.5,2.7,2.9,3.1,3.3,3.5,3.7,3.9,4.1,4.3,4.5,4.7,4.9,5.1,5.3,5.5,5.6,5.7,5.8,5.9},{0,10,20,30,40,50,60,62,64,66,68,70,72,74,76,78,80,85,90,95,100})</f>
        <v>100</v>
      </c>
      <c r="Q725" s="6">
        <v>3.41</v>
      </c>
      <c r="R725" s="6">
        <f t="shared" si="310"/>
        <v>6.59</v>
      </c>
      <c r="S725" s="1">
        <f>LOOKUP(R725,{0,3.75,3.95,4.55,4.75,4.95,5.55,5.6,5.65,5.7,5.75,5.8,5.85,5.9,5.95,6,6.45,6.53,6.6,6.65,6.7},{0,10,20,30,40,50,60,62,64,66,68,70,72,74,76,78,80,85,90,95,100})</f>
        <v>85</v>
      </c>
      <c r="T725" s="7"/>
      <c r="U725" s="7"/>
      <c r="V725" s="21">
        <f t="shared" si="311"/>
        <v>85</v>
      </c>
      <c r="X725" s="21">
        <f t="shared" si="314"/>
        <v>63.3</v>
      </c>
      <c r="Y725" s="37">
        <f t="shared" si="312"/>
        <v>100.428571428571</v>
      </c>
    </row>
    <row r="726" ht="15.6" hidden="1" outlineLevel="2" spans="1:25">
      <c r="A726" s="6">
        <v>116</v>
      </c>
      <c r="B726" s="6">
        <v>23</v>
      </c>
      <c r="C726" s="29" t="s">
        <v>802</v>
      </c>
      <c r="D726" s="29" t="s">
        <v>11</v>
      </c>
      <c r="E726" s="6">
        <v>20.5</v>
      </c>
      <c r="F726" s="1">
        <f>LOOKUP(E726,{0,-4,-3,-2,-1,0,1,2.4,3.8,5.2,6.6,8,9.4,10.8,12.2,13.6,15,17.2,19.4,21.5,23.6},{0,10,20,30,40,50,60,62,64,66,68,70,72,74,76,78,80,85,90,95,100})</f>
        <v>90</v>
      </c>
      <c r="G726" s="6">
        <v>250</v>
      </c>
      <c r="H726" s="1">
        <f>LOOKUP(G726,{0,170,175,180,185,190,195,199,203,207,211,215,219,223,227,231,235,243,250,255,260},{0,10,20,30,40,50,60,62,64,66,68,70,72,74,76,78,80,85,90,95,100})</f>
        <v>90</v>
      </c>
      <c r="I726" s="6">
        <v>17</v>
      </c>
      <c r="J726" s="1">
        <f>LOOKUP(I726,{0,2,3,4,5,6,7,8,9,10,11,12,13,14,15,16},{0,10,20,30,40,50,60,64,68,72,76,80,85,90,95,100})</f>
        <v>100</v>
      </c>
      <c r="K726" s="7">
        <f t="shared" si="317"/>
        <v>1</v>
      </c>
      <c r="L726" s="40">
        <f>LOOKUP(K726,{0,1,2,3,4,5,6,7,8,9,10},{0,1,2,3,4,5,6,7,8,9,10})</f>
        <v>1</v>
      </c>
      <c r="M726" s="21">
        <f t="shared" si="308"/>
        <v>101</v>
      </c>
      <c r="N726" s="6">
        <v>7.3</v>
      </c>
      <c r="O726" s="43">
        <f t="shared" si="316"/>
        <v>5.7</v>
      </c>
      <c r="P726" s="1">
        <f>LOOKUP(O726,{0,2.5,2.7,2.9,3.1,3.3,3.5,3.7,3.9,4.1,4.3,4.5,4.7,4.9,5.1,5.3,5.5,5.6,5.7,5.8,5.9},{0,10,20,30,40,50,60,62,64,66,68,70,72,74,76,78,80,85,90,95,100})</f>
        <v>90</v>
      </c>
      <c r="Q726" s="6">
        <v>3.32</v>
      </c>
      <c r="R726" s="6">
        <f t="shared" si="310"/>
        <v>6.68</v>
      </c>
      <c r="S726" s="1">
        <f>LOOKUP(R726,{0,3.75,3.95,4.55,4.75,4.95,5.55,5.6,5.65,5.7,5.75,5.8,5.85,5.9,5.95,6,6.45,6.53,6.6,6.65,6.7},{0,10,20,30,40,50,60,62,64,66,68,70,72,74,76,78,80,85,90,95,100})</f>
        <v>95</v>
      </c>
      <c r="T726" s="7"/>
      <c r="U726" s="7"/>
      <c r="V726" s="21">
        <f t="shared" si="311"/>
        <v>95</v>
      </c>
      <c r="X726" s="21">
        <f t="shared" si="314"/>
        <v>65</v>
      </c>
      <c r="Y726" s="37">
        <f t="shared" si="312"/>
        <v>93.8571428571429</v>
      </c>
    </row>
    <row r="727" ht="15.6" hidden="1" outlineLevel="2" spans="1:25">
      <c r="A727" s="6">
        <v>116</v>
      </c>
      <c r="B727" s="6">
        <v>24</v>
      </c>
      <c r="C727" s="29" t="s">
        <v>803</v>
      </c>
      <c r="D727" s="29" t="s">
        <v>11</v>
      </c>
      <c r="E727" s="6">
        <v>4</v>
      </c>
      <c r="F727" s="1">
        <f>LOOKUP(E727,{0,-4,-3,-2,-1,0,1,2.4,3.8,5.2,6.6,8,9.4,10.8,12.2,13.6,15,17.2,19.4,21.5,23.6},{0,10,20,30,40,50,60,62,64,66,68,70,72,74,76,78,80,85,90,95,100})</f>
        <v>64</v>
      </c>
      <c r="G727" s="6">
        <v>251</v>
      </c>
      <c r="H727" s="1">
        <f>LOOKUP(G727,{0,170,175,180,185,190,195,199,203,207,211,215,219,223,227,231,235,243,250,255,260},{0,10,20,30,40,50,60,62,64,66,68,70,72,74,76,78,80,85,90,95,100})</f>
        <v>90</v>
      </c>
      <c r="I727" s="6">
        <v>19</v>
      </c>
      <c r="J727" s="1">
        <f>LOOKUP(I727,{0,2,3,4,5,6,7,8,9,10,11,12,13,14,15,16},{0,10,20,30,40,50,60,64,68,72,76,80,85,90,95,100})</f>
        <v>100</v>
      </c>
      <c r="K727" s="7">
        <f t="shared" si="317"/>
        <v>3</v>
      </c>
      <c r="L727" s="40">
        <f>LOOKUP(K727,{0,1,2,3,4,5,6,7,8,9,10},{0,1,2,3,4,5,6,7,8,9,10})</f>
        <v>3</v>
      </c>
      <c r="M727" s="21">
        <f t="shared" si="308"/>
        <v>103</v>
      </c>
      <c r="N727" s="6">
        <v>7.1</v>
      </c>
      <c r="O727" s="43">
        <f t="shared" si="316"/>
        <v>5.9</v>
      </c>
      <c r="P727" s="1">
        <f>LOOKUP(O727,{0,2.5,2.7,2.9,3.1,3.3,3.5,3.7,3.9,4.1,4.3,4.5,4.7,4.9,5.1,5.3,5.5,5.6,5.7,5.8,5.9},{0,10,20,30,40,50,60,62,64,66,68,70,72,74,76,78,80,85,90,95,100})</f>
        <v>100</v>
      </c>
      <c r="Q727" s="6">
        <v>3.23</v>
      </c>
      <c r="R727" s="6">
        <f t="shared" si="310"/>
        <v>6.77</v>
      </c>
      <c r="S727" s="1">
        <f>LOOKUP(R727,{0,3.75,3.95,4.55,4.75,4.95,5.55,5.6,5.65,5.7,5.75,5.8,5.85,5.9,5.95,6,6.45,6.53,6.6,6.65,6.7},{0,10,20,30,40,50,60,62,64,66,68,70,72,74,76,78,80,85,90,95,100})</f>
        <v>100</v>
      </c>
      <c r="T727" s="7">
        <f>3.3-Q727</f>
        <v>0.0699999999999998</v>
      </c>
      <c r="U727" s="40">
        <f>LOOKUP(T727,{0,0.04,0.08,0.12,0.16,0.2,0.23,0.26,0.29,0.32,0.35},{0,1,2,3,4,5,6,7,8,9,10})</f>
        <v>1</v>
      </c>
      <c r="V727" s="21">
        <f t="shared" si="311"/>
        <v>101</v>
      </c>
      <c r="X727" s="21">
        <f t="shared" si="314"/>
        <v>65.4</v>
      </c>
      <c r="Y727" s="37">
        <f t="shared" si="312"/>
        <v>97.4285714285714</v>
      </c>
    </row>
    <row r="728" ht="15.6" hidden="1" outlineLevel="2" spans="1:25">
      <c r="A728" s="6">
        <v>116</v>
      </c>
      <c r="B728" s="6">
        <v>25</v>
      </c>
      <c r="C728" s="29" t="s">
        <v>804</v>
      </c>
      <c r="D728" s="29" t="s">
        <v>11</v>
      </c>
      <c r="E728" s="6">
        <v>7.5</v>
      </c>
      <c r="F728" s="1">
        <f>LOOKUP(E728,{0,-4,-3,-2,-1,0,1,2.4,3.8,5.2,6.6,8,9.4,10.8,12.2,13.6,15,17.2,19.4,21.5,23.6},{0,10,20,30,40,50,60,62,64,66,68,70,72,74,76,78,80,85,90,95,100})</f>
        <v>68</v>
      </c>
      <c r="G728" s="6">
        <v>225</v>
      </c>
      <c r="H728" s="1">
        <f>LOOKUP(G728,{0,170,175,180,185,190,195,199,203,207,211,215,219,223,227,231,235,243,250,255,260},{0,10,20,30,40,50,60,62,64,66,68,70,72,74,76,78,80,85,90,95,100})</f>
        <v>74</v>
      </c>
      <c r="I728" s="6">
        <v>27</v>
      </c>
      <c r="J728" s="1">
        <f>LOOKUP(I728,{0,2,3,4,5,6,7,8,9,10,11,12,13,14,15,16},{0,10,20,30,40,50,60,64,68,72,76,80,85,90,95,100})</f>
        <v>100</v>
      </c>
      <c r="K728" s="7">
        <f t="shared" si="317"/>
        <v>11</v>
      </c>
      <c r="L728" s="40">
        <f>LOOKUP(K728,{0,1,2,3,4,5,6,7,8,9,10},{0,1,2,3,4,5,6,7,8,9,10})</f>
        <v>10</v>
      </c>
      <c r="M728" s="21">
        <f t="shared" si="308"/>
        <v>110</v>
      </c>
      <c r="N728" s="6">
        <v>7.3</v>
      </c>
      <c r="O728" s="43">
        <f t="shared" si="316"/>
        <v>5.7</v>
      </c>
      <c r="P728" s="1">
        <f>LOOKUP(O728,{0,2.5,2.7,2.9,3.1,3.3,3.5,3.7,3.9,4.1,4.3,4.5,4.7,4.9,5.1,5.3,5.5,5.6,5.7,5.8,5.9},{0,10,20,30,40,50,60,62,64,66,68,70,72,74,76,78,80,85,90,95,100})</f>
        <v>90</v>
      </c>
      <c r="Q728" s="6">
        <v>3.05</v>
      </c>
      <c r="R728" s="6">
        <f t="shared" si="310"/>
        <v>6.95</v>
      </c>
      <c r="S728" s="1">
        <f>LOOKUP(R728,{0,3.75,3.95,4.55,4.75,4.95,5.55,5.6,5.65,5.7,5.75,5.8,5.85,5.9,5.95,6,6.45,6.53,6.6,6.65,6.7},{0,10,20,30,40,50,60,62,64,66,68,70,72,74,76,78,80,85,90,95,100})</f>
        <v>100</v>
      </c>
      <c r="T728" s="7">
        <f>3.3-Q728</f>
        <v>0.25</v>
      </c>
      <c r="U728" s="40">
        <f>LOOKUP(T728,{0,0.04,0.08,0.12,0.16,0.2,0.23,0.26,0.29,0.32,0.35},{0,1,2,3,4,5,6,7,8,9,10})</f>
        <v>6</v>
      </c>
      <c r="V728" s="21">
        <f t="shared" si="311"/>
        <v>106</v>
      </c>
      <c r="X728" s="21">
        <f t="shared" si="314"/>
        <v>62.2</v>
      </c>
      <c r="Y728" s="37">
        <f t="shared" si="312"/>
        <v>104.857142857143</v>
      </c>
    </row>
    <row r="729" ht="15.6" hidden="1" outlineLevel="2" spans="1:25">
      <c r="A729" s="6">
        <v>116</v>
      </c>
      <c r="B729" s="6">
        <v>26</v>
      </c>
      <c r="C729" s="6" t="s">
        <v>805</v>
      </c>
      <c r="D729" s="6" t="s">
        <v>11</v>
      </c>
      <c r="E729" s="6">
        <v>17</v>
      </c>
      <c r="F729" s="1">
        <f>LOOKUP(E729,{0,-4,-3,-2,-1,0,1,2.4,3.8,5.2,6.6,8,9.4,10.8,12.2,13.6,15,17.2,19.4,21.5,23.6},{0,10,20,30,40,50,60,62,64,66,68,70,72,74,76,78,80,85,90,95,100})</f>
        <v>80</v>
      </c>
      <c r="G729" s="6">
        <v>220</v>
      </c>
      <c r="H729" s="1">
        <f>LOOKUP(G729,{0,170,175,180,185,190,195,199,203,207,211,215,219,223,227,231,235,243,250,255,260},{0,10,20,30,40,50,60,62,64,66,68,70,72,74,76,78,80,85,90,95,100})</f>
        <v>72</v>
      </c>
      <c r="I729" s="6">
        <v>10</v>
      </c>
      <c r="J729" s="1">
        <f>LOOKUP(I729,{0,2,3,4,5,6,7,8,9,10,11,12,13,14,15,16},{0,10,20,30,40,50,60,64,68,72,76,80,85,90,95,100})</f>
        <v>72</v>
      </c>
      <c r="K729" s="7"/>
      <c r="L729" s="7"/>
      <c r="M729" s="21">
        <f t="shared" si="308"/>
        <v>72</v>
      </c>
      <c r="N729" s="6">
        <v>8</v>
      </c>
      <c r="O729" s="43">
        <f t="shared" si="316"/>
        <v>5</v>
      </c>
      <c r="P729" s="1">
        <f>LOOKUP(O729,{0,2.5,2.7,2.9,3.1,3.3,3.5,3.7,3.9,4.1,4.3,4.5,4.7,4.9,5.1,5.3,5.5,5.6,5.7,5.8,5.9},{0,10,20,30,40,50,60,62,64,66,68,70,72,74,76,78,80,85,90,95,100})</f>
        <v>74</v>
      </c>
      <c r="Q729" s="6">
        <v>3.48</v>
      </c>
      <c r="R729" s="6">
        <f t="shared" si="310"/>
        <v>6.52</v>
      </c>
      <c r="S729" s="1">
        <f>LOOKUP(R729,{0,3.75,3.95,4.55,4.75,4.95,5.55,5.6,5.65,5.7,5.75,5.8,5.85,5.9,5.95,6,6.45,6.53,6.6,6.65,6.7},{0,10,20,30,40,50,60,62,64,66,68,70,72,74,76,78,80,85,90,95,100})</f>
        <v>80</v>
      </c>
      <c r="T729" s="7"/>
      <c r="U729" s="7"/>
      <c r="V729" s="21">
        <f t="shared" si="311"/>
        <v>80</v>
      </c>
      <c r="X729" s="21">
        <f t="shared" si="314"/>
        <v>53.2</v>
      </c>
      <c r="Y729" s="37">
        <f t="shared" si="312"/>
        <v>76</v>
      </c>
    </row>
    <row r="730" ht="15.6" hidden="1" outlineLevel="2" spans="1:25">
      <c r="A730" s="6">
        <v>116</v>
      </c>
      <c r="B730" s="6">
        <v>27</v>
      </c>
      <c r="C730" s="39" t="s">
        <v>807</v>
      </c>
      <c r="D730" s="29" t="s">
        <v>46</v>
      </c>
      <c r="E730" s="6">
        <v>25.1</v>
      </c>
      <c r="F730" s="1">
        <f>LOOKUP(E730,{0,0.4,1.2,2,2.8,3.6,4.4,5.7,7,8.3,9.6,10.9,12.2,13.5,14.8,16.1,17.4,19.1,20.8,22.5,24.2},{0,10,20,30,40,50,60,62,64,66,68,70,72,74,76,78,80,85,90,95,100})</f>
        <v>100</v>
      </c>
      <c r="G730" s="6">
        <v>173</v>
      </c>
      <c r="H730" s="1">
        <f>LOOKUP(G730,{0,123,128,133,138,143,148,151,154,157,160,163,166,169,172,175,178,185,192,198,204},{0,10,20,30,40,50,60,62,64,66,68,70,72,74,76,78,80,85,90,95,100})</f>
        <v>76</v>
      </c>
      <c r="I730" s="6">
        <v>44</v>
      </c>
      <c r="J730" s="1">
        <f>LOOKUP(I730,{0,13,15,17,19,21,23,25,27,29,31,33,35,37,39,41,43,46,49,51,53},{0,10,20,30,40,50,60,62,64,66,68,70,72,74,76,78,80,85,90,95,100})</f>
        <v>80</v>
      </c>
      <c r="K730" s="45"/>
      <c r="L730" s="45"/>
      <c r="M730" s="21">
        <f t="shared" si="308"/>
        <v>80</v>
      </c>
      <c r="N730" s="6">
        <v>8.8</v>
      </c>
      <c r="O730" s="43">
        <f t="shared" si="316"/>
        <v>4.2</v>
      </c>
      <c r="P730" s="1">
        <f>LOOKUP(O730,{0,1.4,1.6,1.8,2,2.2,2.4,2.6,2.8,3,3.2,3.4,3.6,3.8,4,4.2,4.4,4.7,5,5.1,5.2},{0,10,20,30,40,50,60,62,64,66,68,70,72,74,76,78,80,85,90,95,100})</f>
        <v>78</v>
      </c>
      <c r="Q730" s="6">
        <v>3.22</v>
      </c>
      <c r="R730" s="6">
        <f t="shared" si="310"/>
        <v>6.78</v>
      </c>
      <c r="S730" s="1">
        <f>LOOKUP(R730,{0,4.7,4.8,4.9,5,5.5,5.6,5.65,5.7,5.75,5.8,5.85,5.9,5.95,6,6.45,6.5,6.57,6.64,6.7,6.76},{0,10,20,30,40,50,60,62,64,66,68,70,72,74,76,78,80,85,90,95,100})</f>
        <v>100</v>
      </c>
      <c r="T730" s="48">
        <f>3.24-Q730</f>
        <v>0.02</v>
      </c>
      <c r="U730" s="40">
        <f>LOOKUP(T730,{0,0.05,0.1,0.15,0.2,0.25,0.3,0.35,0.4,0.45,0.5},{0,1,2,3,4,5,6,7,8,9,10})</f>
        <v>0</v>
      </c>
      <c r="V730" s="21">
        <f t="shared" si="311"/>
        <v>100</v>
      </c>
      <c r="X730" s="21">
        <f t="shared" si="314"/>
        <v>61.2</v>
      </c>
      <c r="Y730" s="37">
        <f t="shared" si="312"/>
        <v>87.4285714285714</v>
      </c>
    </row>
    <row r="731" s="3" customFormat="1" ht="15.6" hidden="1" outlineLevel="2" spans="1:25">
      <c r="A731" s="6">
        <v>116</v>
      </c>
      <c r="B731" s="6">
        <v>28</v>
      </c>
      <c r="C731" s="29" t="s">
        <v>808</v>
      </c>
      <c r="D731" s="29" t="s">
        <v>46</v>
      </c>
      <c r="E731" s="6">
        <v>19.6</v>
      </c>
      <c r="F731" s="1">
        <f>LOOKUP(E731,{0,0.4,1.2,2,2.8,3.6,4.4,5.7,7,8.3,9.6,10.9,12.2,13.5,14.8,16.1,17.4,19.1,20.8,22.5,24.2},{0,10,20,30,40,50,60,62,64,66,68,70,72,74,76,78,80,85,90,95,100})</f>
        <v>85</v>
      </c>
      <c r="G731" s="6">
        <v>208</v>
      </c>
      <c r="H731" s="1">
        <f>LOOKUP(G731,{0,123,128,133,138,143,148,151,154,157,160,163,166,169,172,175,178,185,192,198,204},{0,10,20,30,40,50,60,62,64,66,68,70,72,74,76,78,80,85,90,95,100})</f>
        <v>100</v>
      </c>
      <c r="I731" s="6">
        <v>40</v>
      </c>
      <c r="J731" s="1">
        <f>LOOKUP(I731,{0,13,15,17,19,21,23,25,27,29,31,33,35,37,39,41,43,46,49,51,53},{0,10,20,30,40,50,60,62,64,66,68,70,72,74,76,78,80,85,90,95,100})</f>
        <v>76</v>
      </c>
      <c r="K731" s="45"/>
      <c r="L731" s="45"/>
      <c r="M731" s="21">
        <f t="shared" si="308"/>
        <v>76</v>
      </c>
      <c r="N731" s="6">
        <v>8.5</v>
      </c>
      <c r="O731" s="43">
        <f t="shared" si="316"/>
        <v>4.5</v>
      </c>
      <c r="P731" s="1">
        <f>LOOKUP(O731,{0,1.4,1.6,1.8,2,2.2,2.4,2.6,2.8,3,3.2,3.4,3.6,3.8,4,4.2,4.4,4.7,5,5.1,5.2},{0,10,20,30,40,50,60,62,64,66,68,70,72,74,76,78,80,85,90,95,100})</f>
        <v>80</v>
      </c>
      <c r="Q731" s="6">
        <v>3.4</v>
      </c>
      <c r="R731" s="6">
        <f t="shared" si="310"/>
        <v>6.6</v>
      </c>
      <c r="S731" s="1">
        <f>LOOKUP(R731,{0,4.7,4.8,4.9,5,5.5,5.6,5.65,5.7,5.75,5.8,5.85,5.9,5.95,6,6.45,6.5,6.57,6.64,6.7,6.76},{0,10,20,30,40,50,60,62,64,66,68,70,72,74,76,78,80,85,90,95,100})</f>
        <v>85</v>
      </c>
      <c r="T731" s="45"/>
      <c r="U731" s="45"/>
      <c r="V731" s="21">
        <f t="shared" si="311"/>
        <v>85</v>
      </c>
      <c r="W731" s="6"/>
      <c r="X731" s="21">
        <f t="shared" si="314"/>
        <v>59.1</v>
      </c>
      <c r="Y731" s="37">
        <f t="shared" si="312"/>
        <v>84.4285714285714</v>
      </c>
    </row>
    <row r="732" ht="15.6" hidden="1" outlineLevel="2" spans="1:25">
      <c r="A732" s="6">
        <v>116</v>
      </c>
      <c r="B732" s="6">
        <v>29</v>
      </c>
      <c r="C732" s="29" t="s">
        <v>809</v>
      </c>
      <c r="D732" s="29" t="s">
        <v>46</v>
      </c>
      <c r="E732" s="6">
        <v>13.7</v>
      </c>
      <c r="F732" s="1">
        <f>LOOKUP(E732,{0,0.4,1.2,2,2.8,3.6,4.4,5.7,7,8.3,9.6,10.9,12.2,13.5,14.8,16.1,17.4,19.1,20.8,22.5,24.2},{0,10,20,30,40,50,60,62,64,66,68,70,72,74,76,78,80,85,90,95,100})</f>
        <v>74</v>
      </c>
      <c r="G732" s="6">
        <v>171</v>
      </c>
      <c r="H732" s="1">
        <f>LOOKUP(G732,{0,123,128,133,138,143,148,151,154,157,160,163,166,169,172,175,178,185,192,198,204},{0,10,20,30,40,50,60,62,64,66,68,70,72,74,76,78,80,85,90,95,100})</f>
        <v>74</v>
      </c>
      <c r="I732" s="6">
        <v>57</v>
      </c>
      <c r="J732" s="1">
        <f>LOOKUP(I732,{0,13,15,17,19,21,23,25,27,29,31,33,35,37,39,41,43,46,49,51,53},{0,10,20,30,40,50,60,62,64,66,68,70,72,74,76,78,80,85,90,95,100})</f>
        <v>100</v>
      </c>
      <c r="K732" s="45">
        <f>I732-53</f>
        <v>4</v>
      </c>
      <c r="L732" s="40">
        <f>LOOKUP(K732,{0,2,4,6,7,8,9,10,11,12,13},{0,1,2,3,4,5,6,7,8,9,10})</f>
        <v>2</v>
      </c>
      <c r="M732" s="21">
        <f t="shared" si="308"/>
        <v>102</v>
      </c>
      <c r="N732" s="6">
        <v>10.2</v>
      </c>
      <c r="O732" s="43">
        <f t="shared" si="316"/>
        <v>2.8</v>
      </c>
      <c r="P732" s="1">
        <f>LOOKUP(O732,{0,1.4,1.6,1.8,2,2.2,2.4,2.6,2.8,3,3.2,3.4,3.6,3.8,4,4.2,4.4,4.7,5,5.1,5.2},{0,10,20,30,40,50,60,62,64,66,68,70,72,74,76,78,80,85,90,95,100})</f>
        <v>64</v>
      </c>
      <c r="Q732" s="6">
        <v>4.08</v>
      </c>
      <c r="R732" s="6">
        <f t="shared" si="310"/>
        <v>5.92</v>
      </c>
      <c r="S732" s="1">
        <f>LOOKUP(R732,{0,4.7,4.8,4.9,5,5.5,5.6,5.65,5.7,5.75,5.8,5.85,5.9,5.95,6,6.45,6.5,6.57,6.64,6.7,6.76},{0,10,20,30,40,50,60,62,64,66,68,70,72,74,76,78,80,85,90,95,100})</f>
        <v>72</v>
      </c>
      <c r="T732" s="45"/>
      <c r="U732" s="45"/>
      <c r="V732" s="21">
        <f t="shared" si="311"/>
        <v>72</v>
      </c>
      <c r="X732" s="21">
        <f t="shared" si="314"/>
        <v>52</v>
      </c>
      <c r="Y732" s="37">
        <f t="shared" si="312"/>
        <v>76.2857142857143</v>
      </c>
    </row>
    <row r="733" ht="15.6" hidden="1" outlineLevel="2" spans="1:25">
      <c r="A733" s="6">
        <v>116</v>
      </c>
      <c r="B733" s="6">
        <v>30</v>
      </c>
      <c r="C733" s="29" t="s">
        <v>810</v>
      </c>
      <c r="D733" s="29" t="s">
        <v>46</v>
      </c>
      <c r="E733" s="6">
        <v>15.6</v>
      </c>
      <c r="F733" s="1">
        <f>LOOKUP(E733,{0,0.4,1.2,2,2.8,3.6,4.4,5.7,7,8.3,9.6,10.9,12.2,13.5,14.8,16.1,17.4,19.1,20.8,22.5,24.2},{0,10,20,30,40,50,60,62,64,66,68,70,72,74,76,78,80,85,90,95,100})</f>
        <v>76</v>
      </c>
      <c r="G733" s="6">
        <v>173</v>
      </c>
      <c r="H733" s="1">
        <f>LOOKUP(G733,{0,123,128,133,138,143,148,151,154,157,160,163,166,169,172,175,178,185,192,198,204},{0,10,20,30,40,50,60,62,64,66,68,70,72,74,76,78,80,85,90,95,100})</f>
        <v>76</v>
      </c>
      <c r="I733" s="6">
        <v>50</v>
      </c>
      <c r="J733" s="1">
        <f>LOOKUP(I733,{0,13,15,17,19,21,23,25,27,29,31,33,35,37,39,41,43,46,49,51,53},{0,10,20,30,40,50,60,62,64,66,68,70,72,74,76,78,80,85,90,95,100})</f>
        <v>90</v>
      </c>
      <c r="K733" s="45"/>
      <c r="L733" s="45"/>
      <c r="M733" s="21">
        <f t="shared" si="308"/>
        <v>90</v>
      </c>
      <c r="N733" s="6">
        <v>9.4</v>
      </c>
      <c r="O733" s="43">
        <f t="shared" si="316"/>
        <v>3.6</v>
      </c>
      <c r="P733" s="1">
        <f>LOOKUP(O733,{0,1.4,1.6,1.8,2,2.2,2.4,2.6,2.8,3,3.2,3.4,3.6,3.8,4,4.2,4.4,4.7,5,5.1,5.2},{0,10,20,30,40,50,60,62,64,66,68,70,72,74,76,78,80,85,90,95,100})</f>
        <v>72</v>
      </c>
      <c r="Q733" s="6">
        <v>3.52</v>
      </c>
      <c r="R733" s="6">
        <f t="shared" si="310"/>
        <v>6.48</v>
      </c>
      <c r="S733" s="1">
        <f>LOOKUP(R733,{0,4.7,4.8,4.9,5,5.5,5.6,5.65,5.7,5.75,5.8,5.85,5.9,5.95,6,6.45,6.5,6.57,6.64,6.7,6.76},{0,10,20,30,40,50,60,62,64,66,68,70,72,74,76,78,80,85,90,95,100})</f>
        <v>78</v>
      </c>
      <c r="T733" s="45"/>
      <c r="U733" s="45"/>
      <c r="V733" s="21">
        <f t="shared" si="311"/>
        <v>78</v>
      </c>
      <c r="X733" s="21">
        <f t="shared" si="314"/>
        <v>54.2</v>
      </c>
      <c r="Y733" s="37">
        <f t="shared" si="312"/>
        <v>77.4285714285714</v>
      </c>
    </row>
    <row r="734" ht="15.6" hidden="1" outlineLevel="2" spans="1:25">
      <c r="A734" s="6">
        <v>116</v>
      </c>
      <c r="B734" s="6">
        <v>31</v>
      </c>
      <c r="C734" s="29" t="s">
        <v>811</v>
      </c>
      <c r="D734" s="29" t="s">
        <v>46</v>
      </c>
      <c r="E734" s="6">
        <v>16.5</v>
      </c>
      <c r="F734" s="1">
        <f>LOOKUP(E734,{0,0.4,1.2,2,2.8,3.6,4.4,5.7,7,8.3,9.6,10.9,12.2,13.5,14.8,16.1,17.4,19.1,20.8,22.5,24.2},{0,10,20,30,40,50,60,62,64,66,68,70,72,74,76,78,80,85,90,95,100})</f>
        <v>78</v>
      </c>
      <c r="G734" s="6">
        <v>153</v>
      </c>
      <c r="H734" s="1">
        <f>LOOKUP(G734,{0,123,128,133,138,143,148,151,154,157,160,163,166,169,172,175,178,185,192,198,204},{0,10,20,30,40,50,60,62,64,66,68,70,72,74,76,78,80,85,90,95,100})</f>
        <v>62</v>
      </c>
      <c r="I734" s="6">
        <v>51</v>
      </c>
      <c r="J734" s="1">
        <f>LOOKUP(I734,{0,13,15,17,19,21,23,25,27,29,31,33,35,37,39,41,43,46,49,51,53},{0,10,20,30,40,50,60,62,64,66,68,70,72,74,76,78,80,85,90,95,100})</f>
        <v>95</v>
      </c>
      <c r="K734" s="45"/>
      <c r="L734" s="45"/>
      <c r="M734" s="21">
        <f t="shared" si="308"/>
        <v>95</v>
      </c>
      <c r="N734" s="6">
        <v>9.3</v>
      </c>
      <c r="O734" s="43">
        <f t="shared" si="316"/>
        <v>3.7</v>
      </c>
      <c r="P734" s="1">
        <f>LOOKUP(O734,{0,1.4,1.6,1.8,2,2.2,2.4,2.6,2.8,3,3.2,3.4,3.6,3.8,4,4.2,4.4,4.7,5,5.1,5.2},{0,10,20,30,40,50,60,62,64,66,68,70,72,74,76,78,80,85,90,95,100})</f>
        <v>72</v>
      </c>
      <c r="Q734" s="6">
        <v>4.2</v>
      </c>
      <c r="R734" s="6">
        <f t="shared" si="310"/>
        <v>5.8</v>
      </c>
      <c r="S734" s="1">
        <f>LOOKUP(R734,{0,4.7,4.8,4.9,5,5.5,5.6,5.65,5.7,5.75,5.8,5.85,5.9,5.95,6,6.45,6.5,6.57,6.64,6.7,6.76},{0,10,20,30,40,50,60,62,64,66,68,70,72,74,76,78,80,85,90,95,100})</f>
        <v>68</v>
      </c>
      <c r="T734" s="45"/>
      <c r="U734" s="45"/>
      <c r="V734" s="21">
        <f t="shared" si="311"/>
        <v>68</v>
      </c>
      <c r="X734" s="21">
        <f t="shared" si="314"/>
        <v>51.5</v>
      </c>
      <c r="Y734" s="37">
        <f t="shared" si="312"/>
        <v>73.5714285714286</v>
      </c>
    </row>
    <row r="735" ht="15.6" hidden="1" outlineLevel="2" spans="1:25">
      <c r="A735" s="6">
        <v>116</v>
      </c>
      <c r="B735" s="6">
        <v>32</v>
      </c>
      <c r="C735" s="29" t="s">
        <v>812</v>
      </c>
      <c r="D735" s="29" t="s">
        <v>46</v>
      </c>
      <c r="E735" s="6">
        <v>21.4</v>
      </c>
      <c r="F735" s="1">
        <f>LOOKUP(E735,{0,0.4,1.2,2,2.8,3.6,4.4,5.7,7,8.3,9.6,10.9,12.2,13.5,14.8,16.1,17.4,19.1,20.8,22.5,24.2},{0,10,20,30,40,50,60,62,64,66,68,70,72,74,76,78,80,85,90,95,100})</f>
        <v>90</v>
      </c>
      <c r="G735" s="6">
        <v>201</v>
      </c>
      <c r="H735" s="1">
        <f>LOOKUP(G735,{0,123,128,133,138,143,148,151,154,157,160,163,166,169,172,175,178,185,192,198,204},{0,10,20,30,40,50,60,62,64,66,68,70,72,74,76,78,80,85,90,95,100})</f>
        <v>95</v>
      </c>
      <c r="I735" s="6">
        <v>54</v>
      </c>
      <c r="J735" s="1">
        <f>LOOKUP(I735,{0,13,15,17,19,21,23,25,27,29,31,33,35,37,39,41,43,46,49,51,53},{0,10,20,30,40,50,60,62,64,66,68,70,72,74,76,78,80,85,90,95,100})</f>
        <v>100</v>
      </c>
      <c r="K735" s="45">
        <f>I735-53</f>
        <v>1</v>
      </c>
      <c r="L735" s="40">
        <f>LOOKUP(K735,{0,2,4,6,7,8,9,10,11,12,13},{0,1,2,3,4,5,6,7,8,9,10})</f>
        <v>0</v>
      </c>
      <c r="M735" s="21">
        <f t="shared" si="308"/>
        <v>100</v>
      </c>
      <c r="N735" s="6">
        <v>8.1</v>
      </c>
      <c r="O735" s="43">
        <f t="shared" si="316"/>
        <v>4.9</v>
      </c>
      <c r="P735" s="1">
        <f>LOOKUP(O735,{0,1.4,1.6,1.8,2,2.2,2.4,2.6,2.8,3,3.2,3.4,3.6,3.8,4,4.2,4.4,4.7,5,5.1,5.2},{0,10,20,30,40,50,60,62,64,66,68,70,72,74,76,78,80,85,90,95,100})</f>
        <v>85</v>
      </c>
      <c r="Q735" s="6">
        <v>3.27</v>
      </c>
      <c r="R735" s="6">
        <f t="shared" si="310"/>
        <v>6.73</v>
      </c>
      <c r="S735" s="1">
        <f>LOOKUP(R735,{0,4.7,4.8,4.9,5,5.5,5.6,5.65,5.7,5.75,5.8,5.85,5.9,5.95,6,6.45,6.5,6.57,6.64,6.7,6.76},{0,10,20,30,40,50,60,62,64,66,68,70,72,74,76,78,80,85,90,95,100})</f>
        <v>95</v>
      </c>
      <c r="T735" s="45"/>
      <c r="U735" s="45"/>
      <c r="V735" s="21">
        <f t="shared" si="311"/>
        <v>95</v>
      </c>
      <c r="X735" s="21">
        <f t="shared" si="314"/>
        <v>64.5</v>
      </c>
      <c r="Y735" s="37">
        <f t="shared" si="312"/>
        <v>92.1428571428572</v>
      </c>
    </row>
    <row r="736" ht="15.6" hidden="1" outlineLevel="2" spans="1:25">
      <c r="A736" s="6">
        <v>116</v>
      </c>
      <c r="B736" s="6">
        <v>33</v>
      </c>
      <c r="C736" s="29" t="s">
        <v>813</v>
      </c>
      <c r="D736" s="29" t="s">
        <v>46</v>
      </c>
      <c r="E736" s="6">
        <v>26</v>
      </c>
      <c r="F736" s="1">
        <f>LOOKUP(E736,{0,0.4,1.2,2,2.8,3.6,4.4,5.7,7,8.3,9.6,10.9,12.2,13.5,14.8,16.1,17.4,19.1,20.8,22.5,24.2},{0,10,20,30,40,50,60,62,64,66,68,70,72,74,76,78,80,85,90,95,100})</f>
        <v>100</v>
      </c>
      <c r="G736" s="6">
        <v>185</v>
      </c>
      <c r="H736" s="1">
        <f>LOOKUP(G736,{0,123,128,133,138,143,148,151,154,157,160,163,166,169,172,175,178,185,192,198,204},{0,10,20,30,40,50,60,62,64,66,68,70,72,74,76,78,80,85,90,95,100})</f>
        <v>85</v>
      </c>
      <c r="I736" s="6">
        <v>48</v>
      </c>
      <c r="J736" s="1">
        <f>LOOKUP(I736,{0,13,15,17,19,21,23,25,27,29,31,33,35,37,39,41,43,46,49,51,53},{0,10,20,30,40,50,60,62,64,66,68,70,72,74,76,78,80,85,90,95,100})</f>
        <v>85</v>
      </c>
      <c r="K736" s="45"/>
      <c r="L736" s="45"/>
      <c r="M736" s="21">
        <f t="shared" si="308"/>
        <v>85</v>
      </c>
      <c r="N736" s="6">
        <v>8.7</v>
      </c>
      <c r="O736" s="43">
        <f t="shared" si="316"/>
        <v>4.3</v>
      </c>
      <c r="P736" s="1">
        <f>LOOKUP(O736,{0,1.4,1.6,1.8,2,2.2,2.4,2.6,2.8,3,3.2,3.4,3.6,3.8,4,4.2,4.4,4.7,5,5.1,5.2},{0,10,20,30,40,50,60,62,64,66,68,70,72,74,76,78,80,85,90,95,100})</f>
        <v>78</v>
      </c>
      <c r="Q736" s="6">
        <v>3.32</v>
      </c>
      <c r="R736" s="6">
        <f t="shared" si="310"/>
        <v>6.68</v>
      </c>
      <c r="S736" s="1">
        <f>LOOKUP(R736,{0,4.7,4.8,4.9,5,5.5,5.6,5.65,5.7,5.75,5.8,5.85,5.9,5.95,6,6.45,6.5,6.57,6.64,6.7,6.76},{0,10,20,30,40,50,60,62,64,66,68,70,72,74,76,78,80,85,90,95,100})</f>
        <v>90</v>
      </c>
      <c r="T736" s="45"/>
      <c r="U736" s="45"/>
      <c r="V736" s="21">
        <f t="shared" si="311"/>
        <v>90</v>
      </c>
      <c r="X736" s="21">
        <f t="shared" si="314"/>
        <v>60.6</v>
      </c>
      <c r="Y736" s="37">
        <f t="shared" si="312"/>
        <v>86.5714285714286</v>
      </c>
    </row>
    <row r="737" ht="15.6" hidden="1" outlineLevel="2" spans="1:25">
      <c r="A737" s="6">
        <v>116</v>
      </c>
      <c r="B737" s="6">
        <v>34</v>
      </c>
      <c r="C737" s="29" t="s">
        <v>814</v>
      </c>
      <c r="D737" s="29" t="s">
        <v>46</v>
      </c>
      <c r="E737" s="6">
        <v>25.5</v>
      </c>
      <c r="F737" s="1">
        <f>LOOKUP(E737,{0,0.4,1.2,2,2.8,3.6,4.4,5.7,7,8.3,9.6,10.9,12.2,13.5,14.8,16.1,17.4,19.1,20.8,22.5,24.2},{0,10,20,30,40,50,60,62,64,66,68,70,72,74,76,78,80,85,90,95,100})</f>
        <v>100</v>
      </c>
      <c r="G737" s="6">
        <v>171</v>
      </c>
      <c r="H737" s="1">
        <f>LOOKUP(G737,{0,123,128,133,138,143,148,151,154,157,160,163,166,169,172,175,178,185,192,198,204},{0,10,20,30,40,50,60,62,64,66,68,70,72,74,76,78,80,85,90,95,100})</f>
        <v>74</v>
      </c>
      <c r="I737" s="6">
        <v>45</v>
      </c>
      <c r="J737" s="1">
        <f>LOOKUP(I737,{0,13,15,17,19,21,23,25,27,29,31,33,35,37,39,41,43,46,49,51,53},{0,10,20,30,40,50,60,62,64,66,68,70,72,74,76,78,80,85,90,95,100})</f>
        <v>80</v>
      </c>
      <c r="K737" s="45"/>
      <c r="L737" s="45"/>
      <c r="M737" s="21">
        <f t="shared" si="308"/>
        <v>80</v>
      </c>
      <c r="N737" s="6">
        <v>9.2</v>
      </c>
      <c r="O737" s="43">
        <f t="shared" si="316"/>
        <v>3.8</v>
      </c>
      <c r="P737" s="1">
        <f>LOOKUP(O737,{0,1.4,1.6,1.8,2,2.2,2.4,2.6,2.8,3,3.2,3.4,3.6,3.8,4,4.2,4.4,4.7,5,5.1,5.2},{0,10,20,30,40,50,60,62,64,66,68,70,72,74,76,78,80,85,90,95,100})</f>
        <v>74</v>
      </c>
      <c r="Q737" s="6">
        <v>3.3</v>
      </c>
      <c r="R737" s="6">
        <f t="shared" si="310"/>
        <v>6.7</v>
      </c>
      <c r="S737" s="1">
        <f>LOOKUP(R737,{0,4.7,4.8,4.9,5,5.5,5.6,5.65,5.7,5.75,5.8,5.85,5.9,5.95,6,6.45,6.5,6.57,6.64,6.7,6.76},{0,10,20,30,40,50,60,62,64,66,68,70,72,74,76,78,80,85,90,95,100})</f>
        <v>95</v>
      </c>
      <c r="T737" s="45"/>
      <c r="U737" s="45"/>
      <c r="V737" s="21">
        <f t="shared" si="311"/>
        <v>95</v>
      </c>
      <c r="X737" s="21">
        <f t="shared" si="314"/>
        <v>59.2</v>
      </c>
      <c r="Y737" s="37">
        <f t="shared" si="312"/>
        <v>84.5714285714286</v>
      </c>
    </row>
    <row r="738" ht="15.6" hidden="1" outlineLevel="2" spans="1:25">
      <c r="A738" s="6">
        <v>116</v>
      </c>
      <c r="B738" s="6">
        <v>35</v>
      </c>
      <c r="C738" s="29" t="s">
        <v>815</v>
      </c>
      <c r="D738" s="29" t="s">
        <v>46</v>
      </c>
      <c r="E738" s="6">
        <v>19.7</v>
      </c>
      <c r="F738" s="1">
        <f>LOOKUP(E738,{0,0.4,1.2,2,2.8,3.6,4.4,5.7,7,8.3,9.6,10.9,12.2,13.5,14.8,16.1,17.4,19.1,20.8,22.5,24.2},{0,10,20,30,40,50,60,62,64,66,68,70,72,74,76,78,80,85,90,95,100})</f>
        <v>85</v>
      </c>
      <c r="G738" s="6">
        <v>181</v>
      </c>
      <c r="H738" s="1">
        <f>LOOKUP(G738,{0,123,128,133,138,143,148,151,154,157,160,163,166,169,172,175,178,185,192,198,204},{0,10,20,30,40,50,60,62,64,66,68,70,72,74,76,78,80,85,90,95,100})</f>
        <v>80</v>
      </c>
      <c r="I738" s="6">
        <v>28</v>
      </c>
      <c r="J738" s="1">
        <f>LOOKUP(I738,{0,13,15,17,19,21,23,25,27,29,31,33,35,37,39,41,43,46,49,51,53},{0,10,20,30,40,50,60,62,64,66,68,70,72,74,76,78,80,85,90,95,100})</f>
        <v>64</v>
      </c>
      <c r="K738" s="45"/>
      <c r="L738" s="45"/>
      <c r="M738" s="21">
        <f t="shared" si="308"/>
        <v>64</v>
      </c>
      <c r="N738" s="6">
        <v>8.2</v>
      </c>
      <c r="O738" s="43">
        <f t="shared" si="316"/>
        <v>4.8</v>
      </c>
      <c r="P738" s="1">
        <f>LOOKUP(O738,{0,1.4,1.6,1.8,2,2.2,2.4,2.6,2.8,3,3.2,3.4,3.6,3.8,4,4.2,4.4,4.7,5,5.1,5.2},{0,10,20,30,40,50,60,62,64,66,68,70,72,74,76,78,80,85,90,95,100})</f>
        <v>85</v>
      </c>
      <c r="Q738" s="6">
        <v>3.26</v>
      </c>
      <c r="R738" s="6">
        <f t="shared" si="310"/>
        <v>6.74</v>
      </c>
      <c r="S738" s="1">
        <f>LOOKUP(R738,{0,4.7,4.8,4.9,5,5.5,5.6,5.65,5.7,5.75,5.8,5.85,5.9,5.95,6,6.45,6.5,6.57,6.64,6.7,6.76},{0,10,20,30,40,50,60,62,64,66,68,70,72,74,76,78,80,85,90,95,100})</f>
        <v>95</v>
      </c>
      <c r="T738" s="45"/>
      <c r="U738" s="45"/>
      <c r="V738" s="21">
        <f t="shared" si="311"/>
        <v>95</v>
      </c>
      <c r="X738" s="21">
        <f t="shared" si="314"/>
        <v>58.9</v>
      </c>
      <c r="Y738" s="37">
        <f t="shared" si="312"/>
        <v>84.1428571428572</v>
      </c>
    </row>
    <row r="739" ht="15.6" hidden="1" outlineLevel="2" spans="1:25">
      <c r="A739" s="6">
        <v>116</v>
      </c>
      <c r="B739" s="6">
        <v>36</v>
      </c>
      <c r="C739" s="29" t="s">
        <v>816</v>
      </c>
      <c r="D739" s="29" t="s">
        <v>46</v>
      </c>
      <c r="E739" s="6">
        <v>23</v>
      </c>
      <c r="F739" s="1">
        <f>LOOKUP(E739,{0,0.4,1.2,2,2.8,3.6,4.4,5.7,7,8.3,9.6,10.9,12.2,13.5,14.8,16.1,17.4,19.1,20.8,22.5,24.2},{0,10,20,30,40,50,60,62,64,66,68,70,72,74,76,78,80,85,90,95,100})</f>
        <v>95</v>
      </c>
      <c r="G739" s="6">
        <v>184</v>
      </c>
      <c r="H739" s="1">
        <f>LOOKUP(G739,{0,123,128,133,138,143,148,151,154,157,160,163,166,169,172,175,178,185,192,198,204},{0,10,20,30,40,50,60,62,64,66,68,70,72,74,76,78,80,85,90,95,100})</f>
        <v>80</v>
      </c>
      <c r="I739" s="6">
        <v>40</v>
      </c>
      <c r="J739" s="1">
        <f>LOOKUP(I739,{0,13,15,17,19,21,23,25,27,29,31,33,35,37,39,41,43,46,49,51,53},{0,10,20,30,40,50,60,62,64,66,68,70,72,74,76,78,80,85,90,95,100})</f>
        <v>76</v>
      </c>
      <c r="K739" s="45"/>
      <c r="L739" s="45"/>
      <c r="M739" s="21">
        <f t="shared" si="308"/>
        <v>76</v>
      </c>
      <c r="N739" s="6">
        <v>8</v>
      </c>
      <c r="O739" s="43">
        <f t="shared" si="316"/>
        <v>5</v>
      </c>
      <c r="P739" s="1">
        <f>LOOKUP(O739,{0,1.4,1.6,1.8,2,2.2,2.4,2.6,2.8,3,3.2,3.4,3.6,3.8,4,4.2,4.4,4.7,5,5.1,5.2},{0,10,20,30,40,50,60,62,64,66,68,70,72,74,76,78,80,85,90,95,100})</f>
        <v>90</v>
      </c>
      <c r="Q739" s="6">
        <v>3.33</v>
      </c>
      <c r="R739" s="6">
        <f t="shared" si="310"/>
        <v>6.67</v>
      </c>
      <c r="S739" s="1">
        <f>LOOKUP(R739,{0,4.7,4.8,4.9,5,5.5,5.6,5.65,5.7,5.75,5.8,5.85,5.9,5.95,6,6.45,6.5,6.57,6.64,6.7,6.76},{0,10,20,30,40,50,60,62,64,66,68,70,72,74,76,78,80,85,90,95,100})</f>
        <v>90</v>
      </c>
      <c r="T739" s="45"/>
      <c r="U739" s="45"/>
      <c r="V739" s="21">
        <f t="shared" si="311"/>
        <v>90</v>
      </c>
      <c r="X739" s="21">
        <f t="shared" si="314"/>
        <v>61.1</v>
      </c>
      <c r="Y739" s="37">
        <f t="shared" si="312"/>
        <v>87.2857142857143</v>
      </c>
    </row>
    <row r="740" ht="15.6" hidden="1" outlineLevel="2" spans="1:25">
      <c r="A740" s="6">
        <v>116</v>
      </c>
      <c r="B740" s="6">
        <v>37</v>
      </c>
      <c r="C740" s="29" t="s">
        <v>817</v>
      </c>
      <c r="D740" s="29" t="s">
        <v>46</v>
      </c>
      <c r="E740" s="6">
        <v>22.1</v>
      </c>
      <c r="F740" s="1">
        <f>LOOKUP(E740,{0,0.4,1.2,2,2.8,3.6,4.4,5.7,7,8.3,9.6,10.9,12.2,13.5,14.8,16.1,17.4,19.1,20.8,22.5,24.2},{0,10,20,30,40,50,60,62,64,66,68,70,72,74,76,78,80,85,90,95,100})</f>
        <v>90</v>
      </c>
      <c r="G740" s="6">
        <v>207</v>
      </c>
      <c r="H740" s="1">
        <f>LOOKUP(G740,{0,123,128,133,138,143,148,151,154,157,160,163,166,169,172,175,178,185,192,198,204},{0,10,20,30,40,50,60,62,64,66,68,70,72,74,76,78,80,85,90,95,100})</f>
        <v>100</v>
      </c>
      <c r="I740" s="6">
        <v>38</v>
      </c>
      <c r="J740" s="1">
        <f>LOOKUP(I740,{0,13,15,17,19,21,23,25,27,29,31,33,35,37,39,41,43,46,49,51,53},{0,10,20,30,40,50,60,62,64,66,68,70,72,74,76,78,80,85,90,95,100})</f>
        <v>74</v>
      </c>
      <c r="K740" s="45"/>
      <c r="L740" s="45"/>
      <c r="M740" s="21">
        <f t="shared" si="308"/>
        <v>74</v>
      </c>
      <c r="N740" s="6">
        <v>7.7</v>
      </c>
      <c r="O740" s="43">
        <f t="shared" si="316"/>
        <v>5.3</v>
      </c>
      <c r="P740" s="1">
        <f>LOOKUP(O740,{0,1.4,1.6,1.8,2,2.2,2.4,2.6,2.8,3,3.2,3.4,3.6,3.8,4,4.2,4.4,4.7,5,5.1,5.2},{0,10,20,30,40,50,60,62,64,66,68,70,72,74,76,78,80,85,90,95,100})</f>
        <v>100</v>
      </c>
      <c r="Q740" s="6">
        <v>3.04</v>
      </c>
      <c r="R740" s="6">
        <f t="shared" si="310"/>
        <v>6.96</v>
      </c>
      <c r="S740" s="1">
        <f>LOOKUP(R740,{0,4.7,4.8,4.9,5,5.5,5.6,5.65,5.7,5.75,5.8,5.85,5.9,5.95,6,6.45,6.5,6.57,6.64,6.7,6.76},{0,10,20,30,40,50,60,62,64,66,68,70,72,74,76,78,80,85,90,95,100})</f>
        <v>100</v>
      </c>
      <c r="T740" s="48">
        <f t="shared" ref="T740:T743" si="318">3.24-Q740</f>
        <v>0.2</v>
      </c>
      <c r="U740" s="40">
        <f>LOOKUP(T740,{0,0.05,0.1,0.15,0.2,0.25,0.3,0.35,0.4,0.45,0.5},{0,1,2,3,4,5,6,7,8,9,10})</f>
        <v>4</v>
      </c>
      <c r="V740" s="21">
        <f t="shared" si="311"/>
        <v>104</v>
      </c>
      <c r="X740" s="21">
        <f t="shared" si="314"/>
        <v>66.4</v>
      </c>
      <c r="Y740" s="37">
        <f t="shared" si="312"/>
        <v>98.8571428571429</v>
      </c>
    </row>
    <row r="741" ht="15.6" hidden="1" outlineLevel="2" spans="1:25">
      <c r="A741" s="6">
        <v>116</v>
      </c>
      <c r="B741" s="6">
        <v>38</v>
      </c>
      <c r="C741" s="29" t="s">
        <v>818</v>
      </c>
      <c r="D741" s="29" t="s">
        <v>46</v>
      </c>
      <c r="E741" s="6">
        <v>29</v>
      </c>
      <c r="F741" s="1">
        <f>LOOKUP(E741,{0,0.4,1.2,2,2.8,3.6,4.4,5.7,7,8.3,9.6,10.9,12.2,13.5,14.8,16.1,17.4,19.1,20.8,22.5,24.2},{0,10,20,30,40,50,60,62,64,66,68,70,72,74,76,78,80,85,90,95,100})</f>
        <v>100</v>
      </c>
      <c r="G741" s="6">
        <v>196</v>
      </c>
      <c r="H741" s="1">
        <f>LOOKUP(G741,{0,123,128,133,138,143,148,151,154,157,160,163,166,169,172,175,178,185,192,198,204},{0,10,20,30,40,50,60,62,64,66,68,70,72,74,76,78,80,85,90,95,100})</f>
        <v>90</v>
      </c>
      <c r="I741" s="6">
        <v>50</v>
      </c>
      <c r="J741" s="1">
        <f>LOOKUP(I741,{0,13,15,17,19,21,23,25,27,29,31,33,35,37,39,41,43,46,49,51,53},{0,10,20,30,40,50,60,62,64,66,68,70,72,74,76,78,80,85,90,95,100})</f>
        <v>90</v>
      </c>
      <c r="K741" s="45"/>
      <c r="L741" s="45"/>
      <c r="M741" s="21">
        <f t="shared" si="308"/>
        <v>90</v>
      </c>
      <c r="N741" s="6">
        <v>9</v>
      </c>
      <c r="O741" s="43">
        <f t="shared" si="316"/>
        <v>4</v>
      </c>
      <c r="P741" s="1">
        <f>LOOKUP(O741,{0,1.4,1.6,1.8,2,2.2,2.4,2.6,2.8,3,3.2,3.4,3.6,3.8,4,4.2,4.4,4.7,5,5.1,5.2},{0,10,20,30,40,50,60,62,64,66,68,70,72,74,76,78,80,85,90,95,100})</f>
        <v>76</v>
      </c>
      <c r="Q741" s="6">
        <v>3.5</v>
      </c>
      <c r="R741" s="6">
        <f t="shared" si="310"/>
        <v>6.5</v>
      </c>
      <c r="S741" s="1">
        <f>LOOKUP(R741,{0,4.7,4.8,4.9,5,5.5,5.6,5.65,5.7,5.75,5.8,5.85,5.9,5.95,6,6.45,6.5,6.57,6.64,6.7,6.76},{0,10,20,30,40,50,60,62,64,66,68,70,72,74,76,78,80,85,90,95,100})</f>
        <v>80</v>
      </c>
      <c r="T741" s="45"/>
      <c r="U741" s="45"/>
      <c r="V741" s="21">
        <f t="shared" si="311"/>
        <v>80</v>
      </c>
      <c r="X741" s="21">
        <f t="shared" si="314"/>
        <v>59.2</v>
      </c>
      <c r="Y741" s="37">
        <f t="shared" si="312"/>
        <v>84.5714285714286</v>
      </c>
    </row>
    <row r="742" ht="15.6" hidden="1" outlineLevel="2" spans="1:25">
      <c r="A742" s="6">
        <v>116</v>
      </c>
      <c r="B742" s="6">
        <v>39</v>
      </c>
      <c r="C742" s="29" t="s">
        <v>819</v>
      </c>
      <c r="D742" s="29" t="s">
        <v>46</v>
      </c>
      <c r="E742" s="6">
        <v>26.5</v>
      </c>
      <c r="F742" s="1">
        <f>LOOKUP(E742,{0,0.4,1.2,2,2.8,3.6,4.4,5.7,7,8.3,9.6,10.9,12.2,13.5,14.8,16.1,17.4,19.1,20.8,22.5,24.2},{0,10,20,30,40,50,60,62,64,66,68,70,72,74,76,78,80,85,90,95,100})</f>
        <v>100</v>
      </c>
      <c r="G742" s="6">
        <v>184</v>
      </c>
      <c r="H742" s="1">
        <f>LOOKUP(G742,{0,123,128,133,138,143,148,151,154,157,160,163,166,169,172,175,178,185,192,198,204},{0,10,20,30,40,50,60,62,64,66,68,70,72,74,76,78,80,85,90,95,100})</f>
        <v>80</v>
      </c>
      <c r="J742" s="1"/>
      <c r="K742" s="45"/>
      <c r="L742" s="45"/>
      <c r="M742" s="21"/>
      <c r="N742" s="6">
        <v>8.1</v>
      </c>
      <c r="O742" s="43">
        <f t="shared" si="316"/>
        <v>4.9</v>
      </c>
      <c r="P742" s="1">
        <f>LOOKUP(O742,{0,1.4,1.6,1.8,2,2.2,2.4,2.6,2.8,3,3.2,3.4,3.6,3.8,4,4.2,4.4,4.7,5,5.1,5.2},{0,10,20,30,40,50,60,62,64,66,68,70,72,74,76,78,80,85,90,95,100})</f>
        <v>85</v>
      </c>
      <c r="Q742" s="6">
        <v>3.19</v>
      </c>
      <c r="R742" s="6">
        <f t="shared" si="310"/>
        <v>6.81</v>
      </c>
      <c r="S742" s="1">
        <f>LOOKUP(R742,{0,4.7,4.8,4.9,5,5.5,5.6,5.65,5.7,5.75,5.8,5.85,5.9,5.95,6,6.45,6.5,6.57,6.64,6.7,6.76},{0,10,20,30,40,50,60,62,64,66,68,70,72,74,76,78,80,85,90,95,100})</f>
        <v>100</v>
      </c>
      <c r="T742" s="48">
        <f t="shared" si="318"/>
        <v>0.0500000000000003</v>
      </c>
      <c r="U742" s="40">
        <f>LOOKUP(T742,{0,0.05,0.1,0.15,0.2,0.25,0.3,0.35,0.4,0.45,0.5},{0,1,2,3,4,5,6,7,8,9,10})</f>
        <v>1</v>
      </c>
      <c r="V742" s="21">
        <f t="shared" si="311"/>
        <v>101</v>
      </c>
      <c r="X742" s="21">
        <f t="shared" si="314"/>
        <v>55</v>
      </c>
      <c r="Y742" s="37">
        <f t="shared" si="312"/>
        <v>79.5714285714286</v>
      </c>
    </row>
    <row r="743" ht="15.6" hidden="1" outlineLevel="2" spans="1:25">
      <c r="A743" s="6">
        <v>116</v>
      </c>
      <c r="B743" s="6">
        <v>40</v>
      </c>
      <c r="C743" s="39" t="s">
        <v>821</v>
      </c>
      <c r="D743" s="29" t="s">
        <v>46</v>
      </c>
      <c r="E743" s="6">
        <v>26</v>
      </c>
      <c r="F743" s="1">
        <f>LOOKUP(E743,{0,0.4,1.2,2,2.8,3.6,4.4,5.7,7,8.3,9.6,10.9,12.2,13.5,14.8,16.1,17.4,19.1,20.8,22.5,24.2},{0,10,20,30,40,50,60,62,64,66,68,70,72,74,76,78,80,85,90,95,100})</f>
        <v>100</v>
      </c>
      <c r="G743" s="6">
        <v>188</v>
      </c>
      <c r="H743" s="1">
        <f>LOOKUP(G743,{0,123,128,133,138,143,148,151,154,157,160,163,166,169,172,175,178,185,192,198,204},{0,10,20,30,40,50,60,62,64,66,68,70,72,74,76,78,80,85,90,95,100})</f>
        <v>85</v>
      </c>
      <c r="I743" s="6">
        <v>50</v>
      </c>
      <c r="J743" s="1">
        <f>LOOKUP(I743,{0,13,15,17,19,21,23,25,27,29,31,33,35,37,39,41,43,46,49,51,53},{0,10,20,30,40,50,60,62,64,66,68,70,72,74,76,78,80,85,90,95,100})</f>
        <v>90</v>
      </c>
      <c r="K743" s="45"/>
      <c r="L743" s="45"/>
      <c r="M743" s="21">
        <f t="shared" ref="M743:M748" si="319">J743+L743</f>
        <v>90</v>
      </c>
      <c r="N743" s="6">
        <v>8.6</v>
      </c>
      <c r="O743" s="43">
        <f t="shared" si="316"/>
        <v>4.4</v>
      </c>
      <c r="P743" s="1">
        <f>LOOKUP(O743,{0,1.4,1.6,1.8,2,2.2,2.4,2.6,2.8,3,3.2,3.4,3.6,3.8,4,4.2,4.4,4.7,5,5.1,5.2},{0,10,20,30,40,50,60,62,64,66,68,70,72,74,76,78,80,85,90,95,100})</f>
        <v>80</v>
      </c>
      <c r="Q743" s="6">
        <v>3.17</v>
      </c>
      <c r="R743" s="6">
        <f t="shared" si="310"/>
        <v>6.83</v>
      </c>
      <c r="S743" s="1">
        <f>LOOKUP(R743,{0,4.7,4.8,4.9,5,5.5,5.6,5.65,5.7,5.75,5.8,5.85,5.9,5.95,6,6.45,6.5,6.57,6.64,6.7,6.76},{0,10,20,30,40,50,60,62,64,66,68,70,72,74,76,78,80,85,90,95,100})</f>
        <v>100</v>
      </c>
      <c r="T743" s="48">
        <f t="shared" si="318"/>
        <v>0.0700000000000003</v>
      </c>
      <c r="U743" s="40">
        <f>LOOKUP(T743,{0,0.05,0.1,0.15,0.2,0.25,0.3,0.35,0.4,0.45,0.5},{0,1,2,3,4,5,6,7,8,9,10})</f>
        <v>1</v>
      </c>
      <c r="V743" s="21">
        <f t="shared" si="311"/>
        <v>101</v>
      </c>
      <c r="X743" s="21">
        <f t="shared" si="314"/>
        <v>63.5</v>
      </c>
      <c r="Y743" s="37">
        <f t="shared" si="312"/>
        <v>91.7142857142857</v>
      </c>
    </row>
    <row r="744" ht="15.6" hidden="1" outlineLevel="2" spans="1:25">
      <c r="A744" s="6">
        <v>116</v>
      </c>
      <c r="B744" s="6">
        <v>41</v>
      </c>
      <c r="C744" s="29" t="s">
        <v>822</v>
      </c>
      <c r="D744" s="29" t="s">
        <v>46</v>
      </c>
      <c r="E744" s="6">
        <v>21</v>
      </c>
      <c r="F744" s="1">
        <f>LOOKUP(E744,{0,0.4,1.2,2,2.8,3.6,4.4,5.7,7,8.3,9.6,10.9,12.2,13.5,14.8,16.1,17.4,19.1,20.8,22.5,24.2},{0,10,20,30,40,50,60,62,64,66,68,70,72,74,76,78,80,85,90,95,100})</f>
        <v>90</v>
      </c>
      <c r="G744" s="6">
        <v>165</v>
      </c>
      <c r="H744" s="1">
        <f>LOOKUP(G744,{0,123,128,133,138,143,148,151,154,157,160,163,166,169,172,175,178,185,192,198,204},{0,10,20,30,40,50,60,62,64,66,68,70,72,74,76,78,80,85,90,95,100})</f>
        <v>70</v>
      </c>
      <c r="I744" s="6">
        <v>52</v>
      </c>
      <c r="J744" s="1">
        <f>LOOKUP(I744,{0,13,15,17,19,21,23,25,27,29,31,33,35,37,39,41,43,46,49,51,53},{0,10,20,30,40,50,60,62,64,66,68,70,72,74,76,78,80,85,90,95,100})</f>
        <v>95</v>
      </c>
      <c r="K744" s="45"/>
      <c r="L744" s="45"/>
      <c r="M744" s="21">
        <f t="shared" si="319"/>
        <v>95</v>
      </c>
      <c r="N744" s="6">
        <v>8.9</v>
      </c>
      <c r="O744" s="43">
        <f t="shared" si="316"/>
        <v>4.1</v>
      </c>
      <c r="P744" s="1">
        <f>LOOKUP(O744,{0,1.4,1.6,1.8,2,2.2,2.4,2.6,2.8,3,3.2,3.4,3.6,3.8,4,4.2,4.4,4.7,5,5.1,5.2},{0,10,20,30,40,50,60,62,64,66,68,70,72,74,76,78,80,85,90,95,100})</f>
        <v>76</v>
      </c>
      <c r="Q744" s="6">
        <v>3.58</v>
      </c>
      <c r="R744" s="6">
        <f t="shared" si="310"/>
        <v>6.42</v>
      </c>
      <c r="S744" s="1">
        <f>LOOKUP(R744,{0,4.7,4.8,4.9,5,5.5,5.6,5.65,5.7,5.75,5.8,5.85,5.9,5.95,6,6.45,6.5,6.57,6.64,6.7,6.76},{0,10,20,30,40,50,60,62,64,66,68,70,72,74,76,78,80,85,90,95,100})</f>
        <v>76</v>
      </c>
      <c r="T744" s="45"/>
      <c r="U744" s="45"/>
      <c r="V744" s="21">
        <f t="shared" si="311"/>
        <v>76</v>
      </c>
      <c r="X744" s="21">
        <f t="shared" si="314"/>
        <v>55.9</v>
      </c>
      <c r="Y744" s="37">
        <f t="shared" si="312"/>
        <v>79.8571428571429</v>
      </c>
    </row>
    <row r="745" s="3" customFormat="1" ht="15.6" hidden="1" outlineLevel="2" spans="1:25">
      <c r="A745" s="6">
        <v>116</v>
      </c>
      <c r="B745" s="6">
        <v>42</v>
      </c>
      <c r="C745" s="29" t="s">
        <v>823</v>
      </c>
      <c r="D745" s="29" t="s">
        <v>46</v>
      </c>
      <c r="E745" s="6"/>
      <c r="F745" s="1"/>
      <c r="G745" s="6"/>
      <c r="H745" s="1"/>
      <c r="I745" s="6"/>
      <c r="J745" s="1"/>
      <c r="K745" s="45"/>
      <c r="L745" s="45"/>
      <c r="M745" s="21"/>
      <c r="N745" s="6"/>
      <c r="O745" s="43"/>
      <c r="P745" s="1"/>
      <c r="Q745" s="6"/>
      <c r="R745" s="6"/>
      <c r="S745" s="1"/>
      <c r="T745" s="48"/>
      <c r="U745" s="40"/>
      <c r="V745" s="21"/>
      <c r="W745" s="6" t="s">
        <v>513</v>
      </c>
      <c r="X745" s="21">
        <f t="shared" si="314"/>
        <v>0</v>
      </c>
      <c r="Y745" s="37">
        <v>50</v>
      </c>
    </row>
    <row r="746" ht="15.6" hidden="1" outlineLevel="2" spans="1:25">
      <c r="A746" s="6">
        <v>116</v>
      </c>
      <c r="B746" s="6">
        <v>43</v>
      </c>
      <c r="C746" s="29" t="s">
        <v>824</v>
      </c>
      <c r="D746" s="29" t="s">
        <v>46</v>
      </c>
      <c r="E746" s="6">
        <v>17</v>
      </c>
      <c r="F746" s="1">
        <f>LOOKUP(E746,{0,0.4,1.2,2,2.8,3.6,4.4,5.7,7,8.3,9.6,10.9,12.2,13.5,14.8,16.1,17.4,19.1,20.8,22.5,24.2},{0,10,20,30,40,50,60,62,64,66,68,70,72,74,76,78,80,85,90,95,100})</f>
        <v>78</v>
      </c>
      <c r="G746" s="6">
        <v>170</v>
      </c>
      <c r="H746" s="1">
        <f>LOOKUP(G746,{0,123,128,133,138,143,148,151,154,157,160,163,166,169,172,175,178,185,192,198,204},{0,10,20,30,40,50,60,62,64,66,68,70,72,74,76,78,80,85,90,95,100})</f>
        <v>74</v>
      </c>
      <c r="I746" s="6">
        <v>44</v>
      </c>
      <c r="J746" s="1">
        <f>LOOKUP(I746,{0,13,15,17,19,21,23,25,27,29,31,33,35,37,39,41,43,46,49,51,53},{0,10,20,30,40,50,60,62,64,66,68,70,72,74,76,78,80,85,90,95,100})</f>
        <v>80</v>
      </c>
      <c r="K746" s="45"/>
      <c r="L746" s="45"/>
      <c r="M746" s="21">
        <f t="shared" si="319"/>
        <v>80</v>
      </c>
      <c r="N746" s="6">
        <v>8.5</v>
      </c>
      <c r="O746" s="43">
        <f t="shared" ref="O746:O748" si="320">13-N746</f>
        <v>4.5</v>
      </c>
      <c r="P746" s="1">
        <f>LOOKUP(O746,{0,1.4,1.6,1.8,2,2.2,2.4,2.6,2.8,3,3.2,3.4,3.6,3.8,4,4.2,4.4,4.7,5,5.1,5.2},{0,10,20,30,40,50,60,62,64,66,68,70,72,74,76,78,80,85,90,95,100})</f>
        <v>80</v>
      </c>
      <c r="Q746" s="6">
        <v>3.24</v>
      </c>
      <c r="R746" s="6">
        <f t="shared" ref="R746:R748" si="321">10-Q746</f>
        <v>6.76</v>
      </c>
      <c r="S746" s="1">
        <f>LOOKUP(R746,{0,4.7,4.8,4.9,5,5.5,5.6,5.65,5.7,5.75,5.8,5.85,5.9,5.95,6,6.45,6.5,6.57,6.64,6.7,6.76},{0,10,20,30,40,50,60,62,64,66,68,70,72,74,76,78,80,85,90,95,100})</f>
        <v>100</v>
      </c>
      <c r="T746" s="48">
        <f>3.24-Q746</f>
        <v>0</v>
      </c>
      <c r="U746" s="40">
        <f>LOOKUP(T746,{0,0.05,0.1,0.15,0.2,0.25,0.3,0.35,0.4,0.45,0.5},{0,1,2,3,4,5,6,7,8,9,10})</f>
        <v>0</v>
      </c>
      <c r="V746" s="21">
        <f t="shared" ref="V746:V748" si="322">S746+U746</f>
        <v>100</v>
      </c>
      <c r="X746" s="21">
        <f t="shared" si="314"/>
        <v>59.2</v>
      </c>
      <c r="Y746" s="37">
        <f t="shared" ref="Y746:Y748" si="323">X746/0.7+L746+U746</f>
        <v>84.5714285714286</v>
      </c>
    </row>
    <row r="747" ht="15.6" hidden="1" outlineLevel="2" spans="1:25">
      <c r="A747" s="6">
        <v>116</v>
      </c>
      <c r="B747" s="6">
        <v>44</v>
      </c>
      <c r="C747" s="29" t="s">
        <v>825</v>
      </c>
      <c r="D747" s="29" t="s">
        <v>46</v>
      </c>
      <c r="E747" s="6">
        <v>8.2</v>
      </c>
      <c r="F747" s="1">
        <f>LOOKUP(E747,{0,0.4,1.2,2,2.8,3.6,4.4,5.7,7,8.3,9.6,10.9,12.2,13.5,14.8,16.1,17.4,19.1,20.8,22.5,24.2},{0,10,20,30,40,50,60,62,64,66,68,70,72,74,76,78,80,85,90,95,100})</f>
        <v>64</v>
      </c>
      <c r="G747" s="6">
        <v>182</v>
      </c>
      <c r="H747" s="1">
        <f>LOOKUP(G747,{0,123,128,133,138,143,148,151,154,157,160,163,166,169,172,175,178,185,192,198,204},{0,10,20,30,40,50,60,62,64,66,68,70,72,74,76,78,80,85,90,95,100})</f>
        <v>80</v>
      </c>
      <c r="I747" s="6">
        <v>41</v>
      </c>
      <c r="J747" s="1">
        <f>LOOKUP(I747,{0,13,15,17,19,21,23,25,27,29,31,33,35,37,39,41,43,46,49,51,53},{0,10,20,30,40,50,60,62,64,66,68,70,72,74,76,78,80,85,90,95,100})</f>
        <v>78</v>
      </c>
      <c r="K747" s="45"/>
      <c r="L747" s="45"/>
      <c r="M747" s="21">
        <f t="shared" si="319"/>
        <v>78</v>
      </c>
      <c r="N747" s="6">
        <v>8.5</v>
      </c>
      <c r="O747" s="43">
        <f t="shared" si="320"/>
        <v>4.5</v>
      </c>
      <c r="P747" s="1">
        <f>LOOKUP(O747,{0,1.4,1.6,1.8,2,2.2,2.4,2.6,2.8,3,3.2,3.4,3.6,3.8,4,4.2,4.4,4.7,5,5.1,5.2},{0,10,20,30,40,50,60,62,64,66,68,70,72,74,76,78,80,85,90,95,100})</f>
        <v>80</v>
      </c>
      <c r="Q747" s="6">
        <v>3.5</v>
      </c>
      <c r="R747" s="6">
        <f t="shared" si="321"/>
        <v>6.5</v>
      </c>
      <c r="S747" s="1">
        <f>LOOKUP(R747,{0,4.7,4.8,4.9,5,5.5,5.6,5.65,5.7,5.75,5.8,5.85,5.9,5.95,6,6.45,6.5,6.57,6.64,6.7,6.76},{0,10,20,30,40,50,60,62,64,66,68,70,72,74,76,78,80,85,90,95,100})</f>
        <v>80</v>
      </c>
      <c r="T747" s="45"/>
      <c r="U747" s="45"/>
      <c r="V747" s="21">
        <f t="shared" si="322"/>
        <v>80</v>
      </c>
      <c r="X747" s="21">
        <f t="shared" si="314"/>
        <v>54.2</v>
      </c>
      <c r="Y747" s="37">
        <f t="shared" si="323"/>
        <v>77.4285714285714</v>
      </c>
    </row>
    <row r="748" ht="15.6" hidden="1" outlineLevel="2" spans="1:25">
      <c r="A748" s="6">
        <v>116</v>
      </c>
      <c r="B748" s="6">
        <v>45</v>
      </c>
      <c r="C748" s="29" t="s">
        <v>826</v>
      </c>
      <c r="D748" s="29" t="s">
        <v>46</v>
      </c>
      <c r="E748" s="6">
        <v>20.4</v>
      </c>
      <c r="F748" s="1">
        <f>LOOKUP(E748,{0,0.4,1.2,2,2.8,3.6,4.4,5.7,7,8.3,9.6,10.9,12.2,13.5,14.8,16.1,17.4,19.1,20.8,22.5,24.2},{0,10,20,30,40,50,60,62,64,66,68,70,72,74,76,78,80,85,90,95,100})</f>
        <v>85</v>
      </c>
      <c r="G748" s="6">
        <v>180</v>
      </c>
      <c r="H748" s="1">
        <f>LOOKUP(G748,{0,123,128,133,138,143,148,151,154,157,160,163,166,169,172,175,178,185,192,198,204},{0,10,20,30,40,50,60,62,64,66,68,70,72,74,76,78,80,85,90,95,100})</f>
        <v>80</v>
      </c>
      <c r="I748" s="6">
        <v>47</v>
      </c>
      <c r="J748" s="1">
        <f>LOOKUP(I748,{0,13,15,17,19,21,23,25,27,29,31,33,35,37,39,41,43,46,49,51,53},{0,10,20,30,40,50,60,62,64,66,68,70,72,74,76,78,80,85,90,95,100})</f>
        <v>85</v>
      </c>
      <c r="K748" s="45"/>
      <c r="L748" s="45"/>
      <c r="M748" s="21">
        <f t="shared" si="319"/>
        <v>85</v>
      </c>
      <c r="N748" s="6">
        <v>8.7</v>
      </c>
      <c r="O748" s="43">
        <f t="shared" si="320"/>
        <v>4.3</v>
      </c>
      <c r="P748" s="1">
        <f>LOOKUP(O748,{0,1.4,1.6,1.8,2,2.2,2.4,2.6,2.8,3,3.2,3.4,3.6,3.8,4,4.2,4.4,4.7,5,5.1,5.2},{0,10,20,30,40,50,60,62,64,66,68,70,72,74,76,78,80,85,90,95,100})</f>
        <v>78</v>
      </c>
      <c r="Q748" s="6">
        <v>3.29</v>
      </c>
      <c r="R748" s="6">
        <f t="shared" si="321"/>
        <v>6.71</v>
      </c>
      <c r="S748" s="1">
        <f>LOOKUP(R748,{0,4.7,4.8,4.9,5,5.5,5.6,5.65,5.7,5.75,5.8,5.85,5.9,5.95,6,6.45,6.5,6.57,6.64,6.7,6.76},{0,10,20,30,40,50,60,62,64,66,68,70,72,74,76,78,80,85,90,95,100})</f>
        <v>95</v>
      </c>
      <c r="T748" s="45"/>
      <c r="U748" s="45"/>
      <c r="V748" s="21">
        <f t="shared" si="322"/>
        <v>95</v>
      </c>
      <c r="X748" s="21">
        <f t="shared" si="314"/>
        <v>59.6</v>
      </c>
      <c r="Y748" s="37">
        <f t="shared" si="323"/>
        <v>85.1428571428572</v>
      </c>
    </row>
    <row r="749" ht="15.6" hidden="1" outlineLevel="2" spans="1:25">
      <c r="A749" s="6">
        <v>116</v>
      </c>
      <c r="B749" s="6">
        <v>47</v>
      </c>
      <c r="C749" s="29" t="s">
        <v>828</v>
      </c>
      <c r="D749" s="29" t="s">
        <v>46</v>
      </c>
      <c r="E749" s="6">
        <v>26.2</v>
      </c>
      <c r="F749" s="1">
        <f>LOOKUP(E749,{0,0.4,1.2,2,2.8,3.6,4.4,5.7,7,8.3,9.6,10.9,12.2,13.5,14.8,16.1,17.4,19.1,20.8,22.5,24.2},{0,10,20,30,40,50,60,62,64,66,68,70,72,74,76,78,80,85,90,95,100})</f>
        <v>100</v>
      </c>
      <c r="G749" s="6">
        <v>180</v>
      </c>
      <c r="H749" s="1">
        <f>LOOKUP(G749,{0,123,128,133,138,143,148,151,154,157,160,163,166,169,172,175,178,185,192,198,204},{0,10,20,30,40,50,60,62,64,66,68,70,72,74,76,78,80,85,90,95,100})</f>
        <v>80</v>
      </c>
      <c r="I749" s="6">
        <v>50</v>
      </c>
      <c r="J749" s="1">
        <f>LOOKUP(I749,{0,13,15,17,19,21,23,25,27,29,31,33,35,37,39,41,43,46,49,51,53},{0,10,20,30,40,50,60,62,64,66,68,70,72,74,76,78,80,85,90,95,100})</f>
        <v>90</v>
      </c>
      <c r="K749" s="45"/>
      <c r="L749" s="45"/>
      <c r="M749" s="21">
        <f t="shared" ref="M749:M752" si="324">J749+L749</f>
        <v>90</v>
      </c>
      <c r="N749" s="6">
        <v>8.4</v>
      </c>
      <c r="O749" s="43">
        <f t="shared" ref="O749:O753" si="325">13-N749</f>
        <v>4.6</v>
      </c>
      <c r="P749" s="1">
        <f>LOOKUP(O749,{0,1.4,1.6,1.8,2,2.2,2.4,2.6,2.8,3,3.2,3.4,3.6,3.8,4,4.2,4.4,4.7,5,5.1,5.2},{0,10,20,30,40,50,60,62,64,66,68,70,72,74,76,78,80,85,90,95,100})</f>
        <v>80</v>
      </c>
      <c r="Q749" s="6">
        <v>3.31</v>
      </c>
      <c r="R749" s="6">
        <f t="shared" ref="R749:R752" si="326">10-Q749</f>
        <v>6.69</v>
      </c>
      <c r="S749" s="1">
        <f>LOOKUP(R749,{0,4.7,4.8,4.9,5,5.5,5.6,5.65,5.7,5.75,5.8,5.85,5.9,5.95,6,6.45,6.5,6.57,6.64,6.7,6.76},{0,10,20,30,40,50,60,62,64,66,68,70,72,74,76,78,80,85,90,95,100})</f>
        <v>90</v>
      </c>
      <c r="T749" s="45"/>
      <c r="U749" s="45"/>
      <c r="V749" s="21">
        <f t="shared" ref="V749:V752" si="327">S749+U749</f>
        <v>90</v>
      </c>
      <c r="X749" s="21">
        <f t="shared" si="314"/>
        <v>61</v>
      </c>
      <c r="Y749" s="37">
        <f t="shared" ref="Y749:Y752" si="328">X749/0.7+L749+U749</f>
        <v>87.1428571428572</v>
      </c>
    </row>
    <row r="750" ht="15.6" hidden="1" outlineLevel="2" spans="1:25">
      <c r="A750" s="6">
        <v>116</v>
      </c>
      <c r="B750" s="6">
        <v>48</v>
      </c>
      <c r="C750" s="29" t="s">
        <v>829</v>
      </c>
      <c r="D750" s="29" t="s">
        <v>46</v>
      </c>
      <c r="E750" s="6">
        <v>18</v>
      </c>
      <c r="F750" s="1">
        <f>LOOKUP(E750,{0,0.4,1.2,2,2.8,3.6,4.4,5.7,7,8.3,9.6,10.9,12.2,13.5,14.8,16.1,17.4,19.1,20.8,22.5,24.2},{0,10,20,30,40,50,60,62,64,66,68,70,72,74,76,78,80,85,90,95,100})</f>
        <v>80</v>
      </c>
      <c r="G750" s="6">
        <v>170</v>
      </c>
      <c r="H750" s="1">
        <f>LOOKUP(G750,{0,123,128,133,138,143,148,151,154,157,160,163,166,169,172,175,178,185,192,198,204},{0,10,20,30,40,50,60,62,64,66,68,70,72,74,76,78,80,85,90,95,100})</f>
        <v>74</v>
      </c>
      <c r="I750" s="6">
        <v>53</v>
      </c>
      <c r="J750" s="1">
        <f>LOOKUP(I750,{0,13,15,17,19,21,23,25,27,29,31,33,35,37,39,41,43,46,49,51,53},{0,10,20,30,40,50,60,62,64,66,68,70,72,74,76,78,80,85,90,95,100})</f>
        <v>100</v>
      </c>
      <c r="K750" s="45">
        <f>I750-53</f>
        <v>0</v>
      </c>
      <c r="L750" s="40">
        <f>LOOKUP(K750,{0,2,4,6,7,8,9,10,11,12,13},{0,1,2,3,4,5,6,7,8,9,10})</f>
        <v>0</v>
      </c>
      <c r="M750" s="21">
        <f t="shared" si="324"/>
        <v>100</v>
      </c>
      <c r="N750" s="6">
        <v>8.3</v>
      </c>
      <c r="O750" s="43">
        <f t="shared" si="325"/>
        <v>4.7</v>
      </c>
      <c r="P750" s="1">
        <f>LOOKUP(O750,{0,1.4,1.6,1.8,2,2.2,2.4,2.6,2.8,3,3.2,3.4,3.6,3.8,4,4.2,4.4,4.7,5,5.1,5.2},{0,10,20,30,40,50,60,62,64,66,68,70,72,74,76,78,80,85,90,95,100})</f>
        <v>85</v>
      </c>
      <c r="Q750" s="6">
        <v>3.29</v>
      </c>
      <c r="R750" s="6">
        <f t="shared" si="326"/>
        <v>6.71</v>
      </c>
      <c r="S750" s="1">
        <f>LOOKUP(R750,{0,4.7,4.8,4.9,5,5.5,5.6,5.65,5.7,5.75,5.8,5.85,5.9,5.95,6,6.45,6.5,6.57,6.64,6.7,6.76},{0,10,20,30,40,50,60,62,64,66,68,70,72,74,76,78,80,85,90,95,100})</f>
        <v>95</v>
      </c>
      <c r="T750" s="45"/>
      <c r="U750" s="45"/>
      <c r="V750" s="21">
        <f t="shared" si="327"/>
        <v>95</v>
      </c>
      <c r="X750" s="21">
        <f t="shared" si="314"/>
        <v>61.4</v>
      </c>
      <c r="Y750" s="37">
        <f t="shared" si="328"/>
        <v>87.7142857142857</v>
      </c>
    </row>
    <row r="751" ht="15.6" hidden="1" outlineLevel="2" spans="1:25">
      <c r="A751" s="6">
        <v>116</v>
      </c>
      <c r="B751" s="6">
        <v>49</v>
      </c>
      <c r="C751" s="29" t="s">
        <v>830</v>
      </c>
      <c r="D751" s="29" t="s">
        <v>46</v>
      </c>
      <c r="E751" s="6">
        <v>26.3</v>
      </c>
      <c r="F751" s="1">
        <f>LOOKUP(E751,{0,0.4,1.2,2,2.8,3.6,4.4,5.7,7,8.3,9.6,10.9,12.2,13.5,14.8,16.1,17.4,19.1,20.8,22.5,24.2},{0,10,20,30,40,50,60,62,64,66,68,70,72,74,76,78,80,85,90,95,100})</f>
        <v>100</v>
      </c>
      <c r="G751" s="6">
        <v>185</v>
      </c>
      <c r="H751" s="1">
        <f>LOOKUP(G751,{0,123,128,133,138,143,148,151,154,157,160,163,166,169,172,175,178,185,192,198,204},{0,10,20,30,40,50,60,62,64,66,68,70,72,74,76,78,80,85,90,95,100})</f>
        <v>85</v>
      </c>
      <c r="I751" s="6">
        <v>30</v>
      </c>
      <c r="J751" s="1">
        <f>LOOKUP(I751,{0,13,15,17,19,21,23,25,27,29,31,33,35,37,39,41,43,46,49,51,53},{0,10,20,30,40,50,60,62,64,66,68,70,72,74,76,78,80,85,90,95,100})</f>
        <v>66</v>
      </c>
      <c r="K751" s="45"/>
      <c r="L751" s="45"/>
      <c r="M751" s="21">
        <f t="shared" si="324"/>
        <v>66</v>
      </c>
      <c r="N751" s="6">
        <v>8.5</v>
      </c>
      <c r="O751" s="43">
        <f t="shared" si="325"/>
        <v>4.5</v>
      </c>
      <c r="P751" s="1">
        <f>LOOKUP(O751,{0,1.4,1.6,1.8,2,2.2,2.4,2.6,2.8,3,3.2,3.4,3.6,3.8,4,4.2,4.4,4.7,5,5.1,5.2},{0,10,20,30,40,50,60,62,64,66,68,70,72,74,76,78,80,85,90,95,100})</f>
        <v>80</v>
      </c>
      <c r="Q751" s="6">
        <v>3.35</v>
      </c>
      <c r="R751" s="6">
        <f t="shared" si="326"/>
        <v>6.65</v>
      </c>
      <c r="S751" s="1">
        <f>LOOKUP(R751,{0,4.7,4.8,4.9,5,5.5,5.6,5.65,5.7,5.75,5.8,5.85,5.9,5.95,6,6.45,6.5,6.57,6.64,6.7,6.76},{0,10,20,30,40,50,60,62,64,66,68,70,72,74,76,78,80,85,90,95,100})</f>
        <v>90</v>
      </c>
      <c r="T751" s="45"/>
      <c r="U751" s="45"/>
      <c r="V751" s="21">
        <f t="shared" si="327"/>
        <v>90</v>
      </c>
      <c r="X751" s="21">
        <f t="shared" si="314"/>
        <v>59.1</v>
      </c>
      <c r="Y751" s="37">
        <f t="shared" si="328"/>
        <v>84.4285714285714</v>
      </c>
    </row>
    <row r="752" ht="15.6" hidden="1" outlineLevel="2" spans="1:25">
      <c r="A752" s="6">
        <v>116</v>
      </c>
      <c r="B752" s="6">
        <v>50</v>
      </c>
      <c r="C752" s="6" t="s">
        <v>831</v>
      </c>
      <c r="D752" s="6" t="s">
        <v>46</v>
      </c>
      <c r="E752" s="6">
        <v>12.2</v>
      </c>
      <c r="F752" s="1">
        <f>LOOKUP(E752,{0,0.4,1.2,2,2.8,3.6,4.4,5.7,7,8.3,9.6,10.9,12.2,13.5,14.8,16.1,17.4,19.1,20.8,22.5,24.2},{0,10,20,30,40,50,60,62,64,66,68,70,72,74,76,78,80,85,90,95,100})</f>
        <v>72</v>
      </c>
      <c r="G752" s="6">
        <v>175</v>
      </c>
      <c r="H752" s="1">
        <f>LOOKUP(G752,{0,123,128,133,138,143,148,151,154,157,160,163,166,169,172,175,178,185,192,198,204},{0,10,20,30,40,50,60,62,64,66,68,70,72,74,76,78,80,85,90,95,100})</f>
        <v>78</v>
      </c>
      <c r="I752" s="6">
        <v>45</v>
      </c>
      <c r="J752" s="1">
        <f>LOOKUP(I752,{0,13,15,17,19,21,23,25,27,29,31,33,35,37,39,41,43,46,49,51,53},{0,10,20,30,40,50,60,62,64,66,68,70,72,74,76,78,80,85,90,95,100})</f>
        <v>80</v>
      </c>
      <c r="K752" s="45"/>
      <c r="L752" s="45"/>
      <c r="M752" s="21">
        <f t="shared" si="324"/>
        <v>80</v>
      </c>
      <c r="N752" s="6">
        <v>8.8</v>
      </c>
      <c r="O752" s="43">
        <f t="shared" si="325"/>
        <v>4.2</v>
      </c>
      <c r="P752" s="1">
        <f>LOOKUP(O752,{0,1.4,1.6,1.8,2,2.2,2.4,2.6,2.8,3,3.2,3.4,3.6,3.8,4,4.2,4.4,4.7,5,5.1,5.2},{0,10,20,30,40,50,60,62,64,66,68,70,72,74,76,78,80,85,90,95,100})</f>
        <v>78</v>
      </c>
      <c r="Q752" s="6">
        <v>3.33</v>
      </c>
      <c r="R752" s="6">
        <f t="shared" si="326"/>
        <v>6.67</v>
      </c>
      <c r="S752" s="1">
        <f>LOOKUP(R752,{0,4.7,4.8,4.9,5,5.5,5.6,5.65,5.7,5.75,5.8,5.85,5.9,5.95,6,6.45,6.5,6.57,6.64,6.7,6.76},{0,10,20,30,40,50,60,62,64,66,68,70,72,74,76,78,80,85,90,95,100})</f>
        <v>90</v>
      </c>
      <c r="T752" s="45"/>
      <c r="U752" s="45"/>
      <c r="V752" s="21">
        <f t="shared" si="327"/>
        <v>90</v>
      </c>
      <c r="X752" s="21">
        <f t="shared" si="314"/>
        <v>56.6</v>
      </c>
      <c r="Y752" s="37">
        <f t="shared" si="328"/>
        <v>80.8571428571429</v>
      </c>
    </row>
    <row r="753" ht="15.6" hidden="1" outlineLevel="2" spans="1:25">
      <c r="A753" s="6">
        <v>116</v>
      </c>
      <c r="B753" s="6">
        <v>51</v>
      </c>
      <c r="C753" s="6" t="s">
        <v>832</v>
      </c>
      <c r="D753" s="6" t="s">
        <v>46</v>
      </c>
      <c r="E753" s="6">
        <v>15.5</v>
      </c>
      <c r="F753" s="1">
        <f>LOOKUP(E753,{0,0.4,1.2,2,2.8,3.6,4.4,5.7,7,8.3,9.6,10.9,12.2,13.5,14.8,16.1,17.4,19.1,20.8,22.5,24.2},{0,10,20,30,40,50,60,62,64,66,68,70,72,74,76,78,80,85,90,95,100})</f>
        <v>76</v>
      </c>
      <c r="G753" s="6">
        <v>193</v>
      </c>
      <c r="H753" s="1">
        <f>LOOKUP(G753,{0,123,128,133,138,143,148,151,154,157,160,163,166,169,172,175,178,185,192,198,204},{0,10,20,30,40,50,60,62,64,66,68,70,72,74,76,78,80,85,90,95,100})</f>
        <v>90</v>
      </c>
      <c r="J753" s="1"/>
      <c r="K753" s="45"/>
      <c r="L753" s="45"/>
      <c r="M753" s="21"/>
      <c r="N753" s="6">
        <v>9</v>
      </c>
      <c r="O753" s="43">
        <f t="shared" si="325"/>
        <v>4</v>
      </c>
      <c r="P753" s="1">
        <f>LOOKUP(O753,{0,1.4,1.6,1.8,2,2.2,2.4,2.6,2.8,3,3.2,3.4,3.6,3.8,4,4.2,4.4,4.7,5,5.1,5.2},{0,10,20,30,40,50,60,62,64,66,68,70,72,74,76,78,80,85,90,95,100})</f>
        <v>76</v>
      </c>
      <c r="S753" s="15"/>
      <c r="V753" s="15"/>
      <c r="W753" s="6" t="s">
        <v>513</v>
      </c>
      <c r="X753" s="21">
        <f t="shared" si="314"/>
        <v>31.8</v>
      </c>
      <c r="Y753" s="37">
        <v>50</v>
      </c>
    </row>
    <row r="754" ht="15.6" outlineLevel="1" collapsed="1" spans="1:25">
      <c r="A754" s="42" t="s">
        <v>857</v>
      </c>
      <c r="F754" s="1">
        <f>SUBTOTAL(1,F704:F753)</f>
        <v>79.6458333333333</v>
      </c>
      <c r="H754" s="1">
        <f>SUBTOTAL(1,H704:H753)</f>
        <v>77.1666666666667</v>
      </c>
      <c r="J754" s="1">
        <f>SUBTOTAL(1,J704:J753)</f>
        <v>74.5217391304348</v>
      </c>
      <c r="K754" s="45"/>
      <c r="L754" s="45"/>
      <c r="M754" s="21">
        <f>SUBTOTAL(1,M704:M753)</f>
        <v>75.7608695652174</v>
      </c>
      <c r="O754" s="43"/>
      <c r="P754" s="1">
        <f>SUBTOTAL(1,P704:P753)</f>
        <v>81.1739130434783</v>
      </c>
      <c r="S754" s="15">
        <f>SUBTOTAL(1,S704:S753)</f>
        <v>84.6808510638298</v>
      </c>
      <c r="V754" s="15">
        <f>SUBTOTAL(1,V704:V753)</f>
        <v>84.9787234042553</v>
      </c>
      <c r="X754" s="21">
        <f>SUBTOTAL(1,X704:X753)</f>
        <v>52.766</v>
      </c>
      <c r="Y754" s="37">
        <f>SUBTOTAL(1,Y704:Y753)</f>
        <v>78.8914285714286</v>
      </c>
    </row>
    <row r="755" ht="15.6" spans="1:25">
      <c r="A755" s="42" t="s">
        <v>858</v>
      </c>
      <c r="F755" s="1">
        <f>SUBTOTAL(1,F2:F753)</f>
        <v>75.0939306358381</v>
      </c>
      <c r="H755" s="1">
        <f>SUBTOTAL(1,H2:H753)</f>
        <v>75.7492753623188</v>
      </c>
      <c r="J755" s="1">
        <f>SUBTOTAL(1,J2:J753)</f>
        <v>69.3797101449275</v>
      </c>
      <c r="K755" s="45"/>
      <c r="L755" s="45"/>
      <c r="M755" s="21">
        <f>SUBTOTAL(1,M2:M753)</f>
        <v>70.3130434782609</v>
      </c>
      <c r="O755" s="43"/>
      <c r="P755" s="1">
        <f>SUBTOTAL(1,P2:P753)</f>
        <v>84.266081871345</v>
      </c>
      <c r="S755" s="15">
        <f>SUBTOTAL(1,S2:S753)</f>
        <v>83.0865102639296</v>
      </c>
      <c r="V755" s="15">
        <f>SUBTOTAL(1,V2:V753)</f>
        <v>83.3577712609971</v>
      </c>
      <c r="X755" s="21">
        <f>SUBTOTAL(1,X2:X753)</f>
        <v>51.6567164179104</v>
      </c>
      <c r="Y755" s="37">
        <f>SUBTOTAL(1,Y2:Y753)</f>
        <v>77.5596045745301</v>
      </c>
    </row>
    <row r="756" spans="3:4">
      <c r="C756" s="29"/>
      <c r="D756" s="29"/>
    </row>
    <row r="757" spans="3:4">
      <c r="C757" s="29"/>
      <c r="D757" s="29"/>
    </row>
    <row r="758" ht="15.6" spans="3:26">
      <c r="C758" s="29"/>
      <c r="D758" s="29"/>
      <c r="Y758" s="55"/>
      <c r="Z758" s="1"/>
    </row>
    <row r="759" spans="3:26">
      <c r="C759" s="29"/>
      <c r="D759" s="29"/>
      <c r="Y759" s="55"/>
      <c r="Z759"/>
    </row>
    <row r="760" spans="25:26">
      <c r="Y760" s="55"/>
      <c r="Z760"/>
    </row>
    <row r="761" spans="25:26">
      <c r="Y761" s="55"/>
      <c r="Z761"/>
    </row>
    <row r="762" spans="3:26">
      <c r="C762" s="29"/>
      <c r="D762" s="29"/>
      <c r="Y762" s="55"/>
      <c r="Z762"/>
    </row>
    <row r="763" spans="25:26">
      <c r="Y763" s="55"/>
      <c r="Z763"/>
    </row>
    <row r="764" spans="25:26">
      <c r="Y764" s="55"/>
      <c r="Z764"/>
    </row>
    <row r="765" s="3" customFormat="1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Y765" s="55"/>
      <c r="Z765"/>
    </row>
    <row r="766" spans="25:26">
      <c r="Y766" s="55"/>
      <c r="Z766"/>
    </row>
    <row r="767" spans="25:26">
      <c r="Y767" s="55"/>
      <c r="Z767"/>
    </row>
    <row r="768" spans="25:26">
      <c r="Y768" s="55"/>
      <c r="Z768" s="2"/>
    </row>
    <row r="769" spans="25:26">
      <c r="Y769" s="55"/>
      <c r="Z769"/>
    </row>
    <row r="770" spans="25:26">
      <c r="Y770" s="55"/>
      <c r="Z770"/>
    </row>
    <row r="771" spans="25:26">
      <c r="Y771" s="55"/>
      <c r="Z771"/>
    </row>
    <row r="772" spans="25:26">
      <c r="Y772" s="55"/>
      <c r="Z772"/>
    </row>
    <row r="773" spans="3:26">
      <c r="C773" s="29"/>
      <c r="D773" s="29"/>
      <c r="Y773" s="55"/>
      <c r="Z773"/>
    </row>
    <row r="775" spans="3:4">
      <c r="C775" s="29"/>
      <c r="D775" s="29"/>
    </row>
    <row r="779" s="3" customFormat="1" spans="1: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Y779" s="56"/>
    </row>
    <row r="780" spans="3:4">
      <c r="C780" s="29"/>
      <c r="D780" s="29"/>
    </row>
    <row r="783" spans="3:4">
      <c r="C783" s="29"/>
      <c r="D783" s="29"/>
    </row>
    <row r="786" spans="3:4">
      <c r="C786" s="29"/>
      <c r="D786" s="29"/>
    </row>
    <row r="788" spans="3:4">
      <c r="C788" s="29"/>
      <c r="D788" s="29"/>
    </row>
    <row r="791" spans="3:4">
      <c r="C791" s="29"/>
      <c r="D791" s="29"/>
    </row>
    <row r="796" spans="3:4">
      <c r="C796" s="29"/>
      <c r="D796" s="29"/>
    </row>
    <row r="800" s="3" customFormat="1" spans="1: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Y800" s="56"/>
    </row>
    <row r="801" spans="3:4">
      <c r="C801" s="29"/>
      <c r="D801" s="29"/>
    </row>
    <row r="804" spans="1:23">
      <c r="A804" s="30"/>
      <c r="B804" s="31"/>
      <c r="C804" s="32"/>
      <c r="D804" s="32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1"/>
      <c r="S804" s="31"/>
      <c r="T804" s="31"/>
      <c r="U804" s="31"/>
      <c r="V804" s="31"/>
      <c r="W804" s="31"/>
    </row>
    <row r="806" spans="3:4">
      <c r="C806" s="29"/>
      <c r="D806" s="29"/>
    </row>
    <row r="808" spans="3:4">
      <c r="C808" s="29"/>
      <c r="D808" s="29"/>
    </row>
    <row r="810" spans="3:4">
      <c r="C810" s="29"/>
      <c r="D810" s="29"/>
    </row>
    <row r="811" spans="3:4">
      <c r="C811" s="29"/>
      <c r="D811" s="29"/>
    </row>
    <row r="812" spans="3:4">
      <c r="C812" s="29"/>
      <c r="D812" s="29"/>
    </row>
    <row r="813" spans="3:4">
      <c r="C813" s="29"/>
      <c r="D813" s="29"/>
    </row>
    <row r="814" s="3" customFormat="1" spans="1:25">
      <c r="A814" s="6"/>
      <c r="B814" s="6"/>
      <c r="C814" s="29"/>
      <c r="D814" s="29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Y814" s="56"/>
    </row>
    <row r="815" spans="3:4">
      <c r="C815" s="29"/>
      <c r="D815" s="29"/>
    </row>
    <row r="816" spans="3:4">
      <c r="C816" s="29"/>
      <c r="D816" s="29"/>
    </row>
    <row r="817" spans="3:4">
      <c r="C817" s="29"/>
      <c r="D817" s="29"/>
    </row>
    <row r="818" spans="3:4">
      <c r="C818" s="29"/>
      <c r="D818" s="29"/>
    </row>
    <row r="819" spans="3:4">
      <c r="C819" s="29"/>
      <c r="D819" s="29"/>
    </row>
    <row r="823" spans="3:4">
      <c r="C823" s="29"/>
      <c r="D823" s="29"/>
    </row>
    <row r="824" spans="3:4">
      <c r="C824" s="29"/>
      <c r="D824" s="29"/>
    </row>
    <row r="825" spans="3:4">
      <c r="C825" s="29"/>
      <c r="D825" s="29"/>
    </row>
    <row r="826" spans="3:4">
      <c r="C826" s="29"/>
      <c r="D826" s="29"/>
    </row>
    <row r="827" spans="3:4">
      <c r="C827" s="29"/>
      <c r="D827" s="29"/>
    </row>
    <row r="830" spans="3:4">
      <c r="C830" s="29"/>
      <c r="D830" s="29"/>
    </row>
    <row r="831" spans="3:4">
      <c r="C831" s="29"/>
      <c r="D831" s="29"/>
    </row>
    <row r="832" spans="3:4">
      <c r="C832" s="29"/>
      <c r="D832" s="29"/>
    </row>
    <row r="833" spans="3:4">
      <c r="C833" s="29"/>
      <c r="D833" s="29"/>
    </row>
    <row r="834" spans="3:4">
      <c r="C834" s="29"/>
      <c r="D834" s="29"/>
    </row>
    <row r="835" s="3" customFormat="1" spans="1:25">
      <c r="A835" s="6"/>
      <c r="B835" s="6"/>
      <c r="C835" s="29"/>
      <c r="D835" s="29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Y835" s="56"/>
    </row>
    <row r="836" spans="3:4">
      <c r="C836" s="29"/>
      <c r="D836" s="29"/>
    </row>
    <row r="837" spans="3:4">
      <c r="C837" s="29"/>
      <c r="D837" s="29"/>
    </row>
    <row r="840" spans="3:4">
      <c r="C840" s="29"/>
      <c r="D840" s="29"/>
    </row>
    <row r="842" spans="3:4">
      <c r="C842" s="29"/>
      <c r="D842" s="29"/>
    </row>
    <row r="843" spans="3:4">
      <c r="C843" s="29"/>
      <c r="D843" s="29"/>
    </row>
    <row r="845" spans="3:4">
      <c r="C845" s="29"/>
      <c r="D845" s="29"/>
    </row>
    <row r="846" spans="3:4">
      <c r="C846" s="29"/>
      <c r="D846" s="29"/>
    </row>
    <row r="847" spans="3:4">
      <c r="C847" s="29"/>
      <c r="D847" s="29"/>
    </row>
    <row r="848" spans="3:4">
      <c r="C848" s="29"/>
      <c r="D848" s="29"/>
    </row>
    <row r="849" s="3" customFormat="1" spans="1:25">
      <c r="A849" s="6"/>
      <c r="B849" s="6"/>
      <c r="C849" s="29"/>
      <c r="D849" s="29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Y849" s="56"/>
    </row>
    <row r="850" spans="3:4">
      <c r="C850" s="29"/>
      <c r="D850" s="29"/>
    </row>
    <row r="851" spans="3:4">
      <c r="C851" s="29"/>
      <c r="D851" s="29"/>
    </row>
    <row r="852" spans="3:4">
      <c r="C852" s="29"/>
      <c r="D852" s="29"/>
    </row>
    <row r="853" spans="3:4">
      <c r="C853" s="29"/>
      <c r="D853" s="29"/>
    </row>
    <row r="855" spans="3:4">
      <c r="C855" s="29"/>
      <c r="D855" s="29"/>
    </row>
    <row r="856" spans="3:4">
      <c r="C856" s="29"/>
      <c r="D856" s="29"/>
    </row>
    <row r="857" spans="3:4">
      <c r="C857" s="29"/>
      <c r="D857" s="29"/>
    </row>
    <row r="858" spans="3:4">
      <c r="C858" s="29"/>
      <c r="D858" s="29"/>
    </row>
    <row r="859" spans="3:4">
      <c r="C859" s="29"/>
      <c r="D859" s="29"/>
    </row>
    <row r="860" spans="3:4">
      <c r="C860" s="29"/>
      <c r="D860" s="29"/>
    </row>
    <row r="861" spans="3:4">
      <c r="C861" s="29"/>
      <c r="D861" s="29"/>
    </row>
    <row r="863" spans="3:4">
      <c r="C863" s="29"/>
      <c r="D863" s="29"/>
    </row>
    <row r="864" spans="3:4">
      <c r="C864" s="29"/>
      <c r="D864" s="29"/>
    </row>
    <row r="865" spans="3:4">
      <c r="C865" s="29"/>
      <c r="D865" s="29"/>
    </row>
    <row r="866" spans="3:4">
      <c r="C866" s="29"/>
      <c r="D866" s="29"/>
    </row>
    <row r="867" spans="3:4">
      <c r="C867" s="29"/>
      <c r="D867" s="29"/>
    </row>
    <row r="868" spans="3:4">
      <c r="C868" s="29"/>
      <c r="D868" s="29"/>
    </row>
    <row r="869" s="3" customFormat="1" spans="1: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Y869" s="56"/>
    </row>
    <row r="871" spans="3:4">
      <c r="C871" s="29"/>
      <c r="D871" s="29"/>
    </row>
    <row r="872" spans="3:4">
      <c r="C872" s="29"/>
      <c r="D872" s="29"/>
    </row>
    <row r="873" spans="3:4">
      <c r="C873" s="29"/>
      <c r="D873" s="29"/>
    </row>
    <row r="874" spans="3:4">
      <c r="C874" s="29"/>
      <c r="D874" s="29"/>
    </row>
    <row r="875" spans="3:4">
      <c r="C875" s="29"/>
      <c r="D875" s="29"/>
    </row>
    <row r="876" spans="3:4">
      <c r="C876" s="29"/>
      <c r="D876" s="29"/>
    </row>
    <row r="879" spans="3:4">
      <c r="C879" s="29"/>
      <c r="D879" s="29"/>
    </row>
    <row r="880" spans="3:4">
      <c r="C880" s="29"/>
      <c r="D880" s="29"/>
    </row>
    <row r="881" spans="3:4">
      <c r="C881" s="29"/>
      <c r="D881" s="29"/>
    </row>
    <row r="882" spans="3:4">
      <c r="C882" s="29"/>
      <c r="D882" s="29"/>
    </row>
    <row r="883" spans="3:4">
      <c r="C883" s="29"/>
      <c r="D883" s="29"/>
    </row>
    <row r="884" s="3" customFormat="1" spans="1:25">
      <c r="A884" s="6"/>
      <c r="B884" s="6"/>
      <c r="C884" s="29"/>
      <c r="D884" s="29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Y884" s="56"/>
    </row>
    <row r="885" spans="3:4">
      <c r="C885" s="29"/>
      <c r="D885" s="29"/>
    </row>
    <row r="888" spans="3:4">
      <c r="C888" s="29"/>
      <c r="D888" s="29"/>
    </row>
    <row r="889" spans="3:4">
      <c r="C889" s="29"/>
      <c r="D889" s="29"/>
    </row>
    <row r="890" spans="3:4">
      <c r="C890" s="29"/>
      <c r="D890" s="29"/>
    </row>
    <row r="891" spans="3:4">
      <c r="C891" s="29"/>
      <c r="D891" s="29"/>
    </row>
    <row r="892" spans="3:4">
      <c r="C892" s="29"/>
      <c r="D892" s="29"/>
    </row>
    <row r="893" spans="3:4">
      <c r="C893" s="29"/>
      <c r="D893" s="29"/>
    </row>
    <row r="894" spans="3:4">
      <c r="C894" s="29"/>
      <c r="D894" s="29"/>
    </row>
    <row r="897" spans="3:4">
      <c r="C897" s="29"/>
      <c r="D897" s="29"/>
    </row>
    <row r="898" spans="3:4">
      <c r="C898" s="29"/>
      <c r="D898" s="29"/>
    </row>
    <row r="899" s="3" customFormat="1" spans="1:25">
      <c r="A899" s="6"/>
      <c r="B899" s="6"/>
      <c r="C899" s="29"/>
      <c r="D899" s="29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Y899" s="56"/>
    </row>
    <row r="900" spans="3:4">
      <c r="C900" s="29"/>
      <c r="D900" s="29"/>
    </row>
    <row r="901" spans="3:4">
      <c r="C901" s="29"/>
      <c r="D901" s="29"/>
    </row>
    <row r="902" spans="3:4">
      <c r="C902" s="29"/>
      <c r="D902" s="29"/>
    </row>
    <row r="905" spans="3:4">
      <c r="C905" s="29"/>
      <c r="D905" s="29"/>
    </row>
    <row r="906" spans="3:4">
      <c r="C906" s="29"/>
      <c r="D906" s="29"/>
    </row>
    <row r="907" spans="3:4">
      <c r="C907" s="29"/>
      <c r="D907" s="29"/>
    </row>
    <row r="908" spans="3:4">
      <c r="C908" s="29"/>
      <c r="D908" s="29"/>
    </row>
    <row r="909" spans="3:4">
      <c r="C909" s="29"/>
      <c r="D909" s="29"/>
    </row>
  </sheetData>
  <autoFilter ref="A1:Y754">
    <extLst/>
  </autoFilter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05"/>
  <sheetViews>
    <sheetView topLeftCell="L1" workbookViewId="0">
      <selection activeCell="X454" sqref="X454"/>
    </sheetView>
  </sheetViews>
  <sheetFormatPr defaultColWidth="9" defaultRowHeight="14.4"/>
  <cols>
    <col min="1" max="2" width="9" style="6"/>
    <col min="3" max="3" width="9.87962962962963" style="6" customWidth="1"/>
    <col min="4" max="4" width="9" style="6"/>
    <col min="5" max="23" width="12.3796296296296" style="6" customWidth="1"/>
    <col min="24" max="24" width="12.6296296296296" style="7"/>
    <col min="25" max="25" width="12.8888888888889" style="7"/>
    <col min="26" max="16384" width="9" style="7"/>
  </cols>
  <sheetData>
    <row r="1" s="3" customFormat="1" spans="1:25">
      <c r="A1" s="8" t="s">
        <v>1</v>
      </c>
      <c r="B1" s="8" t="s">
        <v>2</v>
      </c>
      <c r="C1" s="9" t="s">
        <v>3</v>
      </c>
      <c r="D1" s="9" t="s">
        <v>4</v>
      </c>
      <c r="E1" s="10" t="s">
        <v>5</v>
      </c>
      <c r="F1" s="11" t="s">
        <v>834</v>
      </c>
      <c r="G1" s="10" t="s">
        <v>6</v>
      </c>
      <c r="H1" s="11" t="s">
        <v>834</v>
      </c>
      <c r="I1" s="10" t="s">
        <v>7</v>
      </c>
      <c r="J1" s="11" t="s">
        <v>834</v>
      </c>
      <c r="K1" s="10" t="s">
        <v>835</v>
      </c>
      <c r="L1" s="11" t="s">
        <v>836</v>
      </c>
      <c r="M1" s="11" t="s">
        <v>837</v>
      </c>
      <c r="N1" s="10">
        <v>50</v>
      </c>
      <c r="O1" s="10" t="s">
        <v>838</v>
      </c>
      <c r="P1" s="11" t="s">
        <v>834</v>
      </c>
      <c r="Q1" s="10" t="s">
        <v>8</v>
      </c>
      <c r="R1" s="8" t="s">
        <v>838</v>
      </c>
      <c r="S1" s="22" t="s">
        <v>834</v>
      </c>
      <c r="T1" s="8" t="s">
        <v>839</v>
      </c>
      <c r="U1" s="22" t="s">
        <v>836</v>
      </c>
      <c r="V1" s="22" t="s">
        <v>837</v>
      </c>
      <c r="W1" s="8" t="s">
        <v>9</v>
      </c>
      <c r="X1" s="23" t="s">
        <v>840</v>
      </c>
      <c r="Y1" s="23" t="s">
        <v>841</v>
      </c>
    </row>
    <row r="2" ht="15.6" hidden="1" outlineLevel="2" spans="1:25">
      <c r="A2" s="15">
        <v>101</v>
      </c>
      <c r="B2" s="15">
        <v>1</v>
      </c>
      <c r="C2" s="13" t="s">
        <v>10</v>
      </c>
      <c r="D2" s="14" t="s">
        <v>11</v>
      </c>
      <c r="E2" s="15">
        <v>5</v>
      </c>
      <c r="F2" s="1">
        <f>LOOKUP(E2,{0,-4,-3,-2,-1,0,1,2.4,3.8,5.2,6.6,8,9.4,10.8,12.2,13.6,15,17.2,19.4,21.5,23.6},{0,10,20,30,40,50,60,62,64,66,68,70,72,74,76,78,80,85,90,95,100})</f>
        <v>64</v>
      </c>
      <c r="G2" s="15">
        <v>260</v>
      </c>
      <c r="H2" s="1">
        <f>LOOKUP(G2,{0,170,175,180,185,190,195,199,203,207,211,215,219,223,227,231,235,243,250,255,260},{0,10,20,30,40,50,60,62,64,66,68,70,72,74,76,78,80,85,90,95,100})</f>
        <v>100</v>
      </c>
      <c r="I2" s="15">
        <v>15</v>
      </c>
      <c r="J2" s="1">
        <f>LOOKUP(I2,{0,2,3,4,5,6,7,8,9,10,11,12,13,14,15,16},{0,10,20,30,40,50,60,64,68,72,76,80,85,90,95,100})</f>
        <v>95</v>
      </c>
      <c r="K2" s="21"/>
      <c r="L2" s="21"/>
      <c r="M2" s="21">
        <f t="shared" ref="M2:M31" si="0">J2+L2</f>
        <v>95</v>
      </c>
      <c r="N2" s="15">
        <v>7.3</v>
      </c>
      <c r="O2" s="19">
        <f t="shared" ref="O2:O12" si="1">13-N2</f>
        <v>5.7</v>
      </c>
      <c r="P2" s="1">
        <f>LOOKUP(O2,{0,2.5,2.7,2.9,3.1,3.3,3.5,3.7,3.9,4.1,4.3,4.5,4.7,4.9,5.1,5.3,5.5,5.6,5.7,5.8,5.9},{0,10,20,30,40,50,60,62,64,66,68,70,72,74,76,78,80,85,90,95,100})</f>
        <v>90</v>
      </c>
      <c r="Q2" s="15">
        <v>3.41</v>
      </c>
      <c r="R2" s="15">
        <f t="shared" ref="R2:R14" si="2">10-Q2</f>
        <v>6.59</v>
      </c>
      <c r="S2" s="1">
        <f>LOOKUP(R2,{0,3.75,3.95,4.55,4.75,4.95,5.55,5.6,5.65,5.7,5.75,5.8,5.85,5.9,5.95,6,6.45,6.53,6.6,6.65,6.7},{0,10,20,30,40,50,60,62,64,66,68,70,72,74,76,78,80,85,90,95,100})</f>
        <v>85</v>
      </c>
      <c r="T2" s="21"/>
      <c r="U2" s="21"/>
      <c r="V2" s="21">
        <f t="shared" ref="V2:V14" si="3">S2+U2</f>
        <v>85</v>
      </c>
      <c r="W2" s="15"/>
      <c r="X2" s="21">
        <f t="shared" ref="X2:X31" si="4">F2*0.1+H2*0.1+J2*0.1+P2*0.2+S2*0.2</f>
        <v>60.9</v>
      </c>
      <c r="Y2" s="21">
        <f t="shared" ref="Y2:Y31" si="5">X2/0.7+L2+U2</f>
        <v>87</v>
      </c>
    </row>
    <row r="3" ht="15.6" hidden="1" outlineLevel="2" spans="1:25">
      <c r="A3" s="15">
        <v>101</v>
      </c>
      <c r="B3" s="15">
        <v>2</v>
      </c>
      <c r="C3" s="14" t="s">
        <v>12</v>
      </c>
      <c r="D3" s="14" t="s">
        <v>11</v>
      </c>
      <c r="E3" s="15">
        <v>5.3</v>
      </c>
      <c r="F3" s="1">
        <f>LOOKUP(E3,{0,-4,-3,-2,-1,0,1,2.4,3.8,5.2,6.6,8,9.4,10.8,12.2,13.6,15,17.2,19.4,21.5,23.6},{0,10,20,30,40,50,60,62,64,66,68,70,72,74,76,78,80,85,90,95,100})</f>
        <v>66</v>
      </c>
      <c r="G3" s="15">
        <v>283</v>
      </c>
      <c r="H3" s="1">
        <f>LOOKUP(G3,{0,170,175,180,185,190,195,199,203,207,211,215,219,223,227,231,235,243,250,255,260},{0,10,20,30,40,50,60,62,64,66,68,70,72,74,76,78,80,85,90,95,100})</f>
        <v>100</v>
      </c>
      <c r="I3" s="15">
        <v>20</v>
      </c>
      <c r="J3" s="1">
        <f>LOOKUP(I3,{0,2,3,4,5,6,7,8,9,10,11,12,13,14,15,16},{0,10,20,30,40,50,60,64,68,72,76,80,85,90,95,100})</f>
        <v>100</v>
      </c>
      <c r="K3" s="21">
        <f>I3-16</f>
        <v>4</v>
      </c>
      <c r="L3" s="1">
        <f>LOOKUP(K3,{0,1,2,3,4,5,6,7,8,9,10},{0,1,2,3,4,5,6,7,8,9,10})</f>
        <v>4</v>
      </c>
      <c r="M3" s="21">
        <f t="shared" si="0"/>
        <v>104</v>
      </c>
      <c r="N3" s="15">
        <v>6.7</v>
      </c>
      <c r="O3" s="19">
        <f t="shared" si="1"/>
        <v>6.3</v>
      </c>
      <c r="P3" s="1">
        <f>LOOKUP(O3,{0,2.5,2.7,2.9,3.1,3.3,3.5,3.7,3.9,4.1,4.3,4.5,4.7,4.9,5.1,5.3,5.5,5.6,5.7,5.8,5.9},{0,10,20,30,40,50,60,62,64,66,68,70,72,74,76,78,80,85,90,95,100})</f>
        <v>100</v>
      </c>
      <c r="Q3" s="15">
        <v>3.25</v>
      </c>
      <c r="R3" s="15">
        <f t="shared" si="2"/>
        <v>6.75</v>
      </c>
      <c r="S3" s="1">
        <f>LOOKUP(R3,{0,3.75,3.95,4.55,4.75,4.95,5.55,5.6,5.65,5.7,5.75,5.8,5.85,5.9,5.95,6,6.45,6.53,6.6,6.65,6.7},{0,10,20,30,40,50,60,62,64,66,68,70,72,74,76,78,80,85,90,95,100})</f>
        <v>100</v>
      </c>
      <c r="T3" s="21">
        <f>3.3-Q3</f>
        <v>0.0499999999999998</v>
      </c>
      <c r="U3" s="1">
        <f>LOOKUP(T3,{0,0.04,0.08,0.12,0.16,0.2,0.23,0.26,0.29,0.32,0.35},{0,1,2,3,4,5,6,7,8,9,10})</f>
        <v>1</v>
      </c>
      <c r="V3" s="21">
        <f t="shared" si="3"/>
        <v>101</v>
      </c>
      <c r="W3" s="15"/>
      <c r="X3" s="21">
        <f t="shared" si="4"/>
        <v>66.6</v>
      </c>
      <c r="Y3" s="21">
        <f t="shared" si="5"/>
        <v>100.142857142857</v>
      </c>
    </row>
    <row r="4" ht="15.6" hidden="1" outlineLevel="2" spans="1:25">
      <c r="A4" s="15">
        <v>101</v>
      </c>
      <c r="B4" s="15">
        <v>3</v>
      </c>
      <c r="C4" s="14" t="s">
        <v>13</v>
      </c>
      <c r="D4" s="14" t="s">
        <v>11</v>
      </c>
      <c r="E4" s="15">
        <v>5.5</v>
      </c>
      <c r="F4" s="1">
        <f>LOOKUP(E4,{0,-4,-3,-2,-1,0,1,2.4,3.8,5.2,6.6,8,9.4,10.8,12.2,13.6,15,17.2,19.4,21.5,23.6},{0,10,20,30,40,50,60,62,64,66,68,70,72,74,76,78,80,85,90,95,100})</f>
        <v>66</v>
      </c>
      <c r="G4" s="15">
        <v>223</v>
      </c>
      <c r="H4" s="1">
        <f>LOOKUP(G4,{0,170,175,180,185,190,195,199,203,207,211,215,219,223,227,231,235,243,250,255,260},{0,10,20,30,40,50,60,62,64,66,68,70,72,74,76,78,80,85,90,95,100})</f>
        <v>74</v>
      </c>
      <c r="I4" s="15">
        <v>13</v>
      </c>
      <c r="J4" s="1">
        <f>LOOKUP(I4,{0,2,3,4,5,6,7,8,9,10,11,12,13,14,15,16},{0,10,20,30,40,50,60,64,68,72,76,80,85,90,95,100})</f>
        <v>85</v>
      </c>
      <c r="K4" s="21"/>
      <c r="L4" s="21"/>
      <c r="M4" s="21">
        <f t="shared" si="0"/>
        <v>85</v>
      </c>
      <c r="N4" s="15">
        <v>7.4</v>
      </c>
      <c r="O4" s="19">
        <f t="shared" si="1"/>
        <v>5.6</v>
      </c>
      <c r="P4" s="1">
        <f>LOOKUP(O4,{0,2.5,2.7,2.9,3.1,3.3,3.5,3.7,3.9,4.1,4.3,4.5,4.7,4.9,5.1,5.3,5.5,5.6,5.7,5.8,5.9},{0,10,20,30,40,50,60,62,64,66,68,70,72,74,76,78,80,85,90,95,100})</f>
        <v>85</v>
      </c>
      <c r="Q4" s="15">
        <v>3.33</v>
      </c>
      <c r="R4" s="15">
        <f t="shared" si="2"/>
        <v>6.67</v>
      </c>
      <c r="S4" s="1">
        <f>LOOKUP(R4,{0,3.75,3.95,4.55,4.75,4.95,5.55,5.6,5.65,5.7,5.75,5.8,5.85,5.9,5.95,6,6.45,6.53,6.6,6.65,6.7},{0,10,20,30,40,50,60,62,64,66,68,70,72,74,76,78,80,85,90,95,100})</f>
        <v>95</v>
      </c>
      <c r="T4" s="21"/>
      <c r="U4" s="21"/>
      <c r="V4" s="21">
        <f t="shared" si="3"/>
        <v>95</v>
      </c>
      <c r="W4" s="15"/>
      <c r="X4" s="21">
        <f t="shared" si="4"/>
        <v>58.5</v>
      </c>
      <c r="Y4" s="21">
        <f t="shared" si="5"/>
        <v>83.5714285714286</v>
      </c>
    </row>
    <row r="5" ht="15.6" hidden="1" outlineLevel="2" spans="1:25">
      <c r="A5" s="15">
        <v>101</v>
      </c>
      <c r="B5" s="15">
        <v>4</v>
      </c>
      <c r="C5" s="14" t="s">
        <v>14</v>
      </c>
      <c r="D5" s="14" t="s">
        <v>11</v>
      </c>
      <c r="E5" s="15">
        <v>11.2</v>
      </c>
      <c r="F5" s="1">
        <f>LOOKUP(E5,{0,-4,-3,-2,-1,0,1,2.4,3.8,5.2,6.6,8,9.4,10.8,12.2,13.6,15,17.2,19.4,21.5,23.6},{0,10,20,30,40,50,60,62,64,66,68,70,72,74,76,78,80,85,90,95,100})</f>
        <v>74</v>
      </c>
      <c r="G5" s="15">
        <v>250</v>
      </c>
      <c r="H5" s="1">
        <f>LOOKUP(G5,{0,170,175,180,185,190,195,199,203,207,211,215,219,223,227,231,235,243,250,255,260},{0,10,20,30,40,50,60,62,64,66,68,70,72,74,76,78,80,85,90,95,100})</f>
        <v>90</v>
      </c>
      <c r="I5" s="15">
        <v>2</v>
      </c>
      <c r="J5" s="1">
        <f>LOOKUP(I5,{0,2,3,4,5,6,7,8,9,10,11,12,13,14,15,16},{0,10,20,30,40,50,60,64,68,72,76,80,85,90,95,100})</f>
        <v>10</v>
      </c>
      <c r="K5" s="21"/>
      <c r="L5" s="21"/>
      <c r="M5" s="21">
        <f t="shared" si="0"/>
        <v>10</v>
      </c>
      <c r="N5" s="15">
        <v>6.7</v>
      </c>
      <c r="O5" s="19">
        <f t="shared" si="1"/>
        <v>6.3</v>
      </c>
      <c r="P5" s="1">
        <f>LOOKUP(O5,{0,2.5,2.7,2.9,3.1,3.3,3.5,3.7,3.9,4.1,4.3,4.5,4.7,4.9,5.1,5.3,5.5,5.6,5.7,5.8,5.9},{0,10,20,30,40,50,60,62,64,66,68,70,72,74,76,78,80,85,90,95,100})</f>
        <v>100</v>
      </c>
      <c r="Q5" s="15">
        <v>4.07</v>
      </c>
      <c r="R5" s="15">
        <f t="shared" si="2"/>
        <v>5.93</v>
      </c>
      <c r="S5" s="1">
        <f>LOOKUP(R5,{0,3.75,3.95,4.55,4.75,4.95,5.55,5.6,5.65,5.7,5.75,5.8,5.85,5.9,5.95,6,6.45,6.53,6.6,6.65,6.7},{0,10,20,30,40,50,60,62,64,66,68,70,72,74,76,78,80,85,90,95,100})</f>
        <v>74</v>
      </c>
      <c r="T5" s="21"/>
      <c r="U5" s="21"/>
      <c r="V5" s="21">
        <f t="shared" si="3"/>
        <v>74</v>
      </c>
      <c r="W5" s="15"/>
      <c r="X5" s="21">
        <f t="shared" si="4"/>
        <v>52.2</v>
      </c>
      <c r="Y5" s="21">
        <f t="shared" si="5"/>
        <v>74.5714285714286</v>
      </c>
    </row>
    <row r="6" ht="15.6" hidden="1" outlineLevel="2" spans="1:25">
      <c r="A6" s="15">
        <v>101</v>
      </c>
      <c r="B6" s="15">
        <v>5</v>
      </c>
      <c r="C6" s="14" t="s">
        <v>15</v>
      </c>
      <c r="D6" s="14" t="s">
        <v>11</v>
      </c>
      <c r="E6" s="15">
        <v>6.7</v>
      </c>
      <c r="F6" s="1">
        <f>LOOKUP(E6,{0,-4,-3,-2,-1,0,1,2.4,3.8,5.2,6.6,8,9.4,10.8,12.2,13.6,15,17.2,19.4,21.5,23.6},{0,10,20,30,40,50,60,62,64,66,68,70,72,74,76,78,80,85,90,95,100})</f>
        <v>68</v>
      </c>
      <c r="G6" s="15">
        <v>180</v>
      </c>
      <c r="H6" s="1">
        <f>LOOKUP(G6,{0,170,175,180,185,190,195,199,203,207,211,215,219,223,227,231,235,243,250,255,260},{0,10,20,30,40,50,60,62,64,66,68,70,72,74,76,78,80,85,90,95,100})</f>
        <v>30</v>
      </c>
      <c r="I6" s="15">
        <v>0</v>
      </c>
      <c r="J6" s="1">
        <f>LOOKUP(I6,{0,2,3,4,5,6,7,8,9,10,11,12,13,14,15,16},{0,10,20,30,40,50,60,64,68,72,76,80,85,90,95,100})</f>
        <v>0</v>
      </c>
      <c r="K6" s="21"/>
      <c r="L6" s="21"/>
      <c r="M6" s="21">
        <f t="shared" si="0"/>
        <v>0</v>
      </c>
      <c r="N6" s="15">
        <v>8.8</v>
      </c>
      <c r="O6" s="19">
        <f t="shared" si="1"/>
        <v>4.2</v>
      </c>
      <c r="P6" s="1">
        <f>LOOKUP(O6,{0,2.5,2.7,2.9,3.1,3.3,3.5,3.7,3.9,4.1,4.3,4.5,4.7,4.9,5.1,5.3,5.5,5.6,5.7,5.8,5.9},{0,10,20,30,40,50,60,62,64,66,68,70,72,74,76,78,80,85,90,95,100})</f>
        <v>66</v>
      </c>
      <c r="Q6" s="15">
        <v>5.32</v>
      </c>
      <c r="R6" s="15">
        <f t="shared" si="2"/>
        <v>4.68</v>
      </c>
      <c r="S6" s="1">
        <f>LOOKUP(R6,{0,3.75,3.95,4.55,4.75,4.95,5.55,5.6,5.65,5.7,5.75,5.8,5.85,5.9,5.95,6,6.45,6.53,6.6,6.65,6.7},{0,10,20,30,40,50,60,62,64,66,68,70,72,74,76,78,80,85,90,95,100})</f>
        <v>30</v>
      </c>
      <c r="T6" s="21"/>
      <c r="U6" s="21"/>
      <c r="V6" s="21">
        <f t="shared" si="3"/>
        <v>30</v>
      </c>
      <c r="W6" s="15"/>
      <c r="X6" s="21">
        <f t="shared" si="4"/>
        <v>29</v>
      </c>
      <c r="Y6" s="21">
        <f t="shared" si="5"/>
        <v>41.4285714285714</v>
      </c>
    </row>
    <row r="7" ht="15.6" hidden="1" outlineLevel="2" spans="1:25">
      <c r="A7" s="15">
        <v>101</v>
      </c>
      <c r="B7" s="15">
        <v>6</v>
      </c>
      <c r="C7" s="14" t="s">
        <v>16</v>
      </c>
      <c r="D7" s="14" t="s">
        <v>11</v>
      </c>
      <c r="E7" s="15">
        <v>10.6</v>
      </c>
      <c r="F7" s="1">
        <f>LOOKUP(E7,{0,-4,-3,-2,-1,0,1,2.4,3.8,5.2,6.6,8,9.4,10.8,12.2,13.6,15,17.2,19.4,21.5,23.6},{0,10,20,30,40,50,60,62,64,66,68,70,72,74,76,78,80,85,90,95,100})</f>
        <v>72</v>
      </c>
      <c r="G7" s="15">
        <v>238</v>
      </c>
      <c r="H7" s="1">
        <f>LOOKUP(G7,{0,170,175,180,185,190,195,199,203,207,211,215,219,223,227,231,235,243,250,255,260},{0,10,20,30,40,50,60,62,64,66,68,70,72,74,76,78,80,85,90,95,100})</f>
        <v>80</v>
      </c>
      <c r="I7" s="15">
        <v>1</v>
      </c>
      <c r="J7" s="1">
        <f>LOOKUP(I7,{0,2,3,4,5,6,7,8,9,10,11,12,13,14,15,16},{0,10,20,30,40,50,60,64,68,72,76,80,85,90,95,100})</f>
        <v>0</v>
      </c>
      <c r="K7" s="21"/>
      <c r="L7" s="21"/>
      <c r="M7" s="21">
        <f t="shared" si="0"/>
        <v>0</v>
      </c>
      <c r="N7" s="15">
        <v>7.6</v>
      </c>
      <c r="O7" s="19">
        <f t="shared" si="1"/>
        <v>5.4</v>
      </c>
      <c r="P7" s="1">
        <f>LOOKUP(O7,{0,2.5,2.7,2.9,3.1,3.3,3.5,3.7,3.9,4.1,4.3,4.5,4.7,4.9,5.1,5.3,5.5,5.6,5.7,5.8,5.9},{0,10,20,30,40,50,60,62,64,66,68,70,72,74,76,78,80,85,90,95,100})</f>
        <v>78</v>
      </c>
      <c r="Q7" s="15">
        <v>3.57</v>
      </c>
      <c r="R7" s="15">
        <f t="shared" si="2"/>
        <v>6.43</v>
      </c>
      <c r="S7" s="1">
        <f>LOOKUP(R7,{0,3.75,3.95,4.55,4.75,4.95,5.55,5.6,5.65,5.7,5.75,5.8,5.85,5.9,5.95,6,6.45,6.53,6.6,6.65,6.7},{0,10,20,30,40,50,60,62,64,66,68,70,72,74,76,78,80,85,90,95,100})</f>
        <v>78</v>
      </c>
      <c r="T7" s="21"/>
      <c r="U7" s="21"/>
      <c r="V7" s="21">
        <f t="shared" si="3"/>
        <v>78</v>
      </c>
      <c r="W7" s="15"/>
      <c r="X7" s="21">
        <f t="shared" si="4"/>
        <v>46.4</v>
      </c>
      <c r="Y7" s="21">
        <f t="shared" si="5"/>
        <v>66.2857142857143</v>
      </c>
    </row>
    <row r="8" ht="15.6" hidden="1" outlineLevel="2" spans="1:25">
      <c r="A8" s="15">
        <v>101</v>
      </c>
      <c r="B8" s="15">
        <v>7</v>
      </c>
      <c r="C8" s="14" t="s">
        <v>17</v>
      </c>
      <c r="D8" s="14" t="s">
        <v>11</v>
      </c>
      <c r="E8" s="15">
        <v>9.8</v>
      </c>
      <c r="F8" s="1">
        <f>LOOKUP(E8,{0,-4,-3,-2,-1,0,1,2.4,3.8,5.2,6.6,8,9.4,10.8,12.2,13.6,15,17.2,19.4,21.5,23.6},{0,10,20,30,40,50,60,62,64,66,68,70,72,74,76,78,80,85,90,95,100})</f>
        <v>72</v>
      </c>
      <c r="G8" s="15">
        <v>205</v>
      </c>
      <c r="H8" s="1">
        <f>LOOKUP(G8,{0,170,175,180,185,190,195,199,203,207,211,215,219,223,227,231,235,243,250,255,260},{0,10,20,30,40,50,60,62,64,66,68,70,72,74,76,78,80,85,90,95,100})</f>
        <v>64</v>
      </c>
      <c r="I8" s="15">
        <v>1</v>
      </c>
      <c r="J8" s="1">
        <f>LOOKUP(I8,{0,2,3,4,5,6,7,8,9,10,11,12,13,14,15,16},{0,10,20,30,40,50,60,64,68,72,76,80,85,90,95,100})</f>
        <v>0</v>
      </c>
      <c r="K8" s="21"/>
      <c r="L8" s="21"/>
      <c r="M8" s="21">
        <f t="shared" si="0"/>
        <v>0</v>
      </c>
      <c r="N8" s="15">
        <v>7.6</v>
      </c>
      <c r="O8" s="19">
        <f t="shared" si="1"/>
        <v>5.4</v>
      </c>
      <c r="P8" s="1">
        <f>LOOKUP(O8,{0,2.5,2.7,2.9,3.1,3.3,3.5,3.7,3.9,4.1,4.3,4.5,4.7,4.9,5.1,5.3,5.5,5.6,5.7,5.8,5.9},{0,10,20,30,40,50,60,62,64,66,68,70,72,74,76,78,80,85,90,95,100})</f>
        <v>78</v>
      </c>
      <c r="Q8" s="15">
        <v>4.02</v>
      </c>
      <c r="R8" s="15">
        <f t="shared" si="2"/>
        <v>5.98</v>
      </c>
      <c r="S8" s="1">
        <f>LOOKUP(R8,{0,3.75,3.95,4.55,4.75,4.95,5.55,5.6,5.65,5.7,5.75,5.8,5.85,5.9,5.95,6,6.45,6.53,6.6,6.65,6.7},{0,10,20,30,40,50,60,62,64,66,68,70,72,74,76,78,80,85,90,95,100})</f>
        <v>76</v>
      </c>
      <c r="T8" s="21"/>
      <c r="U8" s="21"/>
      <c r="V8" s="21">
        <f t="shared" si="3"/>
        <v>76</v>
      </c>
      <c r="W8" s="15"/>
      <c r="X8" s="21">
        <f t="shared" si="4"/>
        <v>44.4</v>
      </c>
      <c r="Y8" s="21">
        <f t="shared" si="5"/>
        <v>63.4285714285714</v>
      </c>
    </row>
    <row r="9" ht="15.6" hidden="1" outlineLevel="2" spans="1:25">
      <c r="A9" s="15">
        <v>101</v>
      </c>
      <c r="B9" s="15">
        <v>8</v>
      </c>
      <c r="C9" s="14" t="s">
        <v>18</v>
      </c>
      <c r="D9" s="14" t="s">
        <v>11</v>
      </c>
      <c r="E9" s="15">
        <v>22.2</v>
      </c>
      <c r="F9" s="1">
        <f>LOOKUP(E9,{0,-4,-3,-2,-1,0,1,2.4,3.8,5.2,6.6,8,9.4,10.8,12.2,13.6,15,17.2,19.4,21.5,23.6},{0,10,20,30,40,50,60,62,64,66,68,70,72,74,76,78,80,85,90,95,100})</f>
        <v>95</v>
      </c>
      <c r="G9" s="15">
        <v>230</v>
      </c>
      <c r="H9" s="1">
        <f>LOOKUP(G9,{0,170,175,180,185,190,195,199,203,207,211,215,219,223,227,231,235,243,250,255,260},{0,10,20,30,40,50,60,62,64,66,68,70,72,74,76,78,80,85,90,95,100})</f>
        <v>76</v>
      </c>
      <c r="I9" s="15">
        <v>3</v>
      </c>
      <c r="J9" s="1">
        <f>LOOKUP(I9,{0,2,3,4,5,6,7,8,9,10,11,12,13,14,15,16},{0,10,20,30,40,50,60,64,68,72,76,80,85,90,95,100})</f>
        <v>20</v>
      </c>
      <c r="K9" s="21"/>
      <c r="L9" s="21"/>
      <c r="M9" s="21">
        <f t="shared" si="0"/>
        <v>20</v>
      </c>
      <c r="N9" s="15">
        <v>7.4</v>
      </c>
      <c r="O9" s="19">
        <f t="shared" si="1"/>
        <v>5.6</v>
      </c>
      <c r="P9" s="1">
        <f>LOOKUP(O9,{0,2.5,2.7,2.9,3.1,3.3,3.5,3.7,3.9,4.1,4.3,4.5,4.7,4.9,5.1,5.3,5.5,5.6,5.7,5.8,5.9},{0,10,20,30,40,50,60,62,64,66,68,70,72,74,76,78,80,85,90,95,100})</f>
        <v>85</v>
      </c>
      <c r="Q9" s="15">
        <v>4</v>
      </c>
      <c r="R9" s="15">
        <f t="shared" si="2"/>
        <v>6</v>
      </c>
      <c r="S9" s="1">
        <f>LOOKUP(R9,{0,3.75,3.95,4.55,4.75,4.95,5.55,5.6,5.65,5.7,5.75,5.8,5.85,5.9,5.95,6,6.45,6.53,6.6,6.65,6.7},{0,10,20,30,40,50,60,62,64,66,68,70,72,74,76,78,80,85,90,95,100})</f>
        <v>78</v>
      </c>
      <c r="T9" s="21"/>
      <c r="U9" s="21"/>
      <c r="V9" s="21">
        <f t="shared" si="3"/>
        <v>78</v>
      </c>
      <c r="W9" s="15"/>
      <c r="X9" s="21">
        <f t="shared" si="4"/>
        <v>51.7</v>
      </c>
      <c r="Y9" s="21">
        <f t="shared" si="5"/>
        <v>73.8571428571429</v>
      </c>
    </row>
    <row r="10" ht="15.6" hidden="1" outlineLevel="2" spans="1:25">
      <c r="A10" s="15">
        <v>101</v>
      </c>
      <c r="B10" s="15">
        <v>9</v>
      </c>
      <c r="C10" s="14" t="s">
        <v>19</v>
      </c>
      <c r="D10" s="14" t="s">
        <v>11</v>
      </c>
      <c r="E10" s="15">
        <v>10</v>
      </c>
      <c r="F10" s="1">
        <f>LOOKUP(E10,{0,-4,-3,-2,-1,0,1,2.4,3.8,5.2,6.6,8,9.4,10.8,12.2,13.6,15,17.2,19.4,21.5,23.6},{0,10,20,30,40,50,60,62,64,66,68,70,72,74,76,78,80,85,90,95,100})</f>
        <v>72</v>
      </c>
      <c r="G10" s="15">
        <v>238</v>
      </c>
      <c r="H10" s="1">
        <f>LOOKUP(G10,{0,170,175,180,185,190,195,199,203,207,211,215,219,223,227,231,235,243,250,255,260},{0,10,20,30,40,50,60,62,64,66,68,70,72,74,76,78,80,85,90,95,100})</f>
        <v>80</v>
      </c>
      <c r="I10" s="15">
        <v>10</v>
      </c>
      <c r="J10" s="1">
        <f>LOOKUP(I10,{0,2,3,4,5,6,7,8,9,10,11,12,13,14,15,16},{0,10,20,30,40,50,60,64,68,72,76,80,85,90,95,100})</f>
        <v>72</v>
      </c>
      <c r="K10" s="21"/>
      <c r="L10" s="21"/>
      <c r="M10" s="21">
        <f t="shared" si="0"/>
        <v>72</v>
      </c>
      <c r="N10" s="15">
        <v>7.9</v>
      </c>
      <c r="O10" s="19">
        <f t="shared" si="1"/>
        <v>5.1</v>
      </c>
      <c r="P10" s="1">
        <f>LOOKUP(O10,{0,2.5,2.7,2.9,3.1,3.3,3.5,3.7,3.9,4.1,4.3,4.5,4.7,4.9,5.1,5.3,5.5,5.6,5.7,5.8,5.9},{0,10,20,30,40,50,60,62,64,66,68,70,72,74,76,78,80,85,90,95,100})</f>
        <v>76</v>
      </c>
      <c r="Q10" s="15">
        <v>3.58</v>
      </c>
      <c r="R10" s="15">
        <f t="shared" si="2"/>
        <v>6.42</v>
      </c>
      <c r="S10" s="1">
        <f>LOOKUP(R10,{0,3.75,3.95,4.55,4.75,4.95,5.55,5.6,5.65,5.7,5.75,5.8,5.85,5.9,5.95,6,6.45,6.53,6.6,6.65,6.7},{0,10,20,30,40,50,60,62,64,66,68,70,72,74,76,78,80,85,90,95,100})</f>
        <v>78</v>
      </c>
      <c r="T10" s="21"/>
      <c r="U10" s="21"/>
      <c r="V10" s="21">
        <f t="shared" si="3"/>
        <v>78</v>
      </c>
      <c r="W10" s="15"/>
      <c r="X10" s="21">
        <f t="shared" si="4"/>
        <v>53.2</v>
      </c>
      <c r="Y10" s="21">
        <f t="shared" si="5"/>
        <v>76</v>
      </c>
    </row>
    <row r="11" ht="15.6" hidden="1" outlineLevel="2" spans="1:25">
      <c r="A11" s="15">
        <v>101</v>
      </c>
      <c r="B11" s="15">
        <v>10</v>
      </c>
      <c r="C11" s="14" t="s">
        <v>20</v>
      </c>
      <c r="D11" s="14" t="s">
        <v>11</v>
      </c>
      <c r="E11" s="15">
        <v>15</v>
      </c>
      <c r="F11" s="1">
        <f>LOOKUP(E11,{0,-4,-3,-2,-1,0,1,2.4,3.8,5.2,6.6,8,9.4,10.8,12.2,13.6,15,17.2,19.4,21.5,23.6},{0,10,20,30,40,50,60,62,64,66,68,70,72,74,76,78,80,85,90,95,100})</f>
        <v>80</v>
      </c>
      <c r="G11" s="15">
        <v>265</v>
      </c>
      <c r="H11" s="1">
        <f>LOOKUP(G11,{0,170,175,180,185,190,195,199,203,207,211,215,219,223,227,231,235,243,250,255,260},{0,10,20,30,40,50,60,62,64,66,68,70,72,74,76,78,80,85,90,95,100})</f>
        <v>100</v>
      </c>
      <c r="I11" s="15">
        <v>8</v>
      </c>
      <c r="J11" s="1">
        <f>LOOKUP(I11,{0,2,3,4,5,6,7,8,9,10,11,12,13,14,15,16},{0,10,20,30,40,50,60,64,68,72,76,80,85,90,95,100})</f>
        <v>64</v>
      </c>
      <c r="K11" s="21"/>
      <c r="L11" s="21"/>
      <c r="M11" s="21">
        <f t="shared" si="0"/>
        <v>64</v>
      </c>
      <c r="N11" s="15">
        <v>6.8</v>
      </c>
      <c r="O11" s="19">
        <f t="shared" si="1"/>
        <v>6.2</v>
      </c>
      <c r="P11" s="1">
        <f>LOOKUP(O11,{0,2.5,2.7,2.9,3.1,3.3,3.5,3.7,3.9,4.1,4.3,4.5,4.7,4.9,5.1,5.3,5.5,5.6,5.7,5.8,5.9},{0,10,20,30,40,50,60,62,64,66,68,70,72,74,76,78,80,85,90,95,100})</f>
        <v>100</v>
      </c>
      <c r="Q11" s="15">
        <v>3.49</v>
      </c>
      <c r="R11" s="15">
        <f t="shared" si="2"/>
        <v>6.51</v>
      </c>
      <c r="S11" s="1">
        <f>LOOKUP(R11,{0,3.75,3.95,4.55,4.75,4.95,5.55,5.6,5.65,5.7,5.75,5.8,5.85,5.9,5.95,6,6.45,6.53,6.6,6.65,6.7},{0,10,20,30,40,50,60,62,64,66,68,70,72,74,76,78,80,85,90,95,100})</f>
        <v>80</v>
      </c>
      <c r="T11" s="21"/>
      <c r="U11" s="21"/>
      <c r="V11" s="21">
        <f t="shared" si="3"/>
        <v>80</v>
      </c>
      <c r="W11" s="15"/>
      <c r="X11" s="21">
        <f t="shared" si="4"/>
        <v>60.4</v>
      </c>
      <c r="Y11" s="21">
        <f t="shared" si="5"/>
        <v>86.2857142857143</v>
      </c>
    </row>
    <row r="12" ht="15.6" hidden="1" outlineLevel="2" spans="1:25">
      <c r="A12" s="15">
        <v>101</v>
      </c>
      <c r="B12" s="15">
        <v>11</v>
      </c>
      <c r="C12" s="13" t="s">
        <v>22</v>
      </c>
      <c r="D12" s="14" t="s">
        <v>11</v>
      </c>
      <c r="E12" s="15">
        <v>23.5</v>
      </c>
      <c r="F12" s="1">
        <f>LOOKUP(E12,{0,-4,-3,-2,-1,0,1,2.4,3.8,5.2,6.6,8,9.4,10.8,12.2,13.6,15,17.2,19.4,21.5,23.6},{0,10,20,30,40,50,60,62,64,66,68,70,72,74,76,78,80,85,90,95,100})</f>
        <v>95</v>
      </c>
      <c r="G12" s="15">
        <v>272</v>
      </c>
      <c r="H12" s="1">
        <f>LOOKUP(G12,{0,170,175,180,185,190,195,199,203,207,211,215,219,223,227,231,235,243,250,255,260},{0,10,20,30,40,50,60,62,64,66,68,70,72,74,76,78,80,85,90,95,100})</f>
        <v>100</v>
      </c>
      <c r="I12" s="15">
        <v>16</v>
      </c>
      <c r="J12" s="1">
        <f>LOOKUP(I12,{0,2,3,4,5,6,7,8,9,10,11,12,13,14,15,16},{0,10,20,30,40,50,60,64,68,72,76,80,85,90,95,100})</f>
        <v>100</v>
      </c>
      <c r="K12" s="21">
        <f t="shared" ref="K12:K14" si="6">I12-16</f>
        <v>0</v>
      </c>
      <c r="L12" s="1">
        <f>LOOKUP(K12,{0,1,2,3,4,5,6,7,8,9,10},{0,1,2,3,4,5,6,7,8,9,10})</f>
        <v>0</v>
      </c>
      <c r="M12" s="21">
        <f t="shared" si="0"/>
        <v>100</v>
      </c>
      <c r="N12" s="15">
        <v>6.8</v>
      </c>
      <c r="O12" s="19">
        <f t="shared" si="1"/>
        <v>6.2</v>
      </c>
      <c r="P12" s="1">
        <f>LOOKUP(O12,{0,2.5,2.7,2.9,3.1,3.3,3.5,3.7,3.9,4.1,4.3,4.5,4.7,4.9,5.1,5.3,5.5,5.6,5.7,5.8,5.9},{0,10,20,30,40,50,60,62,64,66,68,70,72,74,76,78,80,85,90,95,100})</f>
        <v>100</v>
      </c>
      <c r="Q12" s="15">
        <v>3.28</v>
      </c>
      <c r="R12" s="15">
        <f t="shared" si="2"/>
        <v>6.72</v>
      </c>
      <c r="S12" s="1">
        <f>LOOKUP(R12,{0,3.75,3.95,4.55,4.75,4.95,5.55,5.6,5.65,5.7,5.75,5.8,5.85,5.9,5.95,6,6.45,6.53,6.6,6.65,6.7},{0,10,20,30,40,50,60,62,64,66,68,70,72,74,76,78,80,85,90,95,100})</f>
        <v>100</v>
      </c>
      <c r="T12" s="21">
        <f t="shared" ref="T12:T16" si="7">3.3-Q12</f>
        <v>0.02</v>
      </c>
      <c r="U12" s="1">
        <f>LOOKUP(T12,{0,0.04,0.08,0.12,0.16,0.2,0.23,0.26,0.29,0.32,0.35},{0,1,2,3,4,5,6,7,8,9,10})</f>
        <v>0</v>
      </c>
      <c r="V12" s="21">
        <f t="shared" si="3"/>
        <v>100</v>
      </c>
      <c r="W12" s="15"/>
      <c r="X12" s="21">
        <f t="shared" si="4"/>
        <v>69.5</v>
      </c>
      <c r="Y12" s="21">
        <f t="shared" si="5"/>
        <v>99.2857142857143</v>
      </c>
    </row>
    <row r="13" s="3" customFormat="1" ht="15.6" hidden="1" outlineLevel="2" spans="1:25">
      <c r="A13" s="15">
        <v>101</v>
      </c>
      <c r="B13" s="15">
        <v>12</v>
      </c>
      <c r="C13" s="14" t="s">
        <v>23</v>
      </c>
      <c r="D13" s="14" t="s">
        <v>11</v>
      </c>
      <c r="E13" s="15">
        <v>3.5</v>
      </c>
      <c r="F13" s="1">
        <f>LOOKUP(E13,{0,-4,-3,-2,-1,0,1,2.4,3.8,5.2,6.6,8,9.4,10.8,12.2,13.6,15,17.2,19.4,21.5,23.6},{0,10,20,30,40,50,60,62,64,66,68,70,72,74,76,78,80,85,90,95,100})</f>
        <v>62</v>
      </c>
      <c r="G13" s="15">
        <v>233</v>
      </c>
      <c r="H13" s="1">
        <f>LOOKUP(G13,{0,170,175,180,185,190,195,199,203,207,211,215,219,223,227,231,235,243,250,255,260},{0,10,20,30,40,50,60,62,64,66,68,70,72,74,76,78,80,85,90,95,100})</f>
        <v>78</v>
      </c>
      <c r="I13" s="15">
        <v>30</v>
      </c>
      <c r="J13" s="1">
        <f>LOOKUP(I13,{0,2,3,4,5,6,7,8,9,10,11,12,13,14,15,16},{0,10,20,30,40,50,60,64,68,72,76,80,85,90,95,100})</f>
        <v>100</v>
      </c>
      <c r="K13" s="21">
        <f t="shared" si="6"/>
        <v>14</v>
      </c>
      <c r="L13" s="1">
        <f>LOOKUP(K13,{0,1,2,3,4,5,6,7,8,9,10},{0,1,2,3,4,5,6,7,8,9,10})</f>
        <v>10</v>
      </c>
      <c r="M13" s="21">
        <f t="shared" si="0"/>
        <v>110</v>
      </c>
      <c r="N13" s="15"/>
      <c r="O13" s="19"/>
      <c r="P13" s="1"/>
      <c r="Q13" s="15">
        <v>3.2</v>
      </c>
      <c r="R13" s="15">
        <f t="shared" si="2"/>
        <v>6.8</v>
      </c>
      <c r="S13" s="1">
        <f>LOOKUP(R13,{0,3.75,3.95,4.55,4.75,4.95,5.55,5.6,5.65,5.7,5.75,5.8,5.85,5.9,5.95,6,6.45,6.53,6.6,6.65,6.7},{0,10,20,30,40,50,60,62,64,66,68,70,72,74,76,78,80,85,90,95,100})</f>
        <v>100</v>
      </c>
      <c r="T13" s="21">
        <f t="shared" si="7"/>
        <v>0.0999999999999996</v>
      </c>
      <c r="U13" s="1">
        <f>LOOKUP(T13,{0,0.04,0.08,0.12,0.16,0.2,0.23,0.26,0.29,0.32,0.35},{0,1,2,3,4,5,6,7,8,9,10})</f>
        <v>2</v>
      </c>
      <c r="V13" s="21">
        <f t="shared" si="3"/>
        <v>102</v>
      </c>
      <c r="W13" s="15"/>
      <c r="X13" s="21">
        <f t="shared" si="4"/>
        <v>44</v>
      </c>
      <c r="Y13" s="21">
        <f t="shared" si="5"/>
        <v>74.8571428571429</v>
      </c>
    </row>
    <row r="14" ht="15.6" hidden="1" outlineLevel="2" spans="1:25">
      <c r="A14" s="15">
        <v>101</v>
      </c>
      <c r="B14" s="15">
        <v>13</v>
      </c>
      <c r="C14" s="14" t="s">
        <v>24</v>
      </c>
      <c r="D14" s="14" t="s">
        <v>11</v>
      </c>
      <c r="E14" s="15">
        <v>21.5</v>
      </c>
      <c r="F14" s="1">
        <f>LOOKUP(E14,{0,-4,-3,-2,-1,0,1,2.4,3.8,5.2,6.6,8,9.4,10.8,12.2,13.6,15,17.2,19.4,21.5,23.6},{0,10,20,30,40,50,60,62,64,66,68,70,72,74,76,78,80,85,90,95,100})</f>
        <v>95</v>
      </c>
      <c r="G14" s="15">
        <v>281</v>
      </c>
      <c r="H14" s="1">
        <f>LOOKUP(G14,{0,170,175,180,185,190,195,199,203,207,211,215,219,223,227,231,235,243,250,255,260},{0,10,20,30,40,50,60,62,64,66,68,70,72,74,76,78,80,85,90,95,100})</f>
        <v>100</v>
      </c>
      <c r="I14" s="15">
        <v>22</v>
      </c>
      <c r="J14" s="1">
        <f>LOOKUP(I14,{0,2,3,4,5,6,7,8,9,10,11,12,13,14,15,16},{0,10,20,30,40,50,60,64,68,72,76,80,85,90,95,100})</f>
        <v>100</v>
      </c>
      <c r="K14" s="21">
        <f t="shared" si="6"/>
        <v>6</v>
      </c>
      <c r="L14" s="1">
        <f>LOOKUP(K14,{0,1,2,3,4,5,6,7,8,9,10},{0,1,2,3,4,5,6,7,8,9,10})</f>
        <v>6</v>
      </c>
      <c r="M14" s="21">
        <f t="shared" si="0"/>
        <v>106</v>
      </c>
      <c r="N14" s="15"/>
      <c r="O14" s="19"/>
      <c r="P14" s="1"/>
      <c r="Q14" s="15">
        <v>3.46</v>
      </c>
      <c r="R14" s="15">
        <f t="shared" si="2"/>
        <v>6.54</v>
      </c>
      <c r="S14" s="1">
        <f>LOOKUP(R14,{0,3.75,3.95,4.55,4.75,4.95,5.55,5.6,5.65,5.7,5.75,5.8,5.85,5.9,5.95,6,6.45,6.53,6.6,6.65,6.7},{0,10,20,30,40,50,60,62,64,66,68,70,72,74,76,78,80,85,90,95,100})</f>
        <v>85</v>
      </c>
      <c r="T14" s="21"/>
      <c r="U14" s="21"/>
      <c r="V14" s="21">
        <f t="shared" si="3"/>
        <v>85</v>
      </c>
      <c r="W14" s="15"/>
      <c r="X14" s="21">
        <f t="shared" si="4"/>
        <v>46.5</v>
      </c>
      <c r="Y14" s="21">
        <f t="shared" si="5"/>
        <v>72.4285714285714</v>
      </c>
    </row>
    <row r="15" ht="15.6" hidden="1" outlineLevel="2" spans="1:25">
      <c r="A15" s="15">
        <v>101</v>
      </c>
      <c r="B15" s="15">
        <v>14</v>
      </c>
      <c r="C15" s="14" t="s">
        <v>25</v>
      </c>
      <c r="D15" s="14" t="s">
        <v>11</v>
      </c>
      <c r="E15" s="15">
        <v>13</v>
      </c>
      <c r="F15" s="1">
        <f>LOOKUP(E15,{0,-4,-3,-2,-1,0,1,2.4,3.8,5.2,6.6,8,9.4,10.8,12.2,13.6,15,17.2,19.4,21.5,23.6},{0,10,20,30,40,50,60,62,64,66,68,70,72,74,76,78,80,85,90,95,100})</f>
        <v>76</v>
      </c>
      <c r="G15" s="15">
        <v>257</v>
      </c>
      <c r="H15" s="1">
        <f>LOOKUP(G15,{0,170,175,180,185,190,195,199,203,207,211,215,219,223,227,231,235,243,250,255,260},{0,10,20,30,40,50,60,62,64,66,68,70,72,74,76,78,80,85,90,95,100})</f>
        <v>95</v>
      </c>
      <c r="I15" s="15">
        <v>11</v>
      </c>
      <c r="J15" s="1">
        <f>LOOKUP(I15,{0,2,3,4,5,6,7,8,9,10,11,12,13,14,15,16},{0,10,20,30,40,50,60,64,68,72,76,80,85,90,95,100})</f>
        <v>76</v>
      </c>
      <c r="K15" s="21"/>
      <c r="L15" s="21"/>
      <c r="M15" s="21">
        <f t="shared" si="0"/>
        <v>76</v>
      </c>
      <c r="N15" s="15">
        <v>7</v>
      </c>
      <c r="O15" s="19">
        <f t="shared" ref="O15:O18" si="8">13-N15</f>
        <v>6</v>
      </c>
      <c r="P15" s="1">
        <f>LOOKUP(O15,{0,2.5,2.7,2.9,3.1,3.3,3.5,3.7,3.9,4.1,4.3,4.5,4.7,4.9,5.1,5.3,5.5,5.6,5.7,5.8,5.9},{0,10,20,30,40,50,60,62,64,66,68,70,72,74,76,78,80,85,90,95,100})</f>
        <v>100</v>
      </c>
      <c r="Q15" s="15"/>
      <c r="R15" s="15"/>
      <c r="S15" s="1"/>
      <c r="T15" s="21"/>
      <c r="U15" s="1"/>
      <c r="V15" s="21"/>
      <c r="W15" s="15" t="s">
        <v>26</v>
      </c>
      <c r="X15" s="21">
        <f t="shared" si="4"/>
        <v>44.7</v>
      </c>
      <c r="Y15" s="21">
        <f t="shared" si="5"/>
        <v>63.8571428571429</v>
      </c>
    </row>
    <row r="16" ht="15.6" hidden="1" outlineLevel="2" spans="1:25">
      <c r="A16" s="15">
        <v>101</v>
      </c>
      <c r="B16" s="15">
        <v>15</v>
      </c>
      <c r="C16" s="14" t="s">
        <v>27</v>
      </c>
      <c r="D16" s="14" t="s">
        <v>11</v>
      </c>
      <c r="E16" s="15">
        <v>12.5</v>
      </c>
      <c r="F16" s="1">
        <f>LOOKUP(E16,{0,-4,-3,-2,-1,0,1,2.4,3.8,5.2,6.6,8,9.4,10.8,12.2,13.6,15,17.2,19.4,21.5,23.6},{0,10,20,30,40,50,60,62,64,66,68,70,72,74,76,78,80,85,90,95,100})</f>
        <v>76</v>
      </c>
      <c r="G16" s="15">
        <v>248</v>
      </c>
      <c r="H16" s="1">
        <f>LOOKUP(G16,{0,170,175,180,185,190,195,199,203,207,211,215,219,223,227,231,235,243,250,255,260},{0,10,20,30,40,50,60,62,64,66,68,70,72,74,76,78,80,85,90,95,100})</f>
        <v>85</v>
      </c>
      <c r="I16" s="15">
        <v>25</v>
      </c>
      <c r="J16" s="1">
        <f>LOOKUP(I16,{0,2,3,4,5,6,7,8,9,10,11,12,13,14,15,16},{0,10,20,30,40,50,60,64,68,72,76,80,85,90,95,100})</f>
        <v>100</v>
      </c>
      <c r="K16" s="21">
        <f t="shared" ref="K16:K23" si="9">I16-16</f>
        <v>9</v>
      </c>
      <c r="L16" s="1">
        <f>LOOKUP(K16,{0,1,2,3,4,5,6,7,8,9,10},{0,1,2,3,4,5,6,7,8,9,10})</f>
        <v>9</v>
      </c>
      <c r="M16" s="21">
        <f t="shared" si="0"/>
        <v>109</v>
      </c>
      <c r="N16" s="15"/>
      <c r="O16" s="19"/>
      <c r="P16" s="1"/>
      <c r="Q16" s="15">
        <v>3.04</v>
      </c>
      <c r="R16" s="15">
        <f t="shared" ref="R16:R31" si="10">10-Q16</f>
        <v>6.96</v>
      </c>
      <c r="S16" s="1">
        <f>LOOKUP(R16,{0,3.75,3.95,4.55,4.75,4.95,5.55,5.6,5.65,5.7,5.75,5.8,5.85,5.9,5.95,6,6.45,6.53,6.6,6.65,6.7},{0,10,20,30,40,50,60,62,64,66,68,70,72,74,76,78,80,85,90,95,100})</f>
        <v>100</v>
      </c>
      <c r="T16" s="21">
        <f t="shared" si="7"/>
        <v>0.26</v>
      </c>
      <c r="U16" s="1">
        <f>LOOKUP(T16,{0,0.04,0.08,0.12,0.16,0.2,0.23,0.26,0.29,0.32,0.35},{0,1,2,3,4,5,6,7,8,9,10})</f>
        <v>7</v>
      </c>
      <c r="V16" s="21">
        <f t="shared" ref="V16:V31" si="11">S16+U16</f>
        <v>107</v>
      </c>
      <c r="W16" s="15"/>
      <c r="X16" s="21">
        <f t="shared" si="4"/>
        <v>46.1</v>
      </c>
      <c r="Y16" s="21">
        <f t="shared" si="5"/>
        <v>81.8571428571429</v>
      </c>
    </row>
    <row r="17" ht="15.6" hidden="1" outlineLevel="2" spans="1:25">
      <c r="A17" s="15">
        <v>101</v>
      </c>
      <c r="B17" s="15">
        <v>16</v>
      </c>
      <c r="C17" s="14" t="s">
        <v>28</v>
      </c>
      <c r="D17" s="14" t="s">
        <v>11</v>
      </c>
      <c r="E17" s="15">
        <v>17.5</v>
      </c>
      <c r="F17" s="1">
        <f>LOOKUP(E17,{0,-4,-3,-2,-1,0,1,2.4,3.8,5.2,6.6,8,9.4,10.8,12.2,13.6,15,17.2,19.4,21.5,23.6},{0,10,20,30,40,50,60,62,64,66,68,70,72,74,76,78,80,85,90,95,100})</f>
        <v>85</v>
      </c>
      <c r="G17" s="15">
        <v>269</v>
      </c>
      <c r="H17" s="1">
        <f>LOOKUP(G17,{0,170,175,180,185,190,195,199,203,207,211,215,219,223,227,231,235,243,250,255,260},{0,10,20,30,40,50,60,62,64,66,68,70,72,74,76,78,80,85,90,95,100})</f>
        <v>100</v>
      </c>
      <c r="I17" s="15">
        <v>9</v>
      </c>
      <c r="J17" s="1">
        <f>LOOKUP(I17,{0,2,3,4,5,6,7,8,9,10,11,12,13,14,15,16},{0,10,20,30,40,50,60,64,68,72,76,80,85,90,95,100})</f>
        <v>68</v>
      </c>
      <c r="K17" s="21"/>
      <c r="L17" s="21"/>
      <c r="M17" s="21">
        <f t="shared" si="0"/>
        <v>68</v>
      </c>
      <c r="N17" s="15">
        <v>7</v>
      </c>
      <c r="O17" s="19">
        <f t="shared" si="8"/>
        <v>6</v>
      </c>
      <c r="P17" s="1">
        <f>LOOKUP(O17,{0,2.5,2.7,2.9,3.1,3.3,3.5,3.7,3.9,4.1,4.3,4.5,4.7,4.9,5.1,5.3,5.5,5.6,5.7,5.8,5.9},{0,10,20,30,40,50,60,62,64,66,68,70,72,74,76,78,80,85,90,95,100})</f>
        <v>100</v>
      </c>
      <c r="Q17" s="15">
        <v>3.36</v>
      </c>
      <c r="R17" s="15">
        <f t="shared" si="10"/>
        <v>6.64</v>
      </c>
      <c r="S17" s="1">
        <f>LOOKUP(R17,{0,3.75,3.95,4.55,4.75,4.95,5.55,5.6,5.65,5.7,5.75,5.8,5.85,5.9,5.95,6,6.45,6.53,6.6,6.65,6.7},{0,10,20,30,40,50,60,62,64,66,68,70,72,74,76,78,80,85,90,95,100})</f>
        <v>90</v>
      </c>
      <c r="T17" s="21"/>
      <c r="U17" s="21"/>
      <c r="V17" s="21">
        <f t="shared" si="11"/>
        <v>90</v>
      </c>
      <c r="W17" s="15"/>
      <c r="X17" s="21">
        <f t="shared" si="4"/>
        <v>63.3</v>
      </c>
      <c r="Y17" s="21">
        <f t="shared" si="5"/>
        <v>90.4285714285714</v>
      </c>
    </row>
    <row r="18" ht="15.6" hidden="1" outlineLevel="2" spans="1:25">
      <c r="A18" s="15">
        <v>101</v>
      </c>
      <c r="B18" s="15">
        <v>17</v>
      </c>
      <c r="C18" s="14" t="s">
        <v>29</v>
      </c>
      <c r="D18" s="14" t="s">
        <v>11</v>
      </c>
      <c r="E18" s="15">
        <v>-2</v>
      </c>
      <c r="F18" s="1">
        <f>LOOKUP(E18,{0,-4,-3,-2,-1,0,1,2.4,3.8,5.2,6.6,8,9.4,10.8,12.2,13.6,15,17.2,19.4,21.5,23.6},{0,10,20,30,40,50,60,62,64,66,68,70,72,74,76,78,80,85,90,95,100})</f>
        <v>30</v>
      </c>
      <c r="G18" s="15">
        <v>217</v>
      </c>
      <c r="H18" s="1">
        <f>LOOKUP(G18,{0,170,175,180,185,190,195,199,203,207,211,215,219,223,227,231,235,243,250,255,260},{0,10,20,30,40,50,60,62,64,66,68,70,72,74,76,78,80,85,90,95,100})</f>
        <v>70</v>
      </c>
      <c r="I18" s="15">
        <v>23</v>
      </c>
      <c r="J18" s="1">
        <f>LOOKUP(I18,{0,2,3,4,5,6,7,8,9,10,11,12,13,14,15,16},{0,10,20,30,40,50,60,64,68,72,76,80,85,90,95,100})</f>
        <v>100</v>
      </c>
      <c r="K18" s="21">
        <f t="shared" si="9"/>
        <v>7</v>
      </c>
      <c r="L18" s="1">
        <f>LOOKUP(K18,{0,1,2,3,4,5,6,7,8,9,10},{0,1,2,3,4,5,6,7,8,9,10})</f>
        <v>7</v>
      </c>
      <c r="M18" s="21">
        <f t="shared" si="0"/>
        <v>107</v>
      </c>
      <c r="N18" s="15">
        <v>7.2</v>
      </c>
      <c r="O18" s="19">
        <f t="shared" si="8"/>
        <v>5.8</v>
      </c>
      <c r="P18" s="1">
        <f>LOOKUP(O18,{0,2.5,2.7,2.9,3.1,3.3,3.5,3.7,3.9,4.1,4.3,4.5,4.7,4.9,5.1,5.3,5.5,5.6,5.7,5.8,5.9},{0,10,20,30,40,50,60,62,64,66,68,70,72,74,76,78,80,85,90,95,100})</f>
        <v>95</v>
      </c>
      <c r="Q18" s="15">
        <v>4.09</v>
      </c>
      <c r="R18" s="15">
        <f t="shared" si="10"/>
        <v>5.91</v>
      </c>
      <c r="S18" s="1">
        <f>LOOKUP(R18,{0,3.75,3.95,4.55,4.75,4.95,5.55,5.6,5.65,5.7,5.75,5.8,5.85,5.9,5.95,6,6.45,6.53,6.6,6.65,6.7},{0,10,20,30,40,50,60,62,64,66,68,70,72,74,76,78,80,85,90,95,100})</f>
        <v>74</v>
      </c>
      <c r="T18" s="21"/>
      <c r="U18" s="21"/>
      <c r="V18" s="21">
        <f t="shared" si="11"/>
        <v>74</v>
      </c>
      <c r="W18" s="15"/>
      <c r="X18" s="21">
        <f t="shared" si="4"/>
        <v>53.8</v>
      </c>
      <c r="Y18" s="21">
        <f t="shared" si="5"/>
        <v>83.8571428571429</v>
      </c>
    </row>
    <row r="19" ht="15.6" hidden="1" outlineLevel="2" spans="1:25">
      <c r="A19" s="15">
        <v>101</v>
      </c>
      <c r="B19" s="15">
        <v>18</v>
      </c>
      <c r="C19" s="14" t="s">
        <v>30</v>
      </c>
      <c r="D19" s="14" t="s">
        <v>11</v>
      </c>
      <c r="E19" s="15">
        <v>10.5</v>
      </c>
      <c r="F19" s="1">
        <f>LOOKUP(E19,{0,-4,-3,-2,-1,0,1,2.4,3.8,5.2,6.6,8,9.4,10.8,12.2,13.6,15,17.2,19.4,21.5,23.6},{0,10,20,30,40,50,60,62,64,66,68,70,72,74,76,78,80,85,90,95,100})</f>
        <v>72</v>
      </c>
      <c r="G19" s="15">
        <v>232</v>
      </c>
      <c r="H19" s="1">
        <f>LOOKUP(G19,{0,170,175,180,185,190,195,199,203,207,211,215,219,223,227,231,235,243,250,255,260},{0,10,20,30,40,50,60,62,64,66,68,70,72,74,76,78,80,85,90,95,100})</f>
        <v>78</v>
      </c>
      <c r="I19" s="15">
        <v>4</v>
      </c>
      <c r="J19" s="1">
        <f>LOOKUP(I19,{0,2,3,4,5,6,7,8,9,10,11,12,13,14,15,16},{0,10,20,30,40,50,60,64,68,72,76,80,85,90,95,100})</f>
        <v>30</v>
      </c>
      <c r="K19" s="21"/>
      <c r="L19" s="21"/>
      <c r="M19" s="21">
        <f t="shared" si="0"/>
        <v>30</v>
      </c>
      <c r="N19" s="15"/>
      <c r="O19" s="19"/>
      <c r="P19" s="1"/>
      <c r="Q19" s="15">
        <v>3.38</v>
      </c>
      <c r="R19" s="15">
        <f t="shared" si="10"/>
        <v>6.62</v>
      </c>
      <c r="S19" s="1">
        <f>LOOKUP(R19,{0,3.75,3.95,4.55,4.75,4.95,5.55,5.6,5.65,5.7,5.75,5.8,5.85,5.9,5.95,6,6.45,6.53,6.6,6.65,6.7},{0,10,20,30,40,50,60,62,64,66,68,70,72,74,76,78,80,85,90,95,100})</f>
        <v>90</v>
      </c>
      <c r="T19" s="21"/>
      <c r="U19" s="21"/>
      <c r="V19" s="21">
        <f t="shared" si="11"/>
        <v>90</v>
      </c>
      <c r="W19" s="15"/>
      <c r="X19" s="21">
        <f t="shared" si="4"/>
        <v>36</v>
      </c>
      <c r="Y19" s="21">
        <f t="shared" si="5"/>
        <v>51.4285714285714</v>
      </c>
    </row>
    <row r="20" ht="15.6" hidden="1" outlineLevel="2" spans="1:25">
      <c r="A20" s="15">
        <v>101</v>
      </c>
      <c r="B20" s="15">
        <v>19</v>
      </c>
      <c r="C20" s="14" t="s">
        <v>31</v>
      </c>
      <c r="D20" s="14" t="s">
        <v>11</v>
      </c>
      <c r="E20" s="15">
        <v>15</v>
      </c>
      <c r="F20" s="1">
        <f>LOOKUP(E20,{0,-4,-3,-2,-1,0,1,2.4,3.8,5.2,6.6,8,9.4,10.8,12.2,13.6,15,17.2,19.4,21.5,23.6},{0,10,20,30,40,50,60,62,64,66,68,70,72,74,76,78,80,85,90,95,100})</f>
        <v>80</v>
      </c>
      <c r="G20" s="15">
        <v>227</v>
      </c>
      <c r="H20" s="1">
        <f>LOOKUP(G20,{0,170,175,180,185,190,195,199,203,207,211,215,219,223,227,231,235,243,250,255,260},{0,10,20,30,40,50,60,62,64,66,68,70,72,74,76,78,80,85,90,95,100})</f>
        <v>76</v>
      </c>
      <c r="I20" s="15">
        <v>2</v>
      </c>
      <c r="J20" s="1">
        <f>LOOKUP(I20,{0,2,3,4,5,6,7,8,9,10,11,12,13,14,15,16},{0,10,20,30,40,50,60,64,68,72,76,80,85,90,95,100})</f>
        <v>10</v>
      </c>
      <c r="K20" s="21"/>
      <c r="L20" s="21"/>
      <c r="M20" s="21">
        <f t="shared" si="0"/>
        <v>10</v>
      </c>
      <c r="N20" s="15">
        <v>8.2</v>
      </c>
      <c r="O20" s="19">
        <f t="shared" ref="O20:O26" si="12">13-N20</f>
        <v>4.8</v>
      </c>
      <c r="P20" s="1">
        <f>LOOKUP(O20,{0,2.5,2.7,2.9,3.1,3.3,3.5,3.7,3.9,4.1,4.3,4.5,4.7,4.9,5.1,5.3,5.5,5.6,5.7,5.8,5.9},{0,10,20,30,40,50,60,62,64,66,68,70,72,74,76,78,80,85,90,95,100})</f>
        <v>72</v>
      </c>
      <c r="Q20" s="15">
        <v>4.42</v>
      </c>
      <c r="R20" s="15">
        <f t="shared" si="10"/>
        <v>5.58</v>
      </c>
      <c r="S20" s="1">
        <f>LOOKUP(R20,{0,3.75,3.95,4.55,4.75,4.95,5.55,5.6,5.65,5.7,5.75,5.8,5.85,5.9,5.95,6,6.45,6.53,6.6,6.65,6.7},{0,10,20,30,40,50,60,62,64,66,68,70,72,74,76,78,80,85,90,95,100})</f>
        <v>60</v>
      </c>
      <c r="T20" s="21"/>
      <c r="U20" s="21"/>
      <c r="V20" s="21">
        <f t="shared" si="11"/>
        <v>60</v>
      </c>
      <c r="W20" s="15"/>
      <c r="X20" s="21">
        <f t="shared" si="4"/>
        <v>43</v>
      </c>
      <c r="Y20" s="21">
        <f t="shared" si="5"/>
        <v>61.4285714285714</v>
      </c>
    </row>
    <row r="21" ht="15.6" hidden="1" outlineLevel="2" spans="1:25">
      <c r="A21" s="15">
        <v>101</v>
      </c>
      <c r="B21" s="15">
        <v>20</v>
      </c>
      <c r="C21" s="14" t="s">
        <v>32</v>
      </c>
      <c r="D21" s="14" t="s">
        <v>11</v>
      </c>
      <c r="E21" s="15">
        <v>22</v>
      </c>
      <c r="F21" s="1">
        <f>LOOKUP(E21,{0,-4,-3,-2,-1,0,1,2.4,3.8,5.2,6.6,8,9.4,10.8,12.2,13.6,15,17.2,19.4,21.5,23.6},{0,10,20,30,40,50,60,62,64,66,68,70,72,74,76,78,80,85,90,95,100})</f>
        <v>95</v>
      </c>
      <c r="G21" s="15">
        <v>237</v>
      </c>
      <c r="H21" s="1">
        <f>LOOKUP(G21,{0,170,175,180,185,190,195,199,203,207,211,215,219,223,227,231,235,243,250,255,260},{0,10,20,30,40,50,60,62,64,66,68,70,72,74,76,78,80,85,90,95,100})</f>
        <v>80</v>
      </c>
      <c r="I21" s="15">
        <v>23</v>
      </c>
      <c r="J21" s="1">
        <f>LOOKUP(I21,{0,2,3,4,5,6,7,8,9,10,11,12,13,14,15,16},{0,10,20,30,40,50,60,64,68,72,76,80,85,90,95,100})</f>
        <v>100</v>
      </c>
      <c r="K21" s="21">
        <f t="shared" si="9"/>
        <v>7</v>
      </c>
      <c r="L21" s="1">
        <f>LOOKUP(K21,{0,1,2,3,4,5,6,7,8,9,10},{0,1,2,3,4,5,6,7,8,9,10})</f>
        <v>7</v>
      </c>
      <c r="M21" s="21">
        <f t="shared" si="0"/>
        <v>107</v>
      </c>
      <c r="N21" s="15">
        <v>6.7</v>
      </c>
      <c r="O21" s="19">
        <f t="shared" si="12"/>
        <v>6.3</v>
      </c>
      <c r="P21" s="1">
        <f>LOOKUP(O21,{0,2.5,2.7,2.9,3.1,3.3,3.5,3.7,3.9,4.1,4.3,4.5,4.7,4.9,5.1,5.3,5.5,5.6,5.7,5.8,5.9},{0,10,20,30,40,50,60,62,64,66,68,70,72,74,76,78,80,85,90,95,100})</f>
        <v>100</v>
      </c>
      <c r="Q21" s="15">
        <v>3.24</v>
      </c>
      <c r="R21" s="15">
        <f t="shared" si="10"/>
        <v>6.76</v>
      </c>
      <c r="S21" s="1">
        <f>LOOKUP(R21,{0,3.75,3.95,4.55,4.75,4.95,5.55,5.6,5.65,5.7,5.75,5.8,5.85,5.9,5.95,6,6.45,6.53,6.6,6.65,6.7},{0,10,20,30,40,50,60,62,64,66,68,70,72,74,76,78,80,85,90,95,100})</f>
        <v>100</v>
      </c>
      <c r="T21" s="21">
        <f>3.3-Q21</f>
        <v>0.0599999999999996</v>
      </c>
      <c r="U21" s="1">
        <f>LOOKUP(T21,{0,0.04,0.08,0.12,0.16,0.2,0.23,0.26,0.29,0.32,0.35},{0,1,2,3,4,5,6,7,8,9,10})</f>
        <v>1</v>
      </c>
      <c r="V21" s="21">
        <f t="shared" si="11"/>
        <v>101</v>
      </c>
      <c r="W21" s="15"/>
      <c r="X21" s="21">
        <f t="shared" si="4"/>
        <v>67.5</v>
      </c>
      <c r="Y21" s="21">
        <f t="shared" si="5"/>
        <v>104.428571428571</v>
      </c>
    </row>
    <row r="22" ht="15.6" hidden="1" outlineLevel="2" spans="1:25">
      <c r="A22" s="15">
        <v>101</v>
      </c>
      <c r="B22" s="15">
        <v>21</v>
      </c>
      <c r="C22" s="13" t="s">
        <v>34</v>
      </c>
      <c r="D22" s="14" t="s">
        <v>11</v>
      </c>
      <c r="E22" s="15">
        <v>-1</v>
      </c>
      <c r="F22" s="1">
        <f>LOOKUP(E22,{0,-4,-3,-2,-1,0,1,2.4,3.8,5.2,6.6,8,9.4,10.8,12.2,13.6,15,17.2,19.4,21.5,23.6},{0,10,20,30,40,50,60,62,64,66,68,70,72,74,76,78,80,85,90,95,100})</f>
        <v>40</v>
      </c>
      <c r="G22" s="15">
        <v>215</v>
      </c>
      <c r="H22" s="1">
        <f>LOOKUP(G22,{0,170,175,180,185,190,195,199,203,207,211,215,219,223,227,231,235,243,250,255,260},{0,10,20,30,40,50,60,62,64,66,68,70,72,74,76,78,80,85,90,95,100})</f>
        <v>70</v>
      </c>
      <c r="I22" s="15">
        <v>19</v>
      </c>
      <c r="J22" s="1">
        <f>LOOKUP(I22,{0,2,3,4,5,6,7,8,9,10,11,12,13,14,15,16},{0,10,20,30,40,50,60,64,68,72,76,80,85,90,95,100})</f>
        <v>100</v>
      </c>
      <c r="K22" s="21">
        <f t="shared" si="9"/>
        <v>3</v>
      </c>
      <c r="L22" s="1">
        <f>LOOKUP(K22,{0,1,2,3,4,5,6,7,8,9,10},{0,1,2,3,4,5,6,7,8,9,10})</f>
        <v>3</v>
      </c>
      <c r="M22" s="21">
        <f t="shared" si="0"/>
        <v>103</v>
      </c>
      <c r="N22" s="15">
        <v>6.9</v>
      </c>
      <c r="O22" s="19">
        <f t="shared" si="12"/>
        <v>6.1</v>
      </c>
      <c r="P22" s="1">
        <f>LOOKUP(O22,{0,2.5,2.7,2.9,3.1,3.3,3.5,3.7,3.9,4.1,4.3,4.5,4.7,4.9,5.1,5.3,5.5,5.6,5.7,5.8,5.9},{0,10,20,30,40,50,60,62,64,66,68,70,72,74,76,78,80,85,90,95,100})</f>
        <v>100</v>
      </c>
      <c r="Q22" s="15">
        <v>4.03</v>
      </c>
      <c r="R22" s="15">
        <f t="shared" si="10"/>
        <v>5.97</v>
      </c>
      <c r="S22" s="1">
        <f>LOOKUP(R22,{0,3.75,3.95,4.55,4.75,4.95,5.55,5.6,5.65,5.7,5.75,5.8,5.85,5.9,5.95,6,6.45,6.53,6.6,6.65,6.7},{0,10,20,30,40,50,60,62,64,66,68,70,72,74,76,78,80,85,90,95,100})</f>
        <v>76</v>
      </c>
      <c r="T22" s="21"/>
      <c r="U22" s="21"/>
      <c r="V22" s="21">
        <f t="shared" si="11"/>
        <v>76</v>
      </c>
      <c r="W22" s="15"/>
      <c r="X22" s="21">
        <f t="shared" si="4"/>
        <v>56.2</v>
      </c>
      <c r="Y22" s="21">
        <f t="shared" si="5"/>
        <v>83.2857142857143</v>
      </c>
    </row>
    <row r="23" ht="15.6" hidden="1" outlineLevel="2" spans="1:25">
      <c r="A23" s="15">
        <v>101</v>
      </c>
      <c r="B23" s="15">
        <v>22</v>
      </c>
      <c r="C23" s="14" t="s">
        <v>35</v>
      </c>
      <c r="D23" s="14" t="s">
        <v>11</v>
      </c>
      <c r="E23" s="15">
        <v>9.5</v>
      </c>
      <c r="F23" s="1">
        <f>LOOKUP(E23,{0,-4,-3,-2,-1,0,1,2.4,3.8,5.2,6.6,8,9.4,10.8,12.2,13.6,15,17.2,19.4,21.5,23.6},{0,10,20,30,40,50,60,62,64,66,68,70,72,74,76,78,80,85,90,95,100})</f>
        <v>72</v>
      </c>
      <c r="G23" s="15">
        <v>270</v>
      </c>
      <c r="H23" s="1">
        <f>LOOKUP(G23,{0,170,175,180,185,190,195,199,203,207,211,215,219,223,227,231,235,243,250,255,260},{0,10,20,30,40,50,60,62,64,66,68,70,72,74,76,78,80,85,90,95,100})</f>
        <v>100</v>
      </c>
      <c r="I23" s="15">
        <v>23</v>
      </c>
      <c r="J23" s="1">
        <f>LOOKUP(I23,{0,2,3,4,5,6,7,8,9,10,11,12,13,14,15,16},{0,10,20,30,40,50,60,64,68,72,76,80,85,90,95,100})</f>
        <v>100</v>
      </c>
      <c r="K23" s="21">
        <f t="shared" si="9"/>
        <v>7</v>
      </c>
      <c r="L23" s="1">
        <f>LOOKUP(K23,{0,1,2,3,4,5,6,7,8,9,10},{0,1,2,3,4,5,6,7,8,9,10})</f>
        <v>7</v>
      </c>
      <c r="M23" s="21">
        <f t="shared" si="0"/>
        <v>107</v>
      </c>
      <c r="N23" s="15">
        <v>6.8</v>
      </c>
      <c r="O23" s="19">
        <f t="shared" si="12"/>
        <v>6.2</v>
      </c>
      <c r="P23" s="1">
        <f>LOOKUP(O23,{0,2.5,2.7,2.9,3.1,3.3,3.5,3.7,3.9,4.1,4.3,4.5,4.7,4.9,5.1,5.3,5.5,5.6,5.7,5.8,5.9},{0,10,20,30,40,50,60,62,64,66,68,70,72,74,76,78,80,85,90,95,100})</f>
        <v>100</v>
      </c>
      <c r="Q23" s="15">
        <v>3.37</v>
      </c>
      <c r="R23" s="15">
        <f t="shared" si="10"/>
        <v>6.63</v>
      </c>
      <c r="S23" s="1">
        <f>LOOKUP(R23,{0,3.75,3.95,4.55,4.75,4.95,5.55,5.6,5.65,5.7,5.75,5.8,5.85,5.9,5.95,6,6.45,6.53,6.6,6.65,6.7},{0,10,20,30,40,50,60,62,64,66,68,70,72,74,76,78,80,85,90,95,100})</f>
        <v>90</v>
      </c>
      <c r="T23" s="21"/>
      <c r="U23" s="21"/>
      <c r="V23" s="21">
        <f t="shared" si="11"/>
        <v>90</v>
      </c>
      <c r="W23" s="15"/>
      <c r="X23" s="21">
        <f t="shared" si="4"/>
        <v>65.2</v>
      </c>
      <c r="Y23" s="21">
        <f t="shared" si="5"/>
        <v>100.142857142857</v>
      </c>
    </row>
    <row r="24" ht="15.6" hidden="1" outlineLevel="2" spans="1:25">
      <c r="A24" s="15">
        <v>101</v>
      </c>
      <c r="B24" s="15">
        <v>23</v>
      </c>
      <c r="C24" s="14" t="s">
        <v>36</v>
      </c>
      <c r="D24" s="14" t="s">
        <v>11</v>
      </c>
      <c r="E24" s="15">
        <v>14.5</v>
      </c>
      <c r="F24" s="1">
        <f>LOOKUP(E24,{0,-4,-3,-2,-1,0,1,2.4,3.8,5.2,6.6,8,9.4,10.8,12.2,13.6,15,17.2,19.4,21.5,23.6},{0,10,20,30,40,50,60,62,64,66,68,70,72,74,76,78,80,85,90,95,100})</f>
        <v>78</v>
      </c>
      <c r="G24" s="15">
        <v>230</v>
      </c>
      <c r="H24" s="1">
        <f>LOOKUP(G24,{0,170,175,180,185,190,195,199,203,207,211,215,219,223,227,231,235,243,250,255,260},{0,10,20,30,40,50,60,62,64,66,68,70,72,74,76,78,80,85,90,95,100})</f>
        <v>76</v>
      </c>
      <c r="I24" s="15">
        <v>15</v>
      </c>
      <c r="J24" s="1">
        <f>LOOKUP(I24,{0,2,3,4,5,6,7,8,9,10,11,12,13,14,15,16},{0,10,20,30,40,50,60,64,68,72,76,80,85,90,95,100})</f>
        <v>95</v>
      </c>
      <c r="K24" s="21"/>
      <c r="L24" s="21"/>
      <c r="M24" s="21">
        <f t="shared" si="0"/>
        <v>95</v>
      </c>
      <c r="N24" s="15">
        <v>7.2</v>
      </c>
      <c r="O24" s="19">
        <f t="shared" si="12"/>
        <v>5.8</v>
      </c>
      <c r="P24" s="1">
        <f>LOOKUP(O24,{0,2.5,2.7,2.9,3.1,3.3,3.5,3.7,3.9,4.1,4.3,4.5,4.7,4.9,5.1,5.3,5.5,5.6,5.7,5.8,5.9},{0,10,20,30,40,50,60,62,64,66,68,70,72,74,76,78,80,85,90,95,100})</f>
        <v>95</v>
      </c>
      <c r="Q24" s="15">
        <v>4.08</v>
      </c>
      <c r="R24" s="15">
        <f t="shared" si="10"/>
        <v>5.92</v>
      </c>
      <c r="S24" s="1">
        <f>LOOKUP(R24,{0,3.75,3.95,4.55,4.75,4.95,5.55,5.6,5.65,5.7,5.75,5.8,5.85,5.9,5.95,6,6.45,6.53,6.6,6.65,6.7},{0,10,20,30,40,50,60,62,64,66,68,70,72,74,76,78,80,85,90,95,100})</f>
        <v>74</v>
      </c>
      <c r="T24" s="21"/>
      <c r="U24" s="21"/>
      <c r="V24" s="21">
        <f t="shared" si="11"/>
        <v>74</v>
      </c>
      <c r="W24" s="15"/>
      <c r="X24" s="21">
        <f t="shared" si="4"/>
        <v>58.7</v>
      </c>
      <c r="Y24" s="21">
        <f t="shared" si="5"/>
        <v>83.8571428571429</v>
      </c>
    </row>
    <row r="25" s="3" customFormat="1" ht="15.6" hidden="1" outlineLevel="2" spans="1:25">
      <c r="A25" s="15">
        <v>101</v>
      </c>
      <c r="B25" s="15">
        <v>24</v>
      </c>
      <c r="C25" s="14" t="s">
        <v>37</v>
      </c>
      <c r="D25" s="14" t="s">
        <v>11</v>
      </c>
      <c r="E25" s="15">
        <v>6</v>
      </c>
      <c r="F25" s="1">
        <f>LOOKUP(E25,{0,-4,-3,-2,-1,0,1,2.4,3.8,5.2,6.6,8,9.4,10.8,12.2,13.6,15,17.2,19.4,21.5,23.6},{0,10,20,30,40,50,60,62,64,66,68,70,72,74,76,78,80,85,90,95,100})</f>
        <v>66</v>
      </c>
      <c r="G25" s="15">
        <v>230</v>
      </c>
      <c r="H25" s="1">
        <f>LOOKUP(G25,{0,170,175,180,185,190,195,199,203,207,211,215,219,223,227,231,235,243,250,255,260},{0,10,20,30,40,50,60,62,64,66,68,70,72,74,76,78,80,85,90,95,100})</f>
        <v>76</v>
      </c>
      <c r="I25" s="15">
        <v>11</v>
      </c>
      <c r="J25" s="1">
        <f>LOOKUP(I25,{0,2,3,4,5,6,7,8,9,10,11,12,13,14,15,16},{0,10,20,30,40,50,60,64,68,72,76,80,85,90,95,100})</f>
        <v>76</v>
      </c>
      <c r="K25" s="21"/>
      <c r="L25" s="21"/>
      <c r="M25" s="21">
        <f t="shared" si="0"/>
        <v>76</v>
      </c>
      <c r="N25" s="15">
        <v>7.4</v>
      </c>
      <c r="O25" s="19">
        <f t="shared" si="12"/>
        <v>5.6</v>
      </c>
      <c r="P25" s="1">
        <f>LOOKUP(O25,{0,2.5,2.7,2.9,3.1,3.3,3.5,3.7,3.9,4.1,4.3,4.5,4.7,4.9,5.1,5.3,5.5,5.6,5.7,5.8,5.9},{0,10,20,30,40,50,60,62,64,66,68,70,72,74,76,78,80,85,90,95,100})</f>
        <v>85</v>
      </c>
      <c r="Q25" s="15">
        <v>3.57</v>
      </c>
      <c r="R25" s="15">
        <f t="shared" si="10"/>
        <v>6.43</v>
      </c>
      <c r="S25" s="1">
        <f>LOOKUP(R25,{0,3.75,3.95,4.55,4.75,4.95,5.55,5.6,5.65,5.7,5.75,5.8,5.85,5.9,5.95,6,6.45,6.53,6.6,6.65,6.7},{0,10,20,30,40,50,60,62,64,66,68,70,72,74,76,78,80,85,90,95,100})</f>
        <v>78</v>
      </c>
      <c r="T25" s="21"/>
      <c r="U25" s="21"/>
      <c r="V25" s="21">
        <f t="shared" si="11"/>
        <v>78</v>
      </c>
      <c r="W25" s="15"/>
      <c r="X25" s="21">
        <f t="shared" si="4"/>
        <v>54.4</v>
      </c>
      <c r="Y25" s="21">
        <f t="shared" si="5"/>
        <v>77.7142857142857</v>
      </c>
    </row>
    <row r="26" ht="15.6" hidden="1" outlineLevel="2" spans="1:25">
      <c r="A26" s="15">
        <v>101</v>
      </c>
      <c r="B26" s="15">
        <v>25</v>
      </c>
      <c r="C26" s="14" t="s">
        <v>38</v>
      </c>
      <c r="D26" s="14" t="s">
        <v>11</v>
      </c>
      <c r="E26" s="15">
        <v>3.5</v>
      </c>
      <c r="F26" s="1">
        <f>LOOKUP(E26,{0,-4,-3,-2,-1,0,1,2.4,3.8,5.2,6.6,8,9.4,10.8,12.2,13.6,15,17.2,19.4,21.5,23.6},{0,10,20,30,40,50,60,62,64,66,68,70,72,74,76,78,80,85,90,95,100})</f>
        <v>62</v>
      </c>
      <c r="G26" s="15">
        <v>240</v>
      </c>
      <c r="H26" s="1">
        <f>LOOKUP(G26,{0,170,175,180,185,190,195,199,203,207,211,215,219,223,227,231,235,243,250,255,260},{0,10,20,30,40,50,60,62,64,66,68,70,72,74,76,78,80,85,90,95,100})</f>
        <v>80</v>
      </c>
      <c r="I26" s="15">
        <v>9</v>
      </c>
      <c r="J26" s="1">
        <f>LOOKUP(I26,{0,2,3,4,5,6,7,8,9,10,11,12,13,14,15,16},{0,10,20,30,40,50,60,64,68,72,76,80,85,90,95,100})</f>
        <v>68</v>
      </c>
      <c r="K26" s="21"/>
      <c r="L26" s="21"/>
      <c r="M26" s="21">
        <f t="shared" si="0"/>
        <v>68</v>
      </c>
      <c r="N26" s="15">
        <v>7</v>
      </c>
      <c r="O26" s="19">
        <f t="shared" si="12"/>
        <v>6</v>
      </c>
      <c r="P26" s="1">
        <f>LOOKUP(O26,{0,2.5,2.7,2.9,3.1,3.3,3.5,3.7,3.9,4.1,4.3,4.5,4.7,4.9,5.1,5.3,5.5,5.6,5.7,5.8,5.9},{0,10,20,30,40,50,60,62,64,66,68,70,72,74,76,78,80,85,90,95,100})</f>
        <v>100</v>
      </c>
      <c r="Q26" s="15">
        <v>3.38</v>
      </c>
      <c r="R26" s="15">
        <f t="shared" si="10"/>
        <v>6.62</v>
      </c>
      <c r="S26" s="1">
        <f>LOOKUP(R26,{0,3.75,3.95,4.55,4.75,4.95,5.55,5.6,5.65,5.7,5.75,5.8,5.85,5.9,5.95,6,6.45,6.53,6.6,6.65,6.7},{0,10,20,30,40,50,60,62,64,66,68,70,72,74,76,78,80,85,90,95,100})</f>
        <v>90</v>
      </c>
      <c r="T26" s="21"/>
      <c r="U26" s="21"/>
      <c r="V26" s="21">
        <f t="shared" si="11"/>
        <v>90</v>
      </c>
      <c r="W26" s="15"/>
      <c r="X26" s="21">
        <f t="shared" si="4"/>
        <v>59</v>
      </c>
      <c r="Y26" s="21">
        <f t="shared" si="5"/>
        <v>84.2857142857143</v>
      </c>
    </row>
    <row r="27" ht="15.6" hidden="1" outlineLevel="2" spans="1:25">
      <c r="A27" s="15">
        <v>101</v>
      </c>
      <c r="B27" s="15">
        <v>26</v>
      </c>
      <c r="C27" s="14" t="s">
        <v>39</v>
      </c>
      <c r="D27" s="14" t="s">
        <v>11</v>
      </c>
      <c r="E27" s="15">
        <v>7.5</v>
      </c>
      <c r="F27" s="1">
        <f>LOOKUP(E27,{0,-4,-3,-2,-1,0,1,2.4,3.8,5.2,6.6,8,9.4,10.8,12.2,13.6,15,17.2,19.4,21.5,23.6},{0,10,20,30,40,50,60,62,64,66,68,70,72,74,76,78,80,85,90,95,100})</f>
        <v>68</v>
      </c>
      <c r="G27" s="15">
        <v>220</v>
      </c>
      <c r="H27" s="1">
        <f>LOOKUP(G27,{0,170,175,180,185,190,195,199,203,207,211,215,219,223,227,231,235,243,250,255,260},{0,10,20,30,40,50,60,62,64,66,68,70,72,74,76,78,80,85,90,95,100})</f>
        <v>72</v>
      </c>
      <c r="I27" s="15">
        <v>23</v>
      </c>
      <c r="J27" s="1">
        <f>LOOKUP(I27,{0,2,3,4,5,6,7,8,9,10,11,12,13,14,15,16},{0,10,20,30,40,50,60,64,68,72,76,80,85,90,95,100})</f>
        <v>100</v>
      </c>
      <c r="K27" s="21">
        <f>I27-16</f>
        <v>7</v>
      </c>
      <c r="L27" s="1">
        <f>LOOKUP(K27,{0,1,2,3,4,5,6,7,8,9,10},{0,1,2,3,4,5,6,7,8,9,10})</f>
        <v>7</v>
      </c>
      <c r="M27" s="21">
        <f t="shared" si="0"/>
        <v>107</v>
      </c>
      <c r="N27" s="15"/>
      <c r="O27" s="19"/>
      <c r="P27" s="1"/>
      <c r="Q27" s="15">
        <v>3.34</v>
      </c>
      <c r="R27" s="15">
        <f t="shared" si="10"/>
        <v>6.66</v>
      </c>
      <c r="S27" s="1">
        <f>LOOKUP(R27,{0,3.75,3.95,4.55,4.75,4.95,5.55,5.6,5.65,5.7,5.75,5.8,5.85,5.9,5.95,6,6.45,6.53,6.6,6.65,6.7},{0,10,20,30,40,50,60,62,64,66,68,70,72,74,76,78,80,85,90,95,100})</f>
        <v>95</v>
      </c>
      <c r="T27" s="21"/>
      <c r="U27" s="21"/>
      <c r="V27" s="21">
        <f t="shared" si="11"/>
        <v>95</v>
      </c>
      <c r="W27" s="15"/>
      <c r="X27" s="21">
        <f t="shared" si="4"/>
        <v>43</v>
      </c>
      <c r="Y27" s="21">
        <f t="shared" si="5"/>
        <v>68.4285714285714</v>
      </c>
    </row>
    <row r="28" ht="15.6" hidden="1" outlineLevel="2" spans="1:25">
      <c r="A28" s="15">
        <v>101</v>
      </c>
      <c r="B28" s="15">
        <v>27</v>
      </c>
      <c r="C28" s="14" t="s">
        <v>40</v>
      </c>
      <c r="D28" s="14" t="s">
        <v>11</v>
      </c>
      <c r="E28" s="15">
        <v>9.5</v>
      </c>
      <c r="F28" s="1">
        <f>LOOKUP(E28,{0,-4,-3,-2,-1,0,1,2.4,3.8,5.2,6.6,8,9.4,10.8,12.2,13.6,15,17.2,19.4,21.5,23.6},{0,10,20,30,40,50,60,62,64,66,68,70,72,74,76,78,80,85,90,95,100})</f>
        <v>72</v>
      </c>
      <c r="G28" s="15">
        <v>255</v>
      </c>
      <c r="H28" s="1">
        <f>LOOKUP(G28,{0,170,175,180,185,190,195,199,203,207,211,215,219,223,227,231,235,243,250,255,260},{0,10,20,30,40,50,60,62,64,66,68,70,72,74,76,78,80,85,90,95,100})</f>
        <v>95</v>
      </c>
      <c r="I28" s="15">
        <v>13</v>
      </c>
      <c r="J28" s="1">
        <f>LOOKUP(I28,{0,2,3,4,5,6,7,8,9,10,11,12,13,14,15,16},{0,10,20,30,40,50,60,64,68,72,76,80,85,90,95,100})</f>
        <v>85</v>
      </c>
      <c r="K28" s="21"/>
      <c r="L28" s="21"/>
      <c r="M28" s="21">
        <f t="shared" si="0"/>
        <v>85</v>
      </c>
      <c r="N28" s="15">
        <v>6.7</v>
      </c>
      <c r="O28" s="19">
        <f t="shared" ref="O28:O31" si="13">13-N28</f>
        <v>6.3</v>
      </c>
      <c r="P28" s="1">
        <f>LOOKUP(O28,{0,2.5,2.7,2.9,3.1,3.3,3.5,3.7,3.9,4.1,4.3,4.5,4.7,4.9,5.1,5.3,5.5,5.6,5.7,5.8,5.9},{0,10,20,30,40,50,60,62,64,66,68,70,72,74,76,78,80,85,90,95,100})</f>
        <v>100</v>
      </c>
      <c r="Q28" s="15">
        <v>3.25</v>
      </c>
      <c r="R28" s="15">
        <f t="shared" si="10"/>
        <v>6.75</v>
      </c>
      <c r="S28" s="1">
        <f>LOOKUP(R28,{0,3.75,3.95,4.55,4.75,4.95,5.55,5.6,5.65,5.7,5.75,5.8,5.85,5.9,5.95,6,6.45,6.53,6.6,6.65,6.7},{0,10,20,30,40,50,60,62,64,66,68,70,72,74,76,78,80,85,90,95,100})</f>
        <v>100</v>
      </c>
      <c r="T28" s="21">
        <f t="shared" ref="T28:T31" si="14">3.3-Q28</f>
        <v>0.0499999999999998</v>
      </c>
      <c r="U28" s="1">
        <f>LOOKUP(T28,{0,0.04,0.08,0.12,0.16,0.2,0.23,0.26,0.29,0.32,0.35},{0,1,2,3,4,5,6,7,8,9,10})</f>
        <v>1</v>
      </c>
      <c r="V28" s="21">
        <f t="shared" si="11"/>
        <v>101</v>
      </c>
      <c r="W28" s="15"/>
      <c r="X28" s="21">
        <f t="shared" si="4"/>
        <v>65.2</v>
      </c>
      <c r="Y28" s="21">
        <f t="shared" si="5"/>
        <v>94.1428571428572</v>
      </c>
    </row>
    <row r="29" ht="15.6" hidden="1" outlineLevel="2" spans="1:25">
      <c r="A29" s="15">
        <v>101</v>
      </c>
      <c r="B29" s="15">
        <v>28</v>
      </c>
      <c r="C29" s="14" t="s">
        <v>41</v>
      </c>
      <c r="D29" s="14" t="s">
        <v>11</v>
      </c>
      <c r="E29" s="15">
        <v>5.5</v>
      </c>
      <c r="F29" s="1">
        <f>LOOKUP(E29,{0,-4,-3,-2,-1,0,1,2.4,3.8,5.2,6.6,8,9.4,10.8,12.2,13.6,15,17.2,19.4,21.5,23.6},{0,10,20,30,40,50,60,62,64,66,68,70,72,74,76,78,80,85,90,95,100})</f>
        <v>66</v>
      </c>
      <c r="G29" s="15">
        <v>205</v>
      </c>
      <c r="H29" s="1">
        <f>LOOKUP(G29,{0,170,175,180,185,190,195,199,203,207,211,215,219,223,227,231,235,243,250,255,260},{0,10,20,30,40,50,60,62,64,66,68,70,72,74,76,78,80,85,90,95,100})</f>
        <v>64</v>
      </c>
      <c r="I29" s="15">
        <v>1</v>
      </c>
      <c r="J29" s="1">
        <f>LOOKUP(I29,{0,2,3,4,5,6,7,8,9,10,11,12,13,14,15,16},{0,10,20,30,40,50,60,64,68,72,76,80,85,90,95,100})</f>
        <v>0</v>
      </c>
      <c r="K29" s="21"/>
      <c r="L29" s="21"/>
      <c r="M29" s="21">
        <f t="shared" si="0"/>
        <v>0</v>
      </c>
      <c r="N29" s="15"/>
      <c r="O29" s="19"/>
      <c r="P29" s="1"/>
      <c r="Q29" s="15">
        <v>3.14</v>
      </c>
      <c r="R29" s="15">
        <f t="shared" si="10"/>
        <v>6.86</v>
      </c>
      <c r="S29" s="1">
        <f>LOOKUP(R29,{0,3.75,3.95,4.55,4.75,4.95,5.55,5.6,5.65,5.7,5.75,5.8,5.85,5.9,5.95,6,6.45,6.53,6.6,6.65,6.7},{0,10,20,30,40,50,60,62,64,66,68,70,72,74,76,78,80,85,90,95,100})</f>
        <v>100</v>
      </c>
      <c r="T29" s="21">
        <f t="shared" si="14"/>
        <v>0.16</v>
      </c>
      <c r="U29" s="1">
        <f>LOOKUP(T29,{0,0.04,0.08,0.12,0.16,0.2,0.23,0.26,0.29,0.32,0.35},{0,1,2,3,4,5,6,7,8,9,10})</f>
        <v>3</v>
      </c>
      <c r="V29" s="21">
        <f t="shared" si="11"/>
        <v>103</v>
      </c>
      <c r="W29" s="15"/>
      <c r="X29" s="21">
        <f t="shared" si="4"/>
        <v>33</v>
      </c>
      <c r="Y29" s="21">
        <f t="shared" si="5"/>
        <v>50.1428571428571</v>
      </c>
    </row>
    <row r="30" ht="15.6" hidden="1" outlineLevel="2" spans="1:25">
      <c r="A30" s="15">
        <v>101</v>
      </c>
      <c r="B30" s="15">
        <v>29</v>
      </c>
      <c r="C30" s="14" t="s">
        <v>42</v>
      </c>
      <c r="D30" s="14" t="s">
        <v>11</v>
      </c>
      <c r="E30" s="15">
        <v>11</v>
      </c>
      <c r="F30" s="1">
        <f>LOOKUP(E30,{0,-4,-3,-2,-1,0,1,2.4,3.8,5.2,6.6,8,9.4,10.8,12.2,13.6,15,17.2,19.4,21.5,23.6},{0,10,20,30,40,50,60,62,64,66,68,70,72,74,76,78,80,85,90,95,100})</f>
        <v>74</v>
      </c>
      <c r="G30" s="15">
        <v>255</v>
      </c>
      <c r="H30" s="1">
        <f>LOOKUP(G30,{0,170,175,180,185,190,195,199,203,207,211,215,219,223,227,231,235,243,250,255,260},{0,10,20,30,40,50,60,62,64,66,68,70,72,74,76,78,80,85,90,95,100})</f>
        <v>95</v>
      </c>
      <c r="I30" s="15">
        <v>14</v>
      </c>
      <c r="J30" s="1">
        <f>LOOKUP(I30,{0,2,3,4,5,6,7,8,9,10,11,12,13,14,15,16},{0,10,20,30,40,50,60,64,68,72,76,80,85,90,95,100})</f>
        <v>90</v>
      </c>
      <c r="K30" s="21"/>
      <c r="L30" s="21"/>
      <c r="M30" s="21">
        <f t="shared" si="0"/>
        <v>90</v>
      </c>
      <c r="N30" s="15">
        <v>7</v>
      </c>
      <c r="O30" s="19">
        <f t="shared" si="13"/>
        <v>6</v>
      </c>
      <c r="P30" s="1">
        <f>LOOKUP(O30,{0,2.5,2.7,2.9,3.1,3.3,3.5,3.7,3.9,4.1,4.3,4.5,4.7,4.9,5.1,5.3,5.5,5.6,5.7,5.8,5.9},{0,10,20,30,40,50,60,62,64,66,68,70,72,74,76,78,80,85,90,95,100})</f>
        <v>100</v>
      </c>
      <c r="Q30" s="15">
        <v>3.31</v>
      </c>
      <c r="R30" s="15">
        <f t="shared" si="10"/>
        <v>6.69</v>
      </c>
      <c r="S30" s="1">
        <f>LOOKUP(R30,{0,3.75,3.95,4.55,4.75,4.95,5.55,5.6,5.65,5.7,5.75,5.8,5.85,5.9,5.95,6,6.45,6.53,6.6,6.65,6.7},{0,10,20,30,40,50,60,62,64,66,68,70,72,74,76,78,80,85,90,95,100})</f>
        <v>95</v>
      </c>
      <c r="T30" s="21"/>
      <c r="U30" s="21"/>
      <c r="V30" s="21">
        <f t="shared" si="11"/>
        <v>95</v>
      </c>
      <c r="W30" s="15"/>
      <c r="X30" s="21">
        <f t="shared" si="4"/>
        <v>64.9</v>
      </c>
      <c r="Y30" s="21">
        <f t="shared" si="5"/>
        <v>92.7142857142857</v>
      </c>
    </row>
    <row r="31" ht="15.6" hidden="1" outlineLevel="2" spans="1:25">
      <c r="A31" s="15">
        <v>101</v>
      </c>
      <c r="B31" s="15">
        <v>30</v>
      </c>
      <c r="C31" s="14" t="s">
        <v>43</v>
      </c>
      <c r="D31" s="14" t="s">
        <v>11</v>
      </c>
      <c r="E31" s="15">
        <v>12</v>
      </c>
      <c r="F31" s="1">
        <f>LOOKUP(E31,{0,-4,-3,-2,-1,0,1,2.4,3.8,5.2,6.6,8,9.4,10.8,12.2,13.6,15,17.2,19.4,21.5,23.6},{0,10,20,30,40,50,60,62,64,66,68,70,72,74,76,78,80,85,90,95,100})</f>
        <v>74</v>
      </c>
      <c r="G31" s="15">
        <v>230</v>
      </c>
      <c r="H31" s="1">
        <f>LOOKUP(G31,{0,170,175,180,185,190,195,199,203,207,211,215,219,223,227,231,235,243,250,255,260},{0,10,20,30,40,50,60,62,64,66,68,70,72,74,76,78,80,85,90,95,100})</f>
        <v>76</v>
      </c>
      <c r="I31" s="15">
        <v>17</v>
      </c>
      <c r="J31" s="1">
        <f>LOOKUP(I31,{0,2,3,4,5,6,7,8,9,10,11,12,13,14,15,16},{0,10,20,30,40,50,60,64,68,72,76,80,85,90,95,100})</f>
        <v>100</v>
      </c>
      <c r="K31" s="21">
        <f>I31-16</f>
        <v>1</v>
      </c>
      <c r="L31" s="1">
        <f>LOOKUP(K31,{0,1,2,3,4,5,6,7,8,9,10},{0,1,2,3,4,5,6,7,8,9,10})</f>
        <v>1</v>
      </c>
      <c r="M31" s="21">
        <f t="shared" si="0"/>
        <v>101</v>
      </c>
      <c r="N31" s="15">
        <v>7.1</v>
      </c>
      <c r="O31" s="19">
        <f t="shared" si="13"/>
        <v>5.9</v>
      </c>
      <c r="P31" s="1">
        <f>LOOKUP(O31,{0,2.5,2.7,2.9,3.1,3.3,3.5,3.7,3.9,4.1,4.3,4.5,4.7,4.9,5.1,5.3,5.5,5.6,5.7,5.8,5.9},{0,10,20,30,40,50,60,62,64,66,68,70,72,74,76,78,80,85,90,95,100})</f>
        <v>100</v>
      </c>
      <c r="Q31" s="15">
        <v>3.21</v>
      </c>
      <c r="R31" s="15">
        <f t="shared" si="10"/>
        <v>6.79</v>
      </c>
      <c r="S31" s="1">
        <f>LOOKUP(R31,{0,3.75,3.95,4.55,4.75,4.95,5.55,5.6,5.65,5.7,5.75,5.8,5.85,5.9,5.95,6,6.45,6.53,6.6,6.65,6.7},{0,10,20,30,40,50,60,62,64,66,68,70,72,74,76,78,80,85,90,95,100})</f>
        <v>100</v>
      </c>
      <c r="T31" s="21">
        <f t="shared" si="14"/>
        <v>0.0899999999999999</v>
      </c>
      <c r="U31" s="1">
        <f>LOOKUP(T31,{0,0.04,0.08,0.12,0.16,0.2,0.23,0.26,0.29,0.32,0.35},{0,1,2,3,4,5,6,7,8,9,10})</f>
        <v>2</v>
      </c>
      <c r="V31" s="21">
        <f t="shared" si="11"/>
        <v>102</v>
      </c>
      <c r="W31" s="15"/>
      <c r="X31" s="21">
        <f t="shared" si="4"/>
        <v>65</v>
      </c>
      <c r="Y31" s="21">
        <f t="shared" si="5"/>
        <v>95.8571428571429</v>
      </c>
    </row>
    <row r="32" ht="15.6" outlineLevel="1" collapsed="1" spans="1:25">
      <c r="A32" s="16" t="s">
        <v>842</v>
      </c>
      <c r="B32" s="15"/>
      <c r="C32" s="14"/>
      <c r="D32" s="14"/>
      <c r="E32" s="15"/>
      <c r="F32" s="1">
        <f>SUBTOTAL(1,F2:F31)</f>
        <v>72.2333333333333</v>
      </c>
      <c r="G32" s="15"/>
      <c r="H32" s="1">
        <f>SUBTOTAL(1,H2:H31)</f>
        <v>82</v>
      </c>
      <c r="I32" s="15"/>
      <c r="J32" s="1">
        <f>SUBTOTAL(1,J2:J31)</f>
        <v>68.1333333333333</v>
      </c>
      <c r="K32" s="21"/>
      <c r="L32" s="1"/>
      <c r="M32" s="21">
        <f>SUBTOTAL(1,M2:M31)</f>
        <v>70.1666666666667</v>
      </c>
      <c r="N32" s="15"/>
      <c r="O32" s="19"/>
      <c r="P32" s="1">
        <f>SUBTOTAL(1,P2:P31)</f>
        <v>91.875</v>
      </c>
      <c r="Q32" s="15"/>
      <c r="R32" s="15"/>
      <c r="S32" s="1">
        <f>SUBTOTAL(1,S2:S31)</f>
        <v>85.2068965517241</v>
      </c>
      <c r="T32" s="21"/>
      <c r="U32" s="1"/>
      <c r="V32" s="21">
        <f>SUBTOTAL(1,V2:V31)</f>
        <v>85.7931034482759</v>
      </c>
      <c r="W32" s="15"/>
      <c r="X32" s="21">
        <f>SUBTOTAL(1,X2:X31)</f>
        <v>53.41</v>
      </c>
      <c r="Y32" s="21">
        <f>SUBTOTAL(1,Y2:Y31)</f>
        <v>78.9</v>
      </c>
    </row>
    <row r="33" ht="15.6" hidden="1" outlineLevel="2" spans="1:25">
      <c r="A33" s="15">
        <v>102</v>
      </c>
      <c r="B33" s="15">
        <v>1</v>
      </c>
      <c r="C33" s="13" t="s">
        <v>65</v>
      </c>
      <c r="D33" s="14" t="s">
        <v>11</v>
      </c>
      <c r="E33" s="15">
        <v>12.1</v>
      </c>
      <c r="F33" s="1">
        <f>LOOKUP(E33,{0,-4,-3,-2,-1,0,1,2.4,3.8,5.2,6.6,8,9.4,10.8,12.2,13.6,15,17.2,19.4,21.5,23.6},{0,10,20,30,40,50,60,62,64,66,68,70,72,74,76,78,80,85,90,95,100})</f>
        <v>74</v>
      </c>
      <c r="G33" s="15">
        <v>241</v>
      </c>
      <c r="H33" s="1">
        <f>LOOKUP(G33,{0,170,175,180,185,190,195,199,203,207,211,215,219,223,227,231,235,243,250,255,260},{0,10,20,30,40,50,60,62,64,66,68,70,72,74,76,78,80,85,90,95,100})</f>
        <v>80</v>
      </c>
      <c r="I33" s="15">
        <v>3</v>
      </c>
      <c r="J33" s="1">
        <f>LOOKUP(I33,{0,2,3,4,5,6,7,8,9,10,11,12,13,14,15,16},{0,10,20,30,40,50,60,64,68,72,76,80,85,90,95,100})</f>
        <v>20</v>
      </c>
      <c r="K33" s="21"/>
      <c r="L33" s="21"/>
      <c r="M33" s="21">
        <f t="shared" ref="M33:M49" si="15">J33+L33</f>
        <v>20</v>
      </c>
      <c r="N33" s="15"/>
      <c r="O33" s="19"/>
      <c r="P33" s="1"/>
      <c r="Q33" s="15">
        <v>3.31</v>
      </c>
      <c r="R33" s="15">
        <f t="shared" ref="R33:R49" si="16">10-Q33</f>
        <v>6.69</v>
      </c>
      <c r="S33" s="1">
        <f>LOOKUP(R33,{0,3.75,3.95,4.55,4.75,4.95,5.55,5.6,5.65,5.7,5.75,5.8,5.85,5.9,5.95,6,6.45,6.53,6.6,6.65,6.7},{0,10,20,30,40,50,60,62,64,66,68,70,72,74,76,78,80,85,90,95,100})</f>
        <v>95</v>
      </c>
      <c r="T33" s="21"/>
      <c r="U33" s="21"/>
      <c r="V33" s="21">
        <f t="shared" ref="V33:V49" si="17">S33+U33</f>
        <v>95</v>
      </c>
      <c r="W33" s="15"/>
      <c r="X33" s="21">
        <f t="shared" ref="X33:X63" si="18">F33*0.1+H33*0.1+J33*0.1+P33*0.2+S33*0.2</f>
        <v>36.4</v>
      </c>
      <c r="Y33" s="21">
        <f t="shared" ref="Y33:Y49" si="19">X33/0.7+L33+U33</f>
        <v>52</v>
      </c>
    </row>
    <row r="34" ht="15.6" hidden="1" outlineLevel="2" spans="1:25">
      <c r="A34" s="15">
        <v>102</v>
      </c>
      <c r="B34" s="15">
        <v>2</v>
      </c>
      <c r="C34" s="14" t="s">
        <v>66</v>
      </c>
      <c r="D34" s="14" t="s">
        <v>11</v>
      </c>
      <c r="E34" s="15">
        <v>6.4</v>
      </c>
      <c r="F34" s="1">
        <f>LOOKUP(E34,{0,-4,-3,-2,-1,0,1,2.4,3.8,5.2,6.6,8,9.4,10.8,12.2,13.6,15,17.2,19.4,21.5,23.6},{0,10,20,30,40,50,60,62,64,66,68,70,72,74,76,78,80,85,90,95,100})</f>
        <v>66</v>
      </c>
      <c r="G34" s="15">
        <v>168</v>
      </c>
      <c r="H34" s="1">
        <f>LOOKUP(G34,{0,170,175,180,185,190,195,199,203,207,211,215,219,223,227,231,235,243,250,255,260},{0,10,20,30,40,50,60,62,64,66,68,70,72,74,76,78,80,85,90,95,100})</f>
        <v>0</v>
      </c>
      <c r="I34" s="15">
        <v>5</v>
      </c>
      <c r="J34" s="1">
        <f>LOOKUP(I34,{0,2,3,4,5,6,7,8,9,10,11,12,13,14,15,16},{0,10,20,30,40,50,60,64,68,72,76,80,85,90,95,100})</f>
        <v>40</v>
      </c>
      <c r="K34" s="21"/>
      <c r="L34" s="21"/>
      <c r="M34" s="21">
        <f t="shared" si="15"/>
        <v>40</v>
      </c>
      <c r="N34" s="15">
        <v>6.8</v>
      </c>
      <c r="O34" s="19">
        <f t="shared" ref="O34:O36" si="20">13-N34</f>
        <v>6.2</v>
      </c>
      <c r="P34" s="1">
        <f>LOOKUP(O34,{0,2.5,2.7,2.9,3.1,3.3,3.5,3.7,3.9,4.1,4.3,4.5,4.7,4.9,5.1,5.3,5.5,5.6,5.7,5.8,5.9},{0,10,20,30,40,50,60,62,64,66,68,70,72,74,76,78,80,85,90,95,100})</f>
        <v>100</v>
      </c>
      <c r="Q34" s="15">
        <v>3.5</v>
      </c>
      <c r="R34" s="15">
        <f t="shared" si="16"/>
        <v>6.5</v>
      </c>
      <c r="S34" s="1">
        <f>LOOKUP(R34,{0,3.75,3.95,4.55,4.75,4.95,5.55,5.6,5.65,5.7,5.75,5.8,5.85,5.9,5.95,6,6.45,6.53,6.6,6.65,6.7},{0,10,20,30,40,50,60,62,64,66,68,70,72,74,76,78,80,85,90,95,100})</f>
        <v>80</v>
      </c>
      <c r="T34" s="21"/>
      <c r="U34" s="21"/>
      <c r="V34" s="21">
        <f t="shared" si="17"/>
        <v>80</v>
      </c>
      <c r="W34" s="15"/>
      <c r="X34" s="21">
        <f t="shared" si="18"/>
        <v>46.6</v>
      </c>
      <c r="Y34" s="21">
        <f t="shared" si="19"/>
        <v>66.5714285714286</v>
      </c>
    </row>
    <row r="35" ht="15.6" hidden="1" outlineLevel="2" spans="1:25">
      <c r="A35" s="15">
        <v>102</v>
      </c>
      <c r="B35" s="15">
        <v>3</v>
      </c>
      <c r="C35" s="14" t="s">
        <v>67</v>
      </c>
      <c r="D35" s="14" t="s">
        <v>11</v>
      </c>
      <c r="E35" s="15">
        <v>8.3</v>
      </c>
      <c r="F35" s="1">
        <f>LOOKUP(E35,{0,-4,-3,-2,-1,0,1,2.4,3.8,5.2,6.6,8,9.4,10.8,12.2,13.6,15,17.2,19.4,21.5,23.6},{0,10,20,30,40,50,60,62,64,66,68,70,72,74,76,78,80,85,90,95,100})</f>
        <v>70</v>
      </c>
      <c r="G35" s="15">
        <v>257</v>
      </c>
      <c r="H35" s="1">
        <f>LOOKUP(G35,{0,170,175,180,185,190,195,199,203,207,211,215,219,223,227,231,235,243,250,255,260},{0,10,20,30,40,50,60,62,64,66,68,70,72,74,76,78,80,85,90,95,100})</f>
        <v>95</v>
      </c>
      <c r="I35" s="15">
        <v>3</v>
      </c>
      <c r="J35" s="1">
        <f>LOOKUP(I35,{0,2,3,4,5,6,7,8,9,10,11,12,13,14,15,16},{0,10,20,30,40,50,60,64,68,72,76,80,85,90,95,100})</f>
        <v>20</v>
      </c>
      <c r="K35" s="21"/>
      <c r="L35" s="21"/>
      <c r="M35" s="21">
        <f t="shared" si="15"/>
        <v>20</v>
      </c>
      <c r="N35" s="15">
        <v>7.1</v>
      </c>
      <c r="O35" s="19">
        <f t="shared" si="20"/>
        <v>5.9</v>
      </c>
      <c r="P35" s="1">
        <f>LOOKUP(O35,{0,2.5,2.7,2.9,3.1,3.3,3.5,3.7,3.9,4.1,4.3,4.5,4.7,4.9,5.1,5.3,5.5,5.6,5.7,5.8,5.9},{0,10,20,30,40,50,60,62,64,66,68,70,72,74,76,78,80,85,90,95,100})</f>
        <v>100</v>
      </c>
      <c r="Q35" s="15">
        <v>3.46</v>
      </c>
      <c r="R35" s="15">
        <f t="shared" si="16"/>
        <v>6.54</v>
      </c>
      <c r="S35" s="1">
        <f>LOOKUP(R35,{0,3.75,3.95,4.55,4.75,4.95,5.55,5.6,5.65,5.7,5.75,5.8,5.85,5.9,5.95,6,6.45,6.53,6.6,6.65,6.7},{0,10,20,30,40,50,60,62,64,66,68,70,72,74,76,78,80,85,90,95,100})</f>
        <v>85</v>
      </c>
      <c r="T35" s="21"/>
      <c r="U35" s="21"/>
      <c r="V35" s="21">
        <f t="shared" si="17"/>
        <v>85</v>
      </c>
      <c r="W35" s="15"/>
      <c r="X35" s="21">
        <f t="shared" si="18"/>
        <v>55.5</v>
      </c>
      <c r="Y35" s="21">
        <f t="shared" si="19"/>
        <v>79.2857142857143</v>
      </c>
    </row>
    <row r="36" ht="15.6" hidden="1" outlineLevel="2" spans="1:25">
      <c r="A36" s="15">
        <v>102</v>
      </c>
      <c r="B36" s="15">
        <v>4</v>
      </c>
      <c r="C36" s="14" t="s">
        <v>68</v>
      </c>
      <c r="D36" s="14" t="s">
        <v>11</v>
      </c>
      <c r="E36" s="15">
        <v>9.6</v>
      </c>
      <c r="F36" s="1">
        <f>LOOKUP(E36,{0,-4,-3,-2,-1,0,1,2.4,3.8,5.2,6.6,8,9.4,10.8,12.2,13.6,15,17.2,19.4,21.5,23.6},{0,10,20,30,40,50,60,62,64,66,68,70,72,74,76,78,80,85,90,95,100})</f>
        <v>72</v>
      </c>
      <c r="G36" s="15">
        <v>227</v>
      </c>
      <c r="H36" s="1">
        <f>LOOKUP(G36,{0,170,175,180,185,190,195,199,203,207,211,215,219,223,227,231,235,243,250,255,260},{0,10,20,30,40,50,60,62,64,66,68,70,72,74,76,78,80,85,90,95,100})</f>
        <v>76</v>
      </c>
      <c r="I36" s="15">
        <v>6</v>
      </c>
      <c r="J36" s="1">
        <f>LOOKUP(I36,{0,2,3,4,5,6,7,8,9,10,11,12,13,14,15,16},{0,10,20,30,40,50,60,64,68,72,76,80,85,90,95,100})</f>
        <v>50</v>
      </c>
      <c r="K36" s="21"/>
      <c r="L36" s="21"/>
      <c r="M36" s="21">
        <f t="shared" si="15"/>
        <v>50</v>
      </c>
      <c r="N36" s="15">
        <v>6.8</v>
      </c>
      <c r="O36" s="19">
        <f t="shared" si="20"/>
        <v>6.2</v>
      </c>
      <c r="P36" s="1">
        <f>LOOKUP(O36,{0,2.5,2.7,2.9,3.1,3.3,3.5,3.7,3.9,4.1,4.3,4.5,4.7,4.9,5.1,5.3,5.5,5.6,5.7,5.8,5.9},{0,10,20,30,40,50,60,62,64,66,68,70,72,74,76,78,80,85,90,95,100})</f>
        <v>100</v>
      </c>
      <c r="Q36" s="15">
        <v>3.2</v>
      </c>
      <c r="R36" s="15">
        <f t="shared" si="16"/>
        <v>6.8</v>
      </c>
      <c r="S36" s="1">
        <f>LOOKUP(R36,{0,3.75,3.95,4.55,4.75,4.95,5.55,5.6,5.65,5.7,5.75,5.8,5.85,5.9,5.95,6,6.45,6.53,6.6,6.65,6.7},{0,10,20,30,40,50,60,62,64,66,68,70,72,74,76,78,80,85,90,95,100})</f>
        <v>100</v>
      </c>
      <c r="T36" s="21">
        <f>3.3-Q36</f>
        <v>0.0999999999999996</v>
      </c>
      <c r="U36" s="1">
        <f>LOOKUP(T36,{0,0.04,0.08,0.12,0.16,0.2,0.23,0.26,0.29,0.32,0.35},{0,1,2,3,4,5,6,7,8,9,10})</f>
        <v>2</v>
      </c>
      <c r="V36" s="21">
        <f t="shared" si="17"/>
        <v>102</v>
      </c>
      <c r="W36" s="15"/>
      <c r="X36" s="21">
        <f t="shared" si="18"/>
        <v>59.8</v>
      </c>
      <c r="Y36" s="21">
        <f t="shared" si="19"/>
        <v>87.4285714285714</v>
      </c>
    </row>
    <row r="37" ht="15.6" hidden="1" outlineLevel="2" spans="1:25">
      <c r="A37" s="15">
        <v>102</v>
      </c>
      <c r="B37" s="15">
        <v>5</v>
      </c>
      <c r="C37" s="14" t="s">
        <v>69</v>
      </c>
      <c r="D37" s="14" t="s">
        <v>11</v>
      </c>
      <c r="E37" s="15">
        <v>-4.5</v>
      </c>
      <c r="F37" s="1">
        <v>0</v>
      </c>
      <c r="G37" s="15">
        <v>251</v>
      </c>
      <c r="H37" s="1">
        <f>LOOKUP(G37,{0,170,175,180,185,190,195,199,203,207,211,215,219,223,227,231,235,243,250,255,260},{0,10,20,30,40,50,60,62,64,66,68,70,72,74,76,78,80,85,90,95,100})</f>
        <v>90</v>
      </c>
      <c r="I37" s="15">
        <v>24</v>
      </c>
      <c r="J37" s="1">
        <f>LOOKUP(I37,{0,2,3,4,5,6,7,8,9,10,11,12,13,14,15,16},{0,10,20,30,40,50,60,64,68,72,76,80,85,90,95,100})</f>
        <v>100</v>
      </c>
      <c r="K37" s="21">
        <f t="shared" ref="K37:K40" si="21">I37-16</f>
        <v>8</v>
      </c>
      <c r="L37" s="1">
        <f>LOOKUP(K37,{0,1,2,3,4,5,6,7,8,9,10},{0,1,2,3,4,5,6,7,8,9,10})</f>
        <v>8</v>
      </c>
      <c r="M37" s="21">
        <f t="shared" si="15"/>
        <v>108</v>
      </c>
      <c r="N37" s="15"/>
      <c r="O37" s="19"/>
      <c r="P37" s="1"/>
      <c r="Q37" s="15">
        <v>3.3</v>
      </c>
      <c r="R37" s="15">
        <f t="shared" si="16"/>
        <v>6.7</v>
      </c>
      <c r="S37" s="1">
        <f>LOOKUP(R37,{0,3.75,3.95,4.55,4.75,4.95,5.55,5.6,5.65,5.7,5.75,5.8,5.85,5.9,5.95,6,6.45,6.53,6.6,6.65,6.7},{0,10,20,30,40,50,60,62,64,66,68,70,72,74,76,78,80,85,90,95,100})</f>
        <v>100</v>
      </c>
      <c r="T37" s="21">
        <f>3.3-Q37</f>
        <v>0</v>
      </c>
      <c r="U37" s="1">
        <f>LOOKUP(T37,{0,0.04,0.08,0.12,0.16,0.2,0.23,0.26,0.29,0.32,0.35},{0,1,2,3,4,5,6,7,8,9,10})</f>
        <v>0</v>
      </c>
      <c r="V37" s="21">
        <f t="shared" si="17"/>
        <v>100</v>
      </c>
      <c r="W37" s="15"/>
      <c r="X37" s="21">
        <f t="shared" si="18"/>
        <v>39</v>
      </c>
      <c r="Y37" s="21">
        <f t="shared" si="19"/>
        <v>63.7142857142857</v>
      </c>
    </row>
    <row r="38" ht="15.6" hidden="1" outlineLevel="2" spans="1:25">
      <c r="A38" s="15">
        <v>102</v>
      </c>
      <c r="B38" s="15">
        <v>6</v>
      </c>
      <c r="C38" s="14" t="s">
        <v>70</v>
      </c>
      <c r="D38" s="14" t="s">
        <v>11</v>
      </c>
      <c r="E38" s="15">
        <v>5.6</v>
      </c>
      <c r="F38" s="1">
        <f>LOOKUP(E38,{0,-4,-3,-2,-1,0,1,2.4,3.8,5.2,6.6,8,9.4,10.8,12.2,13.6,15,17.2,19.4,21.5,23.6},{0,10,20,30,40,50,60,62,64,66,68,70,72,74,76,78,80,85,90,95,100})</f>
        <v>66</v>
      </c>
      <c r="G38" s="15">
        <v>251</v>
      </c>
      <c r="H38" s="1">
        <f>LOOKUP(G38,{0,170,175,180,185,190,195,199,203,207,211,215,219,223,227,231,235,243,250,255,260},{0,10,20,30,40,50,60,62,64,66,68,70,72,74,76,78,80,85,90,95,100})</f>
        <v>90</v>
      </c>
      <c r="I38" s="15">
        <v>21</v>
      </c>
      <c r="J38" s="1">
        <f>LOOKUP(I38,{0,2,3,4,5,6,7,8,9,10,11,12,13,14,15,16},{0,10,20,30,40,50,60,64,68,72,76,80,85,90,95,100})</f>
        <v>100</v>
      </c>
      <c r="K38" s="21">
        <f t="shared" si="21"/>
        <v>5</v>
      </c>
      <c r="L38" s="1">
        <f>LOOKUP(K38,{0,1,2,3,4,5,6,7,8,9,10},{0,1,2,3,4,5,6,7,8,9,10})</f>
        <v>5</v>
      </c>
      <c r="M38" s="21">
        <f t="shared" si="15"/>
        <v>105</v>
      </c>
      <c r="N38" s="15">
        <v>6.7</v>
      </c>
      <c r="O38" s="19">
        <f t="shared" ref="O38:O49" si="22">13-N38</f>
        <v>6.3</v>
      </c>
      <c r="P38" s="1">
        <f>LOOKUP(O38,{0,2.5,2.7,2.9,3.1,3.3,3.5,3.7,3.9,4.1,4.3,4.5,4.7,4.9,5.1,5.3,5.5,5.6,5.7,5.8,5.9},{0,10,20,30,40,50,60,62,64,66,68,70,72,74,76,78,80,85,90,95,100})</f>
        <v>100</v>
      </c>
      <c r="Q38" s="15">
        <v>3.38</v>
      </c>
      <c r="R38" s="15">
        <f t="shared" si="16"/>
        <v>6.62</v>
      </c>
      <c r="S38" s="1">
        <f>LOOKUP(R38,{0,3.75,3.95,4.55,4.75,4.95,5.55,5.6,5.65,5.7,5.75,5.8,5.85,5.9,5.95,6,6.45,6.53,6.6,6.65,6.7},{0,10,20,30,40,50,60,62,64,66,68,70,72,74,76,78,80,85,90,95,100})</f>
        <v>90</v>
      </c>
      <c r="T38" s="21"/>
      <c r="U38" s="21"/>
      <c r="V38" s="21">
        <f t="shared" si="17"/>
        <v>90</v>
      </c>
      <c r="W38" s="15"/>
      <c r="X38" s="21">
        <f t="shared" si="18"/>
        <v>63.6</v>
      </c>
      <c r="Y38" s="21">
        <f t="shared" si="19"/>
        <v>95.8571428571429</v>
      </c>
    </row>
    <row r="39" ht="15.6" hidden="1" outlineLevel="2" spans="1:25">
      <c r="A39" s="15">
        <v>102</v>
      </c>
      <c r="B39" s="15">
        <v>7</v>
      </c>
      <c r="C39" s="14" t="s">
        <v>71</v>
      </c>
      <c r="D39" s="14" t="s">
        <v>11</v>
      </c>
      <c r="E39" s="15">
        <v>7.1</v>
      </c>
      <c r="F39" s="1">
        <f>LOOKUP(E39,{0,-4,-3,-2,-1,0,1,2.4,3.8,5.2,6.6,8,9.4,10.8,12.2,13.6,15,17.2,19.4,21.5,23.6},{0,10,20,30,40,50,60,62,64,66,68,70,72,74,76,78,80,85,90,95,100})</f>
        <v>68</v>
      </c>
      <c r="G39" s="15">
        <v>205</v>
      </c>
      <c r="H39" s="1">
        <f>LOOKUP(G39,{0,170,175,180,185,190,195,199,203,207,211,215,219,223,227,231,235,243,250,255,260},{0,10,20,30,40,50,60,62,64,66,68,70,72,74,76,78,80,85,90,95,100})</f>
        <v>64</v>
      </c>
      <c r="I39" s="15">
        <v>5</v>
      </c>
      <c r="J39" s="1">
        <f>LOOKUP(I39,{0,2,3,4,5,6,7,8,9,10,11,12,13,14,15,16},{0,10,20,30,40,50,60,64,68,72,76,80,85,90,95,100})</f>
        <v>40</v>
      </c>
      <c r="K39" s="21"/>
      <c r="L39" s="21"/>
      <c r="M39" s="21">
        <f t="shared" si="15"/>
        <v>40</v>
      </c>
      <c r="N39" s="15">
        <v>7.1</v>
      </c>
      <c r="O39" s="19">
        <f t="shared" si="22"/>
        <v>5.9</v>
      </c>
      <c r="P39" s="1">
        <f>LOOKUP(O39,{0,2.5,2.7,2.9,3.1,3.3,3.5,3.7,3.9,4.1,4.3,4.5,4.7,4.9,5.1,5.3,5.5,5.6,5.7,5.8,5.9},{0,10,20,30,40,50,60,62,64,66,68,70,72,74,76,78,80,85,90,95,100})</f>
        <v>100</v>
      </c>
      <c r="Q39" s="15">
        <v>3.36</v>
      </c>
      <c r="R39" s="15">
        <f t="shared" si="16"/>
        <v>6.64</v>
      </c>
      <c r="S39" s="1">
        <f>LOOKUP(R39,{0,3.75,3.95,4.55,4.75,4.95,5.55,5.6,5.65,5.7,5.75,5.8,5.85,5.9,5.95,6,6.45,6.53,6.6,6.65,6.7},{0,10,20,30,40,50,60,62,64,66,68,70,72,74,76,78,80,85,90,95,100})</f>
        <v>90</v>
      </c>
      <c r="T39" s="21"/>
      <c r="U39" s="21"/>
      <c r="V39" s="21">
        <f t="shared" si="17"/>
        <v>90</v>
      </c>
      <c r="W39" s="15"/>
      <c r="X39" s="21">
        <f t="shared" si="18"/>
        <v>55.2</v>
      </c>
      <c r="Y39" s="21">
        <f t="shared" si="19"/>
        <v>78.8571428571429</v>
      </c>
    </row>
    <row r="40" ht="15.6" hidden="1" outlineLevel="2" spans="1:25">
      <c r="A40" s="15">
        <v>102</v>
      </c>
      <c r="B40" s="15">
        <v>8</v>
      </c>
      <c r="C40" s="14" t="s">
        <v>72</v>
      </c>
      <c r="D40" s="14" t="s">
        <v>11</v>
      </c>
      <c r="E40" s="15">
        <v>8.6</v>
      </c>
      <c r="F40" s="1">
        <f>LOOKUP(E40,{0,-4,-3,-2,-1,0,1,2.4,3.8,5.2,6.6,8,9.4,10.8,12.2,13.6,15,17.2,19.4,21.5,23.6},{0,10,20,30,40,50,60,62,64,66,68,70,72,74,76,78,80,85,90,95,100})</f>
        <v>70</v>
      </c>
      <c r="G40" s="15">
        <v>247</v>
      </c>
      <c r="H40" s="1">
        <f>LOOKUP(G40,{0,170,175,180,185,190,195,199,203,207,211,215,219,223,227,231,235,243,250,255,260},{0,10,20,30,40,50,60,62,64,66,68,70,72,74,76,78,80,85,90,95,100})</f>
        <v>85</v>
      </c>
      <c r="I40" s="15">
        <v>21</v>
      </c>
      <c r="J40" s="1">
        <f>LOOKUP(I40,{0,2,3,4,5,6,7,8,9,10,11,12,13,14,15,16},{0,10,20,30,40,50,60,64,68,72,76,80,85,90,95,100})</f>
        <v>100</v>
      </c>
      <c r="K40" s="21">
        <f t="shared" si="21"/>
        <v>5</v>
      </c>
      <c r="L40" s="1">
        <f>LOOKUP(K40,{0,1,2,3,4,5,6,7,8,9,10},{0,1,2,3,4,5,6,7,8,9,10})</f>
        <v>5</v>
      </c>
      <c r="M40" s="21">
        <f t="shared" si="15"/>
        <v>105</v>
      </c>
      <c r="N40" s="15">
        <v>6.8</v>
      </c>
      <c r="O40" s="19">
        <f t="shared" si="22"/>
        <v>6.2</v>
      </c>
      <c r="P40" s="1">
        <f>LOOKUP(O40,{0,2.5,2.7,2.9,3.1,3.3,3.5,3.7,3.9,4.1,4.3,4.5,4.7,4.9,5.1,5.3,5.5,5.6,5.7,5.8,5.9},{0,10,20,30,40,50,60,62,64,66,68,70,72,74,76,78,80,85,90,95,100})</f>
        <v>100</v>
      </c>
      <c r="Q40" s="15">
        <v>4.24</v>
      </c>
      <c r="R40" s="15">
        <f t="shared" si="16"/>
        <v>5.76</v>
      </c>
      <c r="S40" s="1">
        <f>LOOKUP(R40,{0,3.75,3.95,4.55,4.75,4.95,5.55,5.6,5.65,5.7,5.75,5.8,5.85,5.9,5.95,6,6.45,6.53,6.6,6.65,6.7},{0,10,20,30,40,50,60,62,64,66,68,70,72,74,76,78,80,85,90,95,100})</f>
        <v>68</v>
      </c>
      <c r="T40" s="21"/>
      <c r="U40" s="21"/>
      <c r="V40" s="21">
        <f t="shared" si="17"/>
        <v>68</v>
      </c>
      <c r="W40" s="15"/>
      <c r="X40" s="21">
        <f t="shared" si="18"/>
        <v>59.1</v>
      </c>
      <c r="Y40" s="21">
        <f t="shared" si="19"/>
        <v>89.4285714285714</v>
      </c>
    </row>
    <row r="41" ht="15.6" hidden="1" outlineLevel="2" spans="1:25">
      <c r="A41" s="15">
        <v>102</v>
      </c>
      <c r="B41" s="15">
        <v>9</v>
      </c>
      <c r="C41" s="14" t="s">
        <v>73</v>
      </c>
      <c r="D41" s="14" t="s">
        <v>11</v>
      </c>
      <c r="E41" s="15">
        <v>10</v>
      </c>
      <c r="F41" s="1">
        <f>LOOKUP(E41,{0,-4,-3,-2,-1,0,1,2.4,3.8,5.2,6.6,8,9.4,10.8,12.2,13.6,15,17.2,19.4,21.5,23.6},{0,10,20,30,40,50,60,62,64,66,68,70,72,74,76,78,80,85,90,95,100})</f>
        <v>72</v>
      </c>
      <c r="G41" s="15">
        <v>231</v>
      </c>
      <c r="H41" s="1">
        <f>LOOKUP(G41,{0,170,175,180,185,190,195,199,203,207,211,215,219,223,227,231,235,243,250,255,260},{0,10,20,30,40,50,60,62,64,66,68,70,72,74,76,78,80,85,90,95,100})</f>
        <v>78</v>
      </c>
      <c r="I41" s="15">
        <v>13</v>
      </c>
      <c r="J41" s="1">
        <f>LOOKUP(I41,{0,2,3,4,5,6,7,8,9,10,11,12,13,14,15,16},{0,10,20,30,40,50,60,64,68,72,76,80,85,90,95,100})</f>
        <v>85</v>
      </c>
      <c r="K41" s="21"/>
      <c r="L41" s="21"/>
      <c r="M41" s="21">
        <f t="shared" si="15"/>
        <v>85</v>
      </c>
      <c r="N41" s="15">
        <v>7.3</v>
      </c>
      <c r="O41" s="19">
        <f t="shared" si="22"/>
        <v>5.7</v>
      </c>
      <c r="P41" s="1">
        <f>LOOKUP(O41,{0,2.5,2.7,2.9,3.1,3.3,3.5,3.7,3.9,4.1,4.3,4.5,4.7,4.9,5.1,5.3,5.5,5.6,5.7,5.8,5.9},{0,10,20,30,40,50,60,62,64,66,68,70,72,74,76,78,80,85,90,95,100})</f>
        <v>90</v>
      </c>
      <c r="Q41" s="15">
        <v>3.41</v>
      </c>
      <c r="R41" s="15">
        <f t="shared" si="16"/>
        <v>6.59</v>
      </c>
      <c r="S41" s="1">
        <f>LOOKUP(R41,{0,3.75,3.95,4.55,4.75,4.95,5.55,5.6,5.65,5.7,5.75,5.8,5.85,5.9,5.95,6,6.45,6.53,6.6,6.65,6.7},{0,10,20,30,40,50,60,62,64,66,68,70,72,74,76,78,80,85,90,95,100})</f>
        <v>85</v>
      </c>
      <c r="T41" s="21"/>
      <c r="U41" s="21"/>
      <c r="V41" s="21">
        <f t="shared" si="17"/>
        <v>85</v>
      </c>
      <c r="W41" s="15"/>
      <c r="X41" s="21">
        <f t="shared" si="18"/>
        <v>58.5</v>
      </c>
      <c r="Y41" s="21">
        <f t="shared" si="19"/>
        <v>83.5714285714286</v>
      </c>
    </row>
    <row r="42" ht="15.6" hidden="1" outlineLevel="2" spans="1:25">
      <c r="A42" s="15">
        <v>102</v>
      </c>
      <c r="B42" s="15">
        <v>10</v>
      </c>
      <c r="C42" s="14" t="s">
        <v>74</v>
      </c>
      <c r="D42" s="14" t="s">
        <v>11</v>
      </c>
      <c r="E42" s="15">
        <v>11</v>
      </c>
      <c r="F42" s="1">
        <f>LOOKUP(E42,{0,-4,-3,-2,-1,0,1,2.4,3.8,5.2,6.6,8,9.4,10.8,12.2,13.6,15,17.2,19.4,21.5,23.6},{0,10,20,30,40,50,60,62,64,66,68,70,72,74,76,78,80,85,90,95,100})</f>
        <v>74</v>
      </c>
      <c r="G42" s="15">
        <v>197</v>
      </c>
      <c r="H42" s="1">
        <f>LOOKUP(G42,{0,170,175,180,185,190,195,199,203,207,211,215,219,223,227,231,235,243,250,255,260},{0,10,20,30,40,50,60,62,64,66,68,70,72,74,76,78,80,85,90,95,100})</f>
        <v>60</v>
      </c>
      <c r="I42" s="15">
        <v>0</v>
      </c>
      <c r="J42" s="1">
        <f>LOOKUP(I42,{0,2,3,4,5,6,7,8,9,10,11,12,13,14,15,16},{0,10,20,30,40,50,60,64,68,72,76,80,85,90,95,100})</f>
        <v>0</v>
      </c>
      <c r="K42" s="21"/>
      <c r="L42" s="21"/>
      <c r="M42" s="21">
        <f t="shared" si="15"/>
        <v>0</v>
      </c>
      <c r="N42" s="15">
        <v>7.6</v>
      </c>
      <c r="O42" s="19">
        <f t="shared" si="22"/>
        <v>5.4</v>
      </c>
      <c r="P42" s="1">
        <f>LOOKUP(O42,{0,2.5,2.7,2.9,3.1,3.3,3.5,3.7,3.9,4.1,4.3,4.5,4.7,4.9,5.1,5.3,5.5,5.6,5.7,5.8,5.9},{0,10,20,30,40,50,60,62,64,66,68,70,72,74,76,78,80,85,90,95,100})</f>
        <v>78</v>
      </c>
      <c r="Q42" s="15">
        <v>4.43</v>
      </c>
      <c r="R42" s="15">
        <f t="shared" si="16"/>
        <v>5.57</v>
      </c>
      <c r="S42" s="1">
        <f>LOOKUP(R42,{0,3.75,3.95,4.55,4.75,4.95,5.55,5.6,5.65,5.7,5.75,5.8,5.85,5.9,5.95,6,6.45,6.53,6.6,6.65,6.7},{0,10,20,30,40,50,60,62,64,66,68,70,72,74,76,78,80,85,90,95,100})</f>
        <v>60</v>
      </c>
      <c r="T42" s="21"/>
      <c r="U42" s="21"/>
      <c r="V42" s="21">
        <f t="shared" si="17"/>
        <v>60</v>
      </c>
      <c r="W42" s="15"/>
      <c r="X42" s="21">
        <f t="shared" si="18"/>
        <v>41</v>
      </c>
      <c r="Y42" s="21">
        <f t="shared" si="19"/>
        <v>58.5714285714286</v>
      </c>
    </row>
    <row r="43" s="3" customFormat="1" ht="15.6" hidden="1" outlineLevel="2" spans="1:25">
      <c r="A43" s="15">
        <v>102</v>
      </c>
      <c r="B43" s="15">
        <v>11</v>
      </c>
      <c r="C43" s="13" t="s">
        <v>76</v>
      </c>
      <c r="D43" s="14" t="s">
        <v>11</v>
      </c>
      <c r="E43" s="15">
        <v>5.3</v>
      </c>
      <c r="F43" s="1">
        <f>LOOKUP(E43,{0,-4,-3,-2,-1,0,1,2.4,3.8,5.2,6.6,8,9.4,10.8,12.2,13.6,15,17.2,19.4,21.5,23.6},{0,10,20,30,40,50,60,62,64,66,68,70,72,74,76,78,80,85,90,95,100})</f>
        <v>66</v>
      </c>
      <c r="G43" s="15">
        <v>190</v>
      </c>
      <c r="H43" s="1">
        <f>LOOKUP(G43,{0,170,175,180,185,190,195,199,203,207,211,215,219,223,227,231,235,243,250,255,260},{0,10,20,30,40,50,60,62,64,66,68,70,72,74,76,78,80,85,90,95,100})</f>
        <v>50</v>
      </c>
      <c r="I43" s="15">
        <v>0</v>
      </c>
      <c r="J43" s="1">
        <f>LOOKUP(I43,{0,2,3,4,5,6,7,8,9,10,11,12,13,14,15,16},{0,10,20,30,40,50,60,64,68,72,76,80,85,90,95,100})</f>
        <v>0</v>
      </c>
      <c r="K43" s="21"/>
      <c r="L43" s="21"/>
      <c r="M43" s="21">
        <f t="shared" si="15"/>
        <v>0</v>
      </c>
      <c r="N43" s="15">
        <v>7.7</v>
      </c>
      <c r="O43" s="19">
        <f t="shared" si="22"/>
        <v>5.3</v>
      </c>
      <c r="P43" s="1">
        <f>LOOKUP(O43,{0,2.5,2.7,2.9,3.1,3.3,3.5,3.7,3.9,4.1,4.3,4.5,4.7,4.9,5.1,5.3,5.5,5.6,5.7,5.8,5.9},{0,10,20,30,40,50,60,62,64,66,68,70,72,74,76,78,80,85,90,95,100})</f>
        <v>78</v>
      </c>
      <c r="Q43" s="15">
        <v>4.14</v>
      </c>
      <c r="R43" s="15">
        <f t="shared" si="16"/>
        <v>5.86</v>
      </c>
      <c r="S43" s="1">
        <f>LOOKUP(R43,{0,3.75,3.95,4.55,4.75,4.95,5.55,5.6,5.65,5.7,5.75,5.8,5.85,5.9,5.95,6,6.45,6.53,6.6,6.65,6.7},{0,10,20,30,40,50,60,62,64,66,68,70,72,74,76,78,80,85,90,95,100})</f>
        <v>72</v>
      </c>
      <c r="T43" s="21"/>
      <c r="U43" s="21"/>
      <c r="V43" s="21">
        <f t="shared" si="17"/>
        <v>72</v>
      </c>
      <c r="W43" s="15"/>
      <c r="X43" s="21">
        <f t="shared" si="18"/>
        <v>41.6</v>
      </c>
      <c r="Y43" s="21">
        <f t="shared" si="19"/>
        <v>59.4285714285714</v>
      </c>
    </row>
    <row r="44" ht="15.6" hidden="1" outlineLevel="2" spans="1:25">
      <c r="A44" s="15">
        <v>102</v>
      </c>
      <c r="B44" s="15">
        <v>12</v>
      </c>
      <c r="C44" s="14" t="s">
        <v>77</v>
      </c>
      <c r="D44" s="14" t="s">
        <v>11</v>
      </c>
      <c r="E44" s="15">
        <v>11</v>
      </c>
      <c r="F44" s="1">
        <f>LOOKUP(E44,{0,-4,-3,-2,-1,0,1,2.4,3.8,5.2,6.6,8,9.4,10.8,12.2,13.6,15,17.2,19.4,21.5,23.6},{0,10,20,30,40,50,60,62,64,66,68,70,72,74,76,78,80,85,90,95,100})</f>
        <v>74</v>
      </c>
      <c r="G44" s="15">
        <v>186</v>
      </c>
      <c r="H44" s="1">
        <f>LOOKUP(G44,{0,170,175,180,185,190,195,199,203,207,211,215,219,223,227,231,235,243,250,255,260},{0,10,20,30,40,50,60,62,64,66,68,70,72,74,76,78,80,85,90,95,100})</f>
        <v>40</v>
      </c>
      <c r="I44" s="15">
        <v>11</v>
      </c>
      <c r="J44" s="1">
        <f>LOOKUP(I44,{0,2,3,4,5,6,7,8,9,10,11,12,13,14,15,16},{0,10,20,30,40,50,60,64,68,72,76,80,85,90,95,100})</f>
        <v>76</v>
      </c>
      <c r="K44" s="21"/>
      <c r="L44" s="21"/>
      <c r="M44" s="21">
        <f t="shared" si="15"/>
        <v>76</v>
      </c>
      <c r="N44" s="15">
        <v>8.4</v>
      </c>
      <c r="O44" s="19">
        <f t="shared" si="22"/>
        <v>4.6</v>
      </c>
      <c r="P44" s="1">
        <f>LOOKUP(O44,{0,2.5,2.7,2.9,3.1,3.3,3.5,3.7,3.9,4.1,4.3,4.5,4.7,4.9,5.1,5.3,5.5,5.6,5.7,5.8,5.9},{0,10,20,30,40,50,60,62,64,66,68,70,72,74,76,78,80,85,90,95,100})</f>
        <v>70</v>
      </c>
      <c r="Q44" s="15">
        <v>3.42</v>
      </c>
      <c r="R44" s="15">
        <f t="shared" si="16"/>
        <v>6.58</v>
      </c>
      <c r="S44" s="1">
        <f>LOOKUP(R44,{0,3.75,3.95,4.55,4.75,4.95,5.55,5.6,5.65,5.7,5.75,5.8,5.85,5.9,5.95,6,6.45,6.53,6.6,6.65,6.7},{0,10,20,30,40,50,60,62,64,66,68,70,72,74,76,78,80,85,90,95,100})</f>
        <v>85</v>
      </c>
      <c r="T44" s="21"/>
      <c r="U44" s="21"/>
      <c r="V44" s="21">
        <f t="shared" si="17"/>
        <v>85</v>
      </c>
      <c r="W44" s="15"/>
      <c r="X44" s="21">
        <f t="shared" si="18"/>
        <v>50</v>
      </c>
      <c r="Y44" s="21">
        <f t="shared" si="19"/>
        <v>71.4285714285714</v>
      </c>
    </row>
    <row r="45" ht="15.6" hidden="1" outlineLevel="2" spans="1:25">
      <c r="A45" s="15">
        <v>102</v>
      </c>
      <c r="B45" s="15">
        <v>13</v>
      </c>
      <c r="C45" s="14" t="s">
        <v>78</v>
      </c>
      <c r="D45" s="14" t="s">
        <v>11</v>
      </c>
      <c r="E45" s="15">
        <v>6.6</v>
      </c>
      <c r="F45" s="1">
        <f>LOOKUP(E45,{0,-4,-3,-2,-1,0,1,2.4,3.8,5.2,6.6,8,9.4,10.8,12.2,13.6,15,17.2,19.4,21.5,23.6},{0,10,20,30,40,50,60,62,64,66,68,70,72,74,76,78,80,85,90,95,100})</f>
        <v>68</v>
      </c>
      <c r="G45" s="15">
        <v>206</v>
      </c>
      <c r="H45" s="1">
        <f>LOOKUP(G45,{0,170,175,180,185,190,195,199,203,207,211,215,219,223,227,231,235,243,250,255,260},{0,10,20,30,40,50,60,62,64,66,68,70,72,74,76,78,80,85,90,95,100})</f>
        <v>64</v>
      </c>
      <c r="I45" s="15">
        <v>8</v>
      </c>
      <c r="J45" s="1">
        <f>LOOKUP(I45,{0,2,3,4,5,6,7,8,9,10,11,12,13,14,15,16},{0,10,20,30,40,50,60,64,68,72,76,80,85,90,95,100})</f>
        <v>64</v>
      </c>
      <c r="K45" s="21"/>
      <c r="L45" s="21"/>
      <c r="M45" s="21">
        <f t="shared" si="15"/>
        <v>64</v>
      </c>
      <c r="N45" s="15">
        <v>7.2</v>
      </c>
      <c r="O45" s="19">
        <f t="shared" si="22"/>
        <v>5.8</v>
      </c>
      <c r="P45" s="1">
        <f>LOOKUP(O45,{0,2.5,2.7,2.9,3.1,3.3,3.5,3.7,3.9,4.1,4.3,4.5,4.7,4.9,5.1,5.3,5.5,5.6,5.7,5.8,5.9},{0,10,20,30,40,50,60,62,64,66,68,70,72,74,76,78,80,85,90,95,100})</f>
        <v>95</v>
      </c>
      <c r="Q45" s="15">
        <v>3.53</v>
      </c>
      <c r="R45" s="15">
        <f t="shared" si="16"/>
        <v>6.47</v>
      </c>
      <c r="S45" s="1">
        <f>LOOKUP(R45,{0,3.75,3.95,4.55,4.75,4.95,5.55,5.6,5.65,5.7,5.75,5.8,5.85,5.9,5.95,6,6.45,6.53,6.6,6.65,6.7},{0,10,20,30,40,50,60,62,64,66,68,70,72,74,76,78,80,85,90,95,100})</f>
        <v>80</v>
      </c>
      <c r="T45" s="21"/>
      <c r="U45" s="21"/>
      <c r="V45" s="21">
        <f t="shared" si="17"/>
        <v>80</v>
      </c>
      <c r="W45" s="15"/>
      <c r="X45" s="21">
        <f t="shared" si="18"/>
        <v>54.6</v>
      </c>
      <c r="Y45" s="21">
        <f t="shared" si="19"/>
        <v>78</v>
      </c>
    </row>
    <row r="46" ht="15.6" hidden="1" outlineLevel="2" spans="1:25">
      <c r="A46" s="15">
        <v>102</v>
      </c>
      <c r="B46" s="15">
        <v>14</v>
      </c>
      <c r="C46" s="14" t="s">
        <v>79</v>
      </c>
      <c r="D46" s="14" t="s">
        <v>11</v>
      </c>
      <c r="E46" s="15">
        <v>9.6</v>
      </c>
      <c r="F46" s="1">
        <f>LOOKUP(E46,{0,-4,-3,-2,-1,0,1,2.4,3.8,5.2,6.6,8,9.4,10.8,12.2,13.6,15,17.2,19.4,21.5,23.6},{0,10,20,30,40,50,60,62,64,66,68,70,72,74,76,78,80,85,90,95,100})</f>
        <v>72</v>
      </c>
      <c r="G46" s="15">
        <v>224</v>
      </c>
      <c r="H46" s="1">
        <f>LOOKUP(G46,{0,170,175,180,185,190,195,199,203,207,211,215,219,223,227,231,235,243,250,255,260},{0,10,20,30,40,50,60,62,64,66,68,70,72,74,76,78,80,85,90,95,100})</f>
        <v>74</v>
      </c>
      <c r="I46" s="15">
        <v>20</v>
      </c>
      <c r="J46" s="1">
        <f>LOOKUP(I46,{0,2,3,4,5,6,7,8,9,10,11,12,13,14,15,16},{0,10,20,30,40,50,60,64,68,72,76,80,85,90,95,100})</f>
        <v>100</v>
      </c>
      <c r="K46" s="21">
        <f>I46-16</f>
        <v>4</v>
      </c>
      <c r="L46" s="1">
        <f>LOOKUP(K46,{0,1,2,3,4,5,6,7,8,9,10},{0,1,2,3,4,5,6,7,8,9,10})</f>
        <v>4</v>
      </c>
      <c r="M46" s="21">
        <f t="shared" si="15"/>
        <v>104</v>
      </c>
      <c r="N46" s="15">
        <v>7.4</v>
      </c>
      <c r="O46" s="19">
        <f t="shared" si="22"/>
        <v>5.6</v>
      </c>
      <c r="P46" s="1">
        <f>LOOKUP(O46,{0,2.5,2.7,2.9,3.1,3.3,3.5,3.7,3.9,4.1,4.3,4.5,4.7,4.9,5.1,5.3,5.5,5.6,5.7,5.8,5.9},{0,10,20,30,40,50,60,62,64,66,68,70,72,74,76,78,80,85,90,95,100})</f>
        <v>85</v>
      </c>
      <c r="Q46" s="15">
        <v>3.31</v>
      </c>
      <c r="R46" s="15">
        <f t="shared" si="16"/>
        <v>6.69</v>
      </c>
      <c r="S46" s="1">
        <f>LOOKUP(R46,{0,3.75,3.95,4.55,4.75,4.95,5.55,5.6,5.65,5.7,5.75,5.8,5.85,5.9,5.95,6,6.45,6.53,6.6,6.65,6.7},{0,10,20,30,40,50,60,62,64,66,68,70,72,74,76,78,80,85,90,95,100})</f>
        <v>95</v>
      </c>
      <c r="T46" s="21"/>
      <c r="U46" s="21"/>
      <c r="V46" s="21">
        <f t="shared" si="17"/>
        <v>95</v>
      </c>
      <c r="W46" s="15"/>
      <c r="X46" s="21">
        <f t="shared" si="18"/>
        <v>60.6</v>
      </c>
      <c r="Y46" s="21">
        <f t="shared" si="19"/>
        <v>90.5714285714286</v>
      </c>
    </row>
    <row r="47" ht="15.6" hidden="1" outlineLevel="2" spans="1:25">
      <c r="A47" s="15">
        <v>102</v>
      </c>
      <c r="B47" s="15">
        <v>15</v>
      </c>
      <c r="C47" s="14" t="s">
        <v>80</v>
      </c>
      <c r="D47" s="14" t="s">
        <v>11</v>
      </c>
      <c r="E47" s="15">
        <v>17.2</v>
      </c>
      <c r="F47" s="1">
        <f>LOOKUP(E47,{0,-4,-3,-2,-1,0,1,2.4,3.8,5.2,6.6,8,9.4,10.8,12.2,13.6,15,17.2,19.4,21.5,23.6},{0,10,20,30,40,50,60,62,64,66,68,70,72,74,76,78,80,85,90,95,100})</f>
        <v>85</v>
      </c>
      <c r="G47" s="15">
        <v>223</v>
      </c>
      <c r="H47" s="1">
        <f>LOOKUP(G47,{0,170,175,180,185,190,195,199,203,207,211,215,219,223,227,231,235,243,250,255,260},{0,10,20,30,40,50,60,62,64,66,68,70,72,74,76,78,80,85,90,95,100})</f>
        <v>74</v>
      </c>
      <c r="I47" s="15">
        <v>11</v>
      </c>
      <c r="J47" s="1">
        <f>LOOKUP(I47,{0,2,3,4,5,6,7,8,9,10,11,12,13,14,15,16},{0,10,20,30,40,50,60,64,68,72,76,80,85,90,95,100})</f>
        <v>76</v>
      </c>
      <c r="K47" s="21"/>
      <c r="L47" s="21"/>
      <c r="M47" s="21">
        <f t="shared" si="15"/>
        <v>76</v>
      </c>
      <c r="N47" s="15">
        <v>7.4</v>
      </c>
      <c r="O47" s="19">
        <f t="shared" si="22"/>
        <v>5.6</v>
      </c>
      <c r="P47" s="1">
        <f>LOOKUP(O47,{0,2.5,2.7,2.9,3.1,3.3,3.5,3.7,3.9,4.1,4.3,4.5,4.7,4.9,5.1,5.3,5.5,5.6,5.7,5.8,5.9},{0,10,20,30,40,50,60,62,64,66,68,70,72,74,76,78,80,85,90,95,100})</f>
        <v>85</v>
      </c>
      <c r="Q47" s="15">
        <v>4.03</v>
      </c>
      <c r="R47" s="15">
        <f t="shared" si="16"/>
        <v>5.97</v>
      </c>
      <c r="S47" s="1">
        <f>LOOKUP(R47,{0,3.75,3.95,4.55,4.75,4.95,5.55,5.6,5.65,5.7,5.75,5.8,5.85,5.9,5.95,6,6.45,6.53,6.6,6.65,6.7},{0,10,20,30,40,50,60,62,64,66,68,70,72,74,76,78,80,85,90,95,100})</f>
        <v>76</v>
      </c>
      <c r="T47" s="21"/>
      <c r="U47" s="21"/>
      <c r="V47" s="21">
        <f t="shared" si="17"/>
        <v>76</v>
      </c>
      <c r="W47" s="15"/>
      <c r="X47" s="21">
        <f t="shared" si="18"/>
        <v>55.7</v>
      </c>
      <c r="Y47" s="21">
        <f t="shared" si="19"/>
        <v>79.5714285714286</v>
      </c>
    </row>
    <row r="48" ht="15.6" hidden="1" outlineLevel="2" spans="1:25">
      <c r="A48" s="15">
        <v>102</v>
      </c>
      <c r="B48" s="15">
        <v>16</v>
      </c>
      <c r="C48" s="14" t="s">
        <v>81</v>
      </c>
      <c r="D48" s="14" t="s">
        <v>11</v>
      </c>
      <c r="E48" s="15">
        <v>-4.3</v>
      </c>
      <c r="F48" s="1">
        <v>0</v>
      </c>
      <c r="G48" s="15">
        <v>188</v>
      </c>
      <c r="H48" s="1">
        <f>LOOKUP(G48,{0,170,175,180,185,190,195,199,203,207,211,215,219,223,227,231,235,243,250,255,260},{0,10,20,30,40,50,60,62,64,66,68,70,72,74,76,78,80,85,90,95,100})</f>
        <v>40</v>
      </c>
      <c r="I48" s="15">
        <v>1</v>
      </c>
      <c r="J48" s="1">
        <f>LOOKUP(I48,{0,2,3,4,5,6,7,8,9,10,11,12,13,14,15,16},{0,10,20,30,40,50,60,64,68,72,76,80,85,90,95,100})</f>
        <v>0</v>
      </c>
      <c r="K48" s="21"/>
      <c r="L48" s="21"/>
      <c r="M48" s="21">
        <f t="shared" si="15"/>
        <v>0</v>
      </c>
      <c r="N48" s="15">
        <v>7.6</v>
      </c>
      <c r="O48" s="19">
        <f t="shared" si="22"/>
        <v>5.4</v>
      </c>
      <c r="P48" s="1">
        <f>LOOKUP(O48,{0,2.5,2.7,2.9,3.1,3.3,3.5,3.7,3.9,4.1,4.3,4.5,4.7,4.9,5.1,5.3,5.5,5.6,5.7,5.8,5.9},{0,10,20,30,40,50,60,62,64,66,68,70,72,74,76,78,80,85,90,95,100})</f>
        <v>78</v>
      </c>
      <c r="Q48" s="15">
        <v>3.48</v>
      </c>
      <c r="R48" s="15">
        <f t="shared" si="16"/>
        <v>6.52</v>
      </c>
      <c r="S48" s="1">
        <f>LOOKUP(R48,{0,3.75,3.95,4.55,4.75,4.95,5.55,5.6,5.65,5.7,5.75,5.8,5.85,5.9,5.95,6,6.45,6.53,6.6,6.65,6.7},{0,10,20,30,40,50,60,62,64,66,68,70,72,74,76,78,80,85,90,95,100})</f>
        <v>80</v>
      </c>
      <c r="T48" s="21"/>
      <c r="U48" s="21"/>
      <c r="V48" s="21">
        <f t="shared" si="17"/>
        <v>80</v>
      </c>
      <c r="W48" s="15"/>
      <c r="X48" s="21">
        <f t="shared" si="18"/>
        <v>35.6</v>
      </c>
      <c r="Y48" s="21">
        <f t="shared" si="19"/>
        <v>50.8571428571429</v>
      </c>
    </row>
    <row r="49" ht="15.6" hidden="1" outlineLevel="2" spans="1:25">
      <c r="A49" s="15">
        <v>102</v>
      </c>
      <c r="B49" s="15">
        <v>17</v>
      </c>
      <c r="C49" s="14" t="s">
        <v>82</v>
      </c>
      <c r="D49" s="14" t="s">
        <v>11</v>
      </c>
      <c r="E49" s="15">
        <v>9.8</v>
      </c>
      <c r="F49" s="1">
        <f>LOOKUP(E49,{0,-4,-3,-2,-1,0,1,2.4,3.8,5.2,6.6,8,9.4,10.8,12.2,13.6,15,17.2,19.4,21.5,23.6},{0,10,20,30,40,50,60,62,64,66,68,70,72,74,76,78,80,85,90,95,100})</f>
        <v>72</v>
      </c>
      <c r="G49" s="15">
        <v>170</v>
      </c>
      <c r="H49" s="1">
        <f>LOOKUP(G49,{0,170,175,180,185,190,195,199,203,207,211,215,219,223,227,231,235,243,250,255,260},{0,10,20,30,40,50,60,62,64,66,68,70,72,74,76,78,80,85,90,95,100})</f>
        <v>10</v>
      </c>
      <c r="I49" s="15">
        <v>1</v>
      </c>
      <c r="J49" s="1">
        <f>LOOKUP(I49,{0,2,3,4,5,6,7,8,9,10,11,12,13,14,15,16},{0,10,20,30,40,50,60,64,68,72,76,80,85,90,95,100})</f>
        <v>0</v>
      </c>
      <c r="K49" s="21"/>
      <c r="L49" s="21"/>
      <c r="M49" s="21">
        <f t="shared" si="15"/>
        <v>0</v>
      </c>
      <c r="N49" s="15">
        <v>7.6</v>
      </c>
      <c r="O49" s="19">
        <f t="shared" si="22"/>
        <v>5.4</v>
      </c>
      <c r="P49" s="1">
        <f>LOOKUP(O49,{0,2.5,2.7,2.9,3.1,3.3,3.5,3.7,3.9,4.1,4.3,4.5,4.7,4.9,5.1,5.3,5.5,5.6,5.7,5.8,5.9},{0,10,20,30,40,50,60,62,64,66,68,70,72,74,76,78,80,85,90,95,100})</f>
        <v>78</v>
      </c>
      <c r="Q49" s="15">
        <v>3.35</v>
      </c>
      <c r="R49" s="15">
        <f t="shared" si="16"/>
        <v>6.65</v>
      </c>
      <c r="S49" s="1">
        <f>LOOKUP(R49,{0,3.75,3.95,4.55,4.75,4.95,5.55,5.6,5.65,5.7,5.75,5.8,5.85,5.9,5.95,6,6.45,6.53,6.6,6.65,6.7},{0,10,20,30,40,50,60,62,64,66,68,70,72,74,76,78,80,85,90,95,100})</f>
        <v>95</v>
      </c>
      <c r="T49" s="21"/>
      <c r="U49" s="21"/>
      <c r="V49" s="21">
        <f t="shared" si="17"/>
        <v>95</v>
      </c>
      <c r="W49" s="15"/>
      <c r="X49" s="21">
        <f t="shared" si="18"/>
        <v>42.8</v>
      </c>
      <c r="Y49" s="21">
        <f t="shared" si="19"/>
        <v>61.1428571428571</v>
      </c>
    </row>
    <row r="50" ht="15.6" hidden="1" outlineLevel="2" spans="1:25">
      <c r="A50" s="15">
        <v>102</v>
      </c>
      <c r="B50" s="15">
        <v>18</v>
      </c>
      <c r="C50" s="14" t="s">
        <v>83</v>
      </c>
      <c r="D50" s="14" t="s">
        <v>11</v>
      </c>
      <c r="E50" s="15"/>
      <c r="F50" s="1"/>
      <c r="G50" s="15"/>
      <c r="H50" s="1"/>
      <c r="I50" s="15"/>
      <c r="J50" s="1"/>
      <c r="K50" s="21"/>
      <c r="L50" s="21"/>
      <c r="M50" s="21"/>
      <c r="N50" s="15"/>
      <c r="O50" s="19"/>
      <c r="P50" s="1"/>
      <c r="Q50" s="15"/>
      <c r="R50" s="15"/>
      <c r="S50" s="1"/>
      <c r="T50" s="21"/>
      <c r="U50" s="1"/>
      <c r="V50" s="21"/>
      <c r="W50" s="15" t="s">
        <v>84</v>
      </c>
      <c r="X50" s="21">
        <f t="shared" si="18"/>
        <v>0</v>
      </c>
      <c r="Y50" s="21">
        <v>50</v>
      </c>
    </row>
    <row r="51" ht="15.6" hidden="1" outlineLevel="2" spans="1:25">
      <c r="A51" s="15">
        <v>102</v>
      </c>
      <c r="B51" s="15">
        <v>19</v>
      </c>
      <c r="C51" s="14" t="s">
        <v>85</v>
      </c>
      <c r="D51" s="14" t="s">
        <v>11</v>
      </c>
      <c r="E51" s="15">
        <v>17</v>
      </c>
      <c r="F51" s="1">
        <f>LOOKUP(E51,{0,-4,-3,-2,-1,0,1,2.4,3.8,5.2,6.6,8,9.4,10.8,12.2,13.6,15,17.2,19.4,21.5,23.6},{0,10,20,30,40,50,60,62,64,66,68,70,72,74,76,78,80,85,90,95,100})</f>
        <v>80</v>
      </c>
      <c r="G51" s="15">
        <v>258</v>
      </c>
      <c r="H51" s="1">
        <f>LOOKUP(G51,{0,170,175,180,185,190,195,199,203,207,211,215,219,223,227,231,235,243,250,255,260},{0,10,20,30,40,50,60,62,64,66,68,70,72,74,76,78,80,85,90,95,100})</f>
        <v>95</v>
      </c>
      <c r="I51" s="15">
        <v>7</v>
      </c>
      <c r="J51" s="1">
        <f>LOOKUP(I51,{0,2,3,4,5,6,7,8,9,10,11,12,13,14,15,16},{0,10,20,30,40,50,60,64,68,72,76,80,85,90,95,100})</f>
        <v>60</v>
      </c>
      <c r="K51" s="21"/>
      <c r="L51" s="21"/>
      <c r="M51" s="21">
        <f t="shared" ref="M51:M63" si="23">J51+L51</f>
        <v>60</v>
      </c>
      <c r="N51" s="15">
        <v>7</v>
      </c>
      <c r="O51" s="19">
        <f t="shared" ref="O51:O61" si="24">13-N51</f>
        <v>6</v>
      </c>
      <c r="P51" s="1">
        <f>LOOKUP(O51,{0,2.5,2.7,2.9,3.1,3.3,3.5,3.7,3.9,4.1,4.3,4.5,4.7,4.9,5.1,5.3,5.5,5.6,5.7,5.8,5.9},{0,10,20,30,40,50,60,62,64,66,68,70,72,74,76,78,80,85,90,95,100})</f>
        <v>100</v>
      </c>
      <c r="Q51" s="15">
        <v>3.35</v>
      </c>
      <c r="R51" s="15">
        <f t="shared" ref="R51:R63" si="25">10-Q51</f>
        <v>6.65</v>
      </c>
      <c r="S51" s="1">
        <f>LOOKUP(R51,{0,3.75,3.95,4.55,4.75,4.95,5.55,5.6,5.65,5.7,5.75,5.8,5.85,5.9,5.95,6,6.45,6.53,6.6,6.65,6.7},{0,10,20,30,40,50,60,62,64,66,68,70,72,74,76,78,80,85,90,95,100})</f>
        <v>95</v>
      </c>
      <c r="T51" s="21"/>
      <c r="U51" s="21"/>
      <c r="V51" s="21">
        <f t="shared" ref="V51:V63" si="26">S51+U51</f>
        <v>95</v>
      </c>
      <c r="W51" s="15"/>
      <c r="X51" s="21">
        <f t="shared" si="18"/>
        <v>62.5</v>
      </c>
      <c r="Y51" s="21">
        <f t="shared" ref="Y51:Y63" si="27">X51/0.7+L51+U51</f>
        <v>89.2857142857143</v>
      </c>
    </row>
    <row r="52" ht="15.6" hidden="1" outlineLevel="2" spans="1:25">
      <c r="A52" s="15">
        <v>102</v>
      </c>
      <c r="B52" s="15">
        <v>20</v>
      </c>
      <c r="C52" s="14" t="s">
        <v>86</v>
      </c>
      <c r="D52" s="14" t="s">
        <v>11</v>
      </c>
      <c r="E52" s="15">
        <v>15.6</v>
      </c>
      <c r="F52" s="1">
        <f>LOOKUP(E52,{0,-4,-3,-2,-1,0,1,2.4,3.8,5.2,6.6,8,9.4,10.8,12.2,13.6,15,17.2,19.4,21.5,23.6},{0,10,20,30,40,50,60,62,64,66,68,70,72,74,76,78,80,85,90,95,100})</f>
        <v>80</v>
      </c>
      <c r="G52" s="15">
        <v>232</v>
      </c>
      <c r="H52" s="1">
        <f>LOOKUP(G52,{0,170,175,180,185,190,195,199,203,207,211,215,219,223,227,231,235,243,250,255,260},{0,10,20,30,40,50,60,62,64,66,68,70,72,74,76,78,80,85,90,95,100})</f>
        <v>78</v>
      </c>
      <c r="I52" s="15">
        <v>7</v>
      </c>
      <c r="J52" s="1">
        <f>LOOKUP(I52,{0,2,3,4,5,6,7,8,9,10,11,12,13,14,15,16},{0,10,20,30,40,50,60,64,68,72,76,80,85,90,95,100})</f>
        <v>60</v>
      </c>
      <c r="K52" s="21"/>
      <c r="L52" s="21"/>
      <c r="M52" s="21">
        <f t="shared" si="23"/>
        <v>60</v>
      </c>
      <c r="N52" s="15">
        <v>7</v>
      </c>
      <c r="O52" s="19">
        <f t="shared" si="24"/>
        <v>6</v>
      </c>
      <c r="P52" s="1">
        <f>LOOKUP(O52,{0,2.5,2.7,2.9,3.1,3.3,3.5,3.7,3.9,4.1,4.3,4.5,4.7,4.9,5.1,5.3,5.5,5.6,5.7,5.8,5.9},{0,10,20,30,40,50,60,62,64,66,68,70,72,74,76,78,80,85,90,95,100})</f>
        <v>100</v>
      </c>
      <c r="Q52" s="15">
        <v>3.46</v>
      </c>
      <c r="R52" s="15">
        <f t="shared" si="25"/>
        <v>6.54</v>
      </c>
      <c r="S52" s="1">
        <f>LOOKUP(R52,{0,3.75,3.95,4.55,4.75,4.95,5.55,5.6,5.65,5.7,5.75,5.8,5.85,5.9,5.95,6,6.45,6.53,6.6,6.65,6.7},{0,10,20,30,40,50,60,62,64,66,68,70,72,74,76,78,80,85,90,95,100})</f>
        <v>85</v>
      </c>
      <c r="T52" s="21"/>
      <c r="U52" s="21"/>
      <c r="V52" s="21">
        <f t="shared" si="26"/>
        <v>85</v>
      </c>
      <c r="W52" s="15"/>
      <c r="X52" s="21">
        <f t="shared" si="18"/>
        <v>58.8</v>
      </c>
      <c r="Y52" s="21">
        <f t="shared" si="27"/>
        <v>84</v>
      </c>
    </row>
    <row r="53" ht="15.6" hidden="1" outlineLevel="2" spans="1:25">
      <c r="A53" s="15">
        <v>102</v>
      </c>
      <c r="B53" s="15">
        <v>21</v>
      </c>
      <c r="C53" s="13" t="s">
        <v>88</v>
      </c>
      <c r="D53" s="14" t="s">
        <v>11</v>
      </c>
      <c r="E53" s="15">
        <v>24</v>
      </c>
      <c r="F53" s="1">
        <f>LOOKUP(E53,{0,-4,-3,-2,-1,0,1,2.4,3.8,5.2,6.6,8,9.4,10.8,12.2,13.6,15,17.2,19.4,21.5,23.6},{0,10,20,30,40,50,60,62,64,66,68,70,72,74,76,78,80,85,90,95,100})</f>
        <v>100</v>
      </c>
      <c r="G53" s="15">
        <v>207</v>
      </c>
      <c r="H53" s="1">
        <f>LOOKUP(G53,{0,170,175,180,185,190,195,199,203,207,211,215,219,223,227,231,235,243,250,255,260},{0,10,20,30,40,50,60,62,64,66,68,70,72,74,76,78,80,85,90,95,100})</f>
        <v>66</v>
      </c>
      <c r="I53" s="15">
        <v>4</v>
      </c>
      <c r="J53" s="1">
        <f>LOOKUP(I53,{0,2,3,4,5,6,7,8,9,10,11,12,13,14,15,16},{0,10,20,30,40,50,60,64,68,72,76,80,85,90,95,100})</f>
        <v>30</v>
      </c>
      <c r="K53" s="21"/>
      <c r="L53" s="21"/>
      <c r="M53" s="21">
        <f t="shared" si="23"/>
        <v>30</v>
      </c>
      <c r="N53" s="15">
        <v>8.5</v>
      </c>
      <c r="O53" s="19">
        <f t="shared" si="24"/>
        <v>4.5</v>
      </c>
      <c r="P53" s="1">
        <f>LOOKUP(O53,{0,2.5,2.7,2.9,3.1,3.3,3.5,3.7,3.9,4.1,4.3,4.5,4.7,4.9,5.1,5.3,5.5,5.6,5.7,5.8,5.9},{0,10,20,30,40,50,60,62,64,66,68,70,72,74,76,78,80,85,90,95,100})</f>
        <v>70</v>
      </c>
      <c r="Q53" s="15">
        <v>4.18</v>
      </c>
      <c r="R53" s="15">
        <f t="shared" si="25"/>
        <v>5.82</v>
      </c>
      <c r="S53" s="1">
        <f>LOOKUP(R53,{0,3.75,3.95,4.55,4.75,4.95,5.55,5.6,5.65,5.7,5.75,5.8,5.85,5.9,5.95,6,6.45,6.53,6.6,6.65,6.7},{0,10,20,30,40,50,60,62,64,66,68,70,72,74,76,78,80,85,90,95,100})</f>
        <v>70</v>
      </c>
      <c r="T53" s="21"/>
      <c r="U53" s="21"/>
      <c r="V53" s="21">
        <f t="shared" si="26"/>
        <v>70</v>
      </c>
      <c r="W53" s="15"/>
      <c r="X53" s="21">
        <f t="shared" si="18"/>
        <v>47.6</v>
      </c>
      <c r="Y53" s="21">
        <f t="shared" si="27"/>
        <v>68</v>
      </c>
    </row>
    <row r="54" ht="15.6" hidden="1" outlineLevel="2" spans="1:25">
      <c r="A54" s="15">
        <v>102</v>
      </c>
      <c r="B54" s="15">
        <v>22</v>
      </c>
      <c r="C54" s="14" t="s">
        <v>89</v>
      </c>
      <c r="D54" s="14" t="s">
        <v>11</v>
      </c>
      <c r="E54" s="15">
        <v>24</v>
      </c>
      <c r="F54" s="1">
        <f>LOOKUP(E54,{0,-4,-3,-2,-1,0,1,2.4,3.8,5.2,6.6,8,9.4,10.8,12.2,13.6,15,17.2,19.4,21.5,23.6},{0,10,20,30,40,50,60,62,64,66,68,70,72,74,76,78,80,85,90,95,100})</f>
        <v>100</v>
      </c>
      <c r="G54" s="15">
        <v>211</v>
      </c>
      <c r="H54" s="1">
        <f>LOOKUP(G54,{0,170,175,180,185,190,195,199,203,207,211,215,219,223,227,231,235,243,250,255,260},{0,10,20,30,40,50,60,62,64,66,68,70,72,74,76,78,80,85,90,95,100})</f>
        <v>68</v>
      </c>
      <c r="I54" s="15">
        <v>15</v>
      </c>
      <c r="J54" s="1">
        <f>LOOKUP(I54,{0,2,3,4,5,6,7,8,9,10,11,12,13,14,15,16},{0,10,20,30,40,50,60,64,68,72,76,80,85,90,95,100})</f>
        <v>95</v>
      </c>
      <c r="K54" s="21"/>
      <c r="L54" s="21"/>
      <c r="M54" s="21">
        <f t="shared" si="23"/>
        <v>95</v>
      </c>
      <c r="N54" s="15">
        <v>7.3</v>
      </c>
      <c r="O54" s="19">
        <f t="shared" si="24"/>
        <v>5.7</v>
      </c>
      <c r="P54" s="1">
        <f>LOOKUP(O54,{0,2.5,2.7,2.9,3.1,3.3,3.5,3.7,3.9,4.1,4.3,4.5,4.7,4.9,5.1,5.3,5.5,5.6,5.7,5.8,5.9},{0,10,20,30,40,50,60,62,64,66,68,70,72,74,76,78,80,85,90,95,100})</f>
        <v>90</v>
      </c>
      <c r="Q54" s="15">
        <v>3.3</v>
      </c>
      <c r="R54" s="15">
        <f t="shared" si="25"/>
        <v>6.7</v>
      </c>
      <c r="S54" s="1">
        <f>LOOKUP(R54,{0,3.75,3.95,4.55,4.75,4.95,5.55,5.6,5.65,5.7,5.75,5.8,5.85,5.9,5.95,6,6.45,6.53,6.6,6.65,6.7},{0,10,20,30,40,50,60,62,64,66,68,70,72,74,76,78,80,85,90,95,100})</f>
        <v>100</v>
      </c>
      <c r="T54" s="21">
        <f t="shared" ref="T54:T57" si="28">3.3-Q54</f>
        <v>0</v>
      </c>
      <c r="U54" s="1">
        <f>LOOKUP(T54,{0,0.04,0.08,0.12,0.16,0.2,0.23,0.26,0.29,0.32,0.35},{0,1,2,3,4,5,6,7,8,9,10})</f>
        <v>0</v>
      </c>
      <c r="V54" s="21">
        <f t="shared" si="26"/>
        <v>100</v>
      </c>
      <c r="W54" s="15"/>
      <c r="X54" s="21">
        <f t="shared" si="18"/>
        <v>64.3</v>
      </c>
      <c r="Y54" s="21">
        <f t="shared" si="27"/>
        <v>91.8571428571429</v>
      </c>
    </row>
    <row r="55" ht="15.6" hidden="1" outlineLevel="2" spans="1:25">
      <c r="A55" s="15">
        <v>102</v>
      </c>
      <c r="B55" s="15">
        <v>23</v>
      </c>
      <c r="C55" s="14" t="s">
        <v>90</v>
      </c>
      <c r="D55" s="14" t="s">
        <v>11</v>
      </c>
      <c r="E55" s="15">
        <v>14</v>
      </c>
      <c r="F55" s="1">
        <f>LOOKUP(E55,{0,-4,-3,-2,-1,0,1,2.4,3.8,5.2,6.6,8,9.4,10.8,12.2,13.6,15,17.2,19.4,21.5,23.6},{0,10,20,30,40,50,60,62,64,66,68,70,72,74,76,78,80,85,90,95,100})</f>
        <v>78</v>
      </c>
      <c r="G55" s="15">
        <v>267</v>
      </c>
      <c r="H55" s="1">
        <f>LOOKUP(G55,{0,170,175,180,185,190,195,199,203,207,211,215,219,223,227,231,235,243,250,255,260},{0,10,20,30,40,50,60,62,64,66,68,70,72,74,76,78,80,85,90,95,100})</f>
        <v>100</v>
      </c>
      <c r="I55" s="15">
        <v>26</v>
      </c>
      <c r="J55" s="1">
        <f>LOOKUP(I55,{0,2,3,4,5,6,7,8,9,10,11,12,13,14,15,16},{0,10,20,30,40,50,60,64,68,72,76,80,85,90,95,100})</f>
        <v>100</v>
      </c>
      <c r="K55" s="21">
        <f t="shared" ref="K55:K59" si="29">I55-16</f>
        <v>10</v>
      </c>
      <c r="L55" s="1">
        <f>LOOKUP(K55,{0,1,2,3,4,5,6,7,8,9,10},{0,1,2,3,4,5,6,7,8,9,10})</f>
        <v>10</v>
      </c>
      <c r="M55" s="21">
        <f t="shared" si="23"/>
        <v>110</v>
      </c>
      <c r="N55" s="15">
        <v>7</v>
      </c>
      <c r="O55" s="19">
        <f t="shared" si="24"/>
        <v>6</v>
      </c>
      <c r="P55" s="1">
        <f>LOOKUP(O55,{0,2.5,2.7,2.9,3.1,3.3,3.5,3.7,3.9,4.1,4.3,4.5,4.7,4.9,5.1,5.3,5.5,5.6,5.7,5.8,5.9},{0,10,20,30,40,50,60,62,64,66,68,70,72,74,76,78,80,85,90,95,100})</f>
        <v>100</v>
      </c>
      <c r="Q55" s="15">
        <v>3.28</v>
      </c>
      <c r="R55" s="15">
        <f t="shared" si="25"/>
        <v>6.72</v>
      </c>
      <c r="S55" s="1">
        <f>LOOKUP(R55,{0,3.75,3.95,4.55,4.75,4.95,5.55,5.6,5.65,5.7,5.75,5.8,5.85,5.9,5.95,6,6.45,6.53,6.6,6.65,6.7},{0,10,20,30,40,50,60,62,64,66,68,70,72,74,76,78,80,85,90,95,100})</f>
        <v>100</v>
      </c>
      <c r="T55" s="21">
        <f t="shared" si="28"/>
        <v>0.02</v>
      </c>
      <c r="U55" s="1">
        <f>LOOKUP(T55,{0,0.04,0.08,0.12,0.16,0.2,0.23,0.26,0.29,0.32,0.35},{0,1,2,3,4,5,6,7,8,9,10})</f>
        <v>0</v>
      </c>
      <c r="V55" s="21">
        <f t="shared" si="26"/>
        <v>100</v>
      </c>
      <c r="W55" s="15"/>
      <c r="X55" s="21">
        <f t="shared" si="18"/>
        <v>67.8</v>
      </c>
      <c r="Y55" s="21">
        <f t="shared" si="27"/>
        <v>106.857142857143</v>
      </c>
    </row>
    <row r="56" s="3" customFormat="1" ht="15.6" hidden="1" outlineLevel="2" spans="1:25">
      <c r="A56" s="15">
        <v>102</v>
      </c>
      <c r="B56" s="15">
        <v>24</v>
      </c>
      <c r="C56" s="14" t="s">
        <v>91</v>
      </c>
      <c r="D56" s="14" t="s">
        <v>11</v>
      </c>
      <c r="E56" s="15">
        <v>18</v>
      </c>
      <c r="F56" s="1">
        <f>LOOKUP(E56,{0,-4,-3,-2,-1,0,1,2.4,3.8,5.2,6.6,8,9.4,10.8,12.2,13.6,15,17.2,19.4,21.5,23.6},{0,10,20,30,40,50,60,62,64,66,68,70,72,74,76,78,80,85,90,95,100})</f>
        <v>85</v>
      </c>
      <c r="G56" s="15">
        <v>221</v>
      </c>
      <c r="H56" s="1">
        <f>LOOKUP(G56,{0,170,175,180,185,190,195,199,203,207,211,215,219,223,227,231,235,243,250,255,260},{0,10,20,30,40,50,60,62,64,66,68,70,72,74,76,78,80,85,90,95,100})</f>
        <v>72</v>
      </c>
      <c r="I56" s="15">
        <v>6</v>
      </c>
      <c r="J56" s="1">
        <f>LOOKUP(I56,{0,2,3,4,5,6,7,8,9,10,11,12,13,14,15,16},{0,10,20,30,40,50,60,64,68,72,76,80,85,90,95,100})</f>
        <v>50</v>
      </c>
      <c r="K56" s="21"/>
      <c r="L56" s="21"/>
      <c r="M56" s="21">
        <f t="shared" si="23"/>
        <v>50</v>
      </c>
      <c r="N56" s="15">
        <v>7.5</v>
      </c>
      <c r="O56" s="19">
        <f t="shared" si="24"/>
        <v>5.5</v>
      </c>
      <c r="P56" s="1">
        <f>LOOKUP(O56,{0,2.5,2.7,2.9,3.1,3.3,3.5,3.7,3.9,4.1,4.3,4.5,4.7,4.9,5.1,5.3,5.5,5.6,5.7,5.8,5.9},{0,10,20,30,40,50,60,62,64,66,68,70,72,74,76,78,80,85,90,95,100})</f>
        <v>80</v>
      </c>
      <c r="Q56" s="15">
        <v>3.32</v>
      </c>
      <c r="R56" s="15">
        <f t="shared" si="25"/>
        <v>6.68</v>
      </c>
      <c r="S56" s="1">
        <f>LOOKUP(R56,{0,3.75,3.95,4.55,4.75,4.95,5.55,5.6,5.65,5.7,5.75,5.8,5.85,5.9,5.95,6,6.45,6.53,6.6,6.65,6.7},{0,10,20,30,40,50,60,62,64,66,68,70,72,74,76,78,80,85,90,95,100})</f>
        <v>95</v>
      </c>
      <c r="T56" s="21"/>
      <c r="U56" s="21"/>
      <c r="V56" s="21">
        <f t="shared" si="26"/>
        <v>95</v>
      </c>
      <c r="W56" s="15"/>
      <c r="X56" s="21">
        <f t="shared" si="18"/>
        <v>55.7</v>
      </c>
      <c r="Y56" s="21">
        <f t="shared" si="27"/>
        <v>79.5714285714286</v>
      </c>
    </row>
    <row r="57" ht="15.6" hidden="1" outlineLevel="2" spans="1:25">
      <c r="A57" s="15">
        <v>102</v>
      </c>
      <c r="B57" s="15">
        <v>25</v>
      </c>
      <c r="C57" s="14" t="s">
        <v>92</v>
      </c>
      <c r="D57" s="14" t="s">
        <v>11</v>
      </c>
      <c r="E57" s="15">
        <v>16</v>
      </c>
      <c r="F57" s="1">
        <f>LOOKUP(E57,{0,-4,-3,-2,-1,0,1,2.4,3.8,5.2,6.6,8,9.4,10.8,12.2,13.6,15,17.2,19.4,21.5,23.6},{0,10,20,30,40,50,60,62,64,66,68,70,72,74,76,78,80,85,90,95,100})</f>
        <v>80</v>
      </c>
      <c r="G57" s="15">
        <v>245</v>
      </c>
      <c r="H57" s="1">
        <f>LOOKUP(G57,{0,170,175,180,185,190,195,199,203,207,211,215,219,223,227,231,235,243,250,255,260},{0,10,20,30,40,50,60,62,64,66,68,70,72,74,76,78,80,85,90,95,100})</f>
        <v>85</v>
      </c>
      <c r="I57" s="15">
        <v>17</v>
      </c>
      <c r="J57" s="1">
        <f>LOOKUP(I57,{0,2,3,4,5,6,7,8,9,10,11,12,13,14,15,16},{0,10,20,30,40,50,60,64,68,72,76,80,85,90,95,100})</f>
        <v>100</v>
      </c>
      <c r="K57" s="21">
        <f t="shared" si="29"/>
        <v>1</v>
      </c>
      <c r="L57" s="1">
        <f>LOOKUP(K57,{0,1,2,3,4,5,6,7,8,9,10},{0,1,2,3,4,5,6,7,8,9,10})</f>
        <v>1</v>
      </c>
      <c r="M57" s="21">
        <f t="shared" si="23"/>
        <v>101</v>
      </c>
      <c r="N57" s="15">
        <v>7.2</v>
      </c>
      <c r="O57" s="19">
        <f t="shared" si="24"/>
        <v>5.8</v>
      </c>
      <c r="P57" s="1">
        <f>LOOKUP(O57,{0,2.5,2.7,2.9,3.1,3.3,3.5,3.7,3.9,4.1,4.3,4.5,4.7,4.9,5.1,5.3,5.5,5.6,5.7,5.8,5.9},{0,10,20,30,40,50,60,62,64,66,68,70,72,74,76,78,80,85,90,95,100})</f>
        <v>95</v>
      </c>
      <c r="Q57" s="15">
        <v>3.28</v>
      </c>
      <c r="R57" s="15">
        <f t="shared" si="25"/>
        <v>6.72</v>
      </c>
      <c r="S57" s="1">
        <f>LOOKUP(R57,{0,3.75,3.95,4.55,4.75,4.95,5.55,5.6,5.65,5.7,5.75,5.8,5.85,5.9,5.95,6,6.45,6.53,6.6,6.65,6.7},{0,10,20,30,40,50,60,62,64,66,68,70,72,74,76,78,80,85,90,95,100})</f>
        <v>100</v>
      </c>
      <c r="T57" s="21">
        <f t="shared" si="28"/>
        <v>0.02</v>
      </c>
      <c r="U57" s="1">
        <f>LOOKUP(T57,{0,0.04,0.08,0.12,0.16,0.2,0.23,0.26,0.29,0.32,0.35},{0,1,2,3,4,5,6,7,8,9,10})</f>
        <v>0</v>
      </c>
      <c r="V57" s="21">
        <f t="shared" si="26"/>
        <v>100</v>
      </c>
      <c r="W57" s="15"/>
      <c r="X57" s="21">
        <f t="shared" si="18"/>
        <v>65.5</v>
      </c>
      <c r="Y57" s="21">
        <f t="shared" si="27"/>
        <v>94.5714285714286</v>
      </c>
    </row>
    <row r="58" ht="15.6" hidden="1" outlineLevel="2" spans="1:25">
      <c r="A58" s="15">
        <v>102</v>
      </c>
      <c r="B58" s="15">
        <v>26</v>
      </c>
      <c r="C58" s="14" t="s">
        <v>93</v>
      </c>
      <c r="D58" s="14" t="s">
        <v>11</v>
      </c>
      <c r="E58" s="15">
        <v>9.5</v>
      </c>
      <c r="F58" s="1">
        <f>LOOKUP(E58,{0,-4,-3,-2,-1,0,1,2.4,3.8,5.2,6.6,8,9.4,10.8,12.2,13.6,15,17.2,19.4,21.5,23.6},{0,10,20,30,40,50,60,62,64,66,68,70,72,74,76,78,80,85,90,95,100})</f>
        <v>72</v>
      </c>
      <c r="G58" s="15">
        <v>217</v>
      </c>
      <c r="H58" s="1">
        <f>LOOKUP(G58,{0,170,175,180,185,190,195,199,203,207,211,215,219,223,227,231,235,243,250,255,260},{0,10,20,30,40,50,60,62,64,66,68,70,72,74,76,78,80,85,90,95,100})</f>
        <v>70</v>
      </c>
      <c r="I58" s="15">
        <v>6</v>
      </c>
      <c r="J58" s="1">
        <f>LOOKUP(I58,{0,2,3,4,5,6,7,8,9,10,11,12,13,14,15,16},{0,10,20,30,40,50,60,64,68,72,76,80,85,90,95,100})</f>
        <v>50</v>
      </c>
      <c r="K58" s="21"/>
      <c r="L58" s="21"/>
      <c r="M58" s="21">
        <f t="shared" si="23"/>
        <v>50</v>
      </c>
      <c r="N58" s="15">
        <v>7.4</v>
      </c>
      <c r="O58" s="19">
        <f t="shared" si="24"/>
        <v>5.6</v>
      </c>
      <c r="P58" s="1">
        <f>LOOKUP(O58,{0,2.5,2.7,2.9,3.1,3.3,3.5,3.7,3.9,4.1,4.3,4.5,4.7,4.9,5.1,5.3,5.5,5.6,5.7,5.8,5.9},{0,10,20,30,40,50,60,62,64,66,68,70,72,74,76,78,80,85,90,95,100})</f>
        <v>85</v>
      </c>
      <c r="Q58" s="15">
        <v>3.47</v>
      </c>
      <c r="R58" s="15">
        <f t="shared" si="25"/>
        <v>6.53</v>
      </c>
      <c r="S58" s="1">
        <f>LOOKUP(R58,{0,3.75,3.95,4.55,4.75,4.95,5.55,5.6,5.65,5.7,5.75,5.8,5.85,5.9,5.95,6,6.45,6.53,6.6,6.65,6.7},{0,10,20,30,40,50,60,62,64,66,68,70,72,74,76,78,80,85,90,95,100})</f>
        <v>85</v>
      </c>
      <c r="T58" s="21"/>
      <c r="U58" s="21"/>
      <c r="V58" s="21">
        <f t="shared" si="26"/>
        <v>85</v>
      </c>
      <c r="W58" s="15"/>
      <c r="X58" s="21">
        <f t="shared" si="18"/>
        <v>53.2</v>
      </c>
      <c r="Y58" s="21">
        <f t="shared" si="27"/>
        <v>76</v>
      </c>
    </row>
    <row r="59" ht="15.6" hidden="1" outlineLevel="2" spans="1:25">
      <c r="A59" s="15">
        <v>102</v>
      </c>
      <c r="B59" s="15">
        <v>27</v>
      </c>
      <c r="C59" s="14" t="s">
        <v>94</v>
      </c>
      <c r="D59" s="14" t="s">
        <v>11</v>
      </c>
      <c r="E59" s="15">
        <v>15</v>
      </c>
      <c r="F59" s="1">
        <f>LOOKUP(E59,{0,-4,-3,-2,-1,0,1,2.4,3.8,5.2,6.6,8,9.4,10.8,12.2,13.6,15,17.2,19.4,21.5,23.6},{0,10,20,30,40,50,60,62,64,66,68,70,72,74,76,78,80,85,90,95,100})</f>
        <v>80</v>
      </c>
      <c r="G59" s="15">
        <v>245</v>
      </c>
      <c r="H59" s="1">
        <f>LOOKUP(G59,{0,170,175,180,185,190,195,199,203,207,211,215,219,223,227,231,235,243,250,255,260},{0,10,20,30,40,50,60,62,64,66,68,70,72,74,76,78,80,85,90,95,100})</f>
        <v>85</v>
      </c>
      <c r="I59" s="15">
        <v>16</v>
      </c>
      <c r="J59" s="1">
        <f>LOOKUP(I59,{0,2,3,4,5,6,7,8,9,10,11,12,13,14,15,16},{0,10,20,30,40,50,60,64,68,72,76,80,85,90,95,100})</f>
        <v>100</v>
      </c>
      <c r="K59" s="21">
        <f t="shared" si="29"/>
        <v>0</v>
      </c>
      <c r="L59" s="1">
        <f>LOOKUP(K59,{0,1,2,3,4,5,6,7,8,9,10},{0,1,2,3,4,5,6,7,8,9,10})</f>
        <v>0</v>
      </c>
      <c r="M59" s="21">
        <f t="shared" si="23"/>
        <v>100</v>
      </c>
      <c r="N59" s="15">
        <v>6.6</v>
      </c>
      <c r="O59" s="19">
        <f t="shared" si="24"/>
        <v>6.4</v>
      </c>
      <c r="P59" s="1">
        <f>LOOKUP(O59,{0,2.5,2.7,2.9,3.1,3.3,3.5,3.7,3.9,4.1,4.3,4.5,4.7,4.9,5.1,5.3,5.5,5.6,5.7,5.8,5.9},{0,10,20,30,40,50,60,62,64,66,68,70,72,74,76,78,80,85,90,95,100})</f>
        <v>100</v>
      </c>
      <c r="Q59" s="15">
        <v>3.41</v>
      </c>
      <c r="R59" s="15">
        <f t="shared" si="25"/>
        <v>6.59</v>
      </c>
      <c r="S59" s="1">
        <f>LOOKUP(R59,{0,3.75,3.95,4.55,4.75,4.95,5.55,5.6,5.65,5.7,5.75,5.8,5.85,5.9,5.95,6,6.45,6.53,6.6,6.65,6.7},{0,10,20,30,40,50,60,62,64,66,68,70,72,74,76,78,80,85,90,95,100})</f>
        <v>85</v>
      </c>
      <c r="T59" s="21"/>
      <c r="U59" s="21"/>
      <c r="V59" s="21">
        <f t="shared" si="26"/>
        <v>85</v>
      </c>
      <c r="W59" s="15"/>
      <c r="X59" s="21">
        <f t="shared" si="18"/>
        <v>63.5</v>
      </c>
      <c r="Y59" s="21">
        <f t="shared" si="27"/>
        <v>90.7142857142857</v>
      </c>
    </row>
    <row r="60" ht="15.6" hidden="1" outlineLevel="2" spans="1:25">
      <c r="A60" s="15">
        <v>102</v>
      </c>
      <c r="B60" s="15">
        <v>28</v>
      </c>
      <c r="C60" s="14" t="s">
        <v>95</v>
      </c>
      <c r="D60" s="14" t="s">
        <v>11</v>
      </c>
      <c r="E60" s="15">
        <v>14</v>
      </c>
      <c r="F60" s="1">
        <f>LOOKUP(E60,{0,-4,-3,-2,-1,0,1,2.4,3.8,5.2,6.6,8,9.4,10.8,12.2,13.6,15,17.2,19.4,21.5,23.6},{0,10,20,30,40,50,60,62,64,66,68,70,72,74,76,78,80,85,90,95,100})</f>
        <v>78</v>
      </c>
      <c r="G60" s="15">
        <v>188</v>
      </c>
      <c r="H60" s="1">
        <f>LOOKUP(G60,{0,170,175,180,185,190,195,199,203,207,211,215,219,223,227,231,235,243,250,255,260},{0,10,20,30,40,50,60,62,64,66,68,70,72,74,76,78,80,85,90,95,100})</f>
        <v>40</v>
      </c>
      <c r="I60" s="15">
        <v>9</v>
      </c>
      <c r="J60" s="1">
        <f>LOOKUP(I60,{0,2,3,4,5,6,7,8,9,10,11,12,13,14,15,16},{0,10,20,30,40,50,60,64,68,72,76,80,85,90,95,100})</f>
        <v>68</v>
      </c>
      <c r="K60" s="21"/>
      <c r="L60" s="21"/>
      <c r="M60" s="21">
        <f t="shared" si="23"/>
        <v>68</v>
      </c>
      <c r="N60" s="15">
        <v>7.6</v>
      </c>
      <c r="O60" s="19">
        <f t="shared" si="24"/>
        <v>5.4</v>
      </c>
      <c r="P60" s="1">
        <f>LOOKUP(O60,{0,2.5,2.7,2.9,3.1,3.3,3.5,3.7,3.9,4.1,4.3,4.5,4.7,4.9,5.1,5.3,5.5,5.6,5.7,5.8,5.9},{0,10,20,30,40,50,60,62,64,66,68,70,72,74,76,78,80,85,90,95,100})</f>
        <v>78</v>
      </c>
      <c r="Q60" s="15">
        <v>4.11</v>
      </c>
      <c r="R60" s="15">
        <f t="shared" si="25"/>
        <v>5.89</v>
      </c>
      <c r="S60" s="1">
        <f>LOOKUP(R60,{0,3.75,3.95,4.55,4.75,4.95,5.55,5.6,5.65,5.7,5.75,5.8,5.85,5.9,5.95,6,6.45,6.53,6.6,6.65,6.7},{0,10,20,30,40,50,60,62,64,66,68,70,72,74,76,78,80,85,90,95,100})</f>
        <v>72</v>
      </c>
      <c r="T60" s="21"/>
      <c r="U60" s="21"/>
      <c r="V60" s="21">
        <f t="shared" si="26"/>
        <v>72</v>
      </c>
      <c r="W60" s="15"/>
      <c r="X60" s="21">
        <f t="shared" si="18"/>
        <v>48.6</v>
      </c>
      <c r="Y60" s="21">
        <f t="shared" si="27"/>
        <v>69.4285714285714</v>
      </c>
    </row>
    <row r="61" ht="15.6" hidden="1" outlineLevel="2" spans="1:25">
      <c r="A61" s="15">
        <v>102</v>
      </c>
      <c r="B61" s="15">
        <v>29</v>
      </c>
      <c r="C61" s="14" t="s">
        <v>96</v>
      </c>
      <c r="D61" s="14" t="s">
        <v>11</v>
      </c>
      <c r="E61" s="15">
        <v>20.5</v>
      </c>
      <c r="F61" s="1">
        <f>LOOKUP(E61,{0,-4,-3,-2,-1,0,1,2.4,3.8,5.2,6.6,8,9.4,10.8,12.2,13.6,15,17.2,19.4,21.5,23.6},{0,10,20,30,40,50,60,62,64,66,68,70,72,74,76,78,80,85,90,95,100})</f>
        <v>90</v>
      </c>
      <c r="G61" s="15">
        <v>237</v>
      </c>
      <c r="H61" s="1">
        <f>LOOKUP(G61,{0,170,175,180,185,190,195,199,203,207,211,215,219,223,227,231,235,243,250,255,260},{0,10,20,30,40,50,60,62,64,66,68,70,72,74,76,78,80,85,90,95,100})</f>
        <v>80</v>
      </c>
      <c r="I61" s="15">
        <v>4</v>
      </c>
      <c r="J61" s="1">
        <f>LOOKUP(I61,{0,2,3,4,5,6,7,8,9,10,11,12,13,14,15,16},{0,10,20,30,40,50,60,64,68,72,76,80,85,90,95,100})</f>
        <v>30</v>
      </c>
      <c r="K61" s="21"/>
      <c r="L61" s="21"/>
      <c r="M61" s="21">
        <f t="shared" si="23"/>
        <v>30</v>
      </c>
      <c r="N61" s="15">
        <v>2.3</v>
      </c>
      <c r="O61" s="19">
        <f t="shared" si="24"/>
        <v>10.7</v>
      </c>
      <c r="P61" s="1">
        <f>LOOKUP(O61,{0,2.5,2.7,2.9,3.1,3.3,3.5,3.7,3.9,4.1,4.3,4.5,4.7,4.9,5.1,5.3,5.5,5.6,5.7,5.8,5.9},{0,10,20,30,40,50,60,62,64,66,68,70,72,74,76,78,80,85,90,95,100})</f>
        <v>100</v>
      </c>
      <c r="Q61" s="15">
        <v>3.42</v>
      </c>
      <c r="R61" s="15">
        <f t="shared" si="25"/>
        <v>6.58</v>
      </c>
      <c r="S61" s="1">
        <f>LOOKUP(R61,{0,3.75,3.95,4.55,4.75,4.95,5.55,5.6,5.65,5.7,5.75,5.8,5.85,5.9,5.95,6,6.45,6.53,6.6,6.65,6.7},{0,10,20,30,40,50,60,62,64,66,68,70,72,74,76,78,80,85,90,95,100})</f>
        <v>85</v>
      </c>
      <c r="T61" s="21"/>
      <c r="U61" s="21"/>
      <c r="V61" s="21">
        <f t="shared" si="26"/>
        <v>85</v>
      </c>
      <c r="W61" s="15"/>
      <c r="X61" s="21">
        <f t="shared" si="18"/>
        <v>57</v>
      </c>
      <c r="Y61" s="21">
        <f t="shared" si="27"/>
        <v>81.4285714285714</v>
      </c>
    </row>
    <row r="62" ht="15.6" hidden="1" outlineLevel="2" spans="1:25">
      <c r="A62" s="15">
        <v>102</v>
      </c>
      <c r="B62" s="15">
        <v>30</v>
      </c>
      <c r="C62" s="14" t="s">
        <v>97</v>
      </c>
      <c r="D62" s="14" t="s">
        <v>11</v>
      </c>
      <c r="E62" s="15">
        <v>15</v>
      </c>
      <c r="F62" s="1">
        <f>LOOKUP(E62,{0,-4,-3,-2,-1,0,1,2.4,3.8,5.2,6.6,8,9.4,10.8,12.2,13.6,15,17.2,19.4,21.5,23.6},{0,10,20,30,40,50,60,62,64,66,68,70,72,74,76,78,80,85,90,95,100})</f>
        <v>80</v>
      </c>
      <c r="G62" s="15">
        <v>233</v>
      </c>
      <c r="H62" s="1">
        <f>LOOKUP(G62,{0,170,175,180,185,190,195,199,203,207,211,215,219,223,227,231,235,243,250,255,260},{0,10,20,30,40,50,60,62,64,66,68,70,72,74,76,78,80,85,90,95,100})</f>
        <v>78</v>
      </c>
      <c r="I62" s="15">
        <v>8</v>
      </c>
      <c r="J62" s="1">
        <f>LOOKUP(I62,{0,2,3,4,5,6,7,8,9,10,11,12,13,14,15,16},{0,10,20,30,40,50,60,64,68,72,76,80,85,90,95,100})</f>
        <v>64</v>
      </c>
      <c r="K62" s="21"/>
      <c r="L62" s="21"/>
      <c r="M62" s="21">
        <f t="shared" si="23"/>
        <v>64</v>
      </c>
      <c r="N62" s="15"/>
      <c r="O62" s="19"/>
      <c r="P62" s="1"/>
      <c r="Q62" s="15">
        <v>3.14</v>
      </c>
      <c r="R62" s="15">
        <f t="shared" si="25"/>
        <v>6.86</v>
      </c>
      <c r="S62" s="1">
        <f>LOOKUP(R62,{0,3.75,3.95,4.55,4.75,4.95,5.55,5.6,5.65,5.7,5.75,5.8,5.85,5.9,5.95,6,6.45,6.53,6.6,6.65,6.7},{0,10,20,30,40,50,60,62,64,66,68,70,72,74,76,78,80,85,90,95,100})</f>
        <v>100</v>
      </c>
      <c r="T62" s="21">
        <f>3.3-Q62</f>
        <v>0.16</v>
      </c>
      <c r="U62" s="1">
        <f>LOOKUP(T62,{0,0.04,0.08,0.12,0.16,0.2,0.23,0.26,0.29,0.32,0.35},{0,1,2,3,4,5,6,7,8,9,10})</f>
        <v>3</v>
      </c>
      <c r="V62" s="21">
        <f t="shared" si="26"/>
        <v>103</v>
      </c>
      <c r="W62" s="15"/>
      <c r="X62" s="21">
        <f t="shared" si="18"/>
        <v>42.2</v>
      </c>
      <c r="Y62" s="21">
        <f t="shared" si="27"/>
        <v>63.2857142857143</v>
      </c>
    </row>
    <row r="63" ht="15.6" hidden="1" outlineLevel="2" spans="1:25">
      <c r="A63" s="15">
        <v>102</v>
      </c>
      <c r="B63" s="15">
        <v>31</v>
      </c>
      <c r="C63" s="14" t="s">
        <v>98</v>
      </c>
      <c r="D63" s="14" t="s">
        <v>11</v>
      </c>
      <c r="E63" s="15">
        <v>10</v>
      </c>
      <c r="F63" s="1">
        <f>LOOKUP(E63,{0,-4,-3,-2,-1,0,1,2.4,3.8,5.2,6.6,8,9.4,10.8,12.2,13.6,15,17.2,19.4,21.5,23.6},{0,10,20,30,40,50,60,62,64,66,68,70,72,74,76,78,80,85,90,95,100})</f>
        <v>72</v>
      </c>
      <c r="G63" s="15">
        <v>209</v>
      </c>
      <c r="H63" s="1">
        <f>LOOKUP(G63,{0,170,175,180,185,190,195,199,203,207,211,215,219,223,227,231,235,243,250,255,260},{0,10,20,30,40,50,60,62,64,66,68,70,72,74,76,78,80,85,90,95,100})</f>
        <v>66</v>
      </c>
      <c r="I63" s="15">
        <v>16</v>
      </c>
      <c r="J63" s="1">
        <f>LOOKUP(I63,{0,2,3,4,5,6,7,8,9,10,11,12,13,14,15,16},{0,10,20,30,40,50,60,64,68,72,76,80,85,90,95,100})</f>
        <v>100</v>
      </c>
      <c r="K63" s="21">
        <f>I63-16</f>
        <v>0</v>
      </c>
      <c r="L63" s="1">
        <f>LOOKUP(K63,{0,1,2,3,4,5,6,7,8,9,10},{0,1,2,3,4,5,6,7,8,9,10})</f>
        <v>0</v>
      </c>
      <c r="M63" s="21">
        <f t="shared" si="23"/>
        <v>100</v>
      </c>
      <c r="N63" s="15">
        <v>7</v>
      </c>
      <c r="O63" s="19">
        <f>13-N63</f>
        <v>6</v>
      </c>
      <c r="P63" s="1">
        <f>LOOKUP(O63,{0,2.5,2.7,2.9,3.1,3.3,3.5,3.7,3.9,4.1,4.3,4.5,4.7,4.9,5.1,5.3,5.5,5.6,5.7,5.8,5.9},{0,10,20,30,40,50,60,62,64,66,68,70,72,74,76,78,80,85,90,95,100})</f>
        <v>100</v>
      </c>
      <c r="Q63" s="15">
        <v>4.03</v>
      </c>
      <c r="R63" s="15">
        <f t="shared" si="25"/>
        <v>5.97</v>
      </c>
      <c r="S63" s="1">
        <f>LOOKUP(R63,{0,3.75,3.95,4.55,4.75,4.95,5.55,5.6,5.65,5.7,5.75,5.8,5.85,5.9,5.95,6,6.45,6.53,6.6,6.65,6.7},{0,10,20,30,40,50,60,62,64,66,68,70,72,74,76,78,80,85,90,95,100})</f>
        <v>76</v>
      </c>
      <c r="T63" s="21"/>
      <c r="U63" s="21"/>
      <c r="V63" s="21">
        <f t="shared" si="26"/>
        <v>76</v>
      </c>
      <c r="W63" s="15"/>
      <c r="X63" s="21">
        <f t="shared" si="18"/>
        <v>59</v>
      </c>
      <c r="Y63" s="21">
        <f t="shared" si="27"/>
        <v>84.2857142857143</v>
      </c>
    </row>
    <row r="64" ht="15.6" outlineLevel="1" collapsed="1" spans="1:25">
      <c r="A64" s="16" t="s">
        <v>843</v>
      </c>
      <c r="B64" s="15"/>
      <c r="C64" s="14"/>
      <c r="D64" s="14"/>
      <c r="E64" s="15"/>
      <c r="F64" s="1">
        <f>SUBTOTAL(1,F33:F63)</f>
        <v>71.4666666666667</v>
      </c>
      <c r="G64" s="15"/>
      <c r="H64" s="1">
        <f>SUBTOTAL(1,H33:H63)</f>
        <v>68.4333333333333</v>
      </c>
      <c r="I64" s="15"/>
      <c r="J64" s="1">
        <f>SUBTOTAL(1,J33:J63)</f>
        <v>59.2666666666667</v>
      </c>
      <c r="K64" s="21"/>
      <c r="L64" s="1"/>
      <c r="M64" s="21">
        <f>SUBTOTAL(1,M33:M63)</f>
        <v>60.3666666666667</v>
      </c>
      <c r="N64" s="15"/>
      <c r="O64" s="19"/>
      <c r="P64" s="1">
        <f>SUBTOTAL(1,P33:P63)</f>
        <v>90.1851851851852</v>
      </c>
      <c r="Q64" s="15"/>
      <c r="R64" s="15"/>
      <c r="S64" s="1">
        <f>SUBTOTAL(1,S33:S63)</f>
        <v>86.1333333333333</v>
      </c>
      <c r="T64" s="21"/>
      <c r="U64" s="21"/>
      <c r="V64" s="21">
        <f>SUBTOTAL(1,V33:V63)</f>
        <v>86.3</v>
      </c>
      <c r="W64" s="15"/>
      <c r="X64" s="21">
        <f>SUBTOTAL(1,X33:X63)</f>
        <v>51.6548387096774</v>
      </c>
      <c r="Y64" s="21">
        <f>SUBTOTAL(1,Y33:Y63)</f>
        <v>76.63133640553</v>
      </c>
    </row>
    <row r="65" ht="15.6" hidden="1" outlineLevel="2" spans="1:25">
      <c r="A65" s="15">
        <v>103</v>
      </c>
      <c r="B65" s="15">
        <v>1</v>
      </c>
      <c r="C65" s="13" t="s">
        <v>117</v>
      </c>
      <c r="D65" s="14" t="s">
        <v>11</v>
      </c>
      <c r="E65" s="15">
        <v>16</v>
      </c>
      <c r="F65" s="1">
        <f>LOOKUP(E65,{0,-4,-3,-2,-1,0,1,2.4,3.8,5.2,6.6,8,9.4,10.8,12.2,13.6,15,17.2,19.4,21.5,23.6},{0,10,20,30,40,50,60,62,64,66,68,70,72,74,76,78,80,85,90,95,100})</f>
        <v>80</v>
      </c>
      <c r="G65" s="15">
        <v>236</v>
      </c>
      <c r="H65" s="1">
        <f>LOOKUP(G65,{0,170,175,180,185,190,195,199,203,207,211,215,219,223,227,231,235,243,250,255,260},{0,10,20,30,40,50,60,62,64,66,68,70,72,74,76,78,80,85,90,95,100})</f>
        <v>80</v>
      </c>
      <c r="I65" s="15">
        <v>17</v>
      </c>
      <c r="J65" s="1">
        <f>LOOKUP(I65,{0,2,3,4,5,6,7,8,9,10,11,12,13,14,15,16},{0,10,20,30,40,50,60,64,68,72,76,80,85,90,95,100})</f>
        <v>100</v>
      </c>
      <c r="K65" s="21">
        <f>I65-16</f>
        <v>1</v>
      </c>
      <c r="L65" s="1">
        <f>LOOKUP(K65,{0,1,2,3,4,5,6,7,8,9,10},{0,1,2,3,4,5,6,7,8,9,10})</f>
        <v>1</v>
      </c>
      <c r="M65" s="21">
        <f t="shared" ref="M65:M67" si="30">J65+L65</f>
        <v>101</v>
      </c>
      <c r="N65" s="15">
        <v>7</v>
      </c>
      <c r="O65" s="19">
        <f t="shared" ref="O65:O73" si="31">13-N65</f>
        <v>6</v>
      </c>
      <c r="P65" s="1">
        <f>LOOKUP(O65,{0,2.5,2.7,2.9,3.1,3.3,3.5,3.7,3.9,4.1,4.3,4.5,4.7,4.9,5.1,5.3,5.5,5.6,5.7,5.8,5.9},{0,10,20,30,40,50,60,62,64,66,68,70,72,74,76,78,80,85,90,95,100})</f>
        <v>100</v>
      </c>
      <c r="Q65" s="15">
        <v>3.32</v>
      </c>
      <c r="R65" s="15">
        <f t="shared" ref="R65:R67" si="32">10-Q65</f>
        <v>6.68</v>
      </c>
      <c r="S65" s="1">
        <f>LOOKUP(R65,{0,3.75,3.95,4.55,4.75,4.95,5.55,5.6,5.65,5.7,5.75,5.8,5.85,5.9,5.95,6,6.45,6.53,6.6,6.65,6.7},{0,10,20,30,40,50,60,62,64,66,68,70,72,74,76,78,80,85,90,95,100})</f>
        <v>95</v>
      </c>
      <c r="T65" s="21"/>
      <c r="U65" s="21"/>
      <c r="V65" s="21">
        <f t="shared" ref="V65:V67" si="33">S65+U65</f>
        <v>95</v>
      </c>
      <c r="W65" s="15"/>
      <c r="X65" s="21">
        <f t="shared" ref="X65:X92" si="34">F65*0.1+H65*0.1+J65*0.1+P65*0.2+S65*0.2</f>
        <v>65</v>
      </c>
      <c r="Y65" s="21">
        <f t="shared" ref="Y65:Y73" si="35">X65/0.7+L65+U65</f>
        <v>93.8571428571429</v>
      </c>
    </row>
    <row r="66" ht="15.6" hidden="1" outlineLevel="2" spans="1:25">
      <c r="A66" s="15">
        <v>103</v>
      </c>
      <c r="B66" s="15">
        <v>2</v>
      </c>
      <c r="C66" s="14" t="s">
        <v>118</v>
      </c>
      <c r="D66" s="14" t="s">
        <v>11</v>
      </c>
      <c r="E66" s="15">
        <v>7</v>
      </c>
      <c r="F66" s="1">
        <f>LOOKUP(E66,{0,-4,-3,-2,-1,0,1,2.4,3.8,5.2,6.6,8,9.4,10.8,12.2,13.6,15,17.2,19.4,21.5,23.6},{0,10,20,30,40,50,60,62,64,66,68,70,72,74,76,78,80,85,90,95,100})</f>
        <v>68</v>
      </c>
      <c r="G66" s="15">
        <v>203</v>
      </c>
      <c r="H66" s="1">
        <f>LOOKUP(G66,{0,170,175,180,185,190,195,199,203,207,211,215,219,223,227,231,235,243,250,255,260},{0,10,20,30,40,50,60,62,64,66,68,70,72,74,76,78,80,85,90,95,100})</f>
        <v>64</v>
      </c>
      <c r="I66" s="15">
        <v>11</v>
      </c>
      <c r="J66" s="1">
        <f>LOOKUP(I66,{0,2,3,4,5,6,7,8,9,10,11,12,13,14,15,16},{0,10,20,30,40,50,60,64,68,72,76,80,85,90,95,100})</f>
        <v>76</v>
      </c>
      <c r="K66" s="21"/>
      <c r="L66" s="21"/>
      <c r="M66" s="21">
        <f t="shared" si="30"/>
        <v>76</v>
      </c>
      <c r="N66" s="15">
        <v>7.6</v>
      </c>
      <c r="O66" s="19">
        <f t="shared" si="31"/>
        <v>5.4</v>
      </c>
      <c r="P66" s="1">
        <f>LOOKUP(O66,{0,2.5,2.7,2.9,3.1,3.3,3.5,3.7,3.9,4.1,4.3,4.5,4.7,4.9,5.1,5.3,5.5,5.6,5.7,5.8,5.9},{0,10,20,30,40,50,60,62,64,66,68,70,72,74,76,78,80,85,90,95,100})</f>
        <v>78</v>
      </c>
      <c r="Q66" s="15">
        <v>4.19</v>
      </c>
      <c r="R66" s="15">
        <f t="shared" si="32"/>
        <v>5.81</v>
      </c>
      <c r="S66" s="1">
        <f>LOOKUP(R66,{0,3.75,3.95,4.55,4.75,4.95,5.55,5.6,5.65,5.7,5.75,5.8,5.85,5.9,5.95,6,6.45,6.53,6.6,6.65,6.7},{0,10,20,30,40,50,60,62,64,66,68,70,72,74,76,78,80,85,90,95,100})</f>
        <v>70</v>
      </c>
      <c r="T66" s="21"/>
      <c r="U66" s="21"/>
      <c r="V66" s="21">
        <f t="shared" si="33"/>
        <v>70</v>
      </c>
      <c r="W66" s="15"/>
      <c r="X66" s="21">
        <f t="shared" si="34"/>
        <v>50.4</v>
      </c>
      <c r="Y66" s="21">
        <f t="shared" si="35"/>
        <v>72</v>
      </c>
    </row>
    <row r="67" s="3" customFormat="1" ht="15.6" hidden="1" outlineLevel="2" spans="1:25">
      <c r="A67" s="15">
        <v>103</v>
      </c>
      <c r="B67" s="15">
        <v>3</v>
      </c>
      <c r="C67" s="14" t="s">
        <v>119</v>
      </c>
      <c r="D67" s="14" t="s">
        <v>11</v>
      </c>
      <c r="E67" s="15">
        <v>9</v>
      </c>
      <c r="F67" s="1">
        <f>LOOKUP(E67,{0,-4,-3,-2,-1,0,1,2.4,3.8,5.2,6.6,8,9.4,10.8,12.2,13.6,15,17.2,19.4,21.5,23.6},{0,10,20,30,40,50,60,62,64,66,68,70,72,74,76,78,80,85,90,95,100})</f>
        <v>70</v>
      </c>
      <c r="G67" s="15">
        <v>213</v>
      </c>
      <c r="H67" s="1">
        <f>LOOKUP(G67,{0,170,175,180,185,190,195,199,203,207,211,215,219,223,227,231,235,243,250,255,260},{0,10,20,30,40,50,60,62,64,66,68,70,72,74,76,78,80,85,90,95,100})</f>
        <v>68</v>
      </c>
      <c r="I67" s="15">
        <v>4</v>
      </c>
      <c r="J67" s="1">
        <f>LOOKUP(I67,{0,2,3,4,5,6,7,8,9,10,11,12,13,14,15,16},{0,10,20,30,40,50,60,64,68,72,76,80,85,90,95,100})</f>
        <v>30</v>
      </c>
      <c r="K67" s="21"/>
      <c r="L67" s="21"/>
      <c r="M67" s="21">
        <f t="shared" si="30"/>
        <v>30</v>
      </c>
      <c r="N67" s="15"/>
      <c r="O67" s="19"/>
      <c r="P67" s="1"/>
      <c r="Q67" s="15">
        <v>4.27</v>
      </c>
      <c r="R67" s="15">
        <f t="shared" si="32"/>
        <v>5.73</v>
      </c>
      <c r="S67" s="1">
        <f>LOOKUP(R67,{0,3.75,3.95,4.55,4.75,4.95,5.55,5.6,5.65,5.7,5.75,5.8,5.85,5.9,5.95,6,6.45,6.53,6.6,6.65,6.7},{0,10,20,30,40,50,60,62,64,66,68,70,72,74,76,78,80,85,90,95,100})</f>
        <v>66</v>
      </c>
      <c r="T67" s="21"/>
      <c r="U67" s="21"/>
      <c r="V67" s="21">
        <f t="shared" si="33"/>
        <v>66</v>
      </c>
      <c r="W67" s="15"/>
      <c r="X67" s="21">
        <f t="shared" si="34"/>
        <v>30</v>
      </c>
      <c r="Y67" s="27">
        <v>50</v>
      </c>
    </row>
    <row r="68" ht="15.6" hidden="1" outlineLevel="2" spans="1:25">
      <c r="A68" s="15">
        <v>103</v>
      </c>
      <c r="B68" s="15">
        <v>4</v>
      </c>
      <c r="C68" s="14" t="s">
        <v>120</v>
      </c>
      <c r="D68" s="14" t="s">
        <v>11</v>
      </c>
      <c r="E68" s="15"/>
      <c r="F68" s="1"/>
      <c r="G68" s="15"/>
      <c r="H68" s="1"/>
      <c r="I68" s="15"/>
      <c r="J68" s="1"/>
      <c r="K68" s="21"/>
      <c r="L68" s="21"/>
      <c r="M68" s="21"/>
      <c r="N68" s="15"/>
      <c r="O68" s="19"/>
      <c r="P68" s="1"/>
      <c r="Q68" s="15"/>
      <c r="R68" s="15"/>
      <c r="S68" s="1"/>
      <c r="T68" s="21"/>
      <c r="U68" s="1"/>
      <c r="V68" s="21"/>
      <c r="W68" s="15" t="s">
        <v>84</v>
      </c>
      <c r="X68" s="21">
        <f t="shared" si="34"/>
        <v>0</v>
      </c>
      <c r="Y68" s="21">
        <v>50</v>
      </c>
    </row>
    <row r="69" ht="15.6" hidden="1" outlineLevel="2" spans="1:25">
      <c r="A69" s="15">
        <v>103</v>
      </c>
      <c r="B69" s="15">
        <v>5</v>
      </c>
      <c r="C69" s="14" t="s">
        <v>121</v>
      </c>
      <c r="D69" s="14" t="s">
        <v>11</v>
      </c>
      <c r="E69" s="15">
        <v>16</v>
      </c>
      <c r="F69" s="1">
        <f>LOOKUP(E69,{0,-4,-3,-2,-1,0,1,2.4,3.8,5.2,6.6,8,9.4,10.8,12.2,13.6,15,17.2,19.4,21.5,23.6},{0,10,20,30,40,50,60,62,64,66,68,70,72,74,76,78,80,85,90,95,100})</f>
        <v>80</v>
      </c>
      <c r="G69" s="15">
        <v>250</v>
      </c>
      <c r="H69" s="1">
        <f>LOOKUP(G69,{0,170,175,180,185,190,195,199,203,207,211,215,219,223,227,231,235,243,250,255,260},{0,10,20,30,40,50,60,62,64,66,68,70,72,74,76,78,80,85,90,95,100})</f>
        <v>90</v>
      </c>
      <c r="I69" s="15">
        <v>18</v>
      </c>
      <c r="J69" s="1">
        <f>LOOKUP(I69,{0,2,3,4,5,6,7,8,9,10,11,12,13,14,15,16},{0,10,20,30,40,50,60,64,68,72,76,80,85,90,95,100})</f>
        <v>100</v>
      </c>
      <c r="K69" s="21">
        <f t="shared" ref="K69:K73" si="36">I69-16</f>
        <v>2</v>
      </c>
      <c r="L69" s="1">
        <f>LOOKUP(K69,{0,1,2,3,4,5,6,7,8,9,10},{0,1,2,3,4,5,6,7,8,9,10})</f>
        <v>2</v>
      </c>
      <c r="M69" s="21">
        <f t="shared" ref="M69:M73" si="37">J69+L69</f>
        <v>102</v>
      </c>
      <c r="N69" s="15">
        <v>6.4</v>
      </c>
      <c r="O69" s="19">
        <f t="shared" si="31"/>
        <v>6.6</v>
      </c>
      <c r="P69" s="1">
        <f>LOOKUP(O69,{0,2.5,2.7,2.9,3.1,3.3,3.5,3.7,3.9,4.1,4.3,4.5,4.7,4.9,5.1,5.3,5.5,5.6,5.7,5.8,5.9},{0,10,20,30,40,50,60,62,64,66,68,70,72,74,76,78,80,85,90,95,100})</f>
        <v>100</v>
      </c>
      <c r="Q69" s="15">
        <v>3.29</v>
      </c>
      <c r="R69" s="15">
        <f t="shared" ref="R69:R73" si="38">10-Q69</f>
        <v>6.71</v>
      </c>
      <c r="S69" s="1">
        <f>LOOKUP(R69,{0,3.75,3.95,4.55,4.75,4.95,5.55,5.6,5.65,5.7,5.75,5.8,5.85,5.9,5.95,6,6.45,6.53,6.6,6.65,6.7},{0,10,20,30,40,50,60,62,64,66,68,70,72,74,76,78,80,85,90,95,100})</f>
        <v>100</v>
      </c>
      <c r="T69" s="21">
        <f>3.3-Q69</f>
        <v>0.00999999999999979</v>
      </c>
      <c r="U69" s="1">
        <f>LOOKUP(T69,{0,0.04,0.08,0.12,0.16,0.2,0.23,0.26,0.29,0.32,0.35},{0,1,2,3,4,5,6,7,8,9,10})</f>
        <v>0</v>
      </c>
      <c r="V69" s="21">
        <f t="shared" ref="V69:V73" si="39">S69+U69</f>
        <v>100</v>
      </c>
      <c r="W69" s="15"/>
      <c r="X69" s="21">
        <f t="shared" si="34"/>
        <v>67</v>
      </c>
      <c r="Y69" s="21">
        <f t="shared" si="35"/>
        <v>97.7142857142857</v>
      </c>
    </row>
    <row r="70" ht="15.6" hidden="1" outlineLevel="2" spans="1:25">
      <c r="A70" s="15">
        <v>103</v>
      </c>
      <c r="B70" s="15">
        <v>6</v>
      </c>
      <c r="C70" s="14" t="s">
        <v>122</v>
      </c>
      <c r="D70" s="14" t="s">
        <v>11</v>
      </c>
      <c r="E70" s="15">
        <v>8.5</v>
      </c>
      <c r="F70" s="1">
        <f>LOOKUP(E70,{0,-4,-3,-2,-1,0,1,2.4,3.8,5.2,6.6,8,9.4,10.8,12.2,13.6,15,17.2,19.4,21.5,23.6},{0,10,20,30,40,50,60,62,64,66,68,70,72,74,76,78,80,85,90,95,100})</f>
        <v>70</v>
      </c>
      <c r="G70" s="15">
        <v>220</v>
      </c>
      <c r="H70" s="1">
        <f>LOOKUP(G70,{0,170,175,180,185,190,195,199,203,207,211,215,219,223,227,231,235,243,250,255,260},{0,10,20,30,40,50,60,62,64,66,68,70,72,74,76,78,80,85,90,95,100})</f>
        <v>72</v>
      </c>
      <c r="I70" s="15">
        <v>3</v>
      </c>
      <c r="J70" s="1">
        <f>LOOKUP(I70,{0,2,3,4,5,6,7,8,9,10,11,12,13,14,15,16},{0,10,20,30,40,50,60,64,68,72,76,80,85,90,95,100})</f>
        <v>20</v>
      </c>
      <c r="K70" s="21"/>
      <c r="L70" s="21"/>
      <c r="M70" s="21">
        <f t="shared" si="37"/>
        <v>20</v>
      </c>
      <c r="N70" s="15">
        <v>7.1</v>
      </c>
      <c r="O70" s="19">
        <f t="shared" si="31"/>
        <v>5.9</v>
      </c>
      <c r="P70" s="1">
        <f>LOOKUP(O70,{0,2.5,2.7,2.9,3.1,3.3,3.5,3.7,3.9,4.1,4.3,4.5,4.7,4.9,5.1,5.3,5.5,5.6,5.7,5.8,5.9},{0,10,20,30,40,50,60,62,64,66,68,70,72,74,76,78,80,85,90,95,100})</f>
        <v>100</v>
      </c>
      <c r="Q70" s="15">
        <v>4.01</v>
      </c>
      <c r="R70" s="15">
        <f t="shared" si="38"/>
        <v>5.99</v>
      </c>
      <c r="S70" s="1">
        <f>LOOKUP(R70,{0,3.75,3.95,4.55,4.75,4.95,5.55,5.6,5.65,5.7,5.75,5.8,5.85,5.9,5.95,6,6.45,6.53,6.6,6.65,6.7},{0,10,20,30,40,50,60,62,64,66,68,70,72,74,76,78,80,85,90,95,100})</f>
        <v>76</v>
      </c>
      <c r="T70" s="21"/>
      <c r="U70" s="21"/>
      <c r="V70" s="21">
        <f t="shared" si="39"/>
        <v>76</v>
      </c>
      <c r="W70" s="15"/>
      <c r="X70" s="21">
        <f t="shared" si="34"/>
        <v>51.4</v>
      </c>
      <c r="Y70" s="21">
        <f t="shared" si="35"/>
        <v>73.4285714285714</v>
      </c>
    </row>
    <row r="71" ht="15.6" hidden="1" outlineLevel="2" spans="1:25">
      <c r="A71" s="15">
        <v>103</v>
      </c>
      <c r="B71" s="15">
        <v>7</v>
      </c>
      <c r="C71" s="14" t="s">
        <v>123</v>
      </c>
      <c r="D71" s="14" t="s">
        <v>11</v>
      </c>
      <c r="E71" s="15">
        <v>9.5</v>
      </c>
      <c r="F71" s="1">
        <f>LOOKUP(E71,{0,-4,-3,-2,-1,0,1,2.4,3.8,5.2,6.6,8,9.4,10.8,12.2,13.6,15,17.2,19.4,21.5,23.6},{0,10,20,30,40,50,60,62,64,66,68,70,72,74,76,78,80,85,90,95,100})</f>
        <v>72</v>
      </c>
      <c r="G71" s="15">
        <v>240</v>
      </c>
      <c r="H71" s="1">
        <f>LOOKUP(G71,{0,170,175,180,185,190,195,199,203,207,211,215,219,223,227,231,235,243,250,255,260},{0,10,20,30,40,50,60,62,64,66,68,70,72,74,76,78,80,85,90,95,100})</f>
        <v>80</v>
      </c>
      <c r="I71" s="15">
        <v>20</v>
      </c>
      <c r="J71" s="1">
        <f>LOOKUP(I71,{0,2,3,4,5,6,7,8,9,10,11,12,13,14,15,16},{0,10,20,30,40,50,60,64,68,72,76,80,85,90,95,100})</f>
        <v>100</v>
      </c>
      <c r="K71" s="21">
        <f t="shared" si="36"/>
        <v>4</v>
      </c>
      <c r="L71" s="1">
        <f>LOOKUP(K71,{0,1,2,3,4,5,6,7,8,9,10},{0,1,2,3,4,5,6,7,8,9,10})</f>
        <v>4</v>
      </c>
      <c r="M71" s="21">
        <f t="shared" si="37"/>
        <v>104</v>
      </c>
      <c r="N71" s="15">
        <v>6.8</v>
      </c>
      <c r="O71" s="19">
        <f t="shared" si="31"/>
        <v>6.2</v>
      </c>
      <c r="P71" s="1">
        <f>LOOKUP(O71,{0,2.5,2.7,2.9,3.1,3.3,3.5,3.7,3.9,4.1,4.3,4.5,4.7,4.9,5.1,5.3,5.5,5.6,5.7,5.8,5.9},{0,10,20,30,40,50,60,62,64,66,68,70,72,74,76,78,80,85,90,95,100})</f>
        <v>100</v>
      </c>
      <c r="Q71" s="15">
        <v>3.36</v>
      </c>
      <c r="R71" s="15">
        <f t="shared" si="38"/>
        <v>6.64</v>
      </c>
      <c r="S71" s="1">
        <f>LOOKUP(R71,{0,3.75,3.95,4.55,4.75,4.95,5.55,5.6,5.65,5.7,5.75,5.8,5.85,5.9,5.95,6,6.45,6.53,6.6,6.65,6.7},{0,10,20,30,40,50,60,62,64,66,68,70,72,74,76,78,80,85,90,95,100})</f>
        <v>90</v>
      </c>
      <c r="T71" s="21"/>
      <c r="U71" s="21"/>
      <c r="V71" s="21">
        <f t="shared" si="39"/>
        <v>90</v>
      </c>
      <c r="W71" s="15"/>
      <c r="X71" s="21">
        <f t="shared" si="34"/>
        <v>63.2</v>
      </c>
      <c r="Y71" s="21">
        <f t="shared" si="35"/>
        <v>94.2857142857143</v>
      </c>
    </row>
    <row r="72" ht="15.6" hidden="1" outlineLevel="2" spans="1:25">
      <c r="A72" s="15">
        <v>103</v>
      </c>
      <c r="B72" s="15">
        <v>8</v>
      </c>
      <c r="C72" s="14" t="s">
        <v>124</v>
      </c>
      <c r="D72" s="14" t="s">
        <v>11</v>
      </c>
      <c r="E72" s="15">
        <v>14</v>
      </c>
      <c r="F72" s="1">
        <f>LOOKUP(E72,{0,-4,-3,-2,-1,0,1,2.4,3.8,5.2,6.6,8,9.4,10.8,12.2,13.6,15,17.2,19.4,21.5,23.6},{0,10,20,30,40,50,60,62,64,66,68,70,72,74,76,78,80,85,90,95,100})</f>
        <v>78</v>
      </c>
      <c r="G72" s="15">
        <v>235</v>
      </c>
      <c r="H72" s="1">
        <f>LOOKUP(G72,{0,170,175,180,185,190,195,199,203,207,211,215,219,223,227,231,235,243,250,255,260},{0,10,20,30,40,50,60,62,64,66,68,70,72,74,76,78,80,85,90,95,100})</f>
        <v>80</v>
      </c>
      <c r="I72" s="15">
        <v>16</v>
      </c>
      <c r="J72" s="1">
        <f>LOOKUP(I72,{0,2,3,4,5,6,7,8,9,10,11,12,13,14,15,16},{0,10,20,30,40,50,60,64,68,72,76,80,85,90,95,100})</f>
        <v>100</v>
      </c>
      <c r="K72" s="21">
        <f t="shared" si="36"/>
        <v>0</v>
      </c>
      <c r="L72" s="1">
        <f>LOOKUP(K72,{0,1,2,3,4,5,6,7,8,9,10},{0,1,2,3,4,5,6,7,8,9,10})</f>
        <v>0</v>
      </c>
      <c r="M72" s="21">
        <f t="shared" si="37"/>
        <v>100</v>
      </c>
      <c r="N72" s="15">
        <v>7.4</v>
      </c>
      <c r="O72" s="19">
        <f t="shared" si="31"/>
        <v>5.6</v>
      </c>
      <c r="P72" s="1">
        <f>LOOKUP(O72,{0,2.5,2.7,2.9,3.1,3.3,3.5,3.7,3.9,4.1,4.3,4.5,4.7,4.9,5.1,5.3,5.5,5.6,5.7,5.8,5.9},{0,10,20,30,40,50,60,62,64,66,68,70,72,74,76,78,80,85,90,95,100})</f>
        <v>85</v>
      </c>
      <c r="Q72" s="15">
        <v>4.24</v>
      </c>
      <c r="R72" s="15">
        <f t="shared" si="38"/>
        <v>5.76</v>
      </c>
      <c r="S72" s="1">
        <f>LOOKUP(R72,{0,3.75,3.95,4.55,4.75,4.95,5.55,5.6,5.65,5.7,5.75,5.8,5.85,5.9,5.95,6,6.45,6.53,6.6,6.65,6.7},{0,10,20,30,40,50,60,62,64,66,68,70,72,74,76,78,80,85,90,95,100})</f>
        <v>68</v>
      </c>
      <c r="T72" s="21"/>
      <c r="U72" s="21"/>
      <c r="V72" s="21">
        <f t="shared" si="39"/>
        <v>68</v>
      </c>
      <c r="W72" s="15"/>
      <c r="X72" s="21">
        <f t="shared" si="34"/>
        <v>56.4</v>
      </c>
      <c r="Y72" s="21">
        <f t="shared" si="35"/>
        <v>80.5714285714286</v>
      </c>
    </row>
    <row r="73" ht="15.6" hidden="1" outlineLevel="2" spans="1:25">
      <c r="A73" s="15">
        <v>103</v>
      </c>
      <c r="B73" s="15">
        <v>9</v>
      </c>
      <c r="C73" s="14" t="s">
        <v>125</v>
      </c>
      <c r="D73" s="14" t="s">
        <v>11</v>
      </c>
      <c r="E73" s="15">
        <v>18.5</v>
      </c>
      <c r="F73" s="1">
        <f>LOOKUP(E73,{0,-4,-3,-2,-1,0,1,2.4,3.8,5.2,6.6,8,9.4,10.8,12.2,13.6,15,17.2,19.4,21.5,23.6},{0,10,20,30,40,50,60,62,64,66,68,70,72,74,76,78,80,85,90,95,100})</f>
        <v>85</v>
      </c>
      <c r="G73" s="15">
        <v>245</v>
      </c>
      <c r="H73" s="1">
        <f>LOOKUP(G73,{0,170,175,180,185,190,195,199,203,207,211,215,219,223,227,231,235,243,250,255,260},{0,10,20,30,40,50,60,62,64,66,68,70,72,74,76,78,80,85,90,95,100})</f>
        <v>85</v>
      </c>
      <c r="I73" s="15">
        <v>21</v>
      </c>
      <c r="J73" s="1">
        <f>LOOKUP(I73,{0,2,3,4,5,6,7,8,9,10,11,12,13,14,15,16},{0,10,20,30,40,50,60,64,68,72,76,80,85,90,95,100})</f>
        <v>100</v>
      </c>
      <c r="K73" s="21">
        <f t="shared" si="36"/>
        <v>5</v>
      </c>
      <c r="L73" s="1">
        <f>LOOKUP(K73,{0,1,2,3,4,5,6,7,8,9,10},{0,1,2,3,4,5,6,7,8,9,10})</f>
        <v>5</v>
      </c>
      <c r="M73" s="21">
        <f t="shared" si="37"/>
        <v>105</v>
      </c>
      <c r="N73" s="15">
        <v>6.7</v>
      </c>
      <c r="O73" s="19">
        <f t="shared" si="31"/>
        <v>6.3</v>
      </c>
      <c r="P73" s="1">
        <f>LOOKUP(O73,{0,2.5,2.7,2.9,3.1,3.3,3.5,3.7,3.9,4.1,4.3,4.5,4.7,4.9,5.1,5.3,5.5,5.6,5.7,5.8,5.9},{0,10,20,30,40,50,60,62,64,66,68,70,72,74,76,78,80,85,90,95,100})</f>
        <v>100</v>
      </c>
      <c r="Q73" s="15">
        <v>3.14</v>
      </c>
      <c r="R73" s="15">
        <f t="shared" si="38"/>
        <v>6.86</v>
      </c>
      <c r="S73" s="1">
        <f>LOOKUP(R73,{0,3.75,3.95,4.55,4.75,4.95,5.55,5.6,5.65,5.7,5.75,5.8,5.85,5.9,5.95,6,6.45,6.53,6.6,6.65,6.7},{0,10,20,30,40,50,60,62,64,66,68,70,72,74,76,78,80,85,90,95,100})</f>
        <v>100</v>
      </c>
      <c r="T73" s="21">
        <f t="shared" ref="T73:T78" si="40">3.3-Q73</f>
        <v>0.16</v>
      </c>
      <c r="U73" s="1">
        <f>LOOKUP(T73,{0,0.04,0.08,0.12,0.16,0.2,0.23,0.26,0.29,0.32,0.35},{0,1,2,3,4,5,6,7,8,9,10})</f>
        <v>3</v>
      </c>
      <c r="V73" s="21">
        <f t="shared" si="39"/>
        <v>103</v>
      </c>
      <c r="W73" s="15"/>
      <c r="X73" s="21">
        <f t="shared" si="34"/>
        <v>67</v>
      </c>
      <c r="Y73" s="21">
        <f t="shared" si="35"/>
        <v>103.714285714286</v>
      </c>
    </row>
    <row r="74" ht="15.6" hidden="1" outlineLevel="2" spans="1:25">
      <c r="A74" s="15">
        <v>103</v>
      </c>
      <c r="B74" s="15">
        <v>10</v>
      </c>
      <c r="C74" s="14" t="s">
        <v>126</v>
      </c>
      <c r="D74" s="14" t="s">
        <v>11</v>
      </c>
      <c r="E74" s="15"/>
      <c r="F74" s="1"/>
      <c r="G74" s="15"/>
      <c r="H74" s="1"/>
      <c r="I74" s="15"/>
      <c r="J74" s="1"/>
      <c r="K74" s="21"/>
      <c r="L74" s="21"/>
      <c r="M74" s="21"/>
      <c r="N74" s="15"/>
      <c r="O74" s="19"/>
      <c r="P74" s="1"/>
      <c r="Q74" s="15"/>
      <c r="R74" s="15"/>
      <c r="S74" s="1"/>
      <c r="T74" s="21"/>
      <c r="U74" s="1"/>
      <c r="V74" s="21"/>
      <c r="W74" s="15" t="s">
        <v>84</v>
      </c>
      <c r="X74" s="21">
        <f t="shared" si="34"/>
        <v>0</v>
      </c>
      <c r="Y74" s="21">
        <v>50</v>
      </c>
    </row>
    <row r="75" ht="15.6" hidden="1" outlineLevel="2" spans="1:25">
      <c r="A75" s="15">
        <v>103</v>
      </c>
      <c r="B75" s="15">
        <v>11</v>
      </c>
      <c r="C75" s="13" t="s">
        <v>128</v>
      </c>
      <c r="D75" s="14" t="s">
        <v>11</v>
      </c>
      <c r="E75" s="15">
        <v>24</v>
      </c>
      <c r="F75" s="1">
        <f>LOOKUP(E75,{0,-4,-3,-2,-1,0,1,2.4,3.8,5.2,6.6,8,9.4,10.8,12.2,13.6,15,17.2,19.4,21.5,23.6},{0,10,20,30,40,50,60,62,64,66,68,70,72,74,76,78,80,85,90,95,100})</f>
        <v>100</v>
      </c>
      <c r="G75" s="15">
        <v>263</v>
      </c>
      <c r="H75" s="1">
        <f>LOOKUP(G75,{0,170,175,180,185,190,195,199,203,207,211,215,219,223,227,231,235,243,250,255,260},{0,10,20,30,40,50,60,62,64,66,68,70,72,74,76,78,80,85,90,95,100})</f>
        <v>100</v>
      </c>
      <c r="I75" s="15">
        <v>24</v>
      </c>
      <c r="J75" s="1">
        <f>LOOKUP(I75,{0,2,3,4,5,6,7,8,9,10,11,12,13,14,15,16},{0,10,20,30,40,50,60,64,68,72,76,80,85,90,95,100})</f>
        <v>100</v>
      </c>
      <c r="K75" s="21">
        <f t="shared" ref="K75:K80" si="41">I75-16</f>
        <v>8</v>
      </c>
      <c r="L75" s="1">
        <f>LOOKUP(K75,{0,1,2,3,4,5,6,7,8,9,10},{0,1,2,3,4,5,6,7,8,9,10})</f>
        <v>8</v>
      </c>
      <c r="M75" s="21">
        <f t="shared" ref="M75:M87" si="42">J75+L75</f>
        <v>108</v>
      </c>
      <c r="N75" s="15">
        <v>7</v>
      </c>
      <c r="O75" s="19">
        <f t="shared" ref="O75:O86" si="43">13-N75</f>
        <v>6</v>
      </c>
      <c r="P75" s="1">
        <f>LOOKUP(O75,{0,2.5,2.7,2.9,3.1,3.3,3.5,3.7,3.9,4.1,4.3,4.5,4.7,4.9,5.1,5.3,5.5,5.6,5.7,5.8,5.9},{0,10,20,30,40,50,60,62,64,66,68,70,72,74,76,78,80,85,90,95,100})</f>
        <v>100</v>
      </c>
      <c r="Q75" s="15">
        <v>3.37</v>
      </c>
      <c r="R75" s="15">
        <f t="shared" ref="R75:R87" si="44">10-Q75</f>
        <v>6.63</v>
      </c>
      <c r="S75" s="1">
        <f>LOOKUP(R75,{0,3.75,3.95,4.55,4.75,4.95,5.55,5.6,5.65,5.7,5.75,5.8,5.85,5.9,5.95,6,6.45,6.53,6.6,6.65,6.7},{0,10,20,30,40,50,60,62,64,66,68,70,72,74,76,78,80,85,90,95,100})</f>
        <v>90</v>
      </c>
      <c r="T75" s="21"/>
      <c r="U75" s="21"/>
      <c r="V75" s="21">
        <f t="shared" ref="V75:V87" si="45">S75+U75</f>
        <v>90</v>
      </c>
      <c r="W75" s="15"/>
      <c r="X75" s="21">
        <f t="shared" si="34"/>
        <v>68</v>
      </c>
      <c r="Y75" s="21">
        <f t="shared" ref="Y75:Y87" si="46">X75/0.7+L75+U75</f>
        <v>105.142857142857</v>
      </c>
    </row>
    <row r="76" ht="15.6" hidden="1" outlineLevel="2" spans="1:25">
      <c r="A76" s="15">
        <v>103</v>
      </c>
      <c r="B76" s="15">
        <v>12</v>
      </c>
      <c r="C76" s="14" t="s">
        <v>129</v>
      </c>
      <c r="D76" s="14" t="s">
        <v>11</v>
      </c>
      <c r="E76" s="15">
        <v>21.2</v>
      </c>
      <c r="F76" s="1">
        <f>LOOKUP(E76,{0,-4,-3,-2,-1,0,1,2.4,3.8,5.2,6.6,8,9.4,10.8,12.2,13.6,15,17.2,19.4,21.5,23.6},{0,10,20,30,40,50,60,62,64,66,68,70,72,74,76,78,80,85,90,95,100})</f>
        <v>90</v>
      </c>
      <c r="G76" s="15">
        <v>300</v>
      </c>
      <c r="H76" s="1">
        <f>LOOKUP(G76,{0,170,175,180,185,190,195,199,203,207,211,215,219,223,227,231,235,243,250,255,260},{0,10,20,30,40,50,60,62,64,66,68,70,72,74,76,78,80,85,90,95,100})</f>
        <v>100</v>
      </c>
      <c r="I76" s="15">
        <v>20</v>
      </c>
      <c r="J76" s="1">
        <f>LOOKUP(I76,{0,2,3,4,5,6,7,8,9,10,11,12,13,14,15,16},{0,10,20,30,40,50,60,64,68,72,76,80,85,90,95,100})</f>
        <v>100</v>
      </c>
      <c r="K76" s="21">
        <f t="shared" si="41"/>
        <v>4</v>
      </c>
      <c r="L76" s="1">
        <f>LOOKUP(K76,{0,1,2,3,4,5,6,7,8,9,10},{0,1,2,3,4,5,6,7,8,9,10})</f>
        <v>4</v>
      </c>
      <c r="M76" s="21">
        <f t="shared" si="42"/>
        <v>104</v>
      </c>
      <c r="N76" s="15">
        <v>6.6</v>
      </c>
      <c r="O76" s="19">
        <f t="shared" si="43"/>
        <v>6.4</v>
      </c>
      <c r="P76" s="1">
        <f>LOOKUP(O76,{0,2.5,2.7,2.9,3.1,3.3,3.5,3.7,3.9,4.1,4.3,4.5,4.7,4.9,5.1,5.3,5.5,5.6,5.7,5.8,5.9},{0,10,20,30,40,50,60,62,64,66,68,70,72,74,76,78,80,85,90,95,100})</f>
        <v>100</v>
      </c>
      <c r="Q76" s="15">
        <v>3.17</v>
      </c>
      <c r="R76" s="15">
        <f t="shared" si="44"/>
        <v>6.83</v>
      </c>
      <c r="S76" s="1">
        <f>LOOKUP(R76,{0,3.75,3.95,4.55,4.75,4.95,5.55,5.6,5.65,5.7,5.75,5.8,5.85,5.9,5.95,6,6.45,6.53,6.6,6.65,6.7},{0,10,20,30,40,50,60,62,64,66,68,70,72,74,76,78,80,85,90,95,100})</f>
        <v>100</v>
      </c>
      <c r="T76" s="21">
        <f t="shared" si="40"/>
        <v>0.13</v>
      </c>
      <c r="U76" s="1">
        <f>LOOKUP(T76,{0,0.04,0.08,0.12,0.16,0.2,0.23,0.26,0.29,0.32,0.35},{0,1,2,3,4,5,6,7,8,9,10})</f>
        <v>3</v>
      </c>
      <c r="V76" s="21">
        <f t="shared" si="45"/>
        <v>103</v>
      </c>
      <c r="W76" s="15"/>
      <c r="X76" s="21">
        <f t="shared" si="34"/>
        <v>69</v>
      </c>
      <c r="Y76" s="21">
        <f t="shared" si="46"/>
        <v>105.571428571429</v>
      </c>
    </row>
    <row r="77" s="3" customFormat="1" ht="15.6" hidden="1" outlineLevel="2" spans="1:25">
      <c r="A77" s="15">
        <v>103</v>
      </c>
      <c r="B77" s="15">
        <v>13</v>
      </c>
      <c r="C77" s="14" t="s">
        <v>130</v>
      </c>
      <c r="D77" s="14" t="s">
        <v>11</v>
      </c>
      <c r="E77" s="15">
        <v>8</v>
      </c>
      <c r="F77" s="1">
        <f>LOOKUP(E77,{0,-4,-3,-2,-1,0,1,2.4,3.8,5.2,6.6,8,9.4,10.8,12.2,13.6,15,17.2,19.4,21.5,23.6},{0,10,20,30,40,50,60,62,64,66,68,70,72,74,76,78,80,85,90,95,100})</f>
        <v>70</v>
      </c>
      <c r="G77" s="15">
        <v>205</v>
      </c>
      <c r="H77" s="1">
        <f>LOOKUP(G77,{0,170,175,180,185,190,195,199,203,207,211,215,219,223,227,231,235,243,250,255,260},{0,10,20,30,40,50,60,62,64,66,68,70,72,74,76,78,80,85,90,95,100})</f>
        <v>64</v>
      </c>
      <c r="I77" s="15">
        <v>13</v>
      </c>
      <c r="J77" s="1">
        <f>LOOKUP(I77,{0,2,3,4,5,6,7,8,9,10,11,12,13,14,15,16},{0,10,20,30,40,50,60,64,68,72,76,80,85,90,95,100})</f>
        <v>85</v>
      </c>
      <c r="K77" s="21"/>
      <c r="L77" s="21"/>
      <c r="M77" s="21">
        <f t="shared" si="42"/>
        <v>85</v>
      </c>
      <c r="N77" s="15">
        <v>8</v>
      </c>
      <c r="O77" s="19">
        <f t="shared" si="43"/>
        <v>5</v>
      </c>
      <c r="P77" s="1">
        <f>LOOKUP(O77,{0,2.5,2.7,2.9,3.1,3.3,3.5,3.7,3.9,4.1,4.3,4.5,4.7,4.9,5.1,5.3,5.5,5.6,5.7,5.8,5.9},{0,10,20,30,40,50,60,62,64,66,68,70,72,74,76,78,80,85,90,95,100})</f>
        <v>74</v>
      </c>
      <c r="Q77" s="15">
        <v>4.16</v>
      </c>
      <c r="R77" s="15">
        <f t="shared" si="44"/>
        <v>5.84</v>
      </c>
      <c r="S77" s="1">
        <f>LOOKUP(R77,{0,3.75,3.95,4.55,4.75,4.95,5.55,5.6,5.65,5.7,5.75,5.8,5.85,5.9,5.95,6,6.45,6.53,6.6,6.65,6.7},{0,10,20,30,40,50,60,62,64,66,68,70,72,74,76,78,80,85,90,95,100})</f>
        <v>70</v>
      </c>
      <c r="T77" s="21"/>
      <c r="U77" s="21"/>
      <c r="V77" s="21">
        <f t="shared" si="45"/>
        <v>70</v>
      </c>
      <c r="W77" s="15"/>
      <c r="X77" s="21">
        <f t="shared" si="34"/>
        <v>50.7</v>
      </c>
      <c r="Y77" s="21">
        <f t="shared" si="46"/>
        <v>72.4285714285714</v>
      </c>
    </row>
    <row r="78" ht="15.6" hidden="1" outlineLevel="2" spans="1:25">
      <c r="A78" s="15">
        <v>103</v>
      </c>
      <c r="B78" s="15">
        <v>14</v>
      </c>
      <c r="C78" s="14" t="s">
        <v>131</v>
      </c>
      <c r="D78" s="14" t="s">
        <v>11</v>
      </c>
      <c r="E78" s="15">
        <v>15</v>
      </c>
      <c r="F78" s="1">
        <f>LOOKUP(E78,{0,-4,-3,-2,-1,0,1,2.4,3.8,5.2,6.6,8,9.4,10.8,12.2,13.6,15,17.2,19.4,21.5,23.6},{0,10,20,30,40,50,60,62,64,66,68,70,72,74,76,78,80,85,90,95,100})</f>
        <v>80</v>
      </c>
      <c r="G78" s="15">
        <v>230</v>
      </c>
      <c r="H78" s="1">
        <f>LOOKUP(G78,{0,170,175,180,185,190,195,199,203,207,211,215,219,223,227,231,235,243,250,255,260},{0,10,20,30,40,50,60,62,64,66,68,70,72,74,76,78,80,85,90,95,100})</f>
        <v>76</v>
      </c>
      <c r="I78" s="15">
        <v>12</v>
      </c>
      <c r="J78" s="1">
        <f>LOOKUP(I78,{0,2,3,4,5,6,7,8,9,10,11,12,13,14,15,16},{0,10,20,30,40,50,60,64,68,72,76,80,85,90,95,100})</f>
        <v>80</v>
      </c>
      <c r="K78" s="21"/>
      <c r="L78" s="21"/>
      <c r="M78" s="21">
        <f t="shared" si="42"/>
        <v>80</v>
      </c>
      <c r="N78" s="15">
        <v>7.3</v>
      </c>
      <c r="O78" s="19">
        <f t="shared" si="43"/>
        <v>5.7</v>
      </c>
      <c r="P78" s="1">
        <f>LOOKUP(O78,{0,2.5,2.7,2.9,3.1,3.3,3.5,3.7,3.9,4.1,4.3,4.5,4.7,4.9,5.1,5.3,5.5,5.6,5.7,5.8,5.9},{0,10,20,30,40,50,60,62,64,66,68,70,72,74,76,78,80,85,90,95,100})</f>
        <v>90</v>
      </c>
      <c r="Q78" s="15">
        <v>3.22</v>
      </c>
      <c r="R78" s="15">
        <f t="shared" si="44"/>
        <v>6.78</v>
      </c>
      <c r="S78" s="1">
        <f>LOOKUP(R78,{0,3.75,3.95,4.55,4.75,4.95,5.55,5.6,5.65,5.7,5.75,5.8,5.85,5.9,5.95,6,6.45,6.53,6.6,6.65,6.7},{0,10,20,30,40,50,60,62,64,66,68,70,72,74,76,78,80,85,90,95,100})</f>
        <v>100</v>
      </c>
      <c r="T78" s="21">
        <f t="shared" si="40"/>
        <v>0.0799999999999996</v>
      </c>
      <c r="U78" s="1">
        <f>LOOKUP(T78,{0,0.04,0.08,0.12,0.16,0.2,0.23,0.26,0.29,0.32,0.35},{0,1,2,3,4,5,6,7,8,9,10})</f>
        <v>1</v>
      </c>
      <c r="V78" s="21">
        <f t="shared" si="45"/>
        <v>101</v>
      </c>
      <c r="W78" s="15"/>
      <c r="X78" s="21">
        <f t="shared" si="34"/>
        <v>61.6</v>
      </c>
      <c r="Y78" s="21">
        <f t="shared" si="46"/>
        <v>89</v>
      </c>
    </row>
    <row r="79" ht="15.6" hidden="1" outlineLevel="2" spans="1:25">
      <c r="A79" s="15">
        <v>103</v>
      </c>
      <c r="B79" s="15">
        <v>15</v>
      </c>
      <c r="C79" s="14" t="s">
        <v>132</v>
      </c>
      <c r="D79" s="14" t="s">
        <v>11</v>
      </c>
      <c r="E79" s="15">
        <v>11.4</v>
      </c>
      <c r="F79" s="1">
        <f>LOOKUP(E79,{0,-4,-3,-2,-1,0,1,2.4,3.8,5.2,6.6,8,9.4,10.8,12.2,13.6,15,17.2,19.4,21.5,23.6},{0,10,20,30,40,50,60,62,64,66,68,70,72,74,76,78,80,85,90,95,100})</f>
        <v>74</v>
      </c>
      <c r="G79" s="15">
        <v>223</v>
      </c>
      <c r="H79" s="1">
        <f>LOOKUP(G79,{0,170,175,180,185,190,195,199,203,207,211,215,219,223,227,231,235,243,250,255,260},{0,10,20,30,40,50,60,62,64,66,68,70,72,74,76,78,80,85,90,95,100})</f>
        <v>74</v>
      </c>
      <c r="I79" s="15">
        <v>9</v>
      </c>
      <c r="J79" s="1">
        <f>LOOKUP(I79,{0,2,3,4,5,6,7,8,9,10,11,12,13,14,15,16},{0,10,20,30,40,50,60,64,68,72,76,80,85,90,95,100})</f>
        <v>68</v>
      </c>
      <c r="K79" s="21"/>
      <c r="L79" s="21"/>
      <c r="M79" s="21">
        <f t="shared" si="42"/>
        <v>68</v>
      </c>
      <c r="N79" s="15">
        <v>7.2</v>
      </c>
      <c r="O79" s="19">
        <f t="shared" si="43"/>
        <v>5.8</v>
      </c>
      <c r="P79" s="1">
        <f>LOOKUP(O79,{0,2.5,2.7,2.9,3.1,3.3,3.5,3.7,3.9,4.1,4.3,4.5,4.7,4.9,5.1,5.3,5.5,5.6,5.7,5.8,5.9},{0,10,20,30,40,50,60,62,64,66,68,70,72,74,76,78,80,85,90,95,100})</f>
        <v>95</v>
      </c>
      <c r="Q79" s="15">
        <v>3.33</v>
      </c>
      <c r="R79" s="15">
        <f t="shared" si="44"/>
        <v>6.67</v>
      </c>
      <c r="S79" s="1">
        <f>LOOKUP(R79,{0,3.75,3.95,4.55,4.75,4.95,5.55,5.6,5.65,5.7,5.75,5.8,5.85,5.9,5.95,6,6.45,6.53,6.6,6.65,6.7},{0,10,20,30,40,50,60,62,64,66,68,70,72,74,76,78,80,85,90,95,100})</f>
        <v>95</v>
      </c>
      <c r="T79" s="21"/>
      <c r="U79" s="21"/>
      <c r="V79" s="21">
        <f t="shared" si="45"/>
        <v>95</v>
      </c>
      <c r="W79" s="15"/>
      <c r="X79" s="21">
        <f t="shared" si="34"/>
        <v>59.6</v>
      </c>
      <c r="Y79" s="21">
        <f t="shared" si="46"/>
        <v>85.1428571428572</v>
      </c>
    </row>
    <row r="80" ht="15.6" hidden="1" outlineLevel="2" spans="1:25">
      <c r="A80" s="15">
        <v>103</v>
      </c>
      <c r="B80" s="15">
        <v>16</v>
      </c>
      <c r="C80" s="14" t="s">
        <v>133</v>
      </c>
      <c r="D80" s="14" t="s">
        <v>11</v>
      </c>
      <c r="E80" s="15">
        <v>15.5</v>
      </c>
      <c r="F80" s="1">
        <f>LOOKUP(E80,{0,-4,-3,-2,-1,0,1,2.4,3.8,5.2,6.6,8,9.4,10.8,12.2,13.6,15,17.2,19.4,21.5,23.6},{0,10,20,30,40,50,60,62,64,66,68,70,72,74,76,78,80,85,90,95,100})</f>
        <v>80</v>
      </c>
      <c r="G80" s="15">
        <v>246</v>
      </c>
      <c r="H80" s="1">
        <f>LOOKUP(G80,{0,170,175,180,185,190,195,199,203,207,211,215,219,223,227,231,235,243,250,255,260},{0,10,20,30,40,50,60,62,64,66,68,70,72,74,76,78,80,85,90,95,100})</f>
        <v>85</v>
      </c>
      <c r="I80" s="15">
        <v>16</v>
      </c>
      <c r="J80" s="1">
        <f>LOOKUP(I80,{0,2,3,4,5,6,7,8,9,10,11,12,13,14,15,16},{0,10,20,30,40,50,60,64,68,72,76,80,85,90,95,100})</f>
        <v>100</v>
      </c>
      <c r="K80" s="21">
        <f t="shared" si="41"/>
        <v>0</v>
      </c>
      <c r="L80" s="1">
        <f>LOOKUP(K80,{0,1,2,3,4,5,6,7,8,9,10},{0,1,2,3,4,5,6,7,8,9,10})</f>
        <v>0</v>
      </c>
      <c r="M80" s="21">
        <f t="shared" si="42"/>
        <v>100</v>
      </c>
      <c r="N80" s="15">
        <v>7.2</v>
      </c>
      <c r="O80" s="19">
        <f t="shared" si="43"/>
        <v>5.8</v>
      </c>
      <c r="P80" s="1">
        <f>LOOKUP(O80,{0,2.5,2.7,2.9,3.1,3.3,3.5,3.7,3.9,4.1,4.3,4.5,4.7,4.9,5.1,5.3,5.5,5.6,5.7,5.8,5.9},{0,10,20,30,40,50,60,62,64,66,68,70,72,74,76,78,80,85,90,95,100})</f>
        <v>95</v>
      </c>
      <c r="Q80" s="15">
        <v>3.57</v>
      </c>
      <c r="R80" s="15">
        <f t="shared" si="44"/>
        <v>6.43</v>
      </c>
      <c r="S80" s="1">
        <f>LOOKUP(R80,{0,3.75,3.95,4.55,4.75,4.95,5.55,5.6,5.65,5.7,5.75,5.8,5.85,5.9,5.95,6,6.45,6.53,6.6,6.65,6.7},{0,10,20,30,40,50,60,62,64,66,68,70,72,74,76,78,80,85,90,95,100})</f>
        <v>78</v>
      </c>
      <c r="T80" s="21"/>
      <c r="U80" s="21"/>
      <c r="V80" s="21">
        <f t="shared" si="45"/>
        <v>78</v>
      </c>
      <c r="W80" s="15"/>
      <c r="X80" s="21">
        <f t="shared" si="34"/>
        <v>61.1</v>
      </c>
      <c r="Y80" s="21">
        <f t="shared" si="46"/>
        <v>87.2857142857143</v>
      </c>
    </row>
    <row r="81" ht="15.6" hidden="1" outlineLevel="2" spans="1:25">
      <c r="A81" s="15">
        <v>103</v>
      </c>
      <c r="B81" s="15">
        <v>17</v>
      </c>
      <c r="C81" s="14" t="s">
        <v>134</v>
      </c>
      <c r="D81" s="14" t="s">
        <v>11</v>
      </c>
      <c r="E81" s="15">
        <v>8</v>
      </c>
      <c r="F81" s="1">
        <f>LOOKUP(E81,{0,-4,-3,-2,-1,0,1,2.4,3.8,5.2,6.6,8,9.4,10.8,12.2,13.6,15,17.2,19.4,21.5,23.6},{0,10,20,30,40,50,60,62,64,66,68,70,72,74,76,78,80,85,90,95,100})</f>
        <v>70</v>
      </c>
      <c r="G81" s="15">
        <v>217</v>
      </c>
      <c r="H81" s="1">
        <f>LOOKUP(G81,{0,170,175,180,185,190,195,199,203,207,211,215,219,223,227,231,235,243,250,255,260},{0,10,20,30,40,50,60,62,64,66,68,70,72,74,76,78,80,85,90,95,100})</f>
        <v>70</v>
      </c>
      <c r="I81" s="15">
        <v>3</v>
      </c>
      <c r="J81" s="1">
        <f>LOOKUP(I81,{0,2,3,4,5,6,7,8,9,10,11,12,13,14,15,16},{0,10,20,30,40,50,60,64,68,72,76,80,85,90,95,100})</f>
        <v>20</v>
      </c>
      <c r="K81" s="21"/>
      <c r="L81" s="21"/>
      <c r="M81" s="21">
        <f t="shared" si="42"/>
        <v>20</v>
      </c>
      <c r="N81" s="15">
        <v>7.5</v>
      </c>
      <c r="O81" s="19">
        <f t="shared" si="43"/>
        <v>5.5</v>
      </c>
      <c r="P81" s="1">
        <f>LOOKUP(O81,{0,2.5,2.7,2.9,3.1,3.3,3.5,3.7,3.9,4.1,4.3,4.5,4.7,4.9,5.1,5.3,5.5,5.6,5.7,5.8,5.9},{0,10,20,30,40,50,60,62,64,66,68,70,72,74,76,78,80,85,90,95,100})</f>
        <v>80</v>
      </c>
      <c r="Q81" s="15">
        <v>4.16</v>
      </c>
      <c r="R81" s="15">
        <f t="shared" si="44"/>
        <v>5.84</v>
      </c>
      <c r="S81" s="1">
        <f>LOOKUP(R81,{0,3.75,3.95,4.55,4.75,4.95,5.55,5.6,5.65,5.7,5.75,5.8,5.85,5.9,5.95,6,6.45,6.53,6.6,6.65,6.7},{0,10,20,30,40,50,60,62,64,66,68,70,72,74,76,78,80,85,90,95,100})</f>
        <v>70</v>
      </c>
      <c r="T81" s="21"/>
      <c r="U81" s="21"/>
      <c r="V81" s="21">
        <f t="shared" si="45"/>
        <v>70</v>
      </c>
      <c r="W81" s="15"/>
      <c r="X81" s="21">
        <f t="shared" si="34"/>
        <v>46</v>
      </c>
      <c r="Y81" s="21">
        <f t="shared" si="46"/>
        <v>65.7142857142857</v>
      </c>
    </row>
    <row r="82" ht="15.6" hidden="1" outlineLevel="2" spans="1:25">
      <c r="A82" s="15">
        <v>103</v>
      </c>
      <c r="B82" s="15">
        <v>18</v>
      </c>
      <c r="C82" s="14" t="s">
        <v>135</v>
      </c>
      <c r="D82" s="14" t="s">
        <v>11</v>
      </c>
      <c r="E82" s="15">
        <v>-1</v>
      </c>
      <c r="F82" s="1">
        <f>LOOKUP(E82,{0,-4,-3,-2,-1,0,1,2.4,3.8,5.2,6.6,8,9.4,10.8,12.2,13.6,15,17.2,19.4,21.5,23.6},{0,10,20,30,40,50,60,62,64,66,68,70,72,74,76,78,80,85,90,95,100})</f>
        <v>40</v>
      </c>
      <c r="G82" s="15">
        <v>210</v>
      </c>
      <c r="H82" s="1">
        <f>LOOKUP(G82,{0,170,175,180,185,190,195,199,203,207,211,215,219,223,227,231,235,243,250,255,260},{0,10,20,30,40,50,60,62,64,66,68,70,72,74,76,78,80,85,90,95,100})</f>
        <v>66</v>
      </c>
      <c r="I82" s="15">
        <v>12</v>
      </c>
      <c r="J82" s="1">
        <f>LOOKUP(I82,{0,2,3,4,5,6,7,8,9,10,11,12,13,14,15,16},{0,10,20,30,40,50,60,64,68,72,76,80,85,90,95,100})</f>
        <v>80</v>
      </c>
      <c r="K82" s="21"/>
      <c r="L82" s="21"/>
      <c r="M82" s="21">
        <f t="shared" si="42"/>
        <v>80</v>
      </c>
      <c r="N82" s="15">
        <v>8</v>
      </c>
      <c r="O82" s="19">
        <f t="shared" si="43"/>
        <v>5</v>
      </c>
      <c r="P82" s="1">
        <f>LOOKUP(O82,{0,2.5,2.7,2.9,3.1,3.3,3.5,3.7,3.9,4.1,4.3,4.5,4.7,4.9,5.1,5.3,5.5,5.6,5.7,5.8,5.9},{0,10,20,30,40,50,60,62,64,66,68,70,72,74,76,78,80,85,90,95,100})</f>
        <v>74</v>
      </c>
      <c r="Q82" s="15">
        <v>4.3</v>
      </c>
      <c r="R82" s="15">
        <f t="shared" si="44"/>
        <v>5.7</v>
      </c>
      <c r="S82" s="1">
        <f>LOOKUP(R82,{0,3.75,3.95,4.55,4.75,4.95,5.55,5.6,5.65,5.7,5.75,5.8,5.85,5.9,5.95,6,6.45,6.53,6.6,6.65,6.7},{0,10,20,30,40,50,60,62,64,66,68,70,72,74,76,78,80,85,90,95,100})</f>
        <v>66</v>
      </c>
      <c r="T82" s="21"/>
      <c r="U82" s="21"/>
      <c r="V82" s="21">
        <f t="shared" si="45"/>
        <v>66</v>
      </c>
      <c r="W82" s="15"/>
      <c r="X82" s="21">
        <f t="shared" si="34"/>
        <v>46.6</v>
      </c>
      <c r="Y82" s="21">
        <f t="shared" si="46"/>
        <v>66.5714285714286</v>
      </c>
    </row>
    <row r="83" ht="15.6" hidden="1" outlineLevel="2" spans="1:25">
      <c r="A83" s="15">
        <v>103</v>
      </c>
      <c r="B83" s="15">
        <v>19</v>
      </c>
      <c r="C83" s="14" t="s">
        <v>136</v>
      </c>
      <c r="D83" s="14" t="s">
        <v>11</v>
      </c>
      <c r="E83" s="15">
        <v>2.5</v>
      </c>
      <c r="F83" s="1">
        <f>LOOKUP(E83,{0,-4,-3,-2,-1,0,1,2.4,3.8,5.2,6.6,8,9.4,10.8,12.2,13.6,15,17.2,19.4,21.5,23.6},{0,10,20,30,40,50,60,62,64,66,68,70,72,74,76,78,80,85,90,95,100})</f>
        <v>62</v>
      </c>
      <c r="G83" s="15">
        <v>235</v>
      </c>
      <c r="H83" s="1">
        <f>LOOKUP(G83,{0,170,175,180,185,190,195,199,203,207,211,215,219,223,227,231,235,243,250,255,260},{0,10,20,30,40,50,60,62,64,66,68,70,72,74,76,78,80,85,90,95,100})</f>
        <v>80</v>
      </c>
      <c r="I83" s="15">
        <v>14</v>
      </c>
      <c r="J83" s="1">
        <f>LOOKUP(I83,{0,2,3,4,5,6,7,8,9,10,11,12,13,14,15,16},{0,10,20,30,40,50,60,64,68,72,76,80,85,90,95,100})</f>
        <v>90</v>
      </c>
      <c r="K83" s="21"/>
      <c r="L83" s="21"/>
      <c r="M83" s="21">
        <f t="shared" si="42"/>
        <v>90</v>
      </c>
      <c r="N83" s="15">
        <v>7.5</v>
      </c>
      <c r="O83" s="19">
        <f t="shared" si="43"/>
        <v>5.5</v>
      </c>
      <c r="P83" s="1">
        <f>LOOKUP(O83,{0,2.5,2.7,2.9,3.1,3.3,3.5,3.7,3.9,4.1,4.3,4.5,4.7,4.9,5.1,5.3,5.5,5.6,5.7,5.8,5.9},{0,10,20,30,40,50,60,62,64,66,68,70,72,74,76,78,80,85,90,95,100})</f>
        <v>80</v>
      </c>
      <c r="Q83" s="15">
        <v>3.46</v>
      </c>
      <c r="R83" s="15">
        <f t="shared" si="44"/>
        <v>6.54</v>
      </c>
      <c r="S83" s="1">
        <f>LOOKUP(R83,{0,3.75,3.95,4.55,4.75,4.95,5.55,5.6,5.65,5.7,5.75,5.8,5.85,5.9,5.95,6,6.45,6.53,6.6,6.65,6.7},{0,10,20,30,40,50,60,62,64,66,68,70,72,74,76,78,80,85,90,95,100})</f>
        <v>85</v>
      </c>
      <c r="T83" s="21"/>
      <c r="U83" s="21"/>
      <c r="V83" s="21">
        <f t="shared" si="45"/>
        <v>85</v>
      </c>
      <c r="W83" s="15"/>
      <c r="X83" s="21">
        <f t="shared" si="34"/>
        <v>56.2</v>
      </c>
      <c r="Y83" s="21">
        <f t="shared" si="46"/>
        <v>80.2857142857143</v>
      </c>
    </row>
    <row r="84" ht="15.6" hidden="1" outlineLevel="2" spans="1:25">
      <c r="A84" s="15">
        <v>103</v>
      </c>
      <c r="B84" s="15">
        <v>20</v>
      </c>
      <c r="C84" s="13" t="s">
        <v>138</v>
      </c>
      <c r="D84" s="14" t="s">
        <v>11</v>
      </c>
      <c r="E84" s="15">
        <v>-1</v>
      </c>
      <c r="F84" s="1">
        <f>LOOKUP(E84,{0,-4,-3,-2,-1,0,1,2.4,3.8,5.2,6.6,8,9.4,10.8,12.2,13.6,15,17.2,19.4,21.5,23.6},{0,10,20,30,40,50,60,62,64,66,68,70,72,74,76,78,80,85,90,95,100})</f>
        <v>40</v>
      </c>
      <c r="G84" s="15">
        <v>233</v>
      </c>
      <c r="H84" s="1">
        <f>LOOKUP(G84,{0,170,175,180,185,190,195,199,203,207,211,215,219,223,227,231,235,243,250,255,260},{0,10,20,30,40,50,60,62,64,66,68,70,72,74,76,78,80,85,90,95,100})</f>
        <v>78</v>
      </c>
      <c r="I84" s="15">
        <v>10</v>
      </c>
      <c r="J84" s="1">
        <f>LOOKUP(I84,{0,2,3,4,5,6,7,8,9,10,11,12,13,14,15,16},{0,10,20,30,40,50,60,64,68,72,76,80,85,90,95,100})</f>
        <v>72</v>
      </c>
      <c r="K84" s="21"/>
      <c r="L84" s="21"/>
      <c r="M84" s="21">
        <f t="shared" si="42"/>
        <v>72</v>
      </c>
      <c r="N84" s="15">
        <v>7.1</v>
      </c>
      <c r="O84" s="19">
        <f t="shared" si="43"/>
        <v>5.9</v>
      </c>
      <c r="P84" s="1">
        <f>LOOKUP(O84,{0,2.5,2.7,2.9,3.1,3.3,3.5,3.7,3.9,4.1,4.3,4.5,4.7,4.9,5.1,5.3,5.5,5.6,5.7,5.8,5.9},{0,10,20,30,40,50,60,62,64,66,68,70,72,74,76,78,80,85,90,95,100})</f>
        <v>100</v>
      </c>
      <c r="Q84" s="15">
        <v>3.33</v>
      </c>
      <c r="R84" s="15">
        <f t="shared" si="44"/>
        <v>6.67</v>
      </c>
      <c r="S84" s="1">
        <f>LOOKUP(R84,{0,3.75,3.95,4.55,4.75,4.95,5.55,5.6,5.65,5.7,5.75,5.8,5.85,5.9,5.95,6,6.45,6.53,6.6,6.65,6.7},{0,10,20,30,40,50,60,62,64,66,68,70,72,74,76,78,80,85,90,95,100})</f>
        <v>95</v>
      </c>
      <c r="T84" s="21"/>
      <c r="U84" s="21"/>
      <c r="V84" s="21">
        <f t="shared" si="45"/>
        <v>95</v>
      </c>
      <c r="W84" s="15"/>
      <c r="X84" s="21">
        <f t="shared" si="34"/>
        <v>58</v>
      </c>
      <c r="Y84" s="21">
        <f t="shared" si="46"/>
        <v>82.8571428571429</v>
      </c>
    </row>
    <row r="85" ht="15.6" hidden="1" outlineLevel="2" spans="1:25">
      <c r="A85" s="15">
        <v>103</v>
      </c>
      <c r="B85" s="15">
        <v>21</v>
      </c>
      <c r="C85" s="14" t="s">
        <v>139</v>
      </c>
      <c r="D85" s="14" t="s">
        <v>11</v>
      </c>
      <c r="E85" s="15">
        <v>18</v>
      </c>
      <c r="F85" s="1">
        <f>LOOKUP(E85,{0,-4,-3,-2,-1,0,1,2.4,3.8,5.2,6.6,8,9.4,10.8,12.2,13.6,15,17.2,19.4,21.5,23.6},{0,10,20,30,40,50,60,62,64,66,68,70,72,74,76,78,80,85,90,95,100})</f>
        <v>85</v>
      </c>
      <c r="G85" s="15">
        <v>232</v>
      </c>
      <c r="H85" s="1">
        <f>LOOKUP(G85,{0,170,175,180,185,190,195,199,203,207,211,215,219,223,227,231,235,243,250,255,260},{0,10,20,30,40,50,60,62,64,66,68,70,72,74,76,78,80,85,90,95,100})</f>
        <v>78</v>
      </c>
      <c r="I85" s="15">
        <v>21</v>
      </c>
      <c r="J85" s="1">
        <f>LOOKUP(I85,{0,2,3,4,5,6,7,8,9,10,11,12,13,14,15,16},{0,10,20,30,40,50,60,64,68,72,76,80,85,90,95,100})</f>
        <v>100</v>
      </c>
      <c r="K85" s="21">
        <f>I85-16</f>
        <v>5</v>
      </c>
      <c r="L85" s="1">
        <f>LOOKUP(K85,{0,1,2,3,4,5,6,7,8,9,10},{0,1,2,3,4,5,6,7,8,9,10})</f>
        <v>5</v>
      </c>
      <c r="M85" s="21">
        <f t="shared" si="42"/>
        <v>105</v>
      </c>
      <c r="N85" s="15">
        <v>7.3</v>
      </c>
      <c r="O85" s="19">
        <f t="shared" si="43"/>
        <v>5.7</v>
      </c>
      <c r="P85" s="1">
        <f>LOOKUP(O85,{0,2.5,2.7,2.9,3.1,3.3,3.5,3.7,3.9,4.1,4.3,4.5,4.7,4.9,5.1,5.3,5.5,5.6,5.7,5.8,5.9},{0,10,20,30,40,50,60,62,64,66,68,70,72,74,76,78,80,85,90,95,100})</f>
        <v>90</v>
      </c>
      <c r="Q85" s="15">
        <v>3.4</v>
      </c>
      <c r="R85" s="15">
        <f t="shared" si="44"/>
        <v>6.6</v>
      </c>
      <c r="S85" s="1">
        <f>LOOKUP(R85,{0,3.75,3.95,4.55,4.75,4.95,5.55,5.6,5.65,5.7,5.75,5.8,5.85,5.9,5.95,6,6.45,6.53,6.6,6.65,6.7},{0,10,20,30,40,50,60,62,64,66,68,70,72,74,76,78,80,85,90,95,100})</f>
        <v>90</v>
      </c>
      <c r="T85" s="21"/>
      <c r="U85" s="21"/>
      <c r="V85" s="21">
        <f t="shared" si="45"/>
        <v>90</v>
      </c>
      <c r="W85" s="15"/>
      <c r="X85" s="21">
        <f t="shared" si="34"/>
        <v>62.3</v>
      </c>
      <c r="Y85" s="21">
        <f t="shared" si="46"/>
        <v>94</v>
      </c>
    </row>
    <row r="86" ht="15.6" hidden="1" outlineLevel="2" spans="1:25">
      <c r="A86" s="15">
        <v>103</v>
      </c>
      <c r="B86" s="15">
        <v>22</v>
      </c>
      <c r="C86" s="14" t="s">
        <v>140</v>
      </c>
      <c r="D86" s="14" t="s">
        <v>11</v>
      </c>
      <c r="E86" s="15">
        <v>-3</v>
      </c>
      <c r="F86" s="1">
        <f>LOOKUP(E86,{0,-4,-3,-2,-1,0,1,2.4,3.8,5.2,6.6,8,9.4,10.8,12.2,13.6,15,17.2,19.4,21.5,23.6},{0,10,20,30,40,50,60,62,64,66,68,70,72,74,76,78,80,85,90,95,100})</f>
        <v>20</v>
      </c>
      <c r="G86" s="15">
        <v>204</v>
      </c>
      <c r="H86" s="1">
        <f>LOOKUP(G86,{0,170,175,180,185,190,195,199,203,207,211,215,219,223,227,231,235,243,250,255,260},{0,10,20,30,40,50,60,62,64,66,68,70,72,74,76,78,80,85,90,95,100})</f>
        <v>64</v>
      </c>
      <c r="I86" s="15">
        <v>0</v>
      </c>
      <c r="J86" s="1">
        <f>LOOKUP(I86,{0,2,3,4,5,6,7,8,9,10,11,12,13,14,15,16},{0,10,20,30,40,50,60,64,68,72,76,80,85,90,95,100})</f>
        <v>0</v>
      </c>
      <c r="K86" s="21"/>
      <c r="L86" s="21"/>
      <c r="M86" s="21">
        <f t="shared" si="42"/>
        <v>0</v>
      </c>
      <c r="N86" s="15">
        <v>7.7</v>
      </c>
      <c r="O86" s="19">
        <f t="shared" si="43"/>
        <v>5.3</v>
      </c>
      <c r="P86" s="1">
        <f>LOOKUP(O86,{0,2.5,2.7,2.9,3.1,3.3,3.5,3.7,3.9,4.1,4.3,4.5,4.7,4.9,5.1,5.3,5.5,5.6,5.7,5.8,5.9},{0,10,20,30,40,50,60,62,64,66,68,70,72,74,76,78,80,85,90,95,100})</f>
        <v>78</v>
      </c>
      <c r="Q86" s="15">
        <v>3.51</v>
      </c>
      <c r="R86" s="15">
        <f t="shared" si="44"/>
        <v>6.49</v>
      </c>
      <c r="S86" s="1">
        <f>LOOKUP(R86,{0,3.75,3.95,4.55,4.75,4.95,5.55,5.6,5.65,5.7,5.75,5.8,5.85,5.9,5.95,6,6.45,6.53,6.6,6.65,6.7},{0,10,20,30,40,50,60,62,64,66,68,70,72,74,76,78,80,85,90,95,100})</f>
        <v>80</v>
      </c>
      <c r="T86" s="21"/>
      <c r="U86" s="21"/>
      <c r="V86" s="21">
        <f t="shared" si="45"/>
        <v>80</v>
      </c>
      <c r="W86" s="15"/>
      <c r="X86" s="21">
        <f t="shared" si="34"/>
        <v>40</v>
      </c>
      <c r="Y86" s="21">
        <f t="shared" si="46"/>
        <v>57.1428571428571</v>
      </c>
    </row>
    <row r="87" ht="15.6" hidden="1" outlineLevel="2" spans="1:25">
      <c r="A87" s="15">
        <v>103</v>
      </c>
      <c r="B87" s="15">
        <v>23</v>
      </c>
      <c r="C87" s="14" t="s">
        <v>141</v>
      </c>
      <c r="D87" s="14" t="s">
        <v>11</v>
      </c>
      <c r="E87" s="15">
        <v>19</v>
      </c>
      <c r="F87" s="1">
        <f>LOOKUP(E87,{0,-4,-3,-2,-1,0,1,2.4,3.8,5.2,6.6,8,9.4,10.8,12.2,13.6,15,17.2,19.4,21.5,23.6},{0,10,20,30,40,50,60,62,64,66,68,70,72,74,76,78,80,85,90,95,100})</f>
        <v>85</v>
      </c>
      <c r="G87" s="15">
        <v>227</v>
      </c>
      <c r="H87" s="1">
        <f>LOOKUP(G87,{0,170,175,180,185,190,195,199,203,207,211,215,219,223,227,231,235,243,250,255,260},{0,10,20,30,40,50,60,62,64,66,68,70,72,74,76,78,80,85,90,95,100})</f>
        <v>76</v>
      </c>
      <c r="I87" s="15">
        <v>13</v>
      </c>
      <c r="J87" s="1">
        <f>LOOKUP(I87,{0,2,3,4,5,6,7,8,9,10,11,12,13,14,15,16},{0,10,20,30,40,50,60,64,68,72,76,80,85,90,95,100})</f>
        <v>85</v>
      </c>
      <c r="K87" s="21"/>
      <c r="L87" s="21"/>
      <c r="M87" s="21">
        <f t="shared" si="42"/>
        <v>85</v>
      </c>
      <c r="N87" s="15"/>
      <c r="O87" s="19"/>
      <c r="P87" s="1"/>
      <c r="Q87" s="15">
        <v>3.58</v>
      </c>
      <c r="R87" s="15">
        <f t="shared" si="44"/>
        <v>6.42</v>
      </c>
      <c r="S87" s="1">
        <f>LOOKUP(R87,{0,3.75,3.95,4.55,4.75,4.95,5.55,5.6,5.65,5.7,5.75,5.8,5.85,5.9,5.95,6,6.45,6.53,6.6,6.65,6.7},{0,10,20,30,40,50,60,62,64,66,68,70,72,74,76,78,80,85,90,95,100})</f>
        <v>78</v>
      </c>
      <c r="T87" s="21"/>
      <c r="U87" s="21"/>
      <c r="V87" s="21">
        <f t="shared" si="45"/>
        <v>78</v>
      </c>
      <c r="W87" s="15"/>
      <c r="X87" s="21">
        <f t="shared" si="34"/>
        <v>40.2</v>
      </c>
      <c r="Y87" s="21">
        <f t="shared" si="46"/>
        <v>57.4285714285714</v>
      </c>
    </row>
    <row r="88" ht="15.6" hidden="1" outlineLevel="2" spans="1:25">
      <c r="A88" s="15">
        <v>103</v>
      </c>
      <c r="B88" s="15">
        <v>24</v>
      </c>
      <c r="C88" s="14" t="s">
        <v>142</v>
      </c>
      <c r="D88" s="14" t="s">
        <v>11</v>
      </c>
      <c r="E88" s="15"/>
      <c r="F88" s="1"/>
      <c r="G88" s="15"/>
      <c r="H88" s="1"/>
      <c r="I88" s="15"/>
      <c r="J88" s="1"/>
      <c r="K88" s="21"/>
      <c r="L88" s="21"/>
      <c r="M88" s="21"/>
      <c r="N88" s="15"/>
      <c r="O88" s="19"/>
      <c r="P88" s="1"/>
      <c r="Q88" s="15"/>
      <c r="R88" s="15"/>
      <c r="S88" s="1"/>
      <c r="T88" s="21"/>
      <c r="U88" s="1"/>
      <c r="V88" s="21"/>
      <c r="W88" s="15" t="s">
        <v>84</v>
      </c>
      <c r="X88" s="21">
        <f t="shared" si="34"/>
        <v>0</v>
      </c>
      <c r="Y88" s="21">
        <v>50</v>
      </c>
    </row>
    <row r="89" s="3" customFormat="1" ht="15.6" hidden="1" outlineLevel="2" spans="1:25">
      <c r="A89" s="15">
        <v>103</v>
      </c>
      <c r="B89" s="15">
        <v>25</v>
      </c>
      <c r="C89" s="14" t="s">
        <v>143</v>
      </c>
      <c r="D89" s="14" t="s">
        <v>11</v>
      </c>
      <c r="E89" s="15">
        <v>-1.5</v>
      </c>
      <c r="F89" s="1">
        <f>LOOKUP(E89,{0,-4,-3,-2,-1,0,1,2.4,3.8,5.2,6.6,8,9.4,10.8,12.2,13.6,15,17.2,19.4,21.5,23.6},{0,10,20,30,40,50,60,62,64,66,68,70,72,74,76,78,80,85,90,95,100})</f>
        <v>30</v>
      </c>
      <c r="G89" s="15">
        <v>240</v>
      </c>
      <c r="H89" s="1">
        <f>LOOKUP(G89,{0,170,175,180,185,190,195,199,203,207,211,215,219,223,227,231,235,243,250,255,260},{0,10,20,30,40,50,60,62,64,66,68,70,72,74,76,78,80,85,90,95,100})</f>
        <v>80</v>
      </c>
      <c r="I89" s="15">
        <v>11</v>
      </c>
      <c r="J89" s="1">
        <f>LOOKUP(I89,{0,2,3,4,5,6,7,8,9,10,11,12,13,14,15,16},{0,10,20,30,40,50,60,64,68,72,76,80,85,90,95,100})</f>
        <v>76</v>
      </c>
      <c r="K89" s="21"/>
      <c r="L89" s="21"/>
      <c r="M89" s="21">
        <f t="shared" ref="M89:M92" si="47">J89+L89</f>
        <v>76</v>
      </c>
      <c r="N89" s="15">
        <v>6.8</v>
      </c>
      <c r="O89" s="19">
        <f t="shared" ref="O89:O92" si="48">13-N89</f>
        <v>6.2</v>
      </c>
      <c r="P89" s="1">
        <f>LOOKUP(O89,{0,2.5,2.7,2.9,3.1,3.3,3.5,3.7,3.9,4.1,4.3,4.5,4.7,4.9,5.1,5.3,5.5,5.6,5.7,5.8,5.9},{0,10,20,30,40,50,60,62,64,66,68,70,72,74,76,78,80,85,90,95,100})</f>
        <v>100</v>
      </c>
      <c r="Q89" s="15">
        <v>3.25</v>
      </c>
      <c r="R89" s="15">
        <f t="shared" ref="R89:R92" si="49">10-Q89</f>
        <v>6.75</v>
      </c>
      <c r="S89" s="1">
        <f>LOOKUP(R89,{0,3.75,3.95,4.55,4.75,4.95,5.55,5.6,5.65,5.7,5.75,5.8,5.85,5.9,5.95,6,6.45,6.53,6.6,6.65,6.7},{0,10,20,30,40,50,60,62,64,66,68,70,72,74,76,78,80,85,90,95,100})</f>
        <v>100</v>
      </c>
      <c r="T89" s="21">
        <f>3.3-Q89</f>
        <v>0.0499999999999998</v>
      </c>
      <c r="U89" s="1">
        <f>LOOKUP(T89,{0,0.04,0.08,0.12,0.16,0.2,0.23,0.26,0.29,0.32,0.35},{0,1,2,3,4,5,6,7,8,9,10})</f>
        <v>1</v>
      </c>
      <c r="V89" s="21">
        <f t="shared" ref="V89:V92" si="50">S89+U89</f>
        <v>101</v>
      </c>
      <c r="W89" s="15"/>
      <c r="X89" s="21">
        <f t="shared" si="34"/>
        <v>58.6</v>
      </c>
      <c r="Y89" s="21">
        <f t="shared" ref="Y89:Y92" si="51">X89/0.7+L89+U89</f>
        <v>84.7142857142857</v>
      </c>
    </row>
    <row r="90" ht="15.6" hidden="1" outlineLevel="2" spans="1:25">
      <c r="A90" s="15">
        <v>103</v>
      </c>
      <c r="B90" s="15">
        <v>26</v>
      </c>
      <c r="C90" s="14" t="s">
        <v>144</v>
      </c>
      <c r="D90" s="14" t="s">
        <v>11</v>
      </c>
      <c r="E90" s="15">
        <v>13</v>
      </c>
      <c r="F90" s="1">
        <f>LOOKUP(E90,{0,-4,-3,-2,-1,0,1,2.4,3.8,5.2,6.6,8,9.4,10.8,12.2,13.6,15,17.2,19.4,21.5,23.6},{0,10,20,30,40,50,60,62,64,66,68,70,72,74,76,78,80,85,90,95,100})</f>
        <v>76</v>
      </c>
      <c r="G90" s="15">
        <v>210</v>
      </c>
      <c r="H90" s="1">
        <f>LOOKUP(G90,{0,170,175,180,185,190,195,199,203,207,211,215,219,223,227,231,235,243,250,255,260},{0,10,20,30,40,50,60,62,64,66,68,70,72,74,76,78,80,85,90,95,100})</f>
        <v>66</v>
      </c>
      <c r="I90" s="15">
        <v>1</v>
      </c>
      <c r="J90" s="1">
        <f>LOOKUP(I90,{0,2,3,4,5,6,7,8,9,10,11,12,13,14,15,16},{0,10,20,30,40,50,60,64,68,72,76,80,85,90,95,100})</f>
        <v>0</v>
      </c>
      <c r="K90" s="21"/>
      <c r="L90" s="21"/>
      <c r="M90" s="21">
        <f t="shared" si="47"/>
        <v>0</v>
      </c>
      <c r="N90" s="15">
        <v>7.7</v>
      </c>
      <c r="O90" s="19">
        <f t="shared" si="48"/>
        <v>5.3</v>
      </c>
      <c r="P90" s="1">
        <f>LOOKUP(O90,{0,2.5,2.7,2.9,3.1,3.3,3.5,3.7,3.9,4.1,4.3,4.5,4.7,4.9,5.1,5.3,5.5,5.6,5.7,5.8,5.9},{0,10,20,30,40,50,60,62,64,66,68,70,72,74,76,78,80,85,90,95,100})</f>
        <v>78</v>
      </c>
      <c r="Q90" s="15">
        <v>4.02</v>
      </c>
      <c r="R90" s="15">
        <f t="shared" si="49"/>
        <v>5.98</v>
      </c>
      <c r="S90" s="1">
        <f>LOOKUP(R90,{0,3.75,3.95,4.55,4.75,4.95,5.55,5.6,5.65,5.7,5.75,5.8,5.85,5.9,5.95,6,6.45,6.53,6.6,6.65,6.7},{0,10,20,30,40,50,60,62,64,66,68,70,72,74,76,78,80,85,90,95,100})</f>
        <v>76</v>
      </c>
      <c r="T90" s="21"/>
      <c r="U90" s="21"/>
      <c r="V90" s="21">
        <f t="shared" si="50"/>
        <v>76</v>
      </c>
      <c r="W90" s="15"/>
      <c r="X90" s="21">
        <f t="shared" si="34"/>
        <v>45</v>
      </c>
      <c r="Y90" s="21">
        <f t="shared" si="51"/>
        <v>64.2857142857143</v>
      </c>
    </row>
    <row r="91" ht="15.6" hidden="1" outlineLevel="2" spans="1:25">
      <c r="A91" s="15">
        <v>103</v>
      </c>
      <c r="B91" s="15">
        <v>27</v>
      </c>
      <c r="C91" s="14" t="s">
        <v>145</v>
      </c>
      <c r="D91" s="14" t="s">
        <v>11</v>
      </c>
      <c r="E91" s="15">
        <v>2.5</v>
      </c>
      <c r="F91" s="1">
        <f>LOOKUP(E91,{0,-4,-3,-2,-1,0,1,2.4,3.8,5.2,6.6,8,9.4,10.8,12.2,13.6,15,17.2,19.4,21.5,23.6},{0,10,20,30,40,50,60,62,64,66,68,70,72,74,76,78,80,85,90,95,100})</f>
        <v>62</v>
      </c>
      <c r="G91" s="15">
        <v>260</v>
      </c>
      <c r="H91" s="1">
        <f>LOOKUP(G91,{0,170,175,180,185,190,195,199,203,207,211,215,219,223,227,231,235,243,250,255,260},{0,10,20,30,40,50,60,62,64,66,68,70,72,74,76,78,80,85,90,95,100})</f>
        <v>100</v>
      </c>
      <c r="I91" s="15">
        <v>11</v>
      </c>
      <c r="J91" s="1">
        <f>LOOKUP(I91,{0,2,3,4,5,6,7,8,9,10,11,12,13,14,15,16},{0,10,20,30,40,50,60,64,68,72,76,80,85,90,95,100})</f>
        <v>76</v>
      </c>
      <c r="K91" s="21"/>
      <c r="L91" s="21"/>
      <c r="M91" s="21">
        <f t="shared" si="47"/>
        <v>76</v>
      </c>
      <c r="N91" s="15">
        <v>7.1</v>
      </c>
      <c r="O91" s="19">
        <f t="shared" si="48"/>
        <v>5.9</v>
      </c>
      <c r="P91" s="1">
        <f>LOOKUP(O91,{0,2.5,2.7,2.9,3.1,3.3,3.5,3.7,3.9,4.1,4.3,4.5,4.7,4.9,5.1,5.3,5.5,5.6,5.7,5.8,5.9},{0,10,20,30,40,50,60,62,64,66,68,70,72,74,76,78,80,85,90,95,100})</f>
        <v>100</v>
      </c>
      <c r="Q91" s="15">
        <v>3.48</v>
      </c>
      <c r="R91" s="15">
        <f t="shared" si="49"/>
        <v>6.52</v>
      </c>
      <c r="S91" s="1">
        <f>LOOKUP(R91,{0,3.75,3.95,4.55,4.75,4.95,5.55,5.6,5.65,5.7,5.75,5.8,5.85,5.9,5.95,6,6.45,6.53,6.6,6.65,6.7},{0,10,20,30,40,50,60,62,64,66,68,70,72,74,76,78,80,85,90,95,100})</f>
        <v>80</v>
      </c>
      <c r="T91" s="21"/>
      <c r="U91" s="21"/>
      <c r="V91" s="21">
        <f t="shared" si="50"/>
        <v>80</v>
      </c>
      <c r="W91" s="15"/>
      <c r="X91" s="21">
        <f t="shared" si="34"/>
        <v>59.8</v>
      </c>
      <c r="Y91" s="21">
        <f t="shared" si="51"/>
        <v>85.4285714285714</v>
      </c>
    </row>
    <row r="92" ht="15.6" hidden="1" outlineLevel="2" spans="1:25">
      <c r="A92" s="15">
        <v>103</v>
      </c>
      <c r="B92" s="15">
        <v>28</v>
      </c>
      <c r="C92" s="14" t="s">
        <v>146</v>
      </c>
      <c r="D92" s="14" t="s">
        <v>11</v>
      </c>
      <c r="E92" s="15">
        <v>3</v>
      </c>
      <c r="F92" s="1">
        <f>LOOKUP(E92,{0,-4,-3,-2,-1,0,1,2.4,3.8,5.2,6.6,8,9.4,10.8,12.2,13.6,15,17.2,19.4,21.5,23.6},{0,10,20,30,40,50,60,62,64,66,68,70,72,74,76,78,80,85,90,95,100})</f>
        <v>62</v>
      </c>
      <c r="G92" s="15">
        <v>235</v>
      </c>
      <c r="H92" s="1">
        <f>LOOKUP(G92,{0,170,175,180,185,190,195,199,203,207,211,215,219,223,227,231,235,243,250,255,260},{0,10,20,30,40,50,60,62,64,66,68,70,72,74,76,78,80,85,90,95,100})</f>
        <v>80</v>
      </c>
      <c r="I92" s="15">
        <v>7</v>
      </c>
      <c r="J92" s="1">
        <f>LOOKUP(I92,{0,2,3,4,5,6,7,8,9,10,11,12,13,14,15,16},{0,10,20,30,40,50,60,64,68,72,76,80,85,90,95,100})</f>
        <v>60</v>
      </c>
      <c r="K92" s="21"/>
      <c r="L92" s="21"/>
      <c r="M92" s="21">
        <f t="shared" si="47"/>
        <v>60</v>
      </c>
      <c r="N92" s="15">
        <v>7.3</v>
      </c>
      <c r="O92" s="19">
        <f t="shared" si="48"/>
        <v>5.7</v>
      </c>
      <c r="P92" s="1">
        <f>LOOKUP(O92,{0,2.5,2.7,2.9,3.1,3.3,3.5,3.7,3.9,4.1,4.3,4.5,4.7,4.9,5.1,5.3,5.5,5.6,5.7,5.8,5.9},{0,10,20,30,40,50,60,62,64,66,68,70,72,74,76,78,80,85,90,95,100})</f>
        <v>90</v>
      </c>
      <c r="Q92" s="15">
        <v>3.53</v>
      </c>
      <c r="R92" s="15">
        <f t="shared" si="49"/>
        <v>6.47</v>
      </c>
      <c r="S92" s="1">
        <f>LOOKUP(R92,{0,3.75,3.95,4.55,4.75,4.95,5.55,5.6,5.65,5.7,5.75,5.8,5.85,5.9,5.95,6,6.45,6.53,6.6,6.65,6.7},{0,10,20,30,40,50,60,62,64,66,68,70,72,74,76,78,80,85,90,95,100})</f>
        <v>80</v>
      </c>
      <c r="T92" s="21"/>
      <c r="U92" s="21"/>
      <c r="V92" s="21">
        <f t="shared" si="50"/>
        <v>80</v>
      </c>
      <c r="W92" s="15"/>
      <c r="X92" s="21">
        <f t="shared" si="34"/>
        <v>54.2</v>
      </c>
      <c r="Y92" s="21">
        <f t="shared" si="51"/>
        <v>77.4285714285714</v>
      </c>
    </row>
    <row r="93" ht="15.6" outlineLevel="1" collapsed="1" spans="1:25">
      <c r="A93" s="16" t="s">
        <v>844</v>
      </c>
      <c r="B93" s="15"/>
      <c r="C93" s="14"/>
      <c r="D93" s="14"/>
      <c r="E93" s="15"/>
      <c r="F93" s="1">
        <f>SUBTOTAL(1,F65:F92)</f>
        <v>69.16</v>
      </c>
      <c r="G93" s="15"/>
      <c r="H93" s="1">
        <f>SUBTOTAL(1,H65:H92)</f>
        <v>78.24</v>
      </c>
      <c r="I93" s="15"/>
      <c r="J93" s="1">
        <f>SUBTOTAL(1,J65:J92)</f>
        <v>72.72</v>
      </c>
      <c r="K93" s="21"/>
      <c r="L93" s="21"/>
      <c r="M93" s="21">
        <f>SUBTOTAL(1,M65:M92)</f>
        <v>73.88</v>
      </c>
      <c r="N93" s="15"/>
      <c r="O93" s="19"/>
      <c r="P93" s="1">
        <f>SUBTOTAL(1,P65:P92)</f>
        <v>90.7391304347826</v>
      </c>
      <c r="Q93" s="15"/>
      <c r="R93" s="15"/>
      <c r="S93" s="1">
        <f>SUBTOTAL(1,S65:S92)</f>
        <v>83.92</v>
      </c>
      <c r="T93" s="21"/>
      <c r="U93" s="21"/>
      <c r="V93" s="21">
        <f>SUBTOTAL(1,V65:V92)</f>
        <v>84.24</v>
      </c>
      <c r="W93" s="15"/>
      <c r="X93" s="21">
        <f>SUBTOTAL(1,X65:X92)</f>
        <v>49.5464285714286</v>
      </c>
      <c r="Y93" s="21">
        <f>SUBTOTAL(1,Y65:Y92)</f>
        <v>77.7142857142857</v>
      </c>
    </row>
    <row r="94" ht="15.6" hidden="1" outlineLevel="2" spans="1:25">
      <c r="A94" s="15">
        <v>104</v>
      </c>
      <c r="B94" s="15">
        <v>1</v>
      </c>
      <c r="C94" s="13" t="s">
        <v>168</v>
      </c>
      <c r="D94" s="14" t="s">
        <v>11</v>
      </c>
      <c r="E94" s="15">
        <v>13</v>
      </c>
      <c r="F94" s="1">
        <f>LOOKUP(E94,{0,-4,-3,-2,-1,0,1,2.4,3.8,5.2,6.6,8,9.4,10.8,12.2,13.6,15,17.2,19.4,21.5,23.6},{0,10,20,30,40,50,60,62,64,66,68,70,72,74,76,78,80,85,90,95,100})</f>
        <v>76</v>
      </c>
      <c r="G94" s="15">
        <v>206</v>
      </c>
      <c r="H94" s="1">
        <f>LOOKUP(G94,{0,170,175,180,185,190,195,199,203,207,211,215,219,223,227,231,235,243,250,255,260},{0,10,20,30,40,50,60,62,64,66,68,70,72,74,76,78,80,85,90,95,100})</f>
        <v>64</v>
      </c>
      <c r="I94" s="15">
        <v>0</v>
      </c>
      <c r="J94" s="1">
        <f>LOOKUP(I94,{0,2,3,4,5,6,7,8,9,10,11,12,13,14,15,16},{0,10,20,30,40,50,60,64,68,72,76,80,85,90,95,100})</f>
        <v>0</v>
      </c>
      <c r="K94" s="21"/>
      <c r="L94" s="21"/>
      <c r="M94" s="21">
        <f t="shared" ref="M94:M101" si="52">J94+L94</f>
        <v>0</v>
      </c>
      <c r="N94" s="15">
        <v>7.3</v>
      </c>
      <c r="O94" s="19">
        <f t="shared" ref="O94:O101" si="53">13-N94</f>
        <v>5.7</v>
      </c>
      <c r="P94" s="1">
        <f>LOOKUP(O94,{0,2.5,2.7,2.9,3.1,3.3,3.5,3.7,3.9,4.1,4.3,4.5,4.7,4.9,5.1,5.3,5.5,5.6,5.7,5.8,5.9},{0,10,20,30,40,50,60,62,64,66,68,70,72,74,76,78,80,85,90,95,100})</f>
        <v>90</v>
      </c>
      <c r="Q94" s="15">
        <v>4.06</v>
      </c>
      <c r="R94" s="15">
        <f t="shared" ref="R94:R101" si="54">10-Q94</f>
        <v>5.94</v>
      </c>
      <c r="S94" s="1">
        <f>LOOKUP(R94,{0,3.75,3.95,4.55,4.75,4.95,5.55,5.6,5.65,5.7,5.75,5.8,5.85,5.9,5.95,6,6.45,6.53,6.6,6.65,6.7},{0,10,20,30,40,50,60,62,64,66,68,70,72,74,76,78,80,85,90,95,100})</f>
        <v>74</v>
      </c>
      <c r="T94" s="21"/>
      <c r="U94" s="21"/>
      <c r="V94" s="21">
        <f t="shared" ref="V94:V101" si="55">S94+U94</f>
        <v>74</v>
      </c>
      <c r="W94" s="15"/>
      <c r="X94" s="21">
        <f t="shared" ref="X94:X121" si="56">F94*0.1+H94*0.1+J94*0.1+P94*0.2+S94*0.2</f>
        <v>46.8</v>
      </c>
      <c r="Y94" s="21">
        <f t="shared" ref="Y94:Y101" si="57">X94/0.7+L94+U94</f>
        <v>66.8571428571429</v>
      </c>
    </row>
    <row r="95" s="3" customFormat="1" ht="15.6" hidden="1" outlineLevel="2" spans="1:25">
      <c r="A95" s="15">
        <v>104</v>
      </c>
      <c r="B95" s="15">
        <v>2</v>
      </c>
      <c r="C95" s="14" t="s">
        <v>169</v>
      </c>
      <c r="D95" s="14" t="s">
        <v>11</v>
      </c>
      <c r="E95" s="15">
        <v>18.5</v>
      </c>
      <c r="F95" s="1">
        <f>LOOKUP(E95,{0,-4,-3,-2,-1,0,1,2.4,3.8,5.2,6.6,8,9.4,10.8,12.2,13.6,15,17.2,19.4,21.5,23.6},{0,10,20,30,40,50,60,62,64,66,68,70,72,74,76,78,80,85,90,95,100})</f>
        <v>85</v>
      </c>
      <c r="G95" s="15">
        <v>206</v>
      </c>
      <c r="H95" s="1">
        <f>LOOKUP(G95,{0,170,175,180,185,190,195,199,203,207,211,215,219,223,227,231,235,243,250,255,260},{0,10,20,30,40,50,60,62,64,66,68,70,72,74,76,78,80,85,90,95,100})</f>
        <v>64</v>
      </c>
      <c r="I95" s="15">
        <v>0</v>
      </c>
      <c r="J95" s="1">
        <f>LOOKUP(I95,{0,2,3,4,5,6,7,8,9,10,11,12,13,14,15,16},{0,10,20,30,40,50,60,64,68,72,76,80,85,90,95,100})</f>
        <v>0</v>
      </c>
      <c r="K95" s="21"/>
      <c r="L95" s="21"/>
      <c r="M95" s="21">
        <f t="shared" si="52"/>
        <v>0</v>
      </c>
      <c r="N95" s="15">
        <v>7.8</v>
      </c>
      <c r="O95" s="19">
        <f t="shared" si="53"/>
        <v>5.2</v>
      </c>
      <c r="P95" s="1">
        <f>LOOKUP(O95,{0,2.5,2.7,2.9,3.1,3.3,3.5,3.7,3.9,4.1,4.3,4.5,4.7,4.9,5.1,5.3,5.5,5.6,5.7,5.8,5.9},{0,10,20,30,40,50,60,62,64,66,68,70,72,74,76,78,80,85,90,95,100})</f>
        <v>76</v>
      </c>
      <c r="Q95" s="15">
        <v>4.42</v>
      </c>
      <c r="R95" s="15">
        <f t="shared" si="54"/>
        <v>5.58</v>
      </c>
      <c r="S95" s="1">
        <f>LOOKUP(R95,{0,3.75,3.95,4.55,4.75,4.95,5.55,5.6,5.65,5.7,5.75,5.8,5.85,5.9,5.95,6,6.45,6.53,6.6,6.65,6.7},{0,10,20,30,40,50,60,62,64,66,68,70,72,74,76,78,80,85,90,95,100})</f>
        <v>60</v>
      </c>
      <c r="T95" s="21"/>
      <c r="U95" s="21"/>
      <c r="V95" s="21">
        <f t="shared" si="55"/>
        <v>60</v>
      </c>
      <c r="W95" s="15"/>
      <c r="X95" s="21">
        <f t="shared" si="56"/>
        <v>42.1</v>
      </c>
      <c r="Y95" s="21">
        <f t="shared" si="57"/>
        <v>60.1428571428571</v>
      </c>
    </row>
    <row r="96" ht="15.6" hidden="1" outlineLevel="2" spans="1:25">
      <c r="A96" s="15">
        <v>104</v>
      </c>
      <c r="B96" s="15">
        <v>3</v>
      </c>
      <c r="C96" s="14" t="s">
        <v>170</v>
      </c>
      <c r="D96" s="14" t="s">
        <v>11</v>
      </c>
      <c r="E96" s="15">
        <v>13</v>
      </c>
      <c r="F96" s="1">
        <f>LOOKUP(E96,{0,-4,-3,-2,-1,0,1,2.4,3.8,5.2,6.6,8,9.4,10.8,12.2,13.6,15,17.2,19.4,21.5,23.6},{0,10,20,30,40,50,60,62,64,66,68,70,72,74,76,78,80,85,90,95,100})</f>
        <v>76</v>
      </c>
      <c r="G96" s="15">
        <v>202</v>
      </c>
      <c r="H96" s="1">
        <f>LOOKUP(G96,{0,170,175,180,185,190,195,199,203,207,211,215,219,223,227,231,235,243,250,255,260},{0,10,20,30,40,50,60,62,64,66,68,70,72,74,76,78,80,85,90,95,100})</f>
        <v>62</v>
      </c>
      <c r="I96" s="15">
        <v>3</v>
      </c>
      <c r="J96" s="1">
        <f>LOOKUP(I96,{0,2,3,4,5,6,7,8,9,10,11,12,13,14,15,16},{0,10,20,30,40,50,60,64,68,72,76,80,85,90,95,100})</f>
        <v>20</v>
      </c>
      <c r="K96" s="21"/>
      <c r="L96" s="21"/>
      <c r="M96" s="21">
        <f t="shared" si="52"/>
        <v>20</v>
      </c>
      <c r="N96" s="15">
        <v>7.6</v>
      </c>
      <c r="O96" s="19">
        <f t="shared" si="53"/>
        <v>5.4</v>
      </c>
      <c r="P96" s="1">
        <f>LOOKUP(O96,{0,2.5,2.7,2.9,3.1,3.3,3.5,3.7,3.9,4.1,4.3,4.5,4.7,4.9,5.1,5.3,5.5,5.6,5.7,5.8,5.9},{0,10,20,30,40,50,60,62,64,66,68,70,72,74,76,78,80,85,90,95,100})</f>
        <v>78</v>
      </c>
      <c r="Q96" s="15">
        <v>3.4</v>
      </c>
      <c r="R96" s="15">
        <f t="shared" si="54"/>
        <v>6.6</v>
      </c>
      <c r="S96" s="1">
        <f>LOOKUP(R96,{0,3.75,3.95,4.55,4.75,4.95,5.55,5.6,5.65,5.7,5.75,5.8,5.85,5.9,5.95,6,6.45,6.53,6.6,6.65,6.7},{0,10,20,30,40,50,60,62,64,66,68,70,72,74,76,78,80,85,90,95,100})</f>
        <v>90</v>
      </c>
      <c r="T96" s="21"/>
      <c r="U96" s="21"/>
      <c r="V96" s="21">
        <f t="shared" si="55"/>
        <v>90</v>
      </c>
      <c r="W96" s="15"/>
      <c r="X96" s="21">
        <f t="shared" si="56"/>
        <v>49.4</v>
      </c>
      <c r="Y96" s="21">
        <f t="shared" si="57"/>
        <v>70.5714285714286</v>
      </c>
    </row>
    <row r="97" ht="15.6" hidden="1" outlineLevel="2" spans="1:25">
      <c r="A97" s="15">
        <v>104</v>
      </c>
      <c r="B97" s="15">
        <v>4</v>
      </c>
      <c r="C97" s="14" t="s">
        <v>171</v>
      </c>
      <c r="D97" s="14" t="s">
        <v>11</v>
      </c>
      <c r="E97" s="15">
        <v>13.2</v>
      </c>
      <c r="F97" s="1">
        <f>LOOKUP(E97,{0,-4,-3,-2,-1,0,1,2.4,3.8,5.2,6.6,8,9.4,10.8,12.2,13.6,15,17.2,19.4,21.5,23.6},{0,10,20,30,40,50,60,62,64,66,68,70,72,74,76,78,80,85,90,95,100})</f>
        <v>76</v>
      </c>
      <c r="G97" s="15">
        <v>235</v>
      </c>
      <c r="H97" s="1">
        <f>LOOKUP(G97,{0,170,175,180,185,190,195,199,203,207,211,215,219,223,227,231,235,243,250,255,260},{0,10,20,30,40,50,60,62,64,66,68,70,72,74,76,78,80,85,90,95,100})</f>
        <v>80</v>
      </c>
      <c r="I97" s="15">
        <v>5</v>
      </c>
      <c r="J97" s="1">
        <f>LOOKUP(I97,{0,2,3,4,5,6,7,8,9,10,11,12,13,14,15,16},{0,10,20,30,40,50,60,64,68,72,76,80,85,90,95,100})</f>
        <v>40</v>
      </c>
      <c r="K97" s="21"/>
      <c r="L97" s="21"/>
      <c r="M97" s="21">
        <f t="shared" si="52"/>
        <v>40</v>
      </c>
      <c r="N97" s="15">
        <v>7.3</v>
      </c>
      <c r="O97" s="19">
        <f t="shared" si="53"/>
        <v>5.7</v>
      </c>
      <c r="P97" s="1">
        <f>LOOKUP(O97,{0,2.5,2.7,2.9,3.1,3.3,3.5,3.7,3.9,4.1,4.3,4.5,4.7,4.9,5.1,5.3,5.5,5.6,5.7,5.8,5.9},{0,10,20,30,40,50,60,62,64,66,68,70,72,74,76,78,80,85,90,95,100})</f>
        <v>90</v>
      </c>
      <c r="Q97" s="15">
        <v>4.02</v>
      </c>
      <c r="R97" s="15">
        <f t="shared" si="54"/>
        <v>5.98</v>
      </c>
      <c r="S97" s="1">
        <f>LOOKUP(R97,{0,3.75,3.95,4.55,4.75,4.95,5.55,5.6,5.65,5.7,5.75,5.8,5.85,5.9,5.95,6,6.45,6.53,6.6,6.65,6.7},{0,10,20,30,40,50,60,62,64,66,68,70,72,74,76,78,80,85,90,95,100})</f>
        <v>76</v>
      </c>
      <c r="T97" s="21"/>
      <c r="U97" s="21"/>
      <c r="V97" s="21">
        <f t="shared" si="55"/>
        <v>76</v>
      </c>
      <c r="W97" s="15"/>
      <c r="X97" s="21">
        <f t="shared" si="56"/>
        <v>52.8</v>
      </c>
      <c r="Y97" s="21">
        <f t="shared" si="57"/>
        <v>75.4285714285714</v>
      </c>
    </row>
    <row r="98" ht="15.6" hidden="1" outlineLevel="2" spans="1:25">
      <c r="A98" s="15">
        <v>104</v>
      </c>
      <c r="B98" s="15">
        <v>5</v>
      </c>
      <c r="C98" s="14" t="s">
        <v>172</v>
      </c>
      <c r="D98" s="14" t="s">
        <v>11</v>
      </c>
      <c r="E98" s="15">
        <v>19.4</v>
      </c>
      <c r="F98" s="1">
        <f>LOOKUP(E98,{0,-4,-3,-2,-1,0,1,2.4,3.8,5.2,6.6,8,9.4,10.8,12.2,13.6,15,17.2,19.4,21.5,23.6},{0,10,20,30,40,50,60,62,64,66,68,70,72,74,76,78,80,85,90,95,100})</f>
        <v>90</v>
      </c>
      <c r="G98" s="15">
        <v>234</v>
      </c>
      <c r="H98" s="1">
        <f>LOOKUP(G98,{0,170,175,180,185,190,195,199,203,207,211,215,219,223,227,231,235,243,250,255,260},{0,10,20,30,40,50,60,62,64,66,68,70,72,74,76,78,80,85,90,95,100})</f>
        <v>78</v>
      </c>
      <c r="I98" s="15">
        <v>11</v>
      </c>
      <c r="J98" s="1">
        <f>LOOKUP(I98,{0,2,3,4,5,6,7,8,9,10,11,12,13,14,15,16},{0,10,20,30,40,50,60,64,68,72,76,80,85,90,95,100})</f>
        <v>76</v>
      </c>
      <c r="K98" s="21"/>
      <c r="L98" s="21"/>
      <c r="M98" s="21">
        <f t="shared" si="52"/>
        <v>76</v>
      </c>
      <c r="N98" s="15">
        <v>7.3</v>
      </c>
      <c r="O98" s="19">
        <f t="shared" si="53"/>
        <v>5.7</v>
      </c>
      <c r="P98" s="1">
        <f>LOOKUP(O98,{0,2.5,2.7,2.9,3.1,3.3,3.5,3.7,3.9,4.1,4.3,4.5,4.7,4.9,5.1,5.3,5.5,5.6,5.7,5.8,5.9},{0,10,20,30,40,50,60,62,64,66,68,70,72,74,76,78,80,85,90,95,100})</f>
        <v>90</v>
      </c>
      <c r="Q98" s="15">
        <v>4.16</v>
      </c>
      <c r="R98" s="15">
        <f t="shared" si="54"/>
        <v>5.84</v>
      </c>
      <c r="S98" s="1">
        <f>LOOKUP(R98,{0,3.75,3.95,4.55,4.75,4.95,5.55,5.6,5.65,5.7,5.75,5.8,5.85,5.9,5.95,6,6.45,6.53,6.6,6.65,6.7},{0,10,20,30,40,50,60,62,64,66,68,70,72,74,76,78,80,85,90,95,100})</f>
        <v>70</v>
      </c>
      <c r="T98" s="21"/>
      <c r="U98" s="21"/>
      <c r="V98" s="21">
        <f t="shared" si="55"/>
        <v>70</v>
      </c>
      <c r="W98" s="15"/>
      <c r="X98" s="21">
        <f t="shared" si="56"/>
        <v>56.4</v>
      </c>
      <c r="Y98" s="21">
        <f t="shared" si="57"/>
        <v>80.5714285714286</v>
      </c>
    </row>
    <row r="99" ht="15.6" hidden="1" outlineLevel="2" spans="1:25">
      <c r="A99" s="15">
        <v>104</v>
      </c>
      <c r="B99" s="15">
        <v>6</v>
      </c>
      <c r="C99" s="14" t="s">
        <v>173</v>
      </c>
      <c r="D99" s="14" t="s">
        <v>11</v>
      </c>
      <c r="E99" s="15">
        <v>10.7</v>
      </c>
      <c r="F99" s="1">
        <f>LOOKUP(E99,{0,-4,-3,-2,-1,0,1,2.4,3.8,5.2,6.6,8,9.4,10.8,12.2,13.6,15,17.2,19.4,21.5,23.6},{0,10,20,30,40,50,60,62,64,66,68,70,72,74,76,78,80,85,90,95,100})</f>
        <v>72</v>
      </c>
      <c r="G99" s="15">
        <v>220</v>
      </c>
      <c r="H99" s="1">
        <f>LOOKUP(G99,{0,170,175,180,185,190,195,199,203,207,211,215,219,223,227,231,235,243,250,255,260},{0,10,20,30,40,50,60,62,64,66,68,70,72,74,76,78,80,85,90,95,100})</f>
        <v>72</v>
      </c>
      <c r="I99" s="15">
        <v>20</v>
      </c>
      <c r="J99" s="1">
        <f>LOOKUP(I99,{0,2,3,4,5,6,7,8,9,10,11,12,13,14,15,16},{0,10,20,30,40,50,60,64,68,72,76,80,85,90,95,100})</f>
        <v>100</v>
      </c>
      <c r="K99" s="21">
        <f>I99-16</f>
        <v>4</v>
      </c>
      <c r="L99" s="1">
        <f>LOOKUP(K99,{0,1,2,3,4,5,6,7,8,9,10},{0,1,2,3,4,5,6,7,8,9,10})</f>
        <v>4</v>
      </c>
      <c r="M99" s="21">
        <f t="shared" si="52"/>
        <v>104</v>
      </c>
      <c r="N99" s="15">
        <v>7.3</v>
      </c>
      <c r="O99" s="19">
        <f t="shared" si="53"/>
        <v>5.7</v>
      </c>
      <c r="P99" s="1">
        <f>LOOKUP(O99,{0,2.5,2.7,2.9,3.1,3.3,3.5,3.7,3.9,4.1,4.3,4.5,4.7,4.9,5.1,5.3,5.5,5.6,5.7,5.8,5.9},{0,10,20,30,40,50,60,62,64,66,68,70,72,74,76,78,80,85,90,95,100})</f>
        <v>90</v>
      </c>
      <c r="Q99" s="15">
        <v>4.09</v>
      </c>
      <c r="R99" s="15">
        <f t="shared" si="54"/>
        <v>5.91</v>
      </c>
      <c r="S99" s="1">
        <f>LOOKUP(R99,{0,3.75,3.95,4.55,4.75,4.95,5.55,5.6,5.65,5.7,5.75,5.8,5.85,5.9,5.95,6,6.45,6.53,6.6,6.65,6.7},{0,10,20,30,40,50,60,62,64,66,68,70,72,74,76,78,80,85,90,95,100})</f>
        <v>74</v>
      </c>
      <c r="T99" s="21"/>
      <c r="U99" s="21"/>
      <c r="V99" s="21">
        <f t="shared" si="55"/>
        <v>74</v>
      </c>
      <c r="W99" s="15"/>
      <c r="X99" s="21">
        <f t="shared" si="56"/>
        <v>57.2</v>
      </c>
      <c r="Y99" s="21">
        <f t="shared" si="57"/>
        <v>85.7142857142857</v>
      </c>
    </row>
    <row r="100" ht="15.6" hidden="1" outlineLevel="2" spans="1:25">
      <c r="A100" s="15">
        <v>104</v>
      </c>
      <c r="B100" s="15">
        <v>7</v>
      </c>
      <c r="C100" s="14" t="s">
        <v>174</v>
      </c>
      <c r="D100" s="14" t="s">
        <v>11</v>
      </c>
      <c r="E100" s="15">
        <v>12</v>
      </c>
      <c r="F100" s="1">
        <f>LOOKUP(E100,{0,-4,-3,-2,-1,0,1,2.4,3.8,5.2,6.6,8,9.4,10.8,12.2,13.6,15,17.2,19.4,21.5,23.6},{0,10,20,30,40,50,60,62,64,66,68,70,72,74,76,78,80,85,90,95,100})</f>
        <v>74</v>
      </c>
      <c r="G100" s="15">
        <v>224</v>
      </c>
      <c r="H100" s="1">
        <f>LOOKUP(G100,{0,170,175,180,185,190,195,199,203,207,211,215,219,223,227,231,235,243,250,255,260},{0,10,20,30,40,50,60,62,64,66,68,70,72,74,76,78,80,85,90,95,100})</f>
        <v>74</v>
      </c>
      <c r="I100" s="15">
        <v>10</v>
      </c>
      <c r="J100" s="1">
        <f>LOOKUP(I100,{0,2,3,4,5,6,7,8,9,10,11,12,13,14,15,16},{0,10,20,30,40,50,60,64,68,72,76,80,85,90,95,100})</f>
        <v>72</v>
      </c>
      <c r="K100" s="21"/>
      <c r="L100" s="21"/>
      <c r="M100" s="21">
        <f t="shared" si="52"/>
        <v>72</v>
      </c>
      <c r="N100" s="15">
        <v>7.4</v>
      </c>
      <c r="O100" s="19">
        <f t="shared" si="53"/>
        <v>5.6</v>
      </c>
      <c r="P100" s="1">
        <f>LOOKUP(O100,{0,2.5,2.7,2.9,3.1,3.3,3.5,3.7,3.9,4.1,4.3,4.5,4.7,4.9,5.1,5.3,5.5,5.6,5.7,5.8,5.9},{0,10,20,30,40,50,60,62,64,66,68,70,72,74,76,78,80,85,90,95,100})</f>
        <v>85</v>
      </c>
      <c r="Q100" s="15">
        <v>3.58</v>
      </c>
      <c r="R100" s="15">
        <f t="shared" si="54"/>
        <v>6.42</v>
      </c>
      <c r="S100" s="1">
        <f>LOOKUP(R100,{0,3.75,3.95,4.55,4.75,4.95,5.55,5.6,5.65,5.7,5.75,5.8,5.85,5.9,5.95,6,6.45,6.53,6.6,6.65,6.7},{0,10,20,30,40,50,60,62,64,66,68,70,72,74,76,78,80,85,90,95,100})</f>
        <v>78</v>
      </c>
      <c r="T100" s="21"/>
      <c r="U100" s="21"/>
      <c r="V100" s="21">
        <f t="shared" si="55"/>
        <v>78</v>
      </c>
      <c r="W100" s="15"/>
      <c r="X100" s="21">
        <f t="shared" si="56"/>
        <v>54.6</v>
      </c>
      <c r="Y100" s="21">
        <f t="shared" si="57"/>
        <v>78</v>
      </c>
    </row>
    <row r="101" ht="15.6" hidden="1" outlineLevel="2" spans="1:25">
      <c r="A101" s="15">
        <v>104</v>
      </c>
      <c r="B101" s="15">
        <v>8</v>
      </c>
      <c r="C101" s="14" t="s">
        <v>175</v>
      </c>
      <c r="D101" s="14" t="s">
        <v>11</v>
      </c>
      <c r="E101" s="15">
        <v>13</v>
      </c>
      <c r="F101" s="1">
        <f>LOOKUP(E101,{0,-4,-3,-2,-1,0,1,2.4,3.8,5.2,6.6,8,9.4,10.8,12.2,13.6,15,17.2,19.4,21.5,23.6},{0,10,20,30,40,50,60,62,64,66,68,70,72,74,76,78,80,85,90,95,100})</f>
        <v>76</v>
      </c>
      <c r="G101" s="15">
        <v>210</v>
      </c>
      <c r="H101" s="1">
        <f>LOOKUP(G101,{0,170,175,180,185,190,195,199,203,207,211,215,219,223,227,231,235,243,250,255,260},{0,10,20,30,40,50,60,62,64,66,68,70,72,74,76,78,80,85,90,95,100})</f>
        <v>66</v>
      </c>
      <c r="I101" s="15">
        <v>19</v>
      </c>
      <c r="J101" s="1">
        <f>LOOKUP(I101,{0,2,3,4,5,6,7,8,9,10,11,12,13,14,15,16},{0,10,20,30,40,50,60,64,68,72,76,80,85,90,95,100})</f>
        <v>100</v>
      </c>
      <c r="K101" s="21">
        <f>I101-16</f>
        <v>3</v>
      </c>
      <c r="L101" s="1">
        <f>LOOKUP(K101,{0,1,2,3,4,5,6,7,8,9,10},{0,1,2,3,4,5,6,7,8,9,10})</f>
        <v>3</v>
      </c>
      <c r="M101" s="21">
        <f t="shared" si="52"/>
        <v>103</v>
      </c>
      <c r="N101" s="15">
        <v>7.6</v>
      </c>
      <c r="O101" s="19">
        <f t="shared" si="53"/>
        <v>5.4</v>
      </c>
      <c r="P101" s="1">
        <f>LOOKUP(O101,{0,2.5,2.7,2.9,3.1,3.3,3.5,3.7,3.9,4.1,4.3,4.5,4.7,4.9,5.1,5.3,5.5,5.6,5.7,5.8,5.9},{0,10,20,30,40,50,60,62,64,66,68,70,72,74,76,78,80,85,90,95,100})</f>
        <v>78</v>
      </c>
      <c r="Q101" s="15">
        <v>3.49</v>
      </c>
      <c r="R101" s="15">
        <f t="shared" si="54"/>
        <v>6.51</v>
      </c>
      <c r="S101" s="1">
        <f>LOOKUP(R101,{0,3.75,3.95,4.55,4.75,4.95,5.55,5.6,5.65,5.7,5.75,5.8,5.85,5.9,5.95,6,6.45,6.53,6.6,6.65,6.7},{0,10,20,30,40,50,60,62,64,66,68,70,72,74,76,78,80,85,90,95,100})</f>
        <v>80</v>
      </c>
      <c r="T101" s="21"/>
      <c r="U101" s="21"/>
      <c r="V101" s="21">
        <f t="shared" si="55"/>
        <v>80</v>
      </c>
      <c r="W101" s="15"/>
      <c r="X101" s="21">
        <f t="shared" si="56"/>
        <v>55.8</v>
      </c>
      <c r="Y101" s="21">
        <f t="shared" si="57"/>
        <v>82.7142857142857</v>
      </c>
    </row>
    <row r="102" ht="15.6" hidden="1" outlineLevel="2" spans="1:25">
      <c r="A102" s="15">
        <v>104</v>
      </c>
      <c r="B102" s="15">
        <v>9</v>
      </c>
      <c r="C102" s="14" t="s">
        <v>176</v>
      </c>
      <c r="D102" s="14" t="s">
        <v>11</v>
      </c>
      <c r="E102" s="15"/>
      <c r="F102" s="1"/>
      <c r="G102" s="15"/>
      <c r="H102" s="1"/>
      <c r="I102" s="15"/>
      <c r="J102" s="1"/>
      <c r="K102" s="21"/>
      <c r="L102" s="21"/>
      <c r="M102" s="21"/>
      <c r="N102" s="15"/>
      <c r="O102" s="19"/>
      <c r="P102" s="1"/>
      <c r="Q102" s="15"/>
      <c r="R102" s="15"/>
      <c r="S102" s="1"/>
      <c r="T102" s="21"/>
      <c r="U102" s="1"/>
      <c r="V102" s="21"/>
      <c r="W102" s="15" t="s">
        <v>84</v>
      </c>
      <c r="X102" s="21">
        <f t="shared" si="56"/>
        <v>0</v>
      </c>
      <c r="Y102" s="21">
        <v>50</v>
      </c>
    </row>
    <row r="103" ht="15.6" hidden="1" outlineLevel="2" spans="1:25">
      <c r="A103" s="15">
        <v>104</v>
      </c>
      <c r="B103" s="15">
        <v>10</v>
      </c>
      <c r="C103" s="14" t="s">
        <v>177</v>
      </c>
      <c r="D103" s="14" t="s">
        <v>11</v>
      </c>
      <c r="E103" s="15">
        <v>14.2</v>
      </c>
      <c r="F103" s="1">
        <f>LOOKUP(E103,{0,-4,-3,-2,-1,0,1,2.4,3.8,5.2,6.6,8,9.4,10.8,12.2,13.6,15,17.2,19.4,21.5,23.6},{0,10,20,30,40,50,60,62,64,66,68,70,72,74,76,78,80,85,90,95,100})</f>
        <v>78</v>
      </c>
      <c r="G103" s="15">
        <v>263</v>
      </c>
      <c r="H103" s="1">
        <f>LOOKUP(G103,{0,170,175,180,185,190,195,199,203,207,211,215,219,223,227,231,235,243,250,255,260},{0,10,20,30,40,50,60,62,64,66,68,70,72,74,76,78,80,85,90,95,100})</f>
        <v>100</v>
      </c>
      <c r="I103" s="15">
        <v>2</v>
      </c>
      <c r="J103" s="1">
        <f>LOOKUP(I103,{0,2,3,4,5,6,7,8,9,10,11,12,13,14,15,16},{0,10,20,30,40,50,60,64,68,72,76,80,85,90,95,100})</f>
        <v>10</v>
      </c>
      <c r="K103" s="21"/>
      <c r="L103" s="21"/>
      <c r="M103" s="21">
        <f t="shared" ref="M103:M105" si="58">J103+L103</f>
        <v>10</v>
      </c>
      <c r="N103" s="15">
        <v>6.7</v>
      </c>
      <c r="O103" s="19">
        <f t="shared" ref="O103:O105" si="59">13-N103</f>
        <v>6.3</v>
      </c>
      <c r="P103" s="1">
        <f>LOOKUP(O103,{0,2.5,2.7,2.9,3.1,3.3,3.5,3.7,3.9,4.1,4.3,4.5,4.7,4.9,5.1,5.3,5.5,5.6,5.7,5.8,5.9},{0,10,20,30,40,50,60,62,64,66,68,70,72,74,76,78,80,85,90,95,100})</f>
        <v>100</v>
      </c>
      <c r="Q103" s="15">
        <v>3.25</v>
      </c>
      <c r="R103" s="15">
        <f t="shared" ref="R103:R105" si="60">10-Q103</f>
        <v>6.75</v>
      </c>
      <c r="S103" s="1">
        <f>LOOKUP(R103,{0,3.75,3.95,4.55,4.75,4.95,5.55,5.6,5.65,5.7,5.75,5.8,5.85,5.9,5.95,6,6.45,6.53,6.6,6.65,6.7},{0,10,20,30,40,50,60,62,64,66,68,70,72,74,76,78,80,85,90,95,100})</f>
        <v>100</v>
      </c>
      <c r="T103" s="21">
        <f t="shared" ref="T103:T105" si="61">3.3-Q103</f>
        <v>0.0499999999999998</v>
      </c>
      <c r="U103" s="1">
        <f>LOOKUP(T103,{0,0.04,0.08,0.12,0.16,0.2,0.23,0.26,0.29,0.32,0.35},{0,1,2,3,4,5,6,7,8,9,10})</f>
        <v>1</v>
      </c>
      <c r="V103" s="21">
        <f t="shared" ref="V103:V105" si="62">S103+U103</f>
        <v>101</v>
      </c>
      <c r="W103" s="15"/>
      <c r="X103" s="21">
        <f t="shared" si="56"/>
        <v>58.8</v>
      </c>
      <c r="Y103" s="21">
        <f t="shared" ref="Y103:Y105" si="63">X103/0.7+L103+U103</f>
        <v>85</v>
      </c>
    </row>
    <row r="104" ht="15.6" hidden="1" outlineLevel="2" spans="1:25">
      <c r="A104" s="15">
        <v>104</v>
      </c>
      <c r="B104" s="15">
        <v>11</v>
      </c>
      <c r="C104" s="13" t="s">
        <v>179</v>
      </c>
      <c r="D104" s="14" t="s">
        <v>11</v>
      </c>
      <c r="E104" s="15">
        <v>5.1</v>
      </c>
      <c r="F104" s="1">
        <f>LOOKUP(E104,{0,-4,-3,-2,-1,0,1,2.4,3.8,5.2,6.6,8,9.4,10.8,12.2,13.6,15,17.2,19.4,21.5,23.6},{0,10,20,30,40,50,60,62,64,66,68,70,72,74,76,78,80,85,90,95,100})</f>
        <v>64</v>
      </c>
      <c r="G104" s="15">
        <v>248</v>
      </c>
      <c r="H104" s="1">
        <f>LOOKUP(G104,{0,170,175,180,185,190,195,199,203,207,211,215,219,223,227,231,235,243,250,255,260},{0,10,20,30,40,50,60,62,64,66,68,70,72,74,76,78,80,85,90,95,100})</f>
        <v>85</v>
      </c>
      <c r="I104" s="15">
        <v>13</v>
      </c>
      <c r="J104" s="1">
        <f>LOOKUP(I104,{0,2,3,4,5,6,7,8,9,10,11,12,13,14,15,16},{0,10,20,30,40,50,60,64,68,72,76,80,85,90,95,100})</f>
        <v>85</v>
      </c>
      <c r="K104" s="21"/>
      <c r="L104" s="21"/>
      <c r="M104" s="21">
        <f t="shared" si="58"/>
        <v>85</v>
      </c>
      <c r="N104" s="15">
        <v>6.7</v>
      </c>
      <c r="O104" s="19">
        <f t="shared" si="59"/>
        <v>6.3</v>
      </c>
      <c r="P104" s="1">
        <f>LOOKUP(O104,{0,2.5,2.7,2.9,3.1,3.3,3.5,3.7,3.9,4.1,4.3,4.5,4.7,4.9,5.1,5.3,5.5,5.6,5.7,5.8,5.9},{0,10,20,30,40,50,60,62,64,66,68,70,72,74,76,78,80,85,90,95,100})</f>
        <v>100</v>
      </c>
      <c r="Q104" s="15">
        <v>3.21</v>
      </c>
      <c r="R104" s="15">
        <f t="shared" si="60"/>
        <v>6.79</v>
      </c>
      <c r="S104" s="1">
        <f>LOOKUP(R104,{0,3.75,3.95,4.55,4.75,4.95,5.55,5.6,5.65,5.7,5.75,5.8,5.85,5.9,5.95,6,6.45,6.53,6.6,6.65,6.7},{0,10,20,30,40,50,60,62,64,66,68,70,72,74,76,78,80,85,90,95,100})</f>
        <v>100</v>
      </c>
      <c r="T104" s="21">
        <f t="shared" si="61"/>
        <v>0.0899999999999999</v>
      </c>
      <c r="U104" s="1">
        <f>LOOKUP(T104,{0,0.04,0.08,0.12,0.16,0.2,0.23,0.26,0.29,0.32,0.35},{0,1,2,3,4,5,6,7,8,9,10})</f>
        <v>2</v>
      </c>
      <c r="V104" s="21">
        <f t="shared" si="62"/>
        <v>102</v>
      </c>
      <c r="W104" s="15"/>
      <c r="X104" s="21">
        <f t="shared" si="56"/>
        <v>63.4</v>
      </c>
      <c r="Y104" s="21">
        <f t="shared" si="63"/>
        <v>92.5714285714286</v>
      </c>
    </row>
    <row r="105" ht="15.6" hidden="1" outlineLevel="2" spans="1:25">
      <c r="A105" s="15">
        <v>104</v>
      </c>
      <c r="B105" s="15">
        <v>12</v>
      </c>
      <c r="C105" s="14" t="s">
        <v>180</v>
      </c>
      <c r="D105" s="14" t="s">
        <v>11</v>
      </c>
      <c r="E105" s="15">
        <v>10.2</v>
      </c>
      <c r="F105" s="1">
        <f>LOOKUP(E105,{0,-4,-3,-2,-1,0,1,2.4,3.8,5.2,6.6,8,9.4,10.8,12.2,13.6,15,17.2,19.4,21.5,23.6},{0,10,20,30,40,50,60,62,64,66,68,70,72,74,76,78,80,85,90,95,100})</f>
        <v>72</v>
      </c>
      <c r="G105" s="15">
        <v>243</v>
      </c>
      <c r="H105" s="1">
        <f>LOOKUP(G105,{0,170,175,180,185,190,195,199,203,207,211,215,219,223,227,231,235,243,250,255,260},{0,10,20,30,40,50,60,62,64,66,68,70,72,74,76,78,80,85,90,95,100})</f>
        <v>85</v>
      </c>
      <c r="I105" s="15">
        <v>18</v>
      </c>
      <c r="J105" s="1">
        <f>LOOKUP(I105,{0,2,3,4,5,6,7,8,9,10,11,12,13,14,15,16},{0,10,20,30,40,50,60,64,68,72,76,80,85,90,95,100})</f>
        <v>100</v>
      </c>
      <c r="K105" s="21">
        <f>I105-16</f>
        <v>2</v>
      </c>
      <c r="L105" s="1">
        <f>LOOKUP(K105,{0,1,2,3,4,5,6,7,8,9,10},{0,1,2,3,4,5,6,7,8,9,10})</f>
        <v>2</v>
      </c>
      <c r="M105" s="21">
        <f t="shared" si="58"/>
        <v>102</v>
      </c>
      <c r="N105" s="15">
        <v>6.8</v>
      </c>
      <c r="O105" s="19">
        <f t="shared" si="59"/>
        <v>6.2</v>
      </c>
      <c r="P105" s="1">
        <f>LOOKUP(O105,{0,2.5,2.7,2.9,3.1,3.3,3.5,3.7,3.9,4.1,4.3,4.5,4.7,4.9,5.1,5.3,5.5,5.6,5.7,5.8,5.9},{0,10,20,30,40,50,60,62,64,66,68,70,72,74,76,78,80,85,90,95,100})</f>
        <v>100</v>
      </c>
      <c r="Q105" s="15">
        <v>3.24</v>
      </c>
      <c r="R105" s="15">
        <f t="shared" si="60"/>
        <v>6.76</v>
      </c>
      <c r="S105" s="1">
        <f>LOOKUP(R105,{0,3.75,3.95,4.55,4.75,4.95,5.55,5.6,5.65,5.7,5.75,5.8,5.85,5.9,5.95,6,6.45,6.53,6.6,6.65,6.7},{0,10,20,30,40,50,60,62,64,66,68,70,72,74,76,78,80,85,90,95,100})</f>
        <v>100</v>
      </c>
      <c r="T105" s="21">
        <f t="shared" si="61"/>
        <v>0.0599999999999996</v>
      </c>
      <c r="U105" s="1">
        <f>LOOKUP(T105,{0,0.04,0.08,0.12,0.16,0.2,0.23,0.26,0.29,0.32,0.35},{0,1,2,3,4,5,6,7,8,9,10})</f>
        <v>1</v>
      </c>
      <c r="V105" s="21">
        <f t="shared" si="62"/>
        <v>101</v>
      </c>
      <c r="W105" s="15"/>
      <c r="X105" s="21">
        <f t="shared" si="56"/>
        <v>65.7</v>
      </c>
      <c r="Y105" s="21">
        <f t="shared" si="63"/>
        <v>96.8571428571429</v>
      </c>
    </row>
    <row r="106" ht="15.6" hidden="1" outlineLevel="2" spans="1:25">
      <c r="A106" s="15">
        <v>104</v>
      </c>
      <c r="B106" s="15">
        <v>13</v>
      </c>
      <c r="C106" s="14" t="s">
        <v>181</v>
      </c>
      <c r="D106" s="14" t="s">
        <v>11</v>
      </c>
      <c r="E106" s="15"/>
      <c r="F106" s="1"/>
      <c r="G106" s="15"/>
      <c r="H106" s="1"/>
      <c r="I106" s="15"/>
      <c r="J106" s="1"/>
      <c r="K106" s="21"/>
      <c r="L106" s="21"/>
      <c r="M106" s="21"/>
      <c r="N106" s="15"/>
      <c r="O106" s="19"/>
      <c r="P106" s="1"/>
      <c r="Q106" s="15"/>
      <c r="R106" s="15"/>
      <c r="S106" s="1"/>
      <c r="T106" s="21"/>
      <c r="U106" s="1"/>
      <c r="V106" s="21"/>
      <c r="W106" s="15"/>
      <c r="X106" s="21">
        <f t="shared" si="56"/>
        <v>0</v>
      </c>
      <c r="Y106" s="27">
        <v>50</v>
      </c>
    </row>
    <row r="107" s="3" customFormat="1" ht="15.6" hidden="1" outlineLevel="2" spans="1:25">
      <c r="A107" s="15">
        <v>104</v>
      </c>
      <c r="B107" s="15">
        <v>14</v>
      </c>
      <c r="C107" s="14" t="s">
        <v>182</v>
      </c>
      <c r="D107" s="14" t="s">
        <v>11</v>
      </c>
      <c r="E107" s="15">
        <v>15</v>
      </c>
      <c r="F107" s="1">
        <f>LOOKUP(E107,{0,-4,-3,-2,-1,0,1,2.4,3.8,5.2,6.6,8,9.4,10.8,12.2,13.6,15,17.2,19.4,21.5,23.6},{0,10,20,30,40,50,60,62,64,66,68,70,72,74,76,78,80,85,90,95,100})</f>
        <v>80</v>
      </c>
      <c r="G107" s="15">
        <v>197</v>
      </c>
      <c r="H107" s="1">
        <f>LOOKUP(G107,{0,170,175,180,185,190,195,199,203,207,211,215,219,223,227,231,235,243,250,255,260},{0,10,20,30,40,50,60,62,64,66,68,70,72,74,76,78,80,85,90,95,100})</f>
        <v>60</v>
      </c>
      <c r="I107" s="15">
        <v>1</v>
      </c>
      <c r="J107" s="1">
        <f>LOOKUP(I107,{0,2,3,4,5,6,7,8,9,10,11,12,13,14,15,16},{0,10,20,30,40,50,60,64,68,72,76,80,85,90,95,100})</f>
        <v>0</v>
      </c>
      <c r="K107" s="21"/>
      <c r="L107" s="21"/>
      <c r="M107" s="21">
        <f t="shared" ref="M107:M111" si="64">J107+L107</f>
        <v>0</v>
      </c>
      <c r="N107" s="15">
        <v>7.8</v>
      </c>
      <c r="O107" s="19">
        <f t="shared" ref="O107:O113" si="65">13-N107</f>
        <v>5.2</v>
      </c>
      <c r="P107" s="1">
        <f>LOOKUP(O107,{0,2.5,2.7,2.9,3.1,3.3,3.5,3.7,3.9,4.1,4.3,4.5,4.7,4.9,5.1,5.3,5.5,5.6,5.7,5.8,5.9},{0,10,20,30,40,50,60,62,64,66,68,70,72,74,76,78,80,85,90,95,100})</f>
        <v>76</v>
      </c>
      <c r="Q107" s="15">
        <v>3.34</v>
      </c>
      <c r="R107" s="15">
        <f t="shared" ref="R107:R111" si="66">10-Q107</f>
        <v>6.66</v>
      </c>
      <c r="S107" s="1">
        <f>LOOKUP(R107,{0,3.75,3.95,4.55,4.75,4.95,5.55,5.6,5.65,5.7,5.75,5.8,5.85,5.9,5.95,6,6.45,6.53,6.6,6.65,6.7},{0,10,20,30,40,50,60,62,64,66,68,70,72,74,76,78,80,85,90,95,100})</f>
        <v>95</v>
      </c>
      <c r="T107" s="21"/>
      <c r="U107" s="21"/>
      <c r="V107" s="21">
        <f t="shared" ref="V107:V111" si="67">S107+U107</f>
        <v>95</v>
      </c>
      <c r="W107" s="15"/>
      <c r="X107" s="21">
        <f t="shared" si="56"/>
        <v>48.2</v>
      </c>
      <c r="Y107" s="21">
        <f t="shared" ref="Y107:Y111" si="68">X107/0.7+L107+U107</f>
        <v>68.8571428571429</v>
      </c>
    </row>
    <row r="108" ht="15.6" hidden="1" outlineLevel="2" spans="1:25">
      <c r="A108" s="15">
        <v>104</v>
      </c>
      <c r="B108" s="15">
        <v>15</v>
      </c>
      <c r="C108" s="14" t="s">
        <v>183</v>
      </c>
      <c r="D108" s="14" t="s">
        <v>11</v>
      </c>
      <c r="E108" s="15">
        <v>10.6</v>
      </c>
      <c r="F108" s="1">
        <f>LOOKUP(E108,{0,-4,-3,-2,-1,0,1,2.4,3.8,5.2,6.6,8,9.4,10.8,12.2,13.6,15,17.2,19.4,21.5,23.6},{0,10,20,30,40,50,60,62,64,66,68,70,72,74,76,78,80,85,90,95,100})</f>
        <v>72</v>
      </c>
      <c r="G108" s="15">
        <v>216</v>
      </c>
      <c r="H108" s="1">
        <f>LOOKUP(G108,{0,170,175,180,185,190,195,199,203,207,211,215,219,223,227,231,235,243,250,255,260},{0,10,20,30,40,50,60,62,64,66,68,70,72,74,76,78,80,85,90,95,100})</f>
        <v>70</v>
      </c>
      <c r="I108" s="15">
        <v>0</v>
      </c>
      <c r="J108" s="1">
        <f>LOOKUP(I108,{0,2,3,4,5,6,7,8,9,10,11,12,13,14,15,16},{0,10,20,30,40,50,60,64,68,72,76,80,85,90,95,100})</f>
        <v>0</v>
      </c>
      <c r="K108" s="21"/>
      <c r="L108" s="21"/>
      <c r="M108" s="21">
        <f t="shared" si="64"/>
        <v>0</v>
      </c>
      <c r="N108" s="15">
        <v>8.1</v>
      </c>
      <c r="O108" s="19">
        <f t="shared" si="65"/>
        <v>4.9</v>
      </c>
      <c r="P108" s="1">
        <f>LOOKUP(O108,{0,2.5,2.7,2.9,3.1,3.3,3.5,3.7,3.9,4.1,4.3,4.5,4.7,4.9,5.1,5.3,5.5,5.6,5.7,5.8,5.9},{0,10,20,30,40,50,60,62,64,66,68,70,72,74,76,78,80,85,90,95,100})</f>
        <v>74</v>
      </c>
      <c r="Q108" s="15">
        <v>4.1</v>
      </c>
      <c r="R108" s="15">
        <f t="shared" si="66"/>
        <v>5.9</v>
      </c>
      <c r="S108" s="1">
        <f>LOOKUP(R108,{0,3.75,3.95,4.55,4.75,4.95,5.55,5.6,5.65,5.7,5.75,5.8,5.85,5.9,5.95,6,6.45,6.53,6.6,6.65,6.7},{0,10,20,30,40,50,60,62,64,66,68,70,72,74,76,78,80,85,90,95,100})</f>
        <v>74</v>
      </c>
      <c r="T108" s="21"/>
      <c r="U108" s="21"/>
      <c r="V108" s="21">
        <f t="shared" si="67"/>
        <v>74</v>
      </c>
      <c r="W108" s="15"/>
      <c r="X108" s="21">
        <f t="shared" si="56"/>
        <v>43.8</v>
      </c>
      <c r="Y108" s="21">
        <f t="shared" si="68"/>
        <v>62.5714285714286</v>
      </c>
    </row>
    <row r="109" ht="15.6" hidden="1" outlineLevel="2" spans="1:25">
      <c r="A109" s="15">
        <v>104</v>
      </c>
      <c r="B109" s="15">
        <v>16</v>
      </c>
      <c r="C109" s="14" t="s">
        <v>184</v>
      </c>
      <c r="D109" s="14" t="s">
        <v>11</v>
      </c>
      <c r="E109" s="15">
        <v>9</v>
      </c>
      <c r="F109" s="1">
        <f>LOOKUP(E109,{0,-4,-3,-2,-1,0,1,2.4,3.8,5.2,6.6,8,9.4,10.8,12.2,13.6,15,17.2,19.4,21.5,23.6},{0,10,20,30,40,50,60,62,64,66,68,70,72,74,76,78,80,85,90,95,100})</f>
        <v>70</v>
      </c>
      <c r="G109" s="15">
        <v>240</v>
      </c>
      <c r="H109" s="1">
        <f>LOOKUP(G109,{0,170,175,180,185,190,195,199,203,207,211,215,219,223,227,231,235,243,250,255,260},{0,10,20,30,40,50,60,62,64,66,68,70,72,74,76,78,80,85,90,95,100})</f>
        <v>80</v>
      </c>
      <c r="I109" s="15">
        <v>30</v>
      </c>
      <c r="J109" s="1">
        <f>LOOKUP(I109,{0,2,3,4,5,6,7,8,9,10,11,12,13,14,15,16},{0,10,20,30,40,50,60,64,68,72,76,80,85,90,95,100})</f>
        <v>100</v>
      </c>
      <c r="K109" s="21">
        <f>I109-16</f>
        <v>14</v>
      </c>
      <c r="L109" s="1">
        <f>LOOKUP(K109,{0,1,2,3,4,5,6,7,8,9,10},{0,1,2,3,4,5,6,7,8,9,10})</f>
        <v>10</v>
      </c>
      <c r="M109" s="21">
        <f t="shared" si="64"/>
        <v>110</v>
      </c>
      <c r="N109" s="15"/>
      <c r="O109" s="19"/>
      <c r="P109" s="1"/>
      <c r="Q109" s="15">
        <v>3.28</v>
      </c>
      <c r="R109" s="15">
        <f t="shared" si="66"/>
        <v>6.72</v>
      </c>
      <c r="S109" s="1">
        <f>LOOKUP(R109,{0,3.75,3.95,4.55,4.75,4.95,5.55,5.6,5.65,5.7,5.75,5.8,5.85,5.9,5.95,6,6.45,6.53,6.6,6.65,6.7},{0,10,20,30,40,50,60,62,64,66,68,70,72,74,76,78,80,85,90,95,100})</f>
        <v>100</v>
      </c>
      <c r="T109" s="21">
        <f>3.3-Q109</f>
        <v>0.02</v>
      </c>
      <c r="U109" s="1">
        <f>LOOKUP(T109,{0,0.04,0.08,0.12,0.16,0.2,0.23,0.26,0.29,0.32,0.35},{0,1,2,3,4,5,6,7,8,9,10})</f>
        <v>0</v>
      </c>
      <c r="V109" s="21">
        <f t="shared" si="67"/>
        <v>100</v>
      </c>
      <c r="W109" s="15"/>
      <c r="X109" s="21">
        <f t="shared" si="56"/>
        <v>45</v>
      </c>
      <c r="Y109" s="21">
        <f t="shared" si="68"/>
        <v>74.2857142857143</v>
      </c>
    </row>
    <row r="110" ht="15.6" hidden="1" outlineLevel="2" spans="1:25">
      <c r="A110" s="15">
        <v>104</v>
      </c>
      <c r="B110" s="15">
        <v>17</v>
      </c>
      <c r="C110" s="14" t="s">
        <v>185</v>
      </c>
      <c r="D110" s="14" t="s">
        <v>11</v>
      </c>
      <c r="E110" s="15">
        <v>-4.1</v>
      </c>
      <c r="F110" s="1">
        <v>0</v>
      </c>
      <c r="G110" s="15">
        <v>168</v>
      </c>
      <c r="H110" s="1">
        <f>LOOKUP(G110,{0,170,175,180,185,190,195,199,203,207,211,215,219,223,227,231,235,243,250,255,260},{0,10,20,30,40,50,60,62,64,66,68,70,72,74,76,78,80,85,90,95,100})</f>
        <v>0</v>
      </c>
      <c r="I110" s="15">
        <v>0</v>
      </c>
      <c r="J110" s="1">
        <f>LOOKUP(I110,{0,2,3,4,5,6,7,8,9,10,11,12,13,14,15,16},{0,10,20,30,40,50,60,64,68,72,76,80,85,90,95,100})</f>
        <v>0</v>
      </c>
      <c r="K110" s="21"/>
      <c r="L110" s="21"/>
      <c r="M110" s="21">
        <f t="shared" si="64"/>
        <v>0</v>
      </c>
      <c r="N110" s="15">
        <v>9.6</v>
      </c>
      <c r="O110" s="19">
        <f t="shared" si="65"/>
        <v>3.4</v>
      </c>
      <c r="P110" s="1">
        <f>LOOKUP(O110,{0,2.5,2.7,2.9,3.1,3.3,3.5,3.7,3.9,4.1,4.3,4.5,4.7,4.9,5.1,5.3,5.5,5.6,5.7,5.8,5.9},{0,10,20,30,40,50,60,62,64,66,68,70,72,74,76,78,80,85,90,95,100})</f>
        <v>50</v>
      </c>
      <c r="Q110" s="15">
        <v>5.23</v>
      </c>
      <c r="R110" s="15">
        <f t="shared" si="66"/>
        <v>4.77</v>
      </c>
      <c r="S110" s="1">
        <f>LOOKUP(R110,{0,3.75,3.95,4.55,4.75,4.95,5.55,5.6,5.65,5.7,5.75,5.8,5.85,5.9,5.95,6,6.45,6.53,6.6,6.65,6.7},{0,10,20,30,40,50,60,62,64,66,68,70,72,74,76,78,80,85,90,95,100})</f>
        <v>40</v>
      </c>
      <c r="T110" s="21"/>
      <c r="U110" s="21"/>
      <c r="V110" s="21">
        <f t="shared" si="67"/>
        <v>40</v>
      </c>
      <c r="W110" s="15"/>
      <c r="X110" s="21">
        <f t="shared" si="56"/>
        <v>18</v>
      </c>
      <c r="Y110" s="21">
        <f t="shared" si="68"/>
        <v>25.7142857142857</v>
      </c>
    </row>
    <row r="111" ht="15.6" hidden="1" outlineLevel="2" spans="1:25">
      <c r="A111" s="15">
        <v>104</v>
      </c>
      <c r="B111" s="15">
        <v>18</v>
      </c>
      <c r="C111" s="14" t="s">
        <v>186</v>
      </c>
      <c r="D111" s="14" t="s">
        <v>11</v>
      </c>
      <c r="E111" s="15">
        <v>9.6</v>
      </c>
      <c r="F111" s="1">
        <f>LOOKUP(E111,{0,-4,-3,-2,-1,0,1,2.4,3.8,5.2,6.6,8,9.4,10.8,12.2,13.6,15,17.2,19.4,21.5,23.6},{0,10,20,30,40,50,60,62,64,66,68,70,72,74,76,78,80,85,90,95,100})</f>
        <v>72</v>
      </c>
      <c r="G111" s="15">
        <v>198</v>
      </c>
      <c r="H111" s="1">
        <f>LOOKUP(G111,{0,170,175,180,185,190,195,199,203,207,211,215,219,223,227,231,235,243,250,255,260},{0,10,20,30,40,50,60,62,64,66,68,70,72,74,76,78,80,85,90,95,100})</f>
        <v>60</v>
      </c>
      <c r="I111" s="15">
        <v>4</v>
      </c>
      <c r="J111" s="1">
        <f>LOOKUP(I111,{0,2,3,4,5,6,7,8,9,10,11,12,13,14,15,16},{0,10,20,30,40,50,60,64,68,72,76,80,85,90,95,100})</f>
        <v>30</v>
      </c>
      <c r="K111" s="21"/>
      <c r="L111" s="21"/>
      <c r="M111" s="21">
        <f t="shared" si="64"/>
        <v>30</v>
      </c>
      <c r="N111" s="15">
        <v>7.4</v>
      </c>
      <c r="O111" s="19">
        <f t="shared" si="65"/>
        <v>5.6</v>
      </c>
      <c r="P111" s="1">
        <f>LOOKUP(O111,{0,2.5,2.7,2.9,3.1,3.3,3.5,3.7,3.9,4.1,4.3,4.5,4.7,4.9,5.1,5.3,5.5,5.6,5.7,5.8,5.9},{0,10,20,30,40,50,60,62,64,66,68,70,72,74,76,78,80,85,90,95,100})</f>
        <v>85</v>
      </c>
      <c r="Q111" s="15">
        <v>3.31</v>
      </c>
      <c r="R111" s="15">
        <f t="shared" si="66"/>
        <v>6.69</v>
      </c>
      <c r="S111" s="1">
        <f>LOOKUP(R111,{0,3.75,3.95,4.55,4.75,4.95,5.55,5.6,5.65,5.7,5.75,5.8,5.85,5.9,5.95,6,6.45,6.53,6.6,6.65,6.7},{0,10,20,30,40,50,60,62,64,66,68,70,72,74,76,78,80,85,90,95,100})</f>
        <v>95</v>
      </c>
      <c r="T111" s="21"/>
      <c r="U111" s="21"/>
      <c r="V111" s="21">
        <f t="shared" si="67"/>
        <v>95</v>
      </c>
      <c r="W111" s="15"/>
      <c r="X111" s="21">
        <f t="shared" si="56"/>
        <v>52.2</v>
      </c>
      <c r="Y111" s="21">
        <f t="shared" si="68"/>
        <v>74.5714285714286</v>
      </c>
    </row>
    <row r="112" ht="15.6" hidden="1" outlineLevel="2" spans="1:25">
      <c r="A112" s="15">
        <v>104</v>
      </c>
      <c r="B112" s="15">
        <v>19</v>
      </c>
      <c r="C112" s="14" t="s">
        <v>187</v>
      </c>
      <c r="D112" s="14" t="s">
        <v>11</v>
      </c>
      <c r="E112" s="15"/>
      <c r="F112" s="1"/>
      <c r="G112" s="15"/>
      <c r="H112" s="1"/>
      <c r="I112" s="15"/>
      <c r="J112" s="1"/>
      <c r="K112" s="21"/>
      <c r="L112" s="21"/>
      <c r="M112" s="21"/>
      <c r="N112" s="15">
        <v>8</v>
      </c>
      <c r="O112" s="19">
        <f t="shared" si="65"/>
        <v>5</v>
      </c>
      <c r="P112" s="1">
        <f>LOOKUP(O112,{0,2.5,2.7,2.9,3.1,3.3,3.5,3.7,3.9,4.1,4.3,4.5,4.7,4.9,5.1,5.3,5.5,5.6,5.7,5.8,5.9},{0,10,20,30,40,50,60,62,64,66,68,70,72,74,76,78,80,85,90,95,100})</f>
        <v>74</v>
      </c>
      <c r="Q112" s="15"/>
      <c r="R112" s="15"/>
      <c r="S112" s="1"/>
      <c r="T112" s="21"/>
      <c r="U112" s="1"/>
      <c r="V112" s="21"/>
      <c r="W112" s="15" t="s">
        <v>84</v>
      </c>
      <c r="X112" s="21">
        <f t="shared" si="56"/>
        <v>14.8</v>
      </c>
      <c r="Y112" s="21">
        <v>50</v>
      </c>
    </row>
    <row r="113" ht="15.6" hidden="1" outlineLevel="2" spans="1:25">
      <c r="A113" s="15">
        <v>104</v>
      </c>
      <c r="B113" s="15">
        <v>20</v>
      </c>
      <c r="C113" s="13" t="s">
        <v>189</v>
      </c>
      <c r="D113" s="14" t="s">
        <v>11</v>
      </c>
      <c r="E113" s="15">
        <v>5.5</v>
      </c>
      <c r="F113" s="1">
        <f>LOOKUP(E113,{0,-4,-3,-2,-1,0,1,2.4,3.8,5.2,6.6,8,9.4,10.8,12.2,13.6,15,17.2,19.4,21.5,23.6},{0,10,20,30,40,50,60,62,64,66,68,70,72,74,76,78,80,85,90,95,100})</f>
        <v>66</v>
      </c>
      <c r="G113" s="15">
        <v>218</v>
      </c>
      <c r="H113" s="1">
        <f>LOOKUP(G113,{0,170,175,180,185,190,195,199,203,207,211,215,219,223,227,231,235,243,250,255,260},{0,10,20,30,40,50,60,62,64,66,68,70,72,74,76,78,80,85,90,95,100})</f>
        <v>70</v>
      </c>
      <c r="I113" s="15">
        <v>21</v>
      </c>
      <c r="J113" s="1">
        <f>LOOKUP(I113,{0,2,3,4,5,6,7,8,9,10,11,12,13,14,15,16},{0,10,20,30,40,50,60,64,68,72,76,80,85,90,95,100})</f>
        <v>100</v>
      </c>
      <c r="K113" s="21">
        <f>I113-16</f>
        <v>5</v>
      </c>
      <c r="L113" s="1">
        <f>LOOKUP(K113,{0,1,2,3,4,5,6,7,8,9,10},{0,1,2,3,4,5,6,7,8,9,10})</f>
        <v>5</v>
      </c>
      <c r="M113" s="21">
        <f t="shared" ref="M113:M117" si="69">J113+L113</f>
        <v>105</v>
      </c>
      <c r="N113" s="15">
        <v>7.3</v>
      </c>
      <c r="O113" s="19">
        <f t="shared" si="65"/>
        <v>5.7</v>
      </c>
      <c r="P113" s="1">
        <f>LOOKUP(O113,{0,2.5,2.7,2.9,3.1,3.3,3.5,3.7,3.9,4.1,4.3,4.5,4.7,4.9,5.1,5.3,5.5,5.6,5.7,5.8,5.9},{0,10,20,30,40,50,60,62,64,66,68,70,72,74,76,78,80,85,90,95,100})</f>
        <v>90</v>
      </c>
      <c r="Q113" s="15">
        <v>3.42</v>
      </c>
      <c r="R113" s="15">
        <f t="shared" ref="R113:R117" si="70">10-Q113</f>
        <v>6.58</v>
      </c>
      <c r="S113" s="1">
        <f>LOOKUP(R113,{0,3.75,3.95,4.55,4.75,4.95,5.55,5.6,5.65,5.7,5.75,5.8,5.85,5.9,5.95,6,6.45,6.53,6.6,6.65,6.7},{0,10,20,30,40,50,60,62,64,66,68,70,72,74,76,78,80,85,90,95,100})</f>
        <v>85</v>
      </c>
      <c r="T113" s="21"/>
      <c r="U113" s="21"/>
      <c r="V113" s="21">
        <f t="shared" ref="V113:V117" si="71">S113+U113</f>
        <v>85</v>
      </c>
      <c r="W113" s="15"/>
      <c r="X113" s="21">
        <f t="shared" si="56"/>
        <v>58.6</v>
      </c>
      <c r="Y113" s="21">
        <f t="shared" ref="Y113:Y117" si="72">X113/0.7+L113+U113</f>
        <v>88.7142857142857</v>
      </c>
    </row>
    <row r="114" ht="15.6" hidden="1" outlineLevel="2" spans="1:25">
      <c r="A114" s="15">
        <v>104</v>
      </c>
      <c r="B114" s="15">
        <v>21</v>
      </c>
      <c r="C114" s="14" t="s">
        <v>190</v>
      </c>
      <c r="D114" s="14" t="s">
        <v>11</v>
      </c>
      <c r="E114" s="15"/>
      <c r="F114" s="1"/>
      <c r="G114" s="15"/>
      <c r="H114" s="1"/>
      <c r="I114" s="15"/>
      <c r="J114" s="1"/>
      <c r="K114" s="21"/>
      <c r="L114" s="21"/>
      <c r="M114" s="21"/>
      <c r="N114" s="15"/>
      <c r="O114" s="19"/>
      <c r="P114" s="1"/>
      <c r="Q114" s="15"/>
      <c r="R114" s="15"/>
      <c r="S114" s="1"/>
      <c r="T114" s="21"/>
      <c r="U114" s="1"/>
      <c r="V114" s="21"/>
      <c r="W114" s="15" t="s">
        <v>84</v>
      </c>
      <c r="X114" s="21">
        <f t="shared" si="56"/>
        <v>0</v>
      </c>
      <c r="Y114" s="21">
        <v>50</v>
      </c>
    </row>
    <row r="115" ht="15.6" hidden="1" outlineLevel="2" spans="1:25">
      <c r="A115" s="15">
        <v>104</v>
      </c>
      <c r="B115" s="15">
        <v>22</v>
      </c>
      <c r="C115" s="14" t="s">
        <v>191</v>
      </c>
      <c r="D115" s="14" t="s">
        <v>11</v>
      </c>
      <c r="E115" s="15">
        <v>6.5</v>
      </c>
      <c r="F115" s="1">
        <f>LOOKUP(E115,{0,-4,-3,-2,-1,0,1,2.4,3.8,5.2,6.6,8,9.4,10.8,12.2,13.6,15,17.2,19.4,21.5,23.6},{0,10,20,30,40,50,60,62,64,66,68,70,72,74,76,78,80,85,90,95,100})</f>
        <v>66</v>
      </c>
      <c r="G115" s="15">
        <v>213</v>
      </c>
      <c r="H115" s="1">
        <f>LOOKUP(G115,{0,170,175,180,185,190,195,199,203,207,211,215,219,223,227,231,235,243,250,255,260},{0,10,20,30,40,50,60,62,64,66,68,70,72,74,76,78,80,85,90,95,100})</f>
        <v>68</v>
      </c>
      <c r="I115" s="15">
        <v>2</v>
      </c>
      <c r="J115" s="1">
        <f>LOOKUP(I115,{0,2,3,4,5,6,7,8,9,10,11,12,13,14,15,16},{0,10,20,30,40,50,60,64,68,72,76,80,85,90,95,100})</f>
        <v>10</v>
      </c>
      <c r="K115" s="21"/>
      <c r="L115" s="21"/>
      <c r="M115" s="21">
        <f t="shared" si="69"/>
        <v>10</v>
      </c>
      <c r="N115" s="15">
        <v>7</v>
      </c>
      <c r="O115" s="19">
        <f t="shared" ref="O115:O117" si="73">13-N115</f>
        <v>6</v>
      </c>
      <c r="P115" s="1">
        <f>LOOKUP(O115,{0,2.5,2.7,2.9,3.1,3.3,3.5,3.7,3.9,4.1,4.3,4.5,4.7,4.9,5.1,5.3,5.5,5.6,5.7,5.8,5.9},{0,10,20,30,40,50,60,62,64,66,68,70,72,74,76,78,80,85,90,95,100})</f>
        <v>100</v>
      </c>
      <c r="Q115" s="15">
        <v>3.42</v>
      </c>
      <c r="R115" s="15">
        <f t="shared" si="70"/>
        <v>6.58</v>
      </c>
      <c r="S115" s="1">
        <f>LOOKUP(R115,{0,3.75,3.95,4.55,4.75,4.95,5.55,5.6,5.65,5.7,5.75,5.8,5.85,5.9,5.95,6,6.45,6.53,6.6,6.65,6.7},{0,10,20,30,40,50,60,62,64,66,68,70,72,74,76,78,80,85,90,95,100})</f>
        <v>85</v>
      </c>
      <c r="T115" s="21"/>
      <c r="U115" s="21"/>
      <c r="V115" s="21">
        <f t="shared" si="71"/>
        <v>85</v>
      </c>
      <c r="W115" s="15"/>
      <c r="X115" s="21">
        <f t="shared" si="56"/>
        <v>51.4</v>
      </c>
      <c r="Y115" s="21">
        <f t="shared" si="72"/>
        <v>73.4285714285714</v>
      </c>
    </row>
    <row r="116" ht="15.6" hidden="1" outlineLevel="2" spans="1:25">
      <c r="A116" s="15">
        <v>104</v>
      </c>
      <c r="B116" s="15">
        <v>23</v>
      </c>
      <c r="C116" s="14" t="s">
        <v>192</v>
      </c>
      <c r="D116" s="14" t="s">
        <v>11</v>
      </c>
      <c r="E116" s="15">
        <v>14.5</v>
      </c>
      <c r="F116" s="1">
        <f>LOOKUP(E116,{0,-4,-3,-2,-1,0,1,2.4,3.8,5.2,6.6,8,9.4,10.8,12.2,13.6,15,17.2,19.4,21.5,23.6},{0,10,20,30,40,50,60,62,64,66,68,70,72,74,76,78,80,85,90,95,100})</f>
        <v>78</v>
      </c>
      <c r="G116" s="15">
        <v>238</v>
      </c>
      <c r="H116" s="1">
        <f>LOOKUP(G116,{0,170,175,180,185,190,195,199,203,207,211,215,219,223,227,231,235,243,250,255,260},{0,10,20,30,40,50,60,62,64,66,68,70,72,74,76,78,80,85,90,95,100})</f>
        <v>80</v>
      </c>
      <c r="I116" s="15">
        <v>2</v>
      </c>
      <c r="J116" s="1">
        <f>LOOKUP(I116,{0,2,3,4,5,6,7,8,9,10,11,12,13,14,15,16},{0,10,20,30,40,50,60,64,68,72,76,80,85,90,95,100})</f>
        <v>10</v>
      </c>
      <c r="K116" s="21"/>
      <c r="L116" s="21"/>
      <c r="M116" s="21">
        <f t="shared" si="69"/>
        <v>10</v>
      </c>
      <c r="N116" s="15">
        <v>6.8</v>
      </c>
      <c r="O116" s="19">
        <f t="shared" si="73"/>
        <v>6.2</v>
      </c>
      <c r="P116" s="1">
        <f>LOOKUP(O116,{0,2.5,2.7,2.9,3.1,3.3,3.5,3.7,3.9,4.1,4.3,4.5,4.7,4.9,5.1,5.3,5.5,5.6,5.7,5.8,5.9},{0,10,20,30,40,50,60,62,64,66,68,70,72,74,76,78,80,85,90,95,100})</f>
        <v>100</v>
      </c>
      <c r="Q116" s="15">
        <v>3.36</v>
      </c>
      <c r="R116" s="15">
        <f t="shared" si="70"/>
        <v>6.64</v>
      </c>
      <c r="S116" s="1">
        <f>LOOKUP(R116,{0,3.75,3.95,4.55,4.75,4.95,5.55,5.6,5.65,5.7,5.75,5.8,5.85,5.9,5.95,6,6.45,6.53,6.6,6.65,6.7},{0,10,20,30,40,50,60,62,64,66,68,70,72,74,76,78,80,85,90,95,100})</f>
        <v>90</v>
      </c>
      <c r="T116" s="21"/>
      <c r="U116" s="21"/>
      <c r="V116" s="21">
        <f t="shared" si="71"/>
        <v>90</v>
      </c>
      <c r="W116" s="15"/>
      <c r="X116" s="21">
        <f t="shared" si="56"/>
        <v>54.8</v>
      </c>
      <c r="Y116" s="21">
        <f t="shared" si="72"/>
        <v>78.2857142857143</v>
      </c>
    </row>
    <row r="117" ht="15.6" hidden="1" outlineLevel="2" spans="1:25">
      <c r="A117" s="15">
        <v>104</v>
      </c>
      <c r="B117" s="15">
        <v>24</v>
      </c>
      <c r="C117" s="14" t="s">
        <v>193</v>
      </c>
      <c r="D117" s="14" t="s">
        <v>11</v>
      </c>
      <c r="E117" s="15">
        <v>13</v>
      </c>
      <c r="F117" s="1">
        <f>LOOKUP(E117,{0,-4,-3,-2,-1,0,1,2.4,3.8,5.2,6.6,8,9.4,10.8,12.2,13.6,15,17.2,19.4,21.5,23.6},{0,10,20,30,40,50,60,62,64,66,68,70,72,74,76,78,80,85,90,95,100})</f>
        <v>76</v>
      </c>
      <c r="G117" s="15">
        <v>220</v>
      </c>
      <c r="H117" s="1">
        <f>LOOKUP(G117,{0,170,175,180,185,190,195,199,203,207,211,215,219,223,227,231,235,243,250,255,260},{0,10,20,30,40,50,60,62,64,66,68,70,72,74,76,78,80,85,90,95,100})</f>
        <v>72</v>
      </c>
      <c r="I117" s="15">
        <v>15</v>
      </c>
      <c r="J117" s="1">
        <f>LOOKUP(I117,{0,2,3,4,5,6,7,8,9,10,11,12,13,14,15,16},{0,10,20,30,40,50,60,64,68,72,76,80,85,90,95,100})</f>
        <v>95</v>
      </c>
      <c r="K117" s="21"/>
      <c r="L117" s="21"/>
      <c r="M117" s="21">
        <f t="shared" si="69"/>
        <v>95</v>
      </c>
      <c r="N117" s="15">
        <v>7.3</v>
      </c>
      <c r="O117" s="19">
        <f t="shared" si="73"/>
        <v>5.7</v>
      </c>
      <c r="P117" s="1">
        <f>LOOKUP(O117,{0,2.5,2.7,2.9,3.1,3.3,3.5,3.7,3.9,4.1,4.3,4.5,4.7,4.9,5.1,5.3,5.5,5.6,5.7,5.8,5.9},{0,10,20,30,40,50,60,62,64,66,68,70,72,74,76,78,80,85,90,95,100})</f>
        <v>90</v>
      </c>
      <c r="Q117" s="15">
        <v>3.36</v>
      </c>
      <c r="R117" s="15">
        <f t="shared" si="70"/>
        <v>6.64</v>
      </c>
      <c r="S117" s="1">
        <f>LOOKUP(R117,{0,3.75,3.95,4.55,4.75,4.95,5.55,5.6,5.65,5.7,5.75,5.8,5.85,5.9,5.95,6,6.45,6.53,6.6,6.65,6.7},{0,10,20,30,40,50,60,62,64,66,68,70,72,74,76,78,80,85,90,95,100})</f>
        <v>90</v>
      </c>
      <c r="T117" s="21"/>
      <c r="U117" s="21"/>
      <c r="V117" s="21">
        <f t="shared" si="71"/>
        <v>90</v>
      </c>
      <c r="W117" s="15"/>
      <c r="X117" s="21">
        <f t="shared" si="56"/>
        <v>60.3</v>
      </c>
      <c r="Y117" s="21">
        <f t="shared" si="72"/>
        <v>86.1428571428571</v>
      </c>
    </row>
    <row r="118" ht="15.6" hidden="1" outlineLevel="2" spans="1:25">
      <c r="A118" s="15">
        <v>104</v>
      </c>
      <c r="B118" s="15">
        <v>25</v>
      </c>
      <c r="C118" s="14" t="s">
        <v>194</v>
      </c>
      <c r="D118" s="14" t="s">
        <v>11</v>
      </c>
      <c r="E118" s="15"/>
      <c r="F118" s="1"/>
      <c r="G118" s="15"/>
      <c r="H118" s="1"/>
      <c r="I118" s="15"/>
      <c r="J118" s="1"/>
      <c r="K118" s="21"/>
      <c r="L118" s="21"/>
      <c r="M118" s="21"/>
      <c r="N118" s="15"/>
      <c r="O118" s="19"/>
      <c r="P118" s="1"/>
      <c r="Q118" s="15"/>
      <c r="R118" s="15"/>
      <c r="S118" s="1"/>
      <c r="T118" s="21"/>
      <c r="U118" s="1"/>
      <c r="V118" s="21"/>
      <c r="W118" s="15" t="s">
        <v>84</v>
      </c>
      <c r="X118" s="21">
        <f t="shared" si="56"/>
        <v>0</v>
      </c>
      <c r="Y118" s="21">
        <v>50</v>
      </c>
    </row>
    <row r="119" s="3" customFormat="1" ht="15.6" hidden="1" outlineLevel="2" spans="1:25">
      <c r="A119" s="15">
        <v>104</v>
      </c>
      <c r="B119" s="15">
        <v>26</v>
      </c>
      <c r="C119" s="14" t="s">
        <v>195</v>
      </c>
      <c r="D119" s="14" t="s">
        <v>11</v>
      </c>
      <c r="E119" s="15">
        <v>11.5</v>
      </c>
      <c r="F119" s="1">
        <f>LOOKUP(E119,{0,-4,-3,-2,-1,0,1,2.4,3.8,5.2,6.6,8,9.4,10.8,12.2,13.6,15,17.2,19.4,21.5,23.6},{0,10,20,30,40,50,60,62,64,66,68,70,72,74,76,78,80,85,90,95,100})</f>
        <v>74</v>
      </c>
      <c r="G119" s="15">
        <v>247</v>
      </c>
      <c r="H119" s="1">
        <f>LOOKUP(G119,{0,170,175,180,185,190,195,199,203,207,211,215,219,223,227,231,235,243,250,255,260},{0,10,20,30,40,50,60,62,64,66,68,70,72,74,76,78,80,85,90,95,100})</f>
        <v>85</v>
      </c>
      <c r="I119" s="15">
        <v>19</v>
      </c>
      <c r="J119" s="1">
        <f>LOOKUP(I119,{0,2,3,4,5,6,7,8,9,10,11,12,13,14,15,16},{0,10,20,30,40,50,60,64,68,72,76,80,85,90,95,100})</f>
        <v>100</v>
      </c>
      <c r="K119" s="21">
        <f>I119-16</f>
        <v>3</v>
      </c>
      <c r="L119" s="1">
        <f>LOOKUP(K119,{0,1,2,3,4,5,6,7,8,9,10},{0,1,2,3,4,5,6,7,8,9,10})</f>
        <v>3</v>
      </c>
      <c r="M119" s="21">
        <f t="shared" ref="M119:M121" si="74">J119+L119</f>
        <v>103</v>
      </c>
      <c r="N119" s="15">
        <v>6.6</v>
      </c>
      <c r="O119" s="19">
        <f t="shared" ref="O119:O121" si="75">13-N119</f>
        <v>6.4</v>
      </c>
      <c r="P119" s="1">
        <f>LOOKUP(O119,{0,2.5,2.7,2.9,3.1,3.3,3.5,3.7,3.9,4.1,4.3,4.5,4.7,4.9,5.1,5.3,5.5,5.6,5.7,5.8,5.9},{0,10,20,30,40,50,60,62,64,66,68,70,72,74,76,78,80,85,90,95,100})</f>
        <v>100</v>
      </c>
      <c r="Q119" s="15">
        <v>3.35</v>
      </c>
      <c r="R119" s="15">
        <f t="shared" ref="R119:R121" si="76">10-Q119</f>
        <v>6.65</v>
      </c>
      <c r="S119" s="1">
        <f>LOOKUP(R119,{0,3.75,3.95,4.55,4.75,4.95,5.55,5.6,5.65,5.7,5.75,5.8,5.85,5.9,5.95,6,6.45,6.53,6.6,6.65,6.7},{0,10,20,30,40,50,60,62,64,66,68,70,72,74,76,78,80,85,90,95,100})</f>
        <v>95</v>
      </c>
      <c r="T119" s="21"/>
      <c r="U119" s="21"/>
      <c r="V119" s="21">
        <f t="shared" ref="V119:V121" si="77">S119+U119</f>
        <v>95</v>
      </c>
      <c r="W119" s="15"/>
      <c r="X119" s="21">
        <f t="shared" si="56"/>
        <v>64.9</v>
      </c>
      <c r="Y119" s="21">
        <f t="shared" ref="Y119:Y121" si="78">X119/0.7+L119+U119</f>
        <v>95.7142857142857</v>
      </c>
    </row>
    <row r="120" ht="15.6" hidden="1" outlineLevel="2" spans="1:25">
      <c r="A120" s="15">
        <v>104</v>
      </c>
      <c r="B120" s="15">
        <v>27</v>
      </c>
      <c r="C120" s="14" t="s">
        <v>196</v>
      </c>
      <c r="D120" s="14" t="s">
        <v>11</v>
      </c>
      <c r="E120" s="15">
        <v>14.5</v>
      </c>
      <c r="F120" s="1">
        <f>LOOKUP(E120,{0,-4,-3,-2,-1,0,1,2.4,3.8,5.2,6.6,8,9.4,10.8,12.2,13.6,15,17.2,19.4,21.5,23.6},{0,10,20,30,40,50,60,62,64,66,68,70,72,74,76,78,80,85,90,95,100})</f>
        <v>78</v>
      </c>
      <c r="G120" s="15">
        <v>234</v>
      </c>
      <c r="H120" s="1">
        <f>LOOKUP(G120,{0,170,175,180,185,190,195,199,203,207,211,215,219,223,227,231,235,243,250,255,260},{0,10,20,30,40,50,60,62,64,66,68,70,72,74,76,78,80,85,90,95,100})</f>
        <v>78</v>
      </c>
      <c r="I120" s="15">
        <v>8</v>
      </c>
      <c r="J120" s="1">
        <f>LOOKUP(I120,{0,2,3,4,5,6,7,8,9,10,11,12,13,14,15,16},{0,10,20,30,40,50,60,64,68,72,76,80,85,90,95,100})</f>
        <v>64</v>
      </c>
      <c r="K120" s="21"/>
      <c r="L120" s="21"/>
      <c r="M120" s="21">
        <f t="shared" si="74"/>
        <v>64</v>
      </c>
      <c r="N120" s="15">
        <v>7.5</v>
      </c>
      <c r="O120" s="19">
        <f t="shared" si="75"/>
        <v>5.5</v>
      </c>
      <c r="P120" s="1">
        <f>LOOKUP(O120,{0,2.5,2.7,2.9,3.1,3.3,3.5,3.7,3.9,4.1,4.3,4.5,4.7,4.9,5.1,5.3,5.5,5.6,5.7,5.8,5.9},{0,10,20,30,40,50,60,62,64,66,68,70,72,74,76,78,80,85,90,95,100})</f>
        <v>80</v>
      </c>
      <c r="Q120" s="15">
        <v>3.37</v>
      </c>
      <c r="R120" s="15">
        <f t="shared" si="76"/>
        <v>6.63</v>
      </c>
      <c r="S120" s="1">
        <f>LOOKUP(R120,{0,3.75,3.95,4.55,4.75,4.95,5.55,5.6,5.65,5.7,5.75,5.8,5.85,5.9,5.95,6,6.45,6.53,6.6,6.65,6.7},{0,10,20,30,40,50,60,62,64,66,68,70,72,74,76,78,80,85,90,95,100})</f>
        <v>90</v>
      </c>
      <c r="T120" s="21"/>
      <c r="U120" s="21"/>
      <c r="V120" s="21">
        <f t="shared" si="77"/>
        <v>90</v>
      </c>
      <c r="W120" s="15"/>
      <c r="X120" s="21">
        <f t="shared" si="56"/>
        <v>56</v>
      </c>
      <c r="Y120" s="21">
        <f t="shared" si="78"/>
        <v>80</v>
      </c>
    </row>
    <row r="121" ht="15.6" hidden="1" outlineLevel="2" spans="1:25">
      <c r="A121" s="15">
        <v>104</v>
      </c>
      <c r="B121" s="15">
        <v>28</v>
      </c>
      <c r="C121" s="14" t="s">
        <v>197</v>
      </c>
      <c r="D121" s="14" t="s">
        <v>11</v>
      </c>
      <c r="E121" s="15">
        <v>14.5</v>
      </c>
      <c r="F121" s="1">
        <f>LOOKUP(E121,{0,-4,-3,-2,-1,0,1,2.4,3.8,5.2,6.6,8,9.4,10.8,12.2,13.6,15,17.2,19.4,21.5,23.6},{0,10,20,30,40,50,60,62,64,66,68,70,72,74,76,78,80,85,90,95,100})</f>
        <v>78</v>
      </c>
      <c r="G121" s="15">
        <v>207</v>
      </c>
      <c r="H121" s="1">
        <f>LOOKUP(G121,{0,170,175,180,185,190,195,199,203,207,211,215,219,223,227,231,235,243,250,255,260},{0,10,20,30,40,50,60,62,64,66,68,70,72,74,76,78,80,85,90,95,100})</f>
        <v>66</v>
      </c>
      <c r="I121" s="15">
        <v>26</v>
      </c>
      <c r="J121" s="1">
        <f>LOOKUP(I121,{0,2,3,4,5,6,7,8,9,10,11,12,13,14,15,16},{0,10,20,30,40,50,60,64,68,72,76,80,85,90,95,100})</f>
        <v>100</v>
      </c>
      <c r="K121" s="21">
        <f>I121-16</f>
        <v>10</v>
      </c>
      <c r="L121" s="1">
        <f>LOOKUP(K121,{0,1,2,3,4,5,6,7,8,9,10},{0,1,2,3,4,5,6,7,8,9,10})</f>
        <v>10</v>
      </c>
      <c r="M121" s="21">
        <f t="shared" si="74"/>
        <v>110</v>
      </c>
      <c r="N121" s="15">
        <v>7.1</v>
      </c>
      <c r="O121" s="19">
        <f t="shared" si="75"/>
        <v>5.9</v>
      </c>
      <c r="P121" s="1">
        <f>LOOKUP(O121,{0,2.5,2.7,2.9,3.1,3.3,3.5,3.7,3.9,4.1,4.3,4.5,4.7,4.9,5.1,5.3,5.5,5.6,5.7,5.8,5.9},{0,10,20,30,40,50,60,62,64,66,68,70,72,74,76,78,80,85,90,95,100})</f>
        <v>100</v>
      </c>
      <c r="Q121" s="15">
        <v>3.29</v>
      </c>
      <c r="R121" s="15">
        <f t="shared" si="76"/>
        <v>6.71</v>
      </c>
      <c r="S121" s="1">
        <f>LOOKUP(R121,{0,3.75,3.95,4.55,4.75,4.95,5.55,5.6,5.65,5.7,5.75,5.8,5.85,5.9,5.95,6,6.45,6.53,6.6,6.65,6.7},{0,10,20,30,40,50,60,62,64,66,68,70,72,74,76,78,80,85,90,95,100})</f>
        <v>100</v>
      </c>
      <c r="T121" s="21">
        <f>3.3-Q121</f>
        <v>0.00999999999999979</v>
      </c>
      <c r="U121" s="1">
        <f>LOOKUP(T121,{0,0.04,0.08,0.12,0.16,0.2,0.23,0.26,0.29,0.32,0.35},{0,1,2,3,4,5,6,7,8,9,10})</f>
        <v>0</v>
      </c>
      <c r="V121" s="21">
        <f t="shared" si="77"/>
        <v>100</v>
      </c>
      <c r="W121" s="15"/>
      <c r="X121" s="21">
        <f t="shared" si="56"/>
        <v>64.4</v>
      </c>
      <c r="Y121" s="21">
        <f t="shared" si="78"/>
        <v>102</v>
      </c>
    </row>
    <row r="122" ht="15.6" outlineLevel="1" collapsed="1" spans="1:25">
      <c r="A122" s="16" t="s">
        <v>845</v>
      </c>
      <c r="B122" s="15"/>
      <c r="C122" s="14"/>
      <c r="D122" s="14"/>
      <c r="E122" s="15"/>
      <c r="F122" s="1">
        <f>SUBTOTAL(1,F94:F121)</f>
        <v>71.695652173913</v>
      </c>
      <c r="G122" s="15"/>
      <c r="H122" s="1">
        <f>SUBTOTAL(1,H94:H121)</f>
        <v>70.3913043478261</v>
      </c>
      <c r="I122" s="15"/>
      <c r="J122" s="1">
        <f>SUBTOTAL(1,J94:J121)</f>
        <v>52.695652173913</v>
      </c>
      <c r="K122" s="21"/>
      <c r="L122" s="1"/>
      <c r="M122" s="21">
        <f>SUBTOTAL(1,M94:M121)</f>
        <v>54.304347826087</v>
      </c>
      <c r="N122" s="15"/>
      <c r="O122" s="19"/>
      <c r="P122" s="1">
        <f>SUBTOTAL(1,P94:P121)</f>
        <v>86.7826086956522</v>
      </c>
      <c r="Q122" s="15"/>
      <c r="R122" s="15"/>
      <c r="S122" s="1">
        <f>SUBTOTAL(1,S94:S121)</f>
        <v>84.3913043478261</v>
      </c>
      <c r="T122" s="21"/>
      <c r="U122" s="1"/>
      <c r="V122" s="21">
        <f>SUBTOTAL(1,V94:V121)</f>
        <v>84.5652173913043</v>
      </c>
      <c r="W122" s="15"/>
      <c r="X122" s="21">
        <f>SUBTOTAL(1,X94:X121)</f>
        <v>44.1214285714286</v>
      </c>
      <c r="Y122" s="21">
        <f>SUBTOTAL(1,Y94:Y121)</f>
        <v>72.6683673469388</v>
      </c>
    </row>
    <row r="123" ht="15.6" hidden="1" outlineLevel="2" spans="1:25">
      <c r="A123" s="15">
        <v>105</v>
      </c>
      <c r="B123" s="15">
        <v>1</v>
      </c>
      <c r="C123" s="13" t="s">
        <v>218</v>
      </c>
      <c r="D123" s="14" t="s">
        <v>11</v>
      </c>
      <c r="E123" s="15">
        <v>9.7</v>
      </c>
      <c r="F123" s="1">
        <f>LOOKUP(E123,{0,-4,-3,-2,-1,0,1,2.4,3.8,5.2,6.6,8,9.4,10.8,12.2,13.6,15,17.2,19.4,21.5,23.6},{0,10,20,30,40,50,60,62,64,66,68,70,72,74,76,78,80,85,90,95,100})</f>
        <v>72</v>
      </c>
      <c r="G123" s="15">
        <v>233</v>
      </c>
      <c r="H123" s="1">
        <f>LOOKUP(G123,{0,170,175,180,185,190,195,199,203,207,211,215,219,223,227,231,235,243,250,255,260},{0,10,20,30,40,50,60,62,64,66,68,70,72,74,76,78,80,85,90,95,100})</f>
        <v>78</v>
      </c>
      <c r="I123" s="15">
        <v>0</v>
      </c>
      <c r="J123" s="1">
        <f>LOOKUP(I123,{0,2,3,4,5,6,7,8,9,10,11,12,13,14,15,16},{0,10,20,30,40,50,60,64,68,72,76,80,85,90,95,100})</f>
        <v>0</v>
      </c>
      <c r="K123" s="21"/>
      <c r="L123" s="21"/>
      <c r="M123" s="21">
        <f t="shared" ref="M123:M125" si="79">J123+L123</f>
        <v>0</v>
      </c>
      <c r="N123" s="15">
        <v>7.7</v>
      </c>
      <c r="O123" s="19">
        <f t="shared" ref="O123:O137" si="80">13-N123</f>
        <v>5.3</v>
      </c>
      <c r="P123" s="1">
        <f>LOOKUP(O123,{0,2.5,2.7,2.9,3.1,3.3,3.5,3.7,3.9,4.1,4.3,4.5,4.7,4.9,5.1,5.3,5.5,5.6,5.7,5.8,5.9},{0,10,20,30,40,50,60,62,64,66,68,70,72,74,76,78,80,85,90,95,100})</f>
        <v>78</v>
      </c>
      <c r="Q123" s="15">
        <v>3.49</v>
      </c>
      <c r="R123" s="15">
        <f t="shared" ref="R123:R125" si="81">10-Q123</f>
        <v>6.51</v>
      </c>
      <c r="S123" s="1">
        <f>LOOKUP(R123,{0,3.75,3.95,4.55,4.75,4.95,5.55,5.6,5.65,5.7,5.75,5.8,5.85,5.9,5.95,6,6.45,6.53,6.6,6.65,6.7},{0,10,20,30,40,50,60,62,64,66,68,70,72,74,76,78,80,85,90,95,100})</f>
        <v>80</v>
      </c>
      <c r="T123" s="21"/>
      <c r="U123" s="21"/>
      <c r="V123" s="21">
        <f t="shared" ref="V123:V125" si="82">S123+U123</f>
        <v>80</v>
      </c>
      <c r="W123" s="15"/>
      <c r="X123" s="21">
        <f t="shared" ref="X123:X145" si="83">F123*0.1+H123*0.1+J123*0.1+P123*0.2+S123*0.2</f>
        <v>46.6</v>
      </c>
      <c r="Y123" s="21">
        <f t="shared" ref="Y123:Y125" si="84">X123/0.7+L123+U123</f>
        <v>66.5714285714286</v>
      </c>
    </row>
    <row r="124" ht="15.6" hidden="1" outlineLevel="2" spans="1:25">
      <c r="A124" s="15">
        <v>105</v>
      </c>
      <c r="B124" s="15">
        <v>2</v>
      </c>
      <c r="C124" s="14" t="s">
        <v>219</v>
      </c>
      <c r="D124" s="14" t="s">
        <v>11</v>
      </c>
      <c r="E124" s="15">
        <v>10</v>
      </c>
      <c r="F124" s="1">
        <f>LOOKUP(E124,{0,-4,-3,-2,-1,0,1,2.4,3.8,5.2,6.6,8,9.4,10.8,12.2,13.6,15,17.2,19.4,21.5,23.6},{0,10,20,30,40,50,60,62,64,66,68,70,72,74,76,78,80,85,90,95,100})</f>
        <v>72</v>
      </c>
      <c r="G124" s="15">
        <v>217</v>
      </c>
      <c r="H124" s="1">
        <f>LOOKUP(G124,{0,170,175,180,185,190,195,199,203,207,211,215,219,223,227,231,235,243,250,255,260},{0,10,20,30,40,50,60,62,64,66,68,70,72,74,76,78,80,85,90,95,100})</f>
        <v>70</v>
      </c>
      <c r="I124" s="15">
        <v>29</v>
      </c>
      <c r="J124" s="1">
        <f>LOOKUP(I124,{0,2,3,4,5,6,7,8,9,10,11,12,13,14,15,16},{0,10,20,30,40,50,60,64,68,72,76,80,85,90,95,100})</f>
        <v>100</v>
      </c>
      <c r="K124" s="21">
        <f>I124-16</f>
        <v>13</v>
      </c>
      <c r="L124" s="1">
        <f>LOOKUP(K124,{0,1,2,3,4,5,6,7,8,9,10},{0,1,2,3,4,5,6,7,8,9,10})</f>
        <v>10</v>
      </c>
      <c r="M124" s="21">
        <f t="shared" si="79"/>
        <v>110</v>
      </c>
      <c r="N124" s="15">
        <v>7.5</v>
      </c>
      <c r="O124" s="19">
        <f t="shared" si="80"/>
        <v>5.5</v>
      </c>
      <c r="P124" s="1">
        <f>LOOKUP(O124,{0,2.5,2.7,2.9,3.1,3.3,3.5,3.7,3.9,4.1,4.3,4.5,4.7,4.9,5.1,5.3,5.5,5.6,5.7,5.8,5.9},{0,10,20,30,40,50,60,62,64,66,68,70,72,74,76,78,80,85,90,95,100})</f>
        <v>80</v>
      </c>
      <c r="Q124" s="15">
        <v>4.03</v>
      </c>
      <c r="R124" s="15">
        <f t="shared" si="81"/>
        <v>5.97</v>
      </c>
      <c r="S124" s="1">
        <f>LOOKUP(R124,{0,3.75,3.95,4.55,4.75,4.95,5.55,5.6,5.65,5.7,5.75,5.8,5.85,5.9,5.95,6,6.45,6.53,6.6,6.65,6.7},{0,10,20,30,40,50,60,62,64,66,68,70,72,74,76,78,80,85,90,95,100})</f>
        <v>76</v>
      </c>
      <c r="T124" s="21"/>
      <c r="U124" s="21"/>
      <c r="V124" s="21">
        <f t="shared" si="82"/>
        <v>76</v>
      </c>
      <c r="W124" s="15"/>
      <c r="X124" s="21">
        <f t="shared" si="83"/>
        <v>55.4</v>
      </c>
      <c r="Y124" s="21">
        <f t="shared" si="84"/>
        <v>89.1428571428572</v>
      </c>
    </row>
    <row r="125" ht="15.6" hidden="1" outlineLevel="2" spans="1:25">
      <c r="A125" s="15">
        <v>105</v>
      </c>
      <c r="B125" s="15">
        <v>3</v>
      </c>
      <c r="C125" s="14" t="s">
        <v>220</v>
      </c>
      <c r="D125" s="14" t="s">
        <v>11</v>
      </c>
      <c r="E125" s="15">
        <v>8.9</v>
      </c>
      <c r="F125" s="1">
        <f>LOOKUP(E125,{0,-4,-3,-2,-1,0,1,2.4,3.8,5.2,6.6,8,9.4,10.8,12.2,13.6,15,17.2,19.4,21.5,23.6},{0,10,20,30,40,50,60,62,64,66,68,70,72,74,76,78,80,85,90,95,100})</f>
        <v>70</v>
      </c>
      <c r="G125" s="15">
        <v>232</v>
      </c>
      <c r="H125" s="1">
        <f>LOOKUP(G125,{0,170,175,180,185,190,195,199,203,207,211,215,219,223,227,231,235,243,250,255,260},{0,10,20,30,40,50,60,62,64,66,68,70,72,74,76,78,80,85,90,95,100})</f>
        <v>78</v>
      </c>
      <c r="I125" s="15">
        <v>0</v>
      </c>
      <c r="J125" s="1">
        <f>LOOKUP(I125,{0,2,3,4,5,6,7,8,9,10,11,12,13,14,15,16},{0,10,20,30,40,50,60,64,68,72,76,80,85,90,95,100})</f>
        <v>0</v>
      </c>
      <c r="K125" s="21"/>
      <c r="L125" s="21"/>
      <c r="M125" s="21">
        <f t="shared" si="79"/>
        <v>0</v>
      </c>
      <c r="N125" s="15">
        <v>7.2</v>
      </c>
      <c r="O125" s="19">
        <f t="shared" si="80"/>
        <v>5.8</v>
      </c>
      <c r="P125" s="1">
        <f>LOOKUP(O125,{0,2.5,2.7,2.9,3.1,3.3,3.5,3.7,3.9,4.1,4.3,4.5,4.7,4.9,5.1,5.3,5.5,5.6,5.7,5.8,5.9},{0,10,20,30,40,50,60,62,64,66,68,70,72,74,76,78,80,85,90,95,100})</f>
        <v>95</v>
      </c>
      <c r="Q125" s="15">
        <v>3.43</v>
      </c>
      <c r="R125" s="15">
        <f t="shared" si="81"/>
        <v>6.57</v>
      </c>
      <c r="S125" s="1">
        <f>LOOKUP(R125,{0,3.75,3.95,4.55,4.75,4.95,5.55,5.6,5.65,5.7,5.75,5.8,5.85,5.9,5.95,6,6.45,6.53,6.6,6.65,6.7},{0,10,20,30,40,50,60,62,64,66,68,70,72,74,76,78,80,85,90,95,100})</f>
        <v>85</v>
      </c>
      <c r="T125" s="21"/>
      <c r="U125" s="21"/>
      <c r="V125" s="21">
        <f t="shared" si="82"/>
        <v>85</v>
      </c>
      <c r="W125" s="15"/>
      <c r="X125" s="21">
        <f t="shared" si="83"/>
        <v>50.8</v>
      </c>
      <c r="Y125" s="21">
        <f t="shared" si="84"/>
        <v>72.5714285714286</v>
      </c>
    </row>
    <row r="126" s="3" customFormat="1" ht="15.6" hidden="1" outlineLevel="2" spans="1:25">
      <c r="A126" s="15">
        <v>105</v>
      </c>
      <c r="B126" s="15">
        <v>4</v>
      </c>
      <c r="C126" s="14" t="s">
        <v>221</v>
      </c>
      <c r="D126" s="14" t="s">
        <v>11</v>
      </c>
      <c r="E126" s="15"/>
      <c r="F126" s="1"/>
      <c r="G126" s="15"/>
      <c r="H126" s="1"/>
      <c r="I126" s="15"/>
      <c r="J126" s="1"/>
      <c r="K126" s="21"/>
      <c r="L126" s="21"/>
      <c r="M126" s="21"/>
      <c r="N126" s="15">
        <v>7</v>
      </c>
      <c r="O126" s="19">
        <f t="shared" si="80"/>
        <v>6</v>
      </c>
      <c r="P126" s="1">
        <f>LOOKUP(O126,{0,2.5,2.7,2.9,3.1,3.3,3.5,3.7,3.9,4.1,4.3,4.5,4.7,4.9,5.1,5.3,5.5,5.6,5.7,5.8,5.9},{0,10,20,30,40,50,60,62,64,66,68,70,72,74,76,78,80,85,90,95,100})</f>
        <v>100</v>
      </c>
      <c r="Q126" s="15"/>
      <c r="R126" s="15"/>
      <c r="S126" s="1"/>
      <c r="T126" s="21"/>
      <c r="U126" s="1"/>
      <c r="V126" s="21"/>
      <c r="W126" s="15" t="s">
        <v>222</v>
      </c>
      <c r="X126" s="21">
        <f t="shared" si="83"/>
        <v>20</v>
      </c>
      <c r="Y126" s="21">
        <v>50</v>
      </c>
    </row>
    <row r="127" ht="15.6" hidden="1" outlineLevel="2" spans="1:25">
      <c r="A127" s="15">
        <v>105</v>
      </c>
      <c r="B127" s="15">
        <v>5</v>
      </c>
      <c r="C127" s="14" t="s">
        <v>223</v>
      </c>
      <c r="D127" s="14" t="s">
        <v>11</v>
      </c>
      <c r="E127" s="15">
        <v>9.6</v>
      </c>
      <c r="F127" s="1">
        <f>LOOKUP(E127,{0,-4,-3,-2,-1,0,1,2.4,3.8,5.2,6.6,8,9.4,10.8,12.2,13.6,15,17.2,19.4,21.5,23.6},{0,10,20,30,40,50,60,62,64,66,68,70,72,74,76,78,80,85,90,95,100})</f>
        <v>72</v>
      </c>
      <c r="G127" s="15">
        <v>208</v>
      </c>
      <c r="H127" s="1">
        <f>LOOKUP(G127,{0,170,175,180,185,190,195,199,203,207,211,215,219,223,227,231,235,243,250,255,260},{0,10,20,30,40,50,60,62,64,66,68,70,72,74,76,78,80,85,90,95,100})</f>
        <v>66</v>
      </c>
      <c r="I127" s="15">
        <v>2</v>
      </c>
      <c r="J127" s="1">
        <f>LOOKUP(I127,{0,2,3,4,5,6,7,8,9,10,11,12,13,14,15,16},{0,10,20,30,40,50,60,64,68,72,76,80,85,90,95,100})</f>
        <v>10</v>
      </c>
      <c r="K127" s="21"/>
      <c r="L127" s="21"/>
      <c r="M127" s="21">
        <f t="shared" ref="M127:M132" si="85">J127+L127</f>
        <v>10</v>
      </c>
      <c r="N127" s="15">
        <v>7.5</v>
      </c>
      <c r="O127" s="19">
        <f t="shared" si="80"/>
        <v>5.5</v>
      </c>
      <c r="P127" s="1">
        <f>LOOKUP(O127,{0,2.5,2.7,2.9,3.1,3.3,3.5,3.7,3.9,4.1,4.3,4.5,4.7,4.9,5.1,5.3,5.5,5.6,5.7,5.8,5.9},{0,10,20,30,40,50,60,62,64,66,68,70,72,74,76,78,80,85,90,95,100})</f>
        <v>80</v>
      </c>
      <c r="Q127" s="15">
        <v>4.12</v>
      </c>
      <c r="R127" s="15">
        <f t="shared" ref="R127:R132" si="86">10-Q127</f>
        <v>5.88</v>
      </c>
      <c r="S127" s="1">
        <f>LOOKUP(R127,{0,3.75,3.95,4.55,4.75,4.95,5.55,5.6,5.65,5.7,5.75,5.8,5.85,5.9,5.95,6,6.45,6.53,6.6,6.65,6.7},{0,10,20,30,40,50,60,62,64,66,68,70,72,74,76,78,80,85,90,95,100})</f>
        <v>72</v>
      </c>
      <c r="T127" s="21"/>
      <c r="U127" s="21"/>
      <c r="V127" s="21">
        <f t="shared" ref="V127:V132" si="87">S127+U127</f>
        <v>72</v>
      </c>
      <c r="W127" s="15"/>
      <c r="X127" s="21">
        <f t="shared" si="83"/>
        <v>45.2</v>
      </c>
      <c r="Y127" s="21">
        <f t="shared" ref="Y127:Y132" si="88">X127/0.7+L127+U127</f>
        <v>64.5714285714286</v>
      </c>
    </row>
    <row r="128" ht="15.6" hidden="1" outlineLevel="2" spans="1:25">
      <c r="A128" s="15">
        <v>105</v>
      </c>
      <c r="B128" s="15">
        <v>6</v>
      </c>
      <c r="C128" s="14" t="s">
        <v>224</v>
      </c>
      <c r="D128" s="14" t="s">
        <v>11</v>
      </c>
      <c r="E128" s="15">
        <v>1.5</v>
      </c>
      <c r="F128" s="1">
        <f>LOOKUP(E128,{0,-4,-3,-2,-1,0,1,2.4,3.8,5.2,6.6,8,9.4,10.8,12.2,13.6,15,17.2,19.4,21.5,23.6},{0,10,20,30,40,50,60,62,64,66,68,70,72,74,76,78,80,85,90,95,100})</f>
        <v>60</v>
      </c>
      <c r="G128" s="15">
        <v>216</v>
      </c>
      <c r="H128" s="1">
        <f>LOOKUP(G128,{0,170,175,180,185,190,195,199,203,207,211,215,219,223,227,231,235,243,250,255,260},{0,10,20,30,40,50,60,62,64,66,68,70,72,74,76,78,80,85,90,95,100})</f>
        <v>70</v>
      </c>
      <c r="I128" s="15">
        <v>0</v>
      </c>
      <c r="J128" s="1">
        <f>LOOKUP(I128,{0,2,3,4,5,6,7,8,9,10,11,12,13,14,15,16},{0,10,20,30,40,50,60,64,68,72,76,80,85,90,95,100})</f>
        <v>0</v>
      </c>
      <c r="K128" s="21"/>
      <c r="L128" s="21"/>
      <c r="M128" s="21">
        <f t="shared" si="85"/>
        <v>0</v>
      </c>
      <c r="N128" s="15">
        <v>7.5</v>
      </c>
      <c r="O128" s="19">
        <f t="shared" si="80"/>
        <v>5.5</v>
      </c>
      <c r="P128" s="1">
        <f>LOOKUP(O128,{0,2.5,2.7,2.9,3.1,3.3,3.5,3.7,3.9,4.1,4.3,4.5,4.7,4.9,5.1,5.3,5.5,5.6,5.7,5.8,5.9},{0,10,20,30,40,50,60,62,64,66,68,70,72,74,76,78,80,85,90,95,100})</f>
        <v>80</v>
      </c>
      <c r="Q128" s="15">
        <v>3.52</v>
      </c>
      <c r="R128" s="15">
        <f t="shared" si="86"/>
        <v>6.48</v>
      </c>
      <c r="S128" s="1">
        <f>LOOKUP(R128,{0,3.75,3.95,4.55,4.75,4.95,5.55,5.6,5.65,5.7,5.75,5.8,5.85,5.9,5.95,6,6.45,6.53,6.6,6.65,6.7},{0,10,20,30,40,50,60,62,64,66,68,70,72,74,76,78,80,85,90,95,100})</f>
        <v>80</v>
      </c>
      <c r="T128" s="21"/>
      <c r="U128" s="21"/>
      <c r="V128" s="21">
        <f t="shared" si="87"/>
        <v>80</v>
      </c>
      <c r="W128" s="15"/>
      <c r="X128" s="21">
        <f t="shared" si="83"/>
        <v>45</v>
      </c>
      <c r="Y128" s="21">
        <f t="shared" si="88"/>
        <v>64.2857142857143</v>
      </c>
    </row>
    <row r="129" ht="15.6" hidden="1" outlineLevel="2" spans="1:25">
      <c r="A129" s="15">
        <v>105</v>
      </c>
      <c r="B129" s="15">
        <v>7</v>
      </c>
      <c r="C129" s="14" t="s">
        <v>225</v>
      </c>
      <c r="D129" s="14" t="s">
        <v>11</v>
      </c>
      <c r="E129" s="15">
        <v>8.8</v>
      </c>
      <c r="F129" s="1">
        <f>LOOKUP(E129,{0,-4,-3,-2,-1,0,1,2.4,3.8,5.2,6.6,8,9.4,10.8,12.2,13.6,15,17.2,19.4,21.5,23.6},{0,10,20,30,40,50,60,62,64,66,68,70,72,74,76,78,80,85,90,95,100})</f>
        <v>70</v>
      </c>
      <c r="G129" s="15">
        <v>215</v>
      </c>
      <c r="H129" s="1">
        <f>LOOKUP(G129,{0,170,175,180,185,190,195,199,203,207,211,215,219,223,227,231,235,243,250,255,260},{0,10,20,30,40,50,60,62,64,66,68,70,72,74,76,78,80,85,90,95,100})</f>
        <v>70</v>
      </c>
      <c r="I129" s="15">
        <v>0</v>
      </c>
      <c r="J129" s="1">
        <f>LOOKUP(I129,{0,2,3,4,5,6,7,8,9,10,11,12,13,14,15,16},{0,10,20,30,40,50,60,64,68,72,76,80,85,90,95,100})</f>
        <v>0</v>
      </c>
      <c r="K129" s="21"/>
      <c r="L129" s="21"/>
      <c r="M129" s="21">
        <f t="shared" si="85"/>
        <v>0</v>
      </c>
      <c r="N129" s="15">
        <v>7.9</v>
      </c>
      <c r="O129" s="19">
        <f t="shared" si="80"/>
        <v>5.1</v>
      </c>
      <c r="P129" s="1">
        <f>LOOKUP(O129,{0,2.5,2.7,2.9,3.1,3.3,3.5,3.7,3.9,4.1,4.3,4.5,4.7,4.9,5.1,5.3,5.5,5.6,5.7,5.8,5.9},{0,10,20,30,40,50,60,62,64,66,68,70,72,74,76,78,80,85,90,95,100})</f>
        <v>76</v>
      </c>
      <c r="Q129" s="15">
        <v>4.18</v>
      </c>
      <c r="R129" s="15">
        <f t="shared" si="86"/>
        <v>5.82</v>
      </c>
      <c r="S129" s="1">
        <f>LOOKUP(R129,{0,3.75,3.95,4.55,4.75,4.95,5.55,5.6,5.65,5.7,5.75,5.8,5.85,5.9,5.95,6,6.45,6.53,6.6,6.65,6.7},{0,10,20,30,40,50,60,62,64,66,68,70,72,74,76,78,80,85,90,95,100})</f>
        <v>70</v>
      </c>
      <c r="T129" s="21"/>
      <c r="U129" s="21"/>
      <c r="V129" s="21">
        <f t="shared" si="87"/>
        <v>70</v>
      </c>
      <c r="W129" s="15"/>
      <c r="X129" s="21">
        <f t="shared" si="83"/>
        <v>43.2</v>
      </c>
      <c r="Y129" s="21">
        <f t="shared" si="88"/>
        <v>61.7142857142857</v>
      </c>
    </row>
    <row r="130" ht="15.6" hidden="1" outlineLevel="2" spans="1:25">
      <c r="A130" s="15">
        <v>105</v>
      </c>
      <c r="B130" s="15">
        <v>8</v>
      </c>
      <c r="C130" s="14" t="s">
        <v>226</v>
      </c>
      <c r="D130" s="14" t="s">
        <v>11</v>
      </c>
      <c r="E130" s="15">
        <v>12.3</v>
      </c>
      <c r="F130" s="1">
        <f>LOOKUP(E130,{0,-4,-3,-2,-1,0,1,2.4,3.8,5.2,6.6,8,9.4,10.8,12.2,13.6,15,17.2,19.4,21.5,23.6},{0,10,20,30,40,50,60,62,64,66,68,70,72,74,76,78,80,85,90,95,100})</f>
        <v>76</v>
      </c>
      <c r="G130" s="15">
        <v>234</v>
      </c>
      <c r="H130" s="1">
        <f>LOOKUP(G130,{0,170,175,180,185,190,195,199,203,207,211,215,219,223,227,231,235,243,250,255,260},{0,10,20,30,40,50,60,62,64,66,68,70,72,74,76,78,80,85,90,95,100})</f>
        <v>78</v>
      </c>
      <c r="I130" s="15">
        <v>10</v>
      </c>
      <c r="J130" s="1">
        <f>LOOKUP(I130,{0,2,3,4,5,6,7,8,9,10,11,12,13,14,15,16},{0,10,20,30,40,50,60,64,68,72,76,80,85,90,95,100})</f>
        <v>72</v>
      </c>
      <c r="K130" s="21"/>
      <c r="L130" s="21"/>
      <c r="M130" s="21">
        <f t="shared" si="85"/>
        <v>72</v>
      </c>
      <c r="N130" s="15">
        <v>6.9</v>
      </c>
      <c r="O130" s="19">
        <f t="shared" si="80"/>
        <v>6.1</v>
      </c>
      <c r="P130" s="1">
        <f>LOOKUP(O130,{0,2.5,2.7,2.9,3.1,3.3,3.5,3.7,3.9,4.1,4.3,4.5,4.7,4.9,5.1,5.3,5.5,5.6,5.7,5.8,5.9},{0,10,20,30,40,50,60,62,64,66,68,70,72,74,76,78,80,85,90,95,100})</f>
        <v>100</v>
      </c>
      <c r="Q130" s="15">
        <v>3.45</v>
      </c>
      <c r="R130" s="15">
        <f t="shared" si="86"/>
        <v>6.55</v>
      </c>
      <c r="S130" s="1">
        <f>LOOKUP(R130,{0,3.75,3.95,4.55,4.75,4.95,5.55,5.6,5.65,5.7,5.75,5.8,5.85,5.9,5.95,6,6.45,6.53,6.6,6.65,6.7},{0,10,20,30,40,50,60,62,64,66,68,70,72,74,76,78,80,85,90,95,100})</f>
        <v>85</v>
      </c>
      <c r="T130" s="21"/>
      <c r="U130" s="21"/>
      <c r="V130" s="21">
        <f t="shared" si="87"/>
        <v>85</v>
      </c>
      <c r="W130" s="15"/>
      <c r="X130" s="21">
        <f t="shared" si="83"/>
        <v>59.6</v>
      </c>
      <c r="Y130" s="21">
        <f t="shared" si="88"/>
        <v>85.1428571428572</v>
      </c>
    </row>
    <row r="131" ht="15.6" hidden="1" outlineLevel="2" spans="1:25">
      <c r="A131" s="15">
        <v>105</v>
      </c>
      <c r="B131" s="15">
        <v>9</v>
      </c>
      <c r="C131" s="14" t="s">
        <v>227</v>
      </c>
      <c r="D131" s="14" t="s">
        <v>11</v>
      </c>
      <c r="E131" s="15">
        <v>9.5</v>
      </c>
      <c r="F131" s="1">
        <f>LOOKUP(E131,{0,-4,-3,-2,-1,0,1,2.4,3.8,5.2,6.6,8,9.4,10.8,12.2,13.6,15,17.2,19.4,21.5,23.6},{0,10,20,30,40,50,60,62,64,66,68,70,72,74,76,78,80,85,90,95,100})</f>
        <v>72</v>
      </c>
      <c r="G131" s="15">
        <v>223</v>
      </c>
      <c r="H131" s="1">
        <f>LOOKUP(G131,{0,170,175,180,185,190,195,199,203,207,211,215,219,223,227,231,235,243,250,255,260},{0,10,20,30,40,50,60,62,64,66,68,70,72,74,76,78,80,85,90,95,100})</f>
        <v>74</v>
      </c>
      <c r="I131" s="15">
        <v>1</v>
      </c>
      <c r="J131" s="1">
        <f>LOOKUP(I131,{0,2,3,4,5,6,7,8,9,10,11,12,13,14,15,16},{0,10,20,30,40,50,60,64,68,72,76,80,85,90,95,100})</f>
        <v>0</v>
      </c>
      <c r="K131" s="21"/>
      <c r="L131" s="21"/>
      <c r="M131" s="21">
        <f t="shared" si="85"/>
        <v>0</v>
      </c>
      <c r="N131" s="15">
        <v>7.5</v>
      </c>
      <c r="O131" s="19">
        <f t="shared" si="80"/>
        <v>5.5</v>
      </c>
      <c r="P131" s="1">
        <f>LOOKUP(O131,{0,2.5,2.7,2.9,3.1,3.3,3.5,3.7,3.9,4.1,4.3,4.5,4.7,4.9,5.1,5.3,5.5,5.6,5.7,5.8,5.9},{0,10,20,30,40,50,60,62,64,66,68,70,72,74,76,78,80,85,90,95,100})</f>
        <v>80</v>
      </c>
      <c r="Q131" s="15">
        <v>3.44</v>
      </c>
      <c r="R131" s="15">
        <f t="shared" si="86"/>
        <v>6.56</v>
      </c>
      <c r="S131" s="1">
        <f>LOOKUP(R131,{0,3.75,3.95,4.55,4.75,4.95,5.55,5.6,5.65,5.7,5.75,5.8,5.85,5.9,5.95,6,6.45,6.53,6.6,6.65,6.7},{0,10,20,30,40,50,60,62,64,66,68,70,72,74,76,78,80,85,90,95,100})</f>
        <v>85</v>
      </c>
      <c r="T131" s="21"/>
      <c r="U131" s="21"/>
      <c r="V131" s="21">
        <f t="shared" si="87"/>
        <v>85</v>
      </c>
      <c r="W131" s="15"/>
      <c r="X131" s="21">
        <f t="shared" si="83"/>
        <v>47.6</v>
      </c>
      <c r="Y131" s="21">
        <f t="shared" si="88"/>
        <v>68</v>
      </c>
    </row>
    <row r="132" ht="15.6" hidden="1" outlineLevel="2" spans="1:25">
      <c r="A132" s="15">
        <v>105</v>
      </c>
      <c r="B132" s="15">
        <v>10</v>
      </c>
      <c r="C132" s="14" t="s">
        <v>228</v>
      </c>
      <c r="D132" s="14" t="s">
        <v>11</v>
      </c>
      <c r="E132" s="15">
        <v>4.6</v>
      </c>
      <c r="F132" s="1">
        <f>LOOKUP(E132,{0,-4,-3,-2,-1,0,1,2.4,3.8,5.2,6.6,8,9.4,10.8,12.2,13.6,15,17.2,19.4,21.5,23.6},{0,10,20,30,40,50,60,62,64,66,68,70,72,74,76,78,80,85,90,95,100})</f>
        <v>64</v>
      </c>
      <c r="G132" s="15">
        <v>155</v>
      </c>
      <c r="H132" s="1">
        <f>LOOKUP(G132,{0,170,175,180,185,190,195,199,203,207,211,215,219,223,227,231,235,243,250,255,260},{0,10,20,30,40,50,60,62,64,66,68,70,72,74,76,78,80,85,90,95,100})</f>
        <v>0</v>
      </c>
      <c r="I132" s="15">
        <v>0</v>
      </c>
      <c r="J132" s="1">
        <f>LOOKUP(I132,{0,2,3,4,5,6,7,8,9,10,11,12,13,14,15,16},{0,10,20,30,40,50,60,64,68,72,76,80,85,90,95,100})</f>
        <v>0</v>
      </c>
      <c r="K132" s="21"/>
      <c r="L132" s="21"/>
      <c r="M132" s="21">
        <f t="shared" si="85"/>
        <v>0</v>
      </c>
      <c r="N132" s="15">
        <v>9.4</v>
      </c>
      <c r="O132" s="19">
        <f t="shared" si="80"/>
        <v>3.6</v>
      </c>
      <c r="P132" s="1">
        <f>LOOKUP(O132,{0,2.5,2.7,2.9,3.1,3.3,3.5,3.7,3.9,4.1,4.3,4.5,4.7,4.9,5.1,5.3,5.5,5.6,5.7,5.8,5.9},{0,10,20,30,40,50,60,62,64,66,68,70,72,74,76,78,80,85,90,95,100})</f>
        <v>60</v>
      </c>
      <c r="Q132" s="15">
        <v>4.55</v>
      </c>
      <c r="R132" s="15">
        <f t="shared" si="86"/>
        <v>5.45</v>
      </c>
      <c r="S132" s="1">
        <f>LOOKUP(R132,{0,3.75,3.95,4.55,4.75,4.95,5.55,5.6,5.65,5.7,5.75,5.8,5.85,5.9,5.95,6,6.45,6.53,6.6,6.65,6.7},{0,10,20,30,40,50,60,62,64,66,68,70,72,74,76,78,80,85,90,95,100})</f>
        <v>50</v>
      </c>
      <c r="T132" s="21"/>
      <c r="U132" s="21"/>
      <c r="V132" s="21">
        <f t="shared" si="87"/>
        <v>50</v>
      </c>
      <c r="W132" s="15"/>
      <c r="X132" s="21">
        <f t="shared" si="83"/>
        <v>28.4</v>
      </c>
      <c r="Y132" s="21">
        <f t="shared" si="88"/>
        <v>40.5714285714286</v>
      </c>
    </row>
    <row r="133" ht="15.6" hidden="1" outlineLevel="2" spans="1:25">
      <c r="A133" s="15">
        <v>105</v>
      </c>
      <c r="B133" s="15">
        <v>11</v>
      </c>
      <c r="C133" s="14" t="s">
        <v>229</v>
      </c>
      <c r="D133" s="14" t="s">
        <v>11</v>
      </c>
      <c r="E133" s="15"/>
      <c r="F133" s="1"/>
      <c r="G133" s="15"/>
      <c r="H133" s="1"/>
      <c r="I133" s="15"/>
      <c r="J133" s="1"/>
      <c r="K133" s="21"/>
      <c r="L133" s="21"/>
      <c r="M133" s="21"/>
      <c r="N133" s="15">
        <v>8.3</v>
      </c>
      <c r="O133" s="19">
        <f t="shared" si="80"/>
        <v>4.7</v>
      </c>
      <c r="P133" s="1">
        <f>LOOKUP(O133,{0,2.5,2.7,2.9,3.1,3.3,3.5,3.7,3.9,4.1,4.3,4.5,4.7,4.9,5.1,5.3,5.5,5.6,5.7,5.8,5.9},{0,10,20,30,40,50,60,62,64,66,68,70,72,74,76,78,80,85,90,95,100})</f>
        <v>72</v>
      </c>
      <c r="Q133" s="15"/>
      <c r="R133" s="15"/>
      <c r="S133" s="1"/>
      <c r="T133" s="21"/>
      <c r="U133" s="1"/>
      <c r="V133" s="21"/>
      <c r="W133" s="15" t="s">
        <v>222</v>
      </c>
      <c r="X133" s="21">
        <f t="shared" si="83"/>
        <v>14.4</v>
      </c>
      <c r="Y133" s="21">
        <v>50</v>
      </c>
    </row>
    <row r="134" ht="15.6" hidden="1" outlineLevel="2" spans="1:25">
      <c r="A134" s="15">
        <v>105</v>
      </c>
      <c r="B134" s="15">
        <v>12</v>
      </c>
      <c r="C134" s="14" t="s">
        <v>230</v>
      </c>
      <c r="D134" s="14" t="s">
        <v>11</v>
      </c>
      <c r="E134" s="15"/>
      <c r="F134" s="1"/>
      <c r="G134" s="15"/>
      <c r="H134" s="1"/>
      <c r="I134" s="15"/>
      <c r="J134" s="1"/>
      <c r="K134" s="21"/>
      <c r="L134" s="21"/>
      <c r="M134" s="21"/>
      <c r="N134" s="15">
        <v>8.3</v>
      </c>
      <c r="O134" s="19">
        <f t="shared" si="80"/>
        <v>4.7</v>
      </c>
      <c r="P134" s="1">
        <f>LOOKUP(O134,{0,2.5,2.7,2.9,3.1,3.3,3.5,3.7,3.9,4.1,4.3,4.5,4.7,4.9,5.1,5.3,5.5,5.6,5.7,5.8,5.9},{0,10,20,30,40,50,60,62,64,66,68,70,72,74,76,78,80,85,90,95,100})</f>
        <v>72</v>
      </c>
      <c r="Q134" s="15"/>
      <c r="R134" s="15"/>
      <c r="S134" s="1"/>
      <c r="T134" s="21"/>
      <c r="U134" s="1"/>
      <c r="V134" s="21"/>
      <c r="W134" s="15" t="s">
        <v>222</v>
      </c>
      <c r="X134" s="21">
        <f t="shared" si="83"/>
        <v>14.4</v>
      </c>
      <c r="Y134" s="21">
        <v>50</v>
      </c>
    </row>
    <row r="135" ht="15.6" hidden="1" outlineLevel="2" spans="1:25">
      <c r="A135" s="15">
        <v>105</v>
      </c>
      <c r="B135" s="15">
        <v>13</v>
      </c>
      <c r="C135" s="13" t="s">
        <v>232</v>
      </c>
      <c r="D135" s="14" t="s">
        <v>11</v>
      </c>
      <c r="E135" s="15"/>
      <c r="F135" s="1"/>
      <c r="G135" s="15"/>
      <c r="H135" s="1"/>
      <c r="I135" s="15"/>
      <c r="J135" s="1"/>
      <c r="K135" s="21"/>
      <c r="L135" s="21"/>
      <c r="M135" s="21"/>
      <c r="N135" s="15">
        <v>7.1</v>
      </c>
      <c r="O135" s="19">
        <f t="shared" si="80"/>
        <v>5.9</v>
      </c>
      <c r="P135" s="1">
        <f>LOOKUP(O135,{0,2.5,2.7,2.9,3.1,3.3,3.5,3.7,3.9,4.1,4.3,4.5,4.7,4.9,5.1,5.3,5.5,5.6,5.7,5.8,5.9},{0,10,20,30,40,50,60,62,64,66,68,70,72,74,76,78,80,85,90,95,100})</f>
        <v>100</v>
      </c>
      <c r="Q135" s="15"/>
      <c r="R135" s="15"/>
      <c r="S135" s="1"/>
      <c r="T135" s="21"/>
      <c r="U135" s="1"/>
      <c r="V135" s="21"/>
      <c r="W135" s="15" t="s">
        <v>222</v>
      </c>
      <c r="X135" s="21">
        <f t="shared" si="83"/>
        <v>20</v>
      </c>
      <c r="Y135" s="21">
        <v>50</v>
      </c>
    </row>
    <row r="136" ht="15.6" hidden="1" outlineLevel="2" spans="1:25">
      <c r="A136" s="15">
        <v>105</v>
      </c>
      <c r="B136" s="15">
        <v>14</v>
      </c>
      <c r="C136" s="14" t="s">
        <v>233</v>
      </c>
      <c r="D136" s="14" t="s">
        <v>11</v>
      </c>
      <c r="E136" s="15">
        <v>-1.5</v>
      </c>
      <c r="F136" s="1">
        <f>LOOKUP(E136,{0,-4,-3,-2,-1,0,1,2.4,3.8,5.2,6.6,8,9.4,10.8,12.2,13.6,15,17.2,19.4,21.5,23.6},{0,10,20,30,40,50,60,62,64,66,68,70,72,74,76,78,80,85,90,95,100})</f>
        <v>30</v>
      </c>
      <c r="G136" s="15">
        <v>235</v>
      </c>
      <c r="H136" s="1">
        <f>LOOKUP(G136,{0,170,175,180,185,190,195,199,203,207,211,215,219,223,227,231,235,243,250,255,260},{0,10,20,30,40,50,60,62,64,66,68,70,72,74,76,78,80,85,90,95,100})</f>
        <v>80</v>
      </c>
      <c r="I136" s="15">
        <v>0</v>
      </c>
      <c r="J136" s="1">
        <f>LOOKUP(I136,{0,2,3,4,5,6,7,8,9,10,11,12,13,14,15,16},{0,10,20,30,40,50,60,64,68,72,76,80,85,90,95,100})</f>
        <v>0</v>
      </c>
      <c r="K136" s="21"/>
      <c r="L136" s="21"/>
      <c r="M136" s="21">
        <f t="shared" ref="M136:M144" si="89">J136+L136</f>
        <v>0</v>
      </c>
      <c r="N136" s="15">
        <v>8</v>
      </c>
      <c r="O136" s="19">
        <f t="shared" si="80"/>
        <v>5</v>
      </c>
      <c r="P136" s="1">
        <f>LOOKUP(O136,{0,2.5,2.7,2.9,3.1,3.3,3.5,3.7,3.9,4.1,4.3,4.5,4.7,4.9,5.1,5.3,5.5,5.6,5.7,5.8,5.9},{0,10,20,30,40,50,60,62,64,66,68,70,72,74,76,78,80,85,90,95,100})</f>
        <v>74</v>
      </c>
      <c r="Q136" s="15">
        <v>4.03</v>
      </c>
      <c r="R136" s="15">
        <f t="shared" ref="R136:R144" si="90">10-Q136</f>
        <v>5.97</v>
      </c>
      <c r="S136" s="1">
        <f>LOOKUP(R136,{0,3.75,3.95,4.55,4.75,4.95,5.55,5.6,5.65,5.7,5.75,5.8,5.85,5.9,5.95,6,6.45,6.53,6.6,6.65,6.7},{0,10,20,30,40,50,60,62,64,66,68,70,72,74,76,78,80,85,90,95,100})</f>
        <v>76</v>
      </c>
      <c r="T136" s="21"/>
      <c r="U136" s="21"/>
      <c r="V136" s="21">
        <f t="shared" ref="V136:V144" si="91">S136+U136</f>
        <v>76</v>
      </c>
      <c r="W136" s="15"/>
      <c r="X136" s="21">
        <f t="shared" si="83"/>
        <v>41</v>
      </c>
      <c r="Y136" s="21">
        <f t="shared" ref="Y136:Y144" si="92">X136/0.7+L136+U136</f>
        <v>58.5714285714286</v>
      </c>
    </row>
    <row r="137" s="3" customFormat="1" ht="15.6" hidden="1" outlineLevel="2" spans="1:25">
      <c r="A137" s="15">
        <v>105</v>
      </c>
      <c r="B137" s="15">
        <v>15</v>
      </c>
      <c r="C137" s="14" t="s">
        <v>234</v>
      </c>
      <c r="D137" s="14" t="s">
        <v>11</v>
      </c>
      <c r="E137" s="15">
        <v>5.5</v>
      </c>
      <c r="F137" s="1">
        <f>LOOKUP(E137,{0,-4,-3,-2,-1,0,1,2.4,3.8,5.2,6.6,8,9.4,10.8,12.2,13.6,15,17.2,19.4,21.5,23.6},{0,10,20,30,40,50,60,62,64,66,68,70,72,74,76,78,80,85,90,95,100})</f>
        <v>66</v>
      </c>
      <c r="G137" s="15">
        <v>210</v>
      </c>
      <c r="H137" s="1">
        <f>LOOKUP(G137,{0,170,175,180,185,190,195,199,203,207,211,215,219,223,227,231,235,243,250,255,260},{0,10,20,30,40,50,60,62,64,66,68,70,72,74,76,78,80,85,90,95,100})</f>
        <v>66</v>
      </c>
      <c r="I137" s="15">
        <v>1</v>
      </c>
      <c r="J137" s="1">
        <f>LOOKUP(I137,{0,2,3,4,5,6,7,8,9,10,11,12,13,14,15,16},{0,10,20,30,40,50,60,64,68,72,76,80,85,90,95,100})</f>
        <v>0</v>
      </c>
      <c r="K137" s="21"/>
      <c r="L137" s="21"/>
      <c r="M137" s="21">
        <f t="shared" si="89"/>
        <v>0</v>
      </c>
      <c r="N137" s="15">
        <v>7.7</v>
      </c>
      <c r="O137" s="19">
        <f t="shared" si="80"/>
        <v>5.3</v>
      </c>
      <c r="P137" s="1">
        <f>LOOKUP(O137,{0,2.5,2.7,2.9,3.1,3.3,3.5,3.7,3.9,4.1,4.3,4.5,4.7,4.9,5.1,5.3,5.5,5.6,5.7,5.8,5.9},{0,10,20,30,40,50,60,62,64,66,68,70,72,74,76,78,80,85,90,95,100})</f>
        <v>78</v>
      </c>
      <c r="Q137" s="15">
        <v>4.35</v>
      </c>
      <c r="R137" s="15">
        <f t="shared" si="90"/>
        <v>5.65</v>
      </c>
      <c r="S137" s="1">
        <f>LOOKUP(R137,{0,3.75,3.95,4.55,4.75,4.95,5.55,5.6,5.65,5.7,5.75,5.8,5.85,5.9,5.95,6,6.45,6.53,6.6,6.65,6.7},{0,10,20,30,40,50,60,62,64,66,68,70,72,74,76,78,80,85,90,95,100})</f>
        <v>64</v>
      </c>
      <c r="T137" s="21"/>
      <c r="U137" s="21"/>
      <c r="V137" s="21">
        <f t="shared" si="91"/>
        <v>64</v>
      </c>
      <c r="W137" s="15"/>
      <c r="X137" s="21">
        <f t="shared" si="83"/>
        <v>41.6</v>
      </c>
      <c r="Y137" s="21">
        <f t="shared" si="92"/>
        <v>59.4285714285714</v>
      </c>
    </row>
    <row r="138" ht="15.6" hidden="1" outlineLevel="2" spans="1:25">
      <c r="A138" s="15">
        <v>105</v>
      </c>
      <c r="B138" s="15">
        <v>16</v>
      </c>
      <c r="C138" s="15" t="s">
        <v>235</v>
      </c>
      <c r="D138" s="25" t="s">
        <v>11</v>
      </c>
      <c r="E138" s="15"/>
      <c r="F138" s="1"/>
      <c r="G138" s="15"/>
      <c r="H138" s="1"/>
      <c r="I138" s="15"/>
      <c r="J138" s="1"/>
      <c r="K138" s="21"/>
      <c r="L138" s="21"/>
      <c r="M138" s="21"/>
      <c r="N138" s="15"/>
      <c r="O138" s="19"/>
      <c r="P138" s="1"/>
      <c r="Q138" s="15"/>
      <c r="R138" s="15"/>
      <c r="S138" s="1"/>
      <c r="T138" s="21"/>
      <c r="U138" s="1"/>
      <c r="V138" s="21"/>
      <c r="W138" s="15" t="s">
        <v>222</v>
      </c>
      <c r="X138" s="21">
        <f t="shared" si="83"/>
        <v>0</v>
      </c>
      <c r="Y138" s="21">
        <v>50</v>
      </c>
    </row>
    <row r="139" ht="15.6" hidden="1" outlineLevel="2" spans="1:25">
      <c r="A139" s="15">
        <v>105</v>
      </c>
      <c r="B139" s="15">
        <v>17</v>
      </c>
      <c r="C139" s="25" t="s">
        <v>236</v>
      </c>
      <c r="D139" s="25" t="s">
        <v>11</v>
      </c>
      <c r="E139" s="15">
        <v>16</v>
      </c>
      <c r="F139" s="1">
        <f>LOOKUP(E139,{0,-4,-3,-2,-1,0,1,2.4,3.8,5.2,6.6,8,9.4,10.8,12.2,13.6,15,17.2,19.4,21.5,23.6},{0,10,20,30,40,50,60,62,64,66,68,70,72,74,76,78,80,85,90,95,100})</f>
        <v>80</v>
      </c>
      <c r="G139" s="15">
        <v>185</v>
      </c>
      <c r="H139" s="1">
        <f>LOOKUP(G139,{0,170,175,180,185,190,195,199,203,207,211,215,219,223,227,231,235,243,250,255,260},{0,10,20,30,40,50,60,62,64,66,68,70,72,74,76,78,80,85,90,95,100})</f>
        <v>40</v>
      </c>
      <c r="I139" s="15">
        <v>5</v>
      </c>
      <c r="J139" s="1">
        <f>LOOKUP(I139,{0,2,3,4,5,6,7,8,9,10,11,12,13,14,15,16},{0,10,20,30,40,50,60,64,68,72,76,80,85,90,95,100})</f>
        <v>40</v>
      </c>
      <c r="K139" s="21"/>
      <c r="L139" s="21"/>
      <c r="M139" s="21">
        <f t="shared" si="89"/>
        <v>40</v>
      </c>
      <c r="N139" s="15">
        <v>7.8</v>
      </c>
      <c r="O139" s="19">
        <f t="shared" ref="O139:O145" si="93">13-N139</f>
        <v>5.2</v>
      </c>
      <c r="P139" s="1">
        <f>LOOKUP(O139,{0,2.5,2.7,2.9,3.1,3.3,3.5,3.7,3.9,4.1,4.3,4.5,4.7,4.9,5.1,5.3,5.5,5.6,5.7,5.8,5.9},{0,10,20,30,40,50,60,62,64,66,68,70,72,74,76,78,80,85,90,95,100})</f>
        <v>76</v>
      </c>
      <c r="Q139" s="15">
        <v>3.4</v>
      </c>
      <c r="R139" s="15">
        <f t="shared" si="90"/>
        <v>6.6</v>
      </c>
      <c r="S139" s="1">
        <f>LOOKUP(R139,{0,3.75,3.95,4.55,4.75,4.95,5.55,5.6,5.65,5.7,5.75,5.8,5.85,5.9,5.95,6,6.45,6.53,6.6,6.65,6.7},{0,10,20,30,40,50,60,62,64,66,68,70,72,74,76,78,80,85,90,95,100})</f>
        <v>90</v>
      </c>
      <c r="T139" s="21"/>
      <c r="U139" s="21"/>
      <c r="V139" s="21">
        <f t="shared" si="91"/>
        <v>90</v>
      </c>
      <c r="W139" s="15"/>
      <c r="X139" s="21">
        <f t="shared" si="83"/>
        <v>49.2</v>
      </c>
      <c r="Y139" s="21">
        <f t="shared" si="92"/>
        <v>70.2857142857143</v>
      </c>
    </row>
    <row r="140" ht="15.6" hidden="1" outlineLevel="2" spans="1:25">
      <c r="A140" s="15">
        <v>105</v>
      </c>
      <c r="B140" s="15">
        <v>18</v>
      </c>
      <c r="C140" s="25" t="s">
        <v>237</v>
      </c>
      <c r="D140" s="25" t="s">
        <v>11</v>
      </c>
      <c r="E140" s="15">
        <v>12</v>
      </c>
      <c r="F140" s="1">
        <f>LOOKUP(E140,{0,-4,-3,-2,-1,0,1,2.4,3.8,5.2,6.6,8,9.4,10.8,12.2,13.6,15,17.2,19.4,21.5,23.6},{0,10,20,30,40,50,60,62,64,66,68,70,72,74,76,78,80,85,90,95,100})</f>
        <v>74</v>
      </c>
      <c r="G140" s="15">
        <v>190</v>
      </c>
      <c r="H140" s="1">
        <f>LOOKUP(G140,{0,170,175,180,185,190,195,199,203,207,211,215,219,223,227,231,235,243,250,255,260},{0,10,20,30,40,50,60,62,64,66,68,70,72,74,76,78,80,85,90,95,100})</f>
        <v>50</v>
      </c>
      <c r="I140" s="15">
        <v>1</v>
      </c>
      <c r="J140" s="1">
        <f>LOOKUP(I140,{0,2,3,4,5,6,7,8,9,10,11,12,13,14,15,16},{0,10,20,30,40,50,60,64,68,72,76,80,85,90,95,100})</f>
        <v>0</v>
      </c>
      <c r="K140" s="21"/>
      <c r="L140" s="21"/>
      <c r="M140" s="21">
        <f t="shared" si="89"/>
        <v>0</v>
      </c>
      <c r="N140" s="15">
        <v>7.8</v>
      </c>
      <c r="O140" s="19">
        <f t="shared" si="93"/>
        <v>5.2</v>
      </c>
      <c r="P140" s="1">
        <f>LOOKUP(O140,{0,2.5,2.7,2.9,3.1,3.3,3.5,3.7,3.9,4.1,4.3,4.5,4.7,4.9,5.1,5.3,5.5,5.6,5.7,5.8,5.9},{0,10,20,30,40,50,60,62,64,66,68,70,72,74,76,78,80,85,90,95,100})</f>
        <v>76</v>
      </c>
      <c r="Q140" s="15">
        <v>3.35</v>
      </c>
      <c r="R140" s="15">
        <f t="shared" si="90"/>
        <v>6.65</v>
      </c>
      <c r="S140" s="1">
        <f>LOOKUP(R140,{0,3.75,3.95,4.55,4.75,4.95,5.55,5.6,5.65,5.7,5.75,5.8,5.85,5.9,5.95,6,6.45,6.53,6.6,6.65,6.7},{0,10,20,30,40,50,60,62,64,66,68,70,72,74,76,78,80,85,90,95,100})</f>
        <v>95</v>
      </c>
      <c r="T140" s="21"/>
      <c r="U140" s="21"/>
      <c r="V140" s="21">
        <f t="shared" si="91"/>
        <v>95</v>
      </c>
      <c r="W140" s="15"/>
      <c r="X140" s="21">
        <f t="shared" si="83"/>
        <v>46.6</v>
      </c>
      <c r="Y140" s="21">
        <f t="shared" si="92"/>
        <v>66.5714285714286</v>
      </c>
    </row>
    <row r="141" ht="15.6" hidden="1" outlineLevel="2" spans="1:25">
      <c r="A141" s="15">
        <v>105</v>
      </c>
      <c r="B141" s="15">
        <v>19</v>
      </c>
      <c r="C141" s="25" t="s">
        <v>238</v>
      </c>
      <c r="D141" s="25" t="s">
        <v>11</v>
      </c>
      <c r="E141" s="15">
        <v>-3</v>
      </c>
      <c r="F141" s="1">
        <f>LOOKUP(E141,{0,-4,-3,-2,-1,0,1,2.4,3.8,5.2,6.6,8,9.4,10.8,12.2,13.6,15,17.2,19.4,21.5,23.6},{0,10,20,30,40,50,60,62,64,66,68,70,72,74,76,78,80,85,90,95,100})</f>
        <v>20</v>
      </c>
      <c r="G141" s="15">
        <v>203</v>
      </c>
      <c r="H141" s="1">
        <f>LOOKUP(G141,{0,170,175,180,185,190,195,199,203,207,211,215,219,223,227,231,235,243,250,255,260},{0,10,20,30,40,50,60,62,64,66,68,70,72,74,76,78,80,85,90,95,100})</f>
        <v>64</v>
      </c>
      <c r="I141" s="15">
        <v>2</v>
      </c>
      <c r="J141" s="1">
        <f>LOOKUP(I141,{0,2,3,4,5,6,7,8,9,10,11,12,13,14,15,16},{0,10,20,30,40,50,60,64,68,72,76,80,85,90,95,100})</f>
        <v>10</v>
      </c>
      <c r="K141" s="21"/>
      <c r="L141" s="21"/>
      <c r="M141" s="21">
        <f t="shared" si="89"/>
        <v>10</v>
      </c>
      <c r="N141" s="15">
        <v>8.2</v>
      </c>
      <c r="O141" s="19">
        <f t="shared" si="93"/>
        <v>4.8</v>
      </c>
      <c r="P141" s="1">
        <f>LOOKUP(O141,{0,2.5,2.7,2.9,3.1,3.3,3.5,3.7,3.9,4.1,4.3,4.5,4.7,4.9,5.1,5.3,5.5,5.6,5.7,5.8,5.9},{0,10,20,30,40,50,60,62,64,66,68,70,72,74,76,78,80,85,90,95,100})</f>
        <v>72</v>
      </c>
      <c r="Q141" s="15">
        <v>4.04</v>
      </c>
      <c r="R141" s="15">
        <f t="shared" si="90"/>
        <v>5.96</v>
      </c>
      <c r="S141" s="1">
        <f>LOOKUP(R141,{0,3.75,3.95,4.55,4.75,4.95,5.55,5.6,5.65,5.7,5.75,5.8,5.85,5.9,5.95,6,6.45,6.53,6.6,6.65,6.7},{0,10,20,30,40,50,60,62,64,66,68,70,72,74,76,78,80,85,90,95,100})</f>
        <v>76</v>
      </c>
      <c r="T141" s="21"/>
      <c r="U141" s="21"/>
      <c r="V141" s="21">
        <f t="shared" si="91"/>
        <v>76</v>
      </c>
      <c r="W141" s="15"/>
      <c r="X141" s="21">
        <f t="shared" si="83"/>
        <v>39</v>
      </c>
      <c r="Y141" s="21">
        <f t="shared" si="92"/>
        <v>55.7142857142857</v>
      </c>
    </row>
    <row r="142" ht="15.6" hidden="1" outlineLevel="2" spans="1:25">
      <c r="A142" s="15">
        <v>105</v>
      </c>
      <c r="B142" s="15">
        <v>20</v>
      </c>
      <c r="C142" s="25" t="s">
        <v>239</v>
      </c>
      <c r="D142" s="25" t="s">
        <v>11</v>
      </c>
      <c r="E142" s="15">
        <v>6.9</v>
      </c>
      <c r="F142" s="1">
        <f>LOOKUP(E142,{0,-4,-3,-2,-1,0,1,2.4,3.8,5.2,6.6,8,9.4,10.8,12.2,13.6,15,17.2,19.4,21.5,23.6},{0,10,20,30,40,50,60,62,64,66,68,70,72,74,76,78,80,85,90,95,100})</f>
        <v>68</v>
      </c>
      <c r="G142" s="15">
        <v>214</v>
      </c>
      <c r="H142" s="1">
        <f>LOOKUP(G142,{0,170,175,180,185,190,195,199,203,207,211,215,219,223,227,231,235,243,250,255,260},{0,10,20,30,40,50,60,62,64,66,68,70,72,74,76,78,80,85,90,95,100})</f>
        <v>68</v>
      </c>
      <c r="I142" s="15">
        <v>0</v>
      </c>
      <c r="J142" s="1">
        <f>LOOKUP(I142,{0,2,3,4,5,6,7,8,9,10,11,12,13,14,15,16},{0,10,20,30,40,50,60,64,68,72,76,80,85,90,95,100})</f>
        <v>0</v>
      </c>
      <c r="K142" s="21"/>
      <c r="L142" s="21"/>
      <c r="M142" s="21">
        <f t="shared" si="89"/>
        <v>0</v>
      </c>
      <c r="N142" s="15">
        <v>7.4</v>
      </c>
      <c r="O142" s="19">
        <f t="shared" si="93"/>
        <v>5.6</v>
      </c>
      <c r="P142" s="1">
        <f>LOOKUP(O142,{0,2.5,2.7,2.9,3.1,3.3,3.5,3.7,3.9,4.1,4.3,4.5,4.7,4.9,5.1,5.3,5.5,5.6,5.7,5.8,5.9},{0,10,20,30,40,50,60,62,64,66,68,70,72,74,76,78,80,85,90,95,100})</f>
        <v>85</v>
      </c>
      <c r="Q142" s="15">
        <v>3.42</v>
      </c>
      <c r="R142" s="15">
        <f t="shared" si="90"/>
        <v>6.58</v>
      </c>
      <c r="S142" s="1">
        <f>LOOKUP(R142,{0,3.75,3.95,4.55,4.75,4.95,5.55,5.6,5.65,5.7,5.75,5.8,5.85,5.9,5.95,6,6.45,6.53,6.6,6.65,6.7},{0,10,20,30,40,50,60,62,64,66,68,70,72,74,76,78,80,85,90,95,100})</f>
        <v>85</v>
      </c>
      <c r="T142" s="21"/>
      <c r="U142" s="21"/>
      <c r="V142" s="21">
        <f t="shared" si="91"/>
        <v>85</v>
      </c>
      <c r="W142" s="15"/>
      <c r="X142" s="21">
        <f t="shared" si="83"/>
        <v>47.6</v>
      </c>
      <c r="Y142" s="21">
        <f t="shared" si="92"/>
        <v>68</v>
      </c>
    </row>
    <row r="143" ht="15.6" hidden="1" outlineLevel="2" spans="1:25">
      <c r="A143" s="15">
        <v>105</v>
      </c>
      <c r="B143" s="15">
        <v>21</v>
      </c>
      <c r="C143" s="25" t="s">
        <v>240</v>
      </c>
      <c r="D143" s="25" t="s">
        <v>11</v>
      </c>
      <c r="E143" s="15">
        <v>12</v>
      </c>
      <c r="F143" s="1">
        <f>LOOKUP(E143,{0,-4,-3,-2,-1,0,1,2.4,3.8,5.2,6.6,8,9.4,10.8,12.2,13.6,15,17.2,19.4,21.5,23.6},{0,10,20,30,40,50,60,62,64,66,68,70,72,74,76,78,80,85,90,95,100})</f>
        <v>74</v>
      </c>
      <c r="G143" s="15">
        <v>210</v>
      </c>
      <c r="H143" s="1">
        <f>LOOKUP(G143,{0,170,175,180,185,190,195,199,203,207,211,215,219,223,227,231,235,243,250,255,260},{0,10,20,30,40,50,60,62,64,66,68,70,72,74,76,78,80,85,90,95,100})</f>
        <v>66</v>
      </c>
      <c r="I143" s="15">
        <v>0</v>
      </c>
      <c r="J143" s="1">
        <f>LOOKUP(I143,{0,2,3,4,5,6,7,8,9,10,11,12,13,14,15,16},{0,10,20,30,40,50,60,64,68,72,76,80,85,90,95,100})</f>
        <v>0</v>
      </c>
      <c r="K143" s="21"/>
      <c r="L143" s="21"/>
      <c r="M143" s="21">
        <f t="shared" si="89"/>
        <v>0</v>
      </c>
      <c r="N143" s="15">
        <v>7.4</v>
      </c>
      <c r="O143" s="19">
        <f t="shared" si="93"/>
        <v>5.6</v>
      </c>
      <c r="P143" s="1">
        <f>LOOKUP(O143,{0,2.5,2.7,2.9,3.1,3.3,3.5,3.7,3.9,4.1,4.3,4.5,4.7,4.9,5.1,5.3,5.5,5.6,5.7,5.8,5.9},{0,10,20,30,40,50,60,62,64,66,68,70,72,74,76,78,80,85,90,95,100})</f>
        <v>85</v>
      </c>
      <c r="Q143" s="15">
        <v>4.02</v>
      </c>
      <c r="R143" s="15">
        <f t="shared" si="90"/>
        <v>5.98</v>
      </c>
      <c r="S143" s="1">
        <f>LOOKUP(R143,{0,3.75,3.95,4.55,4.75,4.95,5.55,5.6,5.65,5.7,5.75,5.8,5.85,5.9,5.95,6,6.45,6.53,6.6,6.65,6.7},{0,10,20,30,40,50,60,62,64,66,68,70,72,74,76,78,80,85,90,95,100})</f>
        <v>76</v>
      </c>
      <c r="T143" s="21"/>
      <c r="U143" s="21"/>
      <c r="V143" s="21">
        <f t="shared" si="91"/>
        <v>76</v>
      </c>
      <c r="W143" s="15"/>
      <c r="X143" s="21">
        <f t="shared" si="83"/>
        <v>46.2</v>
      </c>
      <c r="Y143" s="21">
        <f t="shared" si="92"/>
        <v>66</v>
      </c>
    </row>
    <row r="144" ht="15.6" hidden="1" outlineLevel="2" spans="1:25">
      <c r="A144" s="15">
        <v>105</v>
      </c>
      <c r="B144" s="15">
        <v>22</v>
      </c>
      <c r="C144" s="25" t="s">
        <v>241</v>
      </c>
      <c r="D144" s="25" t="s">
        <v>11</v>
      </c>
      <c r="E144" s="15">
        <v>17.6</v>
      </c>
      <c r="F144" s="1">
        <f>LOOKUP(E144,{0,-4,-3,-2,-1,0,1,2.4,3.8,5.2,6.6,8,9.4,10.8,12.2,13.6,15,17.2,19.4,21.5,23.6},{0,10,20,30,40,50,60,62,64,66,68,70,72,74,76,78,80,85,90,95,100})</f>
        <v>85</v>
      </c>
      <c r="G144" s="15">
        <v>235</v>
      </c>
      <c r="H144" s="1">
        <f>LOOKUP(G144,{0,170,175,180,185,190,195,199,203,207,211,215,219,223,227,231,235,243,250,255,260},{0,10,20,30,40,50,60,62,64,66,68,70,72,74,76,78,80,85,90,95,100})</f>
        <v>80</v>
      </c>
      <c r="I144" s="15">
        <v>20</v>
      </c>
      <c r="J144" s="1">
        <f>LOOKUP(I144,{0,2,3,4,5,6,7,8,9,10,11,12,13,14,15,16},{0,10,20,30,40,50,60,64,68,72,76,80,85,90,95,100})</f>
        <v>100</v>
      </c>
      <c r="K144" s="21">
        <f>I144-16</f>
        <v>4</v>
      </c>
      <c r="L144" s="1">
        <f>LOOKUP(K144,{0,1,2,3,4,5,6,7,8,9,10},{0,1,2,3,4,5,6,7,8,9,10})</f>
        <v>4</v>
      </c>
      <c r="M144" s="21">
        <f t="shared" si="89"/>
        <v>104</v>
      </c>
      <c r="N144" s="15">
        <v>6.8</v>
      </c>
      <c r="O144" s="19">
        <f t="shared" si="93"/>
        <v>6.2</v>
      </c>
      <c r="P144" s="1">
        <f>LOOKUP(O144,{0,2.5,2.7,2.9,3.1,3.3,3.5,3.7,3.9,4.1,4.3,4.5,4.7,4.9,5.1,5.3,5.5,5.6,5.7,5.8,5.9},{0,10,20,30,40,50,60,62,64,66,68,70,72,74,76,78,80,85,90,95,100})</f>
        <v>100</v>
      </c>
      <c r="Q144" s="15">
        <v>3.45</v>
      </c>
      <c r="R144" s="15">
        <f t="shared" si="90"/>
        <v>6.55</v>
      </c>
      <c r="S144" s="1">
        <f>LOOKUP(R144,{0,3.75,3.95,4.55,4.75,4.95,5.55,5.6,5.65,5.7,5.75,5.8,5.85,5.9,5.95,6,6.45,6.53,6.6,6.65,6.7},{0,10,20,30,40,50,60,62,64,66,68,70,72,74,76,78,80,85,90,95,100})</f>
        <v>85</v>
      </c>
      <c r="T144" s="21"/>
      <c r="U144" s="21"/>
      <c r="V144" s="21">
        <f t="shared" si="91"/>
        <v>85</v>
      </c>
      <c r="W144" s="15"/>
      <c r="X144" s="21">
        <f t="shared" si="83"/>
        <v>63.5</v>
      </c>
      <c r="Y144" s="21">
        <f t="shared" si="92"/>
        <v>94.7142857142857</v>
      </c>
    </row>
    <row r="145" ht="15.6" hidden="1" outlineLevel="2" spans="1:25">
      <c r="A145" s="15">
        <v>105</v>
      </c>
      <c r="B145" s="15">
        <v>23</v>
      </c>
      <c r="C145" s="25" t="s">
        <v>242</v>
      </c>
      <c r="D145" s="25" t="s">
        <v>11</v>
      </c>
      <c r="E145" s="15"/>
      <c r="F145" s="1"/>
      <c r="G145" s="15"/>
      <c r="H145" s="1"/>
      <c r="I145" s="15"/>
      <c r="J145" s="1"/>
      <c r="K145" s="21"/>
      <c r="L145" s="21"/>
      <c r="M145" s="21"/>
      <c r="N145" s="15">
        <v>7.3</v>
      </c>
      <c r="O145" s="19">
        <f t="shared" si="93"/>
        <v>5.7</v>
      </c>
      <c r="P145" s="1">
        <f>LOOKUP(O145,{0,2.5,2.7,2.9,3.1,3.3,3.5,3.7,3.9,4.1,4.3,4.5,4.7,4.9,5.1,5.3,5.5,5.6,5.7,5.8,5.9},{0,10,20,30,40,50,60,62,64,66,68,70,72,74,76,78,80,85,90,95,100})</f>
        <v>90</v>
      </c>
      <c r="Q145" s="15"/>
      <c r="R145" s="15"/>
      <c r="S145" s="1"/>
      <c r="T145" s="21"/>
      <c r="U145" s="1"/>
      <c r="V145" s="21"/>
      <c r="W145" s="15" t="s">
        <v>222</v>
      </c>
      <c r="X145" s="21">
        <f t="shared" si="83"/>
        <v>18</v>
      </c>
      <c r="Y145" s="21">
        <v>50</v>
      </c>
    </row>
    <row r="146" ht="15.6" outlineLevel="1" collapsed="1" spans="1:25">
      <c r="A146" s="16" t="s">
        <v>846</v>
      </c>
      <c r="B146" s="15"/>
      <c r="C146" s="25"/>
      <c r="D146" s="25"/>
      <c r="E146" s="15"/>
      <c r="F146" s="1">
        <f>SUBTOTAL(1,F123:F145)</f>
        <v>66.1764705882353</v>
      </c>
      <c r="G146" s="15"/>
      <c r="H146" s="1">
        <f>SUBTOTAL(1,H123:H145)</f>
        <v>64.5882352941177</v>
      </c>
      <c r="I146" s="15"/>
      <c r="J146" s="1">
        <f>SUBTOTAL(1,J123:J145)</f>
        <v>19.5294117647059</v>
      </c>
      <c r="K146" s="21"/>
      <c r="L146" s="21"/>
      <c r="M146" s="21">
        <f>SUBTOTAL(1,M123:M145)</f>
        <v>20.3529411764706</v>
      </c>
      <c r="N146" s="15"/>
      <c r="O146" s="19"/>
      <c r="P146" s="1">
        <f>SUBTOTAL(1,P123:P145)</f>
        <v>82.2272727272727</v>
      </c>
      <c r="Q146" s="15"/>
      <c r="R146" s="15"/>
      <c r="S146" s="1">
        <f>SUBTOTAL(1,S123:S145)</f>
        <v>78.2352941176471</v>
      </c>
      <c r="T146" s="21"/>
      <c r="U146" s="1"/>
      <c r="V146" s="21">
        <f>SUBTOTAL(1,V123:V145)</f>
        <v>78.2352941176471</v>
      </c>
      <c r="W146" s="15"/>
      <c r="X146" s="21">
        <f>SUBTOTAL(1,X123:X145)</f>
        <v>38.404347826087</v>
      </c>
      <c r="Y146" s="21">
        <f>SUBTOTAL(1,Y123:Y145)</f>
        <v>63.1242236024845</v>
      </c>
    </row>
    <row r="147" ht="15.6" hidden="1" outlineLevel="2" spans="1:25">
      <c r="A147" s="15">
        <v>106</v>
      </c>
      <c r="B147" s="15">
        <v>1</v>
      </c>
      <c r="C147" s="13" t="s">
        <v>244</v>
      </c>
      <c r="D147" s="14" t="s">
        <v>11</v>
      </c>
      <c r="E147" s="15">
        <v>5.5</v>
      </c>
      <c r="F147" s="1">
        <f>LOOKUP(E147,{0,-4,-3,-2,-1,0,1,2.4,3.8,5.2,6.6,8,9.4,10.8,12.2,13.6,15,17.2,19.4,21.5,23.6},{0,10,20,30,40,50,60,62,64,66,68,70,72,74,76,78,80,85,90,95,100})</f>
        <v>66</v>
      </c>
      <c r="G147" s="15">
        <v>220</v>
      </c>
      <c r="H147" s="1">
        <f>LOOKUP(G147,{0,170,175,180,185,190,195,199,203,207,211,215,219,223,227,231,235,243,250,255,260},{0,10,20,30,40,50,60,62,64,66,68,70,72,74,76,78,80,85,90,95,100})</f>
        <v>72</v>
      </c>
      <c r="I147" s="15">
        <v>3</v>
      </c>
      <c r="J147" s="1">
        <f>LOOKUP(I147,{0,2,3,4,5,6,7,8,9,10,11,12,13,14,15,16},{0,10,20,30,40,50,60,64,68,72,76,80,85,90,95,100})</f>
        <v>20</v>
      </c>
      <c r="K147" s="21"/>
      <c r="L147" s="21"/>
      <c r="M147" s="21">
        <f t="shared" ref="M147:M156" si="94">J147+L147</f>
        <v>20</v>
      </c>
      <c r="N147" s="15">
        <v>7</v>
      </c>
      <c r="O147" s="19">
        <f t="shared" ref="O147:O167" si="95">13-N147</f>
        <v>6</v>
      </c>
      <c r="P147" s="1">
        <f>LOOKUP(O147,{0,2.5,2.7,2.9,3.1,3.3,3.5,3.7,3.9,4.1,4.3,4.5,4.7,4.9,5.1,5.3,5.5,5.6,5.7,5.8,5.9},{0,10,20,30,40,50,60,62,64,66,68,70,72,74,76,78,80,85,90,95,100})</f>
        <v>100</v>
      </c>
      <c r="Q147" s="15">
        <v>3.34</v>
      </c>
      <c r="R147" s="15">
        <f t="shared" ref="R147:R155" si="96">10-Q147</f>
        <v>6.66</v>
      </c>
      <c r="S147" s="1">
        <f>LOOKUP(R147,{0,3.75,3.95,4.55,4.75,4.95,5.55,5.6,5.65,5.7,5.75,5.8,5.85,5.9,5.95,6,6.45,6.53,6.6,6.65,6.7},{0,10,20,30,40,50,60,62,64,66,68,70,72,74,76,78,80,85,90,95,100})</f>
        <v>95</v>
      </c>
      <c r="T147" s="21"/>
      <c r="U147" s="21"/>
      <c r="V147" s="21">
        <f t="shared" ref="V147:V155" si="97">S147+U147</f>
        <v>95</v>
      </c>
      <c r="W147" s="15"/>
      <c r="X147" s="21">
        <f t="shared" ref="X147:X174" si="98">F147*0.1+H147*0.1+J147*0.1+P147*0.2+S147*0.2</f>
        <v>54.8</v>
      </c>
      <c r="Y147" s="21">
        <f t="shared" ref="Y147:Y156" si="99">X147/0.7+L147+U147</f>
        <v>78.2857142857143</v>
      </c>
    </row>
    <row r="148" ht="15.6" hidden="1" outlineLevel="2" spans="1:25">
      <c r="A148" s="15">
        <v>106</v>
      </c>
      <c r="B148" s="15">
        <v>2</v>
      </c>
      <c r="C148" s="14" t="s">
        <v>245</v>
      </c>
      <c r="D148" s="14" t="s">
        <v>11</v>
      </c>
      <c r="E148" s="15">
        <v>9.2</v>
      </c>
      <c r="F148" s="1">
        <f>LOOKUP(E148,{0,-4,-3,-2,-1,0,1,2.4,3.8,5.2,6.6,8,9.4,10.8,12.2,13.6,15,17.2,19.4,21.5,23.6},{0,10,20,30,40,50,60,62,64,66,68,70,72,74,76,78,80,85,90,95,100})</f>
        <v>70</v>
      </c>
      <c r="G148" s="15">
        <v>220</v>
      </c>
      <c r="H148" s="1">
        <f>LOOKUP(G148,{0,170,175,180,185,190,195,199,203,207,211,215,219,223,227,231,235,243,250,255,260},{0,10,20,30,40,50,60,62,64,66,68,70,72,74,76,78,80,85,90,95,100})</f>
        <v>72</v>
      </c>
      <c r="I148" s="15">
        <v>17</v>
      </c>
      <c r="J148" s="1">
        <f>LOOKUP(I148,{0,2,3,4,5,6,7,8,9,10,11,12,13,14,15,16},{0,10,20,30,40,50,60,64,68,72,76,80,85,90,95,100})</f>
        <v>100</v>
      </c>
      <c r="K148" s="21">
        <f>I148-16</f>
        <v>1</v>
      </c>
      <c r="L148" s="1">
        <f>LOOKUP(K148,{0,1,2,3,4,5,6,7,8,9,10},{0,1,2,3,4,5,6,7,8,9,10})</f>
        <v>1</v>
      </c>
      <c r="M148" s="21">
        <f t="shared" si="94"/>
        <v>101</v>
      </c>
      <c r="N148" s="15">
        <v>7</v>
      </c>
      <c r="O148" s="19">
        <f t="shared" si="95"/>
        <v>6</v>
      </c>
      <c r="P148" s="1">
        <f>LOOKUP(O148,{0,2.5,2.7,2.9,3.1,3.3,3.5,3.7,3.9,4.1,4.3,4.5,4.7,4.9,5.1,5.3,5.5,5.6,5.7,5.8,5.9},{0,10,20,30,40,50,60,62,64,66,68,70,72,74,76,78,80,85,90,95,100})</f>
        <v>100</v>
      </c>
      <c r="Q148" s="15">
        <v>3.37</v>
      </c>
      <c r="R148" s="15">
        <f t="shared" si="96"/>
        <v>6.63</v>
      </c>
      <c r="S148" s="1">
        <f>LOOKUP(R148,{0,3.75,3.95,4.55,4.75,4.95,5.55,5.6,5.65,5.7,5.75,5.8,5.85,5.9,5.95,6,6.45,6.53,6.6,6.65,6.7},{0,10,20,30,40,50,60,62,64,66,68,70,72,74,76,78,80,85,90,95,100})</f>
        <v>90</v>
      </c>
      <c r="T148" s="21"/>
      <c r="U148" s="21"/>
      <c r="V148" s="21">
        <f t="shared" si="97"/>
        <v>90</v>
      </c>
      <c r="W148" s="15"/>
      <c r="X148" s="21">
        <f t="shared" si="98"/>
        <v>62.2</v>
      </c>
      <c r="Y148" s="21">
        <f t="shared" si="99"/>
        <v>89.8571428571429</v>
      </c>
    </row>
    <row r="149" ht="15.6" hidden="1" outlineLevel="2" spans="1:25">
      <c r="A149" s="15">
        <v>106</v>
      </c>
      <c r="B149" s="15">
        <v>3</v>
      </c>
      <c r="C149" s="14" t="s">
        <v>246</v>
      </c>
      <c r="D149" s="14" t="s">
        <v>11</v>
      </c>
      <c r="E149" s="15">
        <v>5.2</v>
      </c>
      <c r="F149" s="1">
        <f>LOOKUP(E149,{0,-4,-3,-2,-1,0,1,2.4,3.8,5.2,6.6,8,9.4,10.8,12.2,13.6,15,17.2,19.4,21.5,23.6},{0,10,20,30,40,50,60,62,64,66,68,70,72,74,76,78,80,85,90,95,100})</f>
        <v>66</v>
      </c>
      <c r="G149" s="15">
        <v>215</v>
      </c>
      <c r="H149" s="1">
        <f>LOOKUP(G149,{0,170,175,180,185,190,195,199,203,207,211,215,219,223,227,231,235,243,250,255,260},{0,10,20,30,40,50,60,62,64,66,68,70,72,74,76,78,80,85,90,95,100})</f>
        <v>70</v>
      </c>
      <c r="I149" s="15">
        <v>2</v>
      </c>
      <c r="J149" s="1">
        <f>LOOKUP(I149,{0,2,3,4,5,6,7,8,9,10,11,12,13,14,15,16},{0,10,20,30,40,50,60,64,68,72,76,80,85,90,95,100})</f>
        <v>10</v>
      </c>
      <c r="K149" s="21"/>
      <c r="L149" s="21"/>
      <c r="M149" s="21">
        <f t="shared" si="94"/>
        <v>10</v>
      </c>
      <c r="N149" s="15">
        <v>7.8</v>
      </c>
      <c r="O149" s="19">
        <f t="shared" si="95"/>
        <v>5.2</v>
      </c>
      <c r="P149" s="1">
        <f>LOOKUP(O149,{0,2.5,2.7,2.9,3.1,3.3,3.5,3.7,3.9,4.1,4.3,4.5,4.7,4.9,5.1,5.3,5.5,5.6,5.7,5.8,5.9},{0,10,20,30,40,50,60,62,64,66,68,70,72,74,76,78,80,85,90,95,100})</f>
        <v>76</v>
      </c>
      <c r="Q149" s="15">
        <v>3.57</v>
      </c>
      <c r="R149" s="15">
        <f t="shared" si="96"/>
        <v>6.43</v>
      </c>
      <c r="S149" s="1">
        <f>LOOKUP(R149,{0,3.75,3.95,4.55,4.75,4.95,5.55,5.6,5.65,5.7,5.75,5.8,5.85,5.9,5.95,6,6.45,6.53,6.6,6.65,6.7},{0,10,20,30,40,50,60,62,64,66,68,70,72,74,76,78,80,85,90,95,100})</f>
        <v>78</v>
      </c>
      <c r="T149" s="21"/>
      <c r="U149" s="21"/>
      <c r="V149" s="21">
        <f t="shared" si="97"/>
        <v>78</v>
      </c>
      <c r="W149" s="15"/>
      <c r="X149" s="21">
        <f t="shared" si="98"/>
        <v>45.4</v>
      </c>
      <c r="Y149" s="21">
        <f t="shared" si="99"/>
        <v>64.8571428571429</v>
      </c>
    </row>
    <row r="150" s="3" customFormat="1" ht="15.6" hidden="1" outlineLevel="2" spans="1:25">
      <c r="A150" s="15">
        <v>106</v>
      </c>
      <c r="B150" s="15">
        <v>4</v>
      </c>
      <c r="C150" s="14" t="s">
        <v>247</v>
      </c>
      <c r="D150" s="14" t="s">
        <v>11</v>
      </c>
      <c r="E150" s="15">
        <v>6.9</v>
      </c>
      <c r="F150" s="1">
        <f>LOOKUP(E150,{0,-4,-3,-2,-1,0,1,2.4,3.8,5.2,6.6,8,9.4,10.8,12.2,13.6,15,17.2,19.4,21.5,23.6},{0,10,20,30,40,50,60,62,64,66,68,70,72,74,76,78,80,85,90,95,100})</f>
        <v>68</v>
      </c>
      <c r="G150" s="15">
        <v>200</v>
      </c>
      <c r="H150" s="1">
        <f>LOOKUP(G150,{0,170,175,180,185,190,195,199,203,207,211,215,219,223,227,231,235,243,250,255,260},{0,10,20,30,40,50,60,62,64,66,68,70,72,74,76,78,80,85,90,95,100})</f>
        <v>62</v>
      </c>
      <c r="I150" s="15">
        <v>4</v>
      </c>
      <c r="J150" s="1">
        <f>LOOKUP(I150,{0,2,3,4,5,6,7,8,9,10,11,12,13,14,15,16},{0,10,20,30,40,50,60,64,68,72,76,80,85,90,95,100})</f>
        <v>30</v>
      </c>
      <c r="K150" s="21"/>
      <c r="L150" s="21"/>
      <c r="M150" s="21">
        <f t="shared" si="94"/>
        <v>30</v>
      </c>
      <c r="N150" s="15">
        <v>7</v>
      </c>
      <c r="O150" s="19">
        <f t="shared" si="95"/>
        <v>6</v>
      </c>
      <c r="P150" s="1">
        <f>LOOKUP(O150,{0,2.5,2.7,2.9,3.1,3.3,3.5,3.7,3.9,4.1,4.3,4.5,4.7,4.9,5.1,5.3,5.5,5.6,5.7,5.8,5.9},{0,10,20,30,40,50,60,62,64,66,68,70,72,74,76,78,80,85,90,95,100})</f>
        <v>100</v>
      </c>
      <c r="Q150" s="15">
        <v>3.4</v>
      </c>
      <c r="R150" s="15">
        <f t="shared" si="96"/>
        <v>6.6</v>
      </c>
      <c r="S150" s="1">
        <f>LOOKUP(R150,{0,3.75,3.95,4.55,4.75,4.95,5.55,5.6,5.65,5.7,5.75,5.8,5.85,5.9,5.95,6,6.45,6.53,6.6,6.65,6.7},{0,10,20,30,40,50,60,62,64,66,68,70,72,74,76,78,80,85,90,95,100})</f>
        <v>90</v>
      </c>
      <c r="T150" s="21"/>
      <c r="U150" s="21"/>
      <c r="V150" s="21">
        <f t="shared" si="97"/>
        <v>90</v>
      </c>
      <c r="W150" s="15"/>
      <c r="X150" s="21">
        <f t="shared" si="98"/>
        <v>54</v>
      </c>
      <c r="Y150" s="21">
        <f t="shared" si="99"/>
        <v>77.1428571428572</v>
      </c>
    </row>
    <row r="151" ht="15.6" hidden="1" outlineLevel="2" spans="1:25">
      <c r="A151" s="15">
        <v>106</v>
      </c>
      <c r="B151" s="15">
        <v>5</v>
      </c>
      <c r="C151" s="14" t="s">
        <v>248</v>
      </c>
      <c r="D151" s="14" t="s">
        <v>11</v>
      </c>
      <c r="E151" s="15">
        <v>8.5</v>
      </c>
      <c r="F151" s="1">
        <f>LOOKUP(E151,{0,-4,-3,-2,-1,0,1,2.4,3.8,5.2,6.6,8,9.4,10.8,12.2,13.6,15,17.2,19.4,21.5,23.6},{0,10,20,30,40,50,60,62,64,66,68,70,72,74,76,78,80,85,90,95,100})</f>
        <v>70</v>
      </c>
      <c r="G151" s="15">
        <v>213</v>
      </c>
      <c r="H151" s="1">
        <f>LOOKUP(G151,{0,170,175,180,185,190,195,199,203,207,211,215,219,223,227,231,235,243,250,255,260},{0,10,20,30,40,50,60,62,64,66,68,70,72,74,76,78,80,85,90,95,100})</f>
        <v>68</v>
      </c>
      <c r="I151" s="15">
        <v>0</v>
      </c>
      <c r="J151" s="1">
        <f>LOOKUP(I151,{0,2,3,4,5,6,7,8,9,10,11,12,13,14,15,16},{0,10,20,30,40,50,60,64,68,72,76,80,85,90,95,100})</f>
        <v>0</v>
      </c>
      <c r="K151" s="21"/>
      <c r="L151" s="21"/>
      <c r="M151" s="21">
        <f t="shared" si="94"/>
        <v>0</v>
      </c>
      <c r="N151" s="15">
        <v>8</v>
      </c>
      <c r="O151" s="19">
        <f t="shared" si="95"/>
        <v>5</v>
      </c>
      <c r="P151" s="1">
        <f>LOOKUP(O151,{0,2.5,2.7,2.9,3.1,3.3,3.5,3.7,3.9,4.1,4.3,4.5,4.7,4.9,5.1,5.3,5.5,5.6,5.7,5.8,5.9},{0,10,20,30,40,50,60,62,64,66,68,70,72,74,76,78,80,85,90,95,100})</f>
        <v>74</v>
      </c>
      <c r="Q151" s="15">
        <v>4.17</v>
      </c>
      <c r="R151" s="15">
        <f t="shared" si="96"/>
        <v>5.83</v>
      </c>
      <c r="S151" s="1">
        <f>LOOKUP(R151,{0,3.75,3.95,4.55,4.75,4.95,5.55,5.6,5.65,5.7,5.75,5.8,5.85,5.9,5.95,6,6.45,6.53,6.6,6.65,6.7},{0,10,20,30,40,50,60,62,64,66,68,70,72,74,76,78,80,85,90,95,100})</f>
        <v>70</v>
      </c>
      <c r="T151" s="21"/>
      <c r="U151" s="21"/>
      <c r="V151" s="21">
        <f t="shared" si="97"/>
        <v>70</v>
      </c>
      <c r="W151" s="15"/>
      <c r="X151" s="21">
        <f t="shared" si="98"/>
        <v>42.6</v>
      </c>
      <c r="Y151" s="21">
        <f t="shared" si="99"/>
        <v>60.8571428571429</v>
      </c>
    </row>
    <row r="152" ht="15.6" hidden="1" outlineLevel="2" spans="1:25">
      <c r="A152" s="15">
        <v>106</v>
      </c>
      <c r="B152" s="15">
        <v>6</v>
      </c>
      <c r="C152" s="14" t="s">
        <v>249</v>
      </c>
      <c r="D152" s="14" t="s">
        <v>11</v>
      </c>
      <c r="E152" s="15">
        <v>16.1</v>
      </c>
      <c r="F152" s="1">
        <f>LOOKUP(E152,{0,-4,-3,-2,-1,0,1,2.4,3.8,5.2,6.6,8,9.4,10.8,12.2,13.6,15,17.2,19.4,21.5,23.6},{0,10,20,30,40,50,60,62,64,66,68,70,72,74,76,78,80,85,90,95,100})</f>
        <v>80</v>
      </c>
      <c r="G152" s="15">
        <v>250</v>
      </c>
      <c r="H152" s="1">
        <f>LOOKUP(G152,{0,170,175,180,185,190,195,199,203,207,211,215,219,223,227,231,235,243,250,255,260},{0,10,20,30,40,50,60,62,64,66,68,70,72,74,76,78,80,85,90,95,100})</f>
        <v>90</v>
      </c>
      <c r="I152" s="15">
        <v>6</v>
      </c>
      <c r="J152" s="1">
        <f>LOOKUP(I152,{0,2,3,4,5,6,7,8,9,10,11,12,13,14,15,16},{0,10,20,30,40,50,60,64,68,72,76,80,85,90,95,100})</f>
        <v>50</v>
      </c>
      <c r="K152" s="21"/>
      <c r="L152" s="21"/>
      <c r="M152" s="21">
        <f t="shared" si="94"/>
        <v>50</v>
      </c>
      <c r="N152" s="15">
        <v>7.2</v>
      </c>
      <c r="O152" s="19">
        <f t="shared" si="95"/>
        <v>5.8</v>
      </c>
      <c r="P152" s="1">
        <f>LOOKUP(O152,{0,2.5,2.7,2.9,3.1,3.3,3.5,3.7,3.9,4.1,4.3,4.5,4.7,4.9,5.1,5.3,5.5,5.6,5.7,5.8,5.9},{0,10,20,30,40,50,60,62,64,66,68,70,72,74,76,78,80,85,90,95,100})</f>
        <v>95</v>
      </c>
      <c r="Q152" s="15">
        <v>4.03</v>
      </c>
      <c r="R152" s="15">
        <f t="shared" si="96"/>
        <v>5.97</v>
      </c>
      <c r="S152" s="1">
        <f>LOOKUP(R152,{0,3.75,3.95,4.55,4.75,4.95,5.55,5.6,5.65,5.7,5.75,5.8,5.85,5.9,5.95,6,6.45,6.53,6.6,6.65,6.7},{0,10,20,30,40,50,60,62,64,66,68,70,72,74,76,78,80,85,90,95,100})</f>
        <v>76</v>
      </c>
      <c r="T152" s="21"/>
      <c r="U152" s="21"/>
      <c r="V152" s="21">
        <f t="shared" si="97"/>
        <v>76</v>
      </c>
      <c r="W152" s="15"/>
      <c r="X152" s="21">
        <f t="shared" si="98"/>
        <v>56.2</v>
      </c>
      <c r="Y152" s="21">
        <f t="shared" si="99"/>
        <v>80.2857142857143</v>
      </c>
    </row>
    <row r="153" ht="15.6" hidden="1" outlineLevel="2" spans="1:25">
      <c r="A153" s="15">
        <v>106</v>
      </c>
      <c r="B153" s="15">
        <v>8</v>
      </c>
      <c r="C153" s="14" t="s">
        <v>252</v>
      </c>
      <c r="D153" s="14" t="s">
        <v>11</v>
      </c>
      <c r="E153" s="15">
        <v>0.2</v>
      </c>
      <c r="F153" s="1">
        <f>LOOKUP(E153,{0,-4,-3,-2,-1,0,1,2.4,3.8,5.2,6.6,8,9.4,10.8,12.2,13.6,15,17.2,19.4,21.5,23.6},{0,10,20,30,40,50,60,62,64,66,68,70,72,74,76,78,80,85,90,95,100})</f>
        <v>50</v>
      </c>
      <c r="G153" s="15">
        <v>250</v>
      </c>
      <c r="H153" s="1">
        <f>LOOKUP(G153,{0,170,175,180,185,190,195,199,203,207,211,215,219,223,227,231,235,243,250,255,260},{0,10,20,30,40,50,60,62,64,66,68,70,72,74,76,78,80,85,90,95,100})</f>
        <v>90</v>
      </c>
      <c r="I153" s="15">
        <v>26</v>
      </c>
      <c r="J153" s="1">
        <f>LOOKUP(I153,{0,2,3,4,5,6,7,8,9,10,11,12,13,14,15,16},{0,10,20,30,40,50,60,64,68,72,76,80,85,90,95,100})</f>
        <v>100</v>
      </c>
      <c r="K153" s="21">
        <f t="shared" ref="K153:K156" si="100">I153-16</f>
        <v>10</v>
      </c>
      <c r="L153" s="1">
        <f>LOOKUP(K153,{0,1,2,3,4,5,6,7,8,9,10},{0,1,2,3,4,5,6,7,8,9,10})</f>
        <v>10</v>
      </c>
      <c r="M153" s="21">
        <f t="shared" si="94"/>
        <v>110</v>
      </c>
      <c r="N153" s="15">
        <v>6.6</v>
      </c>
      <c r="O153" s="19">
        <f t="shared" si="95"/>
        <v>6.4</v>
      </c>
      <c r="P153" s="1">
        <f>LOOKUP(O153,{0,2.5,2.7,2.9,3.1,3.3,3.5,3.7,3.9,4.1,4.3,4.5,4.7,4.9,5.1,5.3,5.5,5.6,5.7,5.8,5.9},{0,10,20,30,40,50,60,62,64,66,68,70,72,74,76,78,80,85,90,95,100})</f>
        <v>100</v>
      </c>
      <c r="Q153" s="15">
        <v>3.04</v>
      </c>
      <c r="R153" s="15">
        <f t="shared" si="96"/>
        <v>6.96</v>
      </c>
      <c r="S153" s="1">
        <f>LOOKUP(R153,{0,3.75,3.95,4.55,4.75,4.95,5.55,5.6,5.65,5.7,5.75,5.8,5.85,5.9,5.95,6,6.45,6.53,6.6,6.65,6.7},{0,10,20,30,40,50,60,62,64,66,68,70,72,74,76,78,80,85,90,95,100})</f>
        <v>100</v>
      </c>
      <c r="T153" s="21">
        <f>3.3-Q153</f>
        <v>0.26</v>
      </c>
      <c r="U153" s="1">
        <f>LOOKUP(T153,{0,0.04,0.08,0.12,0.16,0.2,0.23,0.26,0.29,0.32,0.35},{0,1,2,3,4,5,6,7,8,9,10})</f>
        <v>7</v>
      </c>
      <c r="V153" s="21">
        <f t="shared" si="97"/>
        <v>107</v>
      </c>
      <c r="W153" s="15"/>
      <c r="X153" s="21">
        <f t="shared" si="98"/>
        <v>64</v>
      </c>
      <c r="Y153" s="21">
        <f t="shared" si="99"/>
        <v>108.428571428571</v>
      </c>
    </row>
    <row r="154" ht="15.6" hidden="1" outlineLevel="2" spans="1:25">
      <c r="A154" s="15">
        <v>106</v>
      </c>
      <c r="B154" s="15">
        <v>9</v>
      </c>
      <c r="C154" s="14" t="s">
        <v>253</v>
      </c>
      <c r="D154" s="14" t="s">
        <v>11</v>
      </c>
      <c r="E154" s="15">
        <v>9</v>
      </c>
      <c r="F154" s="1">
        <f>LOOKUP(E154,{0,-4,-3,-2,-1,0,1,2.4,3.8,5.2,6.6,8,9.4,10.8,12.2,13.6,15,17.2,19.4,21.5,23.6},{0,10,20,30,40,50,60,62,64,66,68,70,72,74,76,78,80,85,90,95,100})</f>
        <v>70</v>
      </c>
      <c r="G154" s="15">
        <v>205</v>
      </c>
      <c r="H154" s="1">
        <f>LOOKUP(G154,{0,170,175,180,185,190,195,199,203,207,211,215,219,223,227,231,235,243,250,255,260},{0,10,20,30,40,50,60,62,64,66,68,70,72,74,76,78,80,85,90,95,100})</f>
        <v>64</v>
      </c>
      <c r="I154" s="15">
        <v>0</v>
      </c>
      <c r="J154" s="1">
        <f>LOOKUP(I154,{0,2,3,4,5,6,7,8,9,10,11,12,13,14,15,16},{0,10,20,30,40,50,60,64,68,72,76,80,85,90,95,100})</f>
        <v>0</v>
      </c>
      <c r="K154" s="21"/>
      <c r="L154" s="21"/>
      <c r="M154" s="21">
        <f t="shared" si="94"/>
        <v>0</v>
      </c>
      <c r="N154" s="15">
        <v>7.9</v>
      </c>
      <c r="O154" s="19">
        <f t="shared" si="95"/>
        <v>5.1</v>
      </c>
      <c r="P154" s="1">
        <f>LOOKUP(O154,{0,2.5,2.7,2.9,3.1,3.3,3.5,3.7,3.9,4.1,4.3,4.5,4.7,4.9,5.1,5.3,5.5,5.6,5.7,5.8,5.9},{0,10,20,30,40,50,60,62,64,66,68,70,72,74,76,78,80,85,90,95,100})</f>
        <v>76</v>
      </c>
      <c r="Q154" s="15">
        <v>3.52</v>
      </c>
      <c r="R154" s="15">
        <f t="shared" si="96"/>
        <v>6.48</v>
      </c>
      <c r="S154" s="1">
        <f>LOOKUP(R154,{0,3.75,3.95,4.55,4.75,4.95,5.55,5.6,5.65,5.7,5.75,5.8,5.85,5.9,5.95,6,6.45,6.53,6.6,6.65,6.7},{0,10,20,30,40,50,60,62,64,66,68,70,72,74,76,78,80,85,90,95,100})</f>
        <v>80</v>
      </c>
      <c r="T154" s="21"/>
      <c r="U154" s="21"/>
      <c r="V154" s="21">
        <f t="shared" si="97"/>
        <v>80</v>
      </c>
      <c r="W154" s="15"/>
      <c r="X154" s="21">
        <f t="shared" si="98"/>
        <v>44.6</v>
      </c>
      <c r="Y154" s="21">
        <f t="shared" si="99"/>
        <v>63.7142857142857</v>
      </c>
    </row>
    <row r="155" ht="15.6" hidden="1" outlineLevel="2" spans="1:25">
      <c r="A155" s="15">
        <v>106</v>
      </c>
      <c r="B155" s="15">
        <v>10</v>
      </c>
      <c r="C155" s="14" t="s">
        <v>254</v>
      </c>
      <c r="D155" s="14" t="s">
        <v>11</v>
      </c>
      <c r="E155" s="15">
        <v>6.2</v>
      </c>
      <c r="F155" s="1">
        <f>LOOKUP(E155,{0,-4,-3,-2,-1,0,1,2.4,3.8,5.2,6.6,8,9.4,10.8,12.2,13.6,15,17.2,19.4,21.5,23.6},{0,10,20,30,40,50,60,62,64,66,68,70,72,74,76,78,80,85,90,95,100})</f>
        <v>66</v>
      </c>
      <c r="G155" s="15">
        <v>255</v>
      </c>
      <c r="H155" s="1">
        <f>LOOKUP(G155,{0,170,175,180,185,190,195,199,203,207,211,215,219,223,227,231,235,243,250,255,260},{0,10,20,30,40,50,60,62,64,66,68,70,72,74,76,78,80,85,90,95,100})</f>
        <v>95</v>
      </c>
      <c r="I155" s="15">
        <v>20</v>
      </c>
      <c r="J155" s="1">
        <f>LOOKUP(I155,{0,2,3,4,5,6,7,8,9,10,11,12,13,14,15,16},{0,10,20,30,40,50,60,64,68,72,76,80,85,90,95,100})</f>
        <v>100</v>
      </c>
      <c r="K155" s="21">
        <f t="shared" si="100"/>
        <v>4</v>
      </c>
      <c r="L155" s="1">
        <f>LOOKUP(K155,{0,1,2,3,4,5,6,7,8,9,10},{0,1,2,3,4,5,6,7,8,9,10})</f>
        <v>4</v>
      </c>
      <c r="M155" s="21">
        <f t="shared" si="94"/>
        <v>104</v>
      </c>
      <c r="N155" s="15">
        <v>7.1</v>
      </c>
      <c r="O155" s="19">
        <f t="shared" si="95"/>
        <v>5.9</v>
      </c>
      <c r="P155" s="1">
        <f>LOOKUP(O155,{0,2.5,2.7,2.9,3.1,3.3,3.5,3.7,3.9,4.1,4.3,4.5,4.7,4.9,5.1,5.3,5.5,5.6,5.7,5.8,5.9},{0,10,20,30,40,50,60,62,64,66,68,70,72,74,76,78,80,85,90,95,100})</f>
        <v>100</v>
      </c>
      <c r="Q155" s="15">
        <v>4.01</v>
      </c>
      <c r="R155" s="15">
        <f t="shared" si="96"/>
        <v>5.99</v>
      </c>
      <c r="S155" s="1">
        <f>LOOKUP(R155,{0,3.75,3.95,4.55,4.75,4.95,5.55,5.6,5.65,5.7,5.75,5.8,5.85,5.9,5.95,6,6.45,6.53,6.6,6.65,6.7},{0,10,20,30,40,50,60,62,64,66,68,70,72,74,76,78,80,85,90,95,100})</f>
        <v>76</v>
      </c>
      <c r="T155" s="21"/>
      <c r="U155" s="21"/>
      <c r="V155" s="21">
        <f t="shared" si="97"/>
        <v>76</v>
      </c>
      <c r="W155" s="15"/>
      <c r="X155" s="21">
        <f t="shared" si="98"/>
        <v>61.3</v>
      </c>
      <c r="Y155" s="21">
        <f t="shared" si="99"/>
        <v>91.5714285714286</v>
      </c>
    </row>
    <row r="156" ht="15.6" hidden="1" outlineLevel="2" spans="1:25">
      <c r="A156" s="15">
        <v>106</v>
      </c>
      <c r="B156" s="15">
        <v>11</v>
      </c>
      <c r="C156" s="13" t="s">
        <v>256</v>
      </c>
      <c r="D156" s="14" t="s">
        <v>11</v>
      </c>
      <c r="E156" s="15">
        <v>-2.8</v>
      </c>
      <c r="F156" s="1">
        <f>LOOKUP(E156,{0,-4,-3,-2,-1,0,1,2.4,3.8,5.2,6.6,8,9.4,10.8,12.2,13.6,15,17.2,19.4,21.5,23.6},{0,10,20,30,40,50,60,62,64,66,68,70,72,74,76,78,80,85,90,95,100})</f>
        <v>20</v>
      </c>
      <c r="G156" s="15">
        <v>220</v>
      </c>
      <c r="H156" s="1">
        <f>LOOKUP(G156,{0,170,175,180,185,190,195,199,203,207,211,215,219,223,227,231,235,243,250,255,260},{0,10,20,30,40,50,60,62,64,66,68,70,72,74,76,78,80,85,90,95,100})</f>
        <v>72</v>
      </c>
      <c r="I156" s="15">
        <v>23</v>
      </c>
      <c r="J156" s="1">
        <f>LOOKUP(I156,{0,2,3,4,5,6,7,8,9,10,11,12,13,14,15,16},{0,10,20,30,40,50,60,64,68,72,76,80,85,90,95,100})</f>
        <v>100</v>
      </c>
      <c r="K156" s="21">
        <f t="shared" si="100"/>
        <v>7</v>
      </c>
      <c r="L156" s="1">
        <f>LOOKUP(K156,{0,1,2,3,4,5,6,7,8,9,10},{0,1,2,3,4,5,6,7,8,9,10})</f>
        <v>7</v>
      </c>
      <c r="M156" s="21">
        <f t="shared" si="94"/>
        <v>107</v>
      </c>
      <c r="N156" s="15">
        <v>7.3</v>
      </c>
      <c r="O156" s="19">
        <f t="shared" si="95"/>
        <v>5.7</v>
      </c>
      <c r="P156" s="1">
        <f>LOOKUP(O156,{0,2.5,2.7,2.9,3.1,3.3,3.5,3.7,3.9,4.1,4.3,4.5,4.7,4.9,5.1,5.3,5.5,5.6,5.7,5.8,5.9},{0,10,20,30,40,50,60,62,64,66,68,70,72,74,76,78,80,85,90,95,100})</f>
        <v>90</v>
      </c>
      <c r="Q156" s="15"/>
      <c r="R156" s="15"/>
      <c r="S156" s="1"/>
      <c r="T156" s="21"/>
      <c r="U156" s="1"/>
      <c r="V156" s="21"/>
      <c r="W156" s="15" t="s">
        <v>26</v>
      </c>
      <c r="X156" s="21">
        <f t="shared" si="98"/>
        <v>37.2</v>
      </c>
      <c r="Y156" s="21">
        <f t="shared" si="99"/>
        <v>60.1428571428572</v>
      </c>
    </row>
    <row r="157" ht="15.6" hidden="1" outlineLevel="2" spans="1:25">
      <c r="A157" s="15">
        <v>106</v>
      </c>
      <c r="B157" s="15">
        <v>12</v>
      </c>
      <c r="C157" s="14" t="s">
        <v>257</v>
      </c>
      <c r="D157" s="14" t="s">
        <v>11</v>
      </c>
      <c r="E157" s="15"/>
      <c r="F157" s="1"/>
      <c r="G157" s="15"/>
      <c r="H157" s="1"/>
      <c r="I157" s="15"/>
      <c r="J157" s="1"/>
      <c r="K157" s="21"/>
      <c r="L157" s="21"/>
      <c r="M157" s="21"/>
      <c r="N157" s="15">
        <v>8</v>
      </c>
      <c r="O157" s="19">
        <f t="shared" si="95"/>
        <v>5</v>
      </c>
      <c r="P157" s="1">
        <f>LOOKUP(O157,{0,2.5,2.7,2.9,3.1,3.3,3.5,3.7,3.9,4.1,4.3,4.5,4.7,4.9,5.1,5.3,5.5,5.6,5.7,5.8,5.9},{0,10,20,30,40,50,60,62,64,66,68,70,72,74,76,78,80,85,90,95,100})</f>
        <v>74</v>
      </c>
      <c r="Q157" s="15"/>
      <c r="R157" s="15"/>
      <c r="S157" s="1"/>
      <c r="T157" s="21"/>
      <c r="U157" s="1"/>
      <c r="V157" s="21"/>
      <c r="W157" s="15" t="s">
        <v>84</v>
      </c>
      <c r="X157" s="21">
        <f t="shared" si="98"/>
        <v>14.8</v>
      </c>
      <c r="Y157" s="21">
        <v>50</v>
      </c>
    </row>
    <row r="158" ht="15.6" hidden="1" outlineLevel="2" spans="1:25">
      <c r="A158" s="15">
        <v>106</v>
      </c>
      <c r="B158" s="15">
        <v>13</v>
      </c>
      <c r="C158" s="14" t="s">
        <v>258</v>
      </c>
      <c r="D158" s="14" t="s">
        <v>11</v>
      </c>
      <c r="E158" s="15"/>
      <c r="F158" s="1"/>
      <c r="G158" s="15"/>
      <c r="H158" s="1"/>
      <c r="I158" s="15"/>
      <c r="J158" s="1"/>
      <c r="K158" s="21"/>
      <c r="L158" s="21"/>
      <c r="M158" s="21"/>
      <c r="N158" s="15">
        <v>7.2</v>
      </c>
      <c r="O158" s="19">
        <f t="shared" si="95"/>
        <v>5.8</v>
      </c>
      <c r="P158" s="1">
        <f>LOOKUP(O158,{0,2.5,2.7,2.9,3.1,3.3,3.5,3.7,3.9,4.1,4.3,4.5,4.7,4.9,5.1,5.3,5.5,5.6,5.7,5.8,5.9},{0,10,20,30,40,50,60,62,64,66,68,70,72,74,76,78,80,85,90,95,100})</f>
        <v>95</v>
      </c>
      <c r="Q158" s="15"/>
      <c r="R158" s="15"/>
      <c r="S158" s="1"/>
      <c r="T158" s="21"/>
      <c r="U158" s="1"/>
      <c r="V158" s="21"/>
      <c r="W158" s="15" t="s">
        <v>84</v>
      </c>
      <c r="X158" s="21">
        <f t="shared" si="98"/>
        <v>19</v>
      </c>
      <c r="Y158" s="21">
        <v>50</v>
      </c>
    </row>
    <row r="159" ht="15.6" hidden="1" outlineLevel="2" spans="1:25">
      <c r="A159" s="15">
        <v>106</v>
      </c>
      <c r="B159" s="15">
        <v>14</v>
      </c>
      <c r="C159" s="14" t="s">
        <v>259</v>
      </c>
      <c r="D159" s="14" t="s">
        <v>11</v>
      </c>
      <c r="E159" s="15">
        <v>-8.8</v>
      </c>
      <c r="F159" s="1">
        <v>0</v>
      </c>
      <c r="G159" s="15">
        <v>195</v>
      </c>
      <c r="H159" s="1">
        <f>LOOKUP(G159,{0,170,175,180,185,190,195,199,203,207,211,215,219,223,227,231,235,243,250,255,260},{0,10,20,30,40,50,60,62,64,66,68,70,72,74,76,78,80,85,90,95,100})</f>
        <v>60</v>
      </c>
      <c r="I159" s="15">
        <v>1</v>
      </c>
      <c r="J159" s="1">
        <f>LOOKUP(I159,{0,2,3,4,5,6,7,8,9,10,11,12,13,14,15,16},{0,10,20,30,40,50,60,64,68,72,76,80,85,90,95,100})</f>
        <v>0</v>
      </c>
      <c r="K159" s="21"/>
      <c r="L159" s="21"/>
      <c r="M159" s="21">
        <f t="shared" ref="M159:M167" si="101">J159+L159</f>
        <v>0</v>
      </c>
      <c r="N159" s="15">
        <v>7.4</v>
      </c>
      <c r="O159" s="19">
        <f t="shared" si="95"/>
        <v>5.6</v>
      </c>
      <c r="P159" s="1">
        <f>LOOKUP(O159,{0,2.5,2.7,2.9,3.1,3.3,3.5,3.7,3.9,4.1,4.3,4.5,4.7,4.9,5.1,5.3,5.5,5.6,5.7,5.8,5.9},{0,10,20,30,40,50,60,62,64,66,68,70,72,74,76,78,80,85,90,95,100})</f>
        <v>85</v>
      </c>
      <c r="Q159" s="15">
        <v>4.05</v>
      </c>
      <c r="R159" s="15">
        <f t="shared" ref="R159:R167" si="102">10-Q159</f>
        <v>5.95</v>
      </c>
      <c r="S159" s="1">
        <f>LOOKUP(R159,{0,3.75,3.95,4.55,4.75,4.95,5.55,5.6,5.65,5.7,5.75,5.8,5.85,5.9,5.95,6,6.45,6.53,6.6,6.65,6.7},{0,10,20,30,40,50,60,62,64,66,68,70,72,74,76,78,80,85,90,95,100})</f>
        <v>76</v>
      </c>
      <c r="T159" s="21"/>
      <c r="U159" s="21"/>
      <c r="V159" s="21">
        <f t="shared" ref="V159:V167" si="103">S159+U159</f>
        <v>76</v>
      </c>
      <c r="W159" s="15"/>
      <c r="X159" s="21">
        <f t="shared" si="98"/>
        <v>38.2</v>
      </c>
      <c r="Y159" s="21">
        <f t="shared" ref="Y159:Y167" si="104">X159/0.7+L159+U159</f>
        <v>54.5714285714286</v>
      </c>
    </row>
    <row r="160" s="3" customFormat="1" ht="15.6" hidden="1" outlineLevel="2" spans="1:25">
      <c r="A160" s="15">
        <v>106</v>
      </c>
      <c r="B160" s="15">
        <v>15</v>
      </c>
      <c r="C160" s="14" t="s">
        <v>260</v>
      </c>
      <c r="D160" s="14" t="s">
        <v>11</v>
      </c>
      <c r="E160" s="15">
        <v>12</v>
      </c>
      <c r="F160" s="1">
        <f>LOOKUP(E160,{0,-4,-3,-2,-1,0,1,2.4,3.8,5.2,6.6,8,9.4,10.8,12.2,13.6,15,17.2,19.4,21.5,23.6},{0,10,20,30,40,50,60,62,64,66,68,70,72,74,76,78,80,85,90,95,100})</f>
        <v>74</v>
      </c>
      <c r="G160" s="15">
        <v>230</v>
      </c>
      <c r="H160" s="1">
        <f>LOOKUP(G160,{0,170,175,180,185,190,195,199,203,207,211,215,219,223,227,231,235,243,250,255,260},{0,10,20,30,40,50,60,62,64,66,68,70,72,74,76,78,80,85,90,95,100})</f>
        <v>76</v>
      </c>
      <c r="I160" s="15">
        <v>20</v>
      </c>
      <c r="J160" s="1">
        <f>LOOKUP(I160,{0,2,3,4,5,6,7,8,9,10,11,12,13,14,15,16},{0,10,20,30,40,50,60,64,68,72,76,80,85,90,95,100})</f>
        <v>100</v>
      </c>
      <c r="K160" s="21">
        <f>I160-16</f>
        <v>4</v>
      </c>
      <c r="L160" s="1">
        <f>LOOKUP(K160,{0,1,2,3,4,5,6,7,8,9,10},{0,1,2,3,4,5,6,7,8,9,10})</f>
        <v>4</v>
      </c>
      <c r="M160" s="21">
        <f t="shared" si="101"/>
        <v>104</v>
      </c>
      <c r="N160" s="15">
        <v>7</v>
      </c>
      <c r="O160" s="19">
        <f t="shared" si="95"/>
        <v>6</v>
      </c>
      <c r="P160" s="1">
        <f>LOOKUP(O160,{0,2.5,2.7,2.9,3.1,3.3,3.5,3.7,3.9,4.1,4.3,4.5,4.7,4.9,5.1,5.3,5.5,5.6,5.7,5.8,5.9},{0,10,20,30,40,50,60,62,64,66,68,70,72,74,76,78,80,85,90,95,100})</f>
        <v>100</v>
      </c>
      <c r="Q160" s="15">
        <v>3.33</v>
      </c>
      <c r="R160" s="15">
        <f t="shared" si="102"/>
        <v>6.67</v>
      </c>
      <c r="S160" s="1">
        <f>LOOKUP(R160,{0,3.75,3.95,4.55,4.75,4.95,5.55,5.6,5.65,5.7,5.75,5.8,5.85,5.9,5.95,6,6.45,6.53,6.6,6.65,6.7},{0,10,20,30,40,50,60,62,64,66,68,70,72,74,76,78,80,85,90,95,100})</f>
        <v>95</v>
      </c>
      <c r="T160" s="21"/>
      <c r="U160" s="21"/>
      <c r="V160" s="21">
        <f t="shared" si="103"/>
        <v>95</v>
      </c>
      <c r="W160" s="15"/>
      <c r="X160" s="21">
        <f t="shared" si="98"/>
        <v>64</v>
      </c>
      <c r="Y160" s="21">
        <f t="shared" si="104"/>
        <v>95.4285714285714</v>
      </c>
    </row>
    <row r="161" ht="15.6" hidden="1" outlineLevel="2" spans="1:25">
      <c r="A161" s="15">
        <v>106</v>
      </c>
      <c r="B161" s="15">
        <v>16</v>
      </c>
      <c r="C161" s="14" t="s">
        <v>261</v>
      </c>
      <c r="D161" s="14" t="s">
        <v>11</v>
      </c>
      <c r="E161" s="15">
        <v>13.7</v>
      </c>
      <c r="F161" s="1">
        <f>LOOKUP(E161,{0,-4,-3,-2,-1,0,1,2.4,3.8,5.2,6.6,8,9.4,10.8,12.2,13.6,15,17.2,19.4,21.5,23.6},{0,10,20,30,40,50,60,62,64,66,68,70,72,74,76,78,80,85,90,95,100})</f>
        <v>78</v>
      </c>
      <c r="G161" s="15">
        <v>192</v>
      </c>
      <c r="H161" s="1">
        <f>LOOKUP(G161,{0,170,175,180,185,190,195,199,203,207,211,215,219,223,227,231,235,243,250,255,260},{0,10,20,30,40,50,60,62,64,66,68,70,72,74,76,78,80,85,90,95,100})</f>
        <v>50</v>
      </c>
      <c r="I161" s="15">
        <v>9</v>
      </c>
      <c r="J161" s="1">
        <f>LOOKUP(I161,{0,2,3,4,5,6,7,8,9,10,11,12,13,14,15,16},{0,10,20,30,40,50,60,64,68,72,76,80,85,90,95,100})</f>
        <v>68</v>
      </c>
      <c r="K161" s="21"/>
      <c r="L161" s="21"/>
      <c r="M161" s="21">
        <f t="shared" si="101"/>
        <v>68</v>
      </c>
      <c r="N161" s="15">
        <v>7.8</v>
      </c>
      <c r="O161" s="19">
        <f t="shared" si="95"/>
        <v>5.2</v>
      </c>
      <c r="P161" s="1">
        <f>LOOKUP(O161,{0,2.5,2.7,2.9,3.1,3.3,3.5,3.7,3.9,4.1,4.3,4.5,4.7,4.9,5.1,5.3,5.5,5.6,5.7,5.8,5.9},{0,10,20,30,40,50,60,62,64,66,68,70,72,74,76,78,80,85,90,95,100})</f>
        <v>76</v>
      </c>
      <c r="Q161" s="15">
        <v>4.21</v>
      </c>
      <c r="R161" s="15">
        <f t="shared" si="102"/>
        <v>5.79</v>
      </c>
      <c r="S161" s="1">
        <f>LOOKUP(R161,{0,3.75,3.95,4.55,4.75,4.95,5.55,5.6,5.65,5.7,5.75,5.8,5.85,5.9,5.95,6,6.45,6.53,6.6,6.65,6.7},{0,10,20,30,40,50,60,62,64,66,68,70,72,74,76,78,80,85,90,95,100})</f>
        <v>68</v>
      </c>
      <c r="T161" s="21"/>
      <c r="U161" s="21"/>
      <c r="V161" s="21">
        <f t="shared" si="103"/>
        <v>68</v>
      </c>
      <c r="W161" s="15"/>
      <c r="X161" s="21">
        <f t="shared" si="98"/>
        <v>48.4</v>
      </c>
      <c r="Y161" s="21">
        <f t="shared" si="104"/>
        <v>69.1428571428572</v>
      </c>
    </row>
    <row r="162" ht="15.6" hidden="1" outlineLevel="2" spans="1:25">
      <c r="A162" s="15">
        <v>106</v>
      </c>
      <c r="B162" s="15">
        <v>17</v>
      </c>
      <c r="C162" s="14" t="s">
        <v>262</v>
      </c>
      <c r="D162" s="14" t="s">
        <v>11</v>
      </c>
      <c r="E162" s="15">
        <v>17.7</v>
      </c>
      <c r="F162" s="1">
        <f>LOOKUP(E162,{0,-4,-3,-2,-1,0,1,2.4,3.8,5.2,6.6,8,9.4,10.8,12.2,13.6,15,17.2,19.4,21.5,23.6},{0,10,20,30,40,50,60,62,64,66,68,70,72,74,76,78,80,85,90,95,100})</f>
        <v>85</v>
      </c>
      <c r="G162" s="15">
        <v>274</v>
      </c>
      <c r="H162" s="1">
        <f>LOOKUP(G162,{0,170,175,180,185,190,195,199,203,207,211,215,219,223,227,231,235,243,250,255,260},{0,10,20,30,40,50,60,62,64,66,68,70,72,74,76,78,80,85,90,95,100})</f>
        <v>100</v>
      </c>
      <c r="I162" s="15">
        <v>5</v>
      </c>
      <c r="J162" s="1">
        <f>LOOKUP(I162,{0,2,3,4,5,6,7,8,9,10,11,12,13,14,15,16},{0,10,20,30,40,50,60,64,68,72,76,80,85,90,95,100})</f>
        <v>40</v>
      </c>
      <c r="K162" s="21"/>
      <c r="L162" s="21"/>
      <c r="M162" s="21">
        <f t="shared" si="101"/>
        <v>40</v>
      </c>
      <c r="N162" s="15">
        <v>7</v>
      </c>
      <c r="O162" s="19">
        <f t="shared" si="95"/>
        <v>6</v>
      </c>
      <c r="P162" s="1">
        <f>LOOKUP(O162,{0,2.5,2.7,2.9,3.1,3.3,3.5,3.7,3.9,4.1,4.3,4.5,4.7,4.9,5.1,5.3,5.5,5.6,5.7,5.8,5.9},{0,10,20,30,40,50,60,62,64,66,68,70,72,74,76,78,80,85,90,95,100})</f>
        <v>100</v>
      </c>
      <c r="Q162" s="15">
        <v>3.32</v>
      </c>
      <c r="R162" s="15">
        <f t="shared" si="102"/>
        <v>6.68</v>
      </c>
      <c r="S162" s="1">
        <f>LOOKUP(R162,{0,3.75,3.95,4.55,4.75,4.95,5.55,5.6,5.65,5.7,5.75,5.8,5.85,5.9,5.95,6,6.45,6.53,6.6,6.65,6.7},{0,10,20,30,40,50,60,62,64,66,68,70,72,74,76,78,80,85,90,95,100})</f>
        <v>95</v>
      </c>
      <c r="T162" s="21"/>
      <c r="U162" s="21"/>
      <c r="V162" s="21">
        <f t="shared" si="103"/>
        <v>95</v>
      </c>
      <c r="W162" s="15"/>
      <c r="X162" s="21">
        <f t="shared" si="98"/>
        <v>61.5</v>
      </c>
      <c r="Y162" s="21">
        <f t="shared" si="104"/>
        <v>87.8571428571429</v>
      </c>
    </row>
    <row r="163" ht="15.6" hidden="1" outlineLevel="2" spans="1:25">
      <c r="A163" s="15">
        <v>106</v>
      </c>
      <c r="B163" s="15">
        <v>18</v>
      </c>
      <c r="C163" s="14" t="s">
        <v>263</v>
      </c>
      <c r="D163" s="14" t="s">
        <v>11</v>
      </c>
      <c r="E163" s="15">
        <v>11</v>
      </c>
      <c r="F163" s="1">
        <f>LOOKUP(E163,{0,-4,-3,-2,-1,0,1,2.4,3.8,5.2,6.6,8,9.4,10.8,12.2,13.6,15,17.2,19.4,21.5,23.6},{0,10,20,30,40,50,60,62,64,66,68,70,72,74,76,78,80,85,90,95,100})</f>
        <v>74</v>
      </c>
      <c r="G163" s="15">
        <v>255</v>
      </c>
      <c r="H163" s="1">
        <f>LOOKUP(G163,{0,170,175,180,185,190,195,199,203,207,211,215,219,223,227,231,235,243,250,255,260},{0,10,20,30,40,50,60,62,64,66,68,70,72,74,76,78,80,85,90,95,100})</f>
        <v>95</v>
      </c>
      <c r="I163" s="15">
        <v>14</v>
      </c>
      <c r="J163" s="1">
        <f>LOOKUP(I163,{0,2,3,4,5,6,7,8,9,10,11,12,13,14,15,16},{0,10,20,30,40,50,60,64,68,72,76,80,85,90,95,100})</f>
        <v>90</v>
      </c>
      <c r="K163" s="21"/>
      <c r="L163" s="21"/>
      <c r="M163" s="21">
        <f t="shared" si="101"/>
        <v>90</v>
      </c>
      <c r="N163" s="15">
        <v>6.9</v>
      </c>
      <c r="O163" s="19">
        <f t="shared" si="95"/>
        <v>6.1</v>
      </c>
      <c r="P163" s="1">
        <f>LOOKUP(O163,{0,2.5,2.7,2.9,3.1,3.3,3.5,3.7,3.9,4.1,4.3,4.5,4.7,4.9,5.1,5.3,5.5,5.6,5.7,5.8,5.9},{0,10,20,30,40,50,60,62,64,66,68,70,72,74,76,78,80,85,90,95,100})</f>
        <v>100</v>
      </c>
      <c r="Q163" s="15">
        <v>3.31</v>
      </c>
      <c r="R163" s="15">
        <f t="shared" si="102"/>
        <v>6.69</v>
      </c>
      <c r="S163" s="1">
        <f>LOOKUP(R163,{0,3.75,3.95,4.55,4.75,4.95,5.55,5.6,5.65,5.7,5.75,5.8,5.85,5.9,5.95,6,6.45,6.53,6.6,6.65,6.7},{0,10,20,30,40,50,60,62,64,66,68,70,72,74,76,78,80,85,90,95,100})</f>
        <v>95</v>
      </c>
      <c r="T163" s="21"/>
      <c r="U163" s="21"/>
      <c r="V163" s="21">
        <f t="shared" si="103"/>
        <v>95</v>
      </c>
      <c r="W163" s="15"/>
      <c r="X163" s="21">
        <f t="shared" si="98"/>
        <v>64.9</v>
      </c>
      <c r="Y163" s="21">
        <f t="shared" si="104"/>
        <v>92.7142857142857</v>
      </c>
    </row>
    <row r="164" ht="15.6" hidden="1" outlineLevel="2" spans="1:25">
      <c r="A164" s="15">
        <v>106</v>
      </c>
      <c r="B164" s="15">
        <v>19</v>
      </c>
      <c r="C164" s="14" t="s">
        <v>264</v>
      </c>
      <c r="D164" s="14" t="s">
        <v>11</v>
      </c>
      <c r="E164" s="15">
        <v>17.2</v>
      </c>
      <c r="F164" s="1">
        <f>LOOKUP(E164,{0,-4,-3,-2,-1,0,1,2.4,3.8,5.2,6.6,8,9.4,10.8,12.2,13.6,15,17.2,19.4,21.5,23.6},{0,10,20,30,40,50,60,62,64,66,68,70,72,74,76,78,80,85,90,95,100})</f>
        <v>85</v>
      </c>
      <c r="G164" s="15">
        <v>220</v>
      </c>
      <c r="H164" s="1">
        <f>LOOKUP(G164,{0,170,175,180,185,190,195,199,203,207,211,215,219,223,227,231,235,243,250,255,260},{0,10,20,30,40,50,60,62,64,66,68,70,72,74,76,78,80,85,90,95,100})</f>
        <v>72</v>
      </c>
      <c r="I164" s="15">
        <v>1</v>
      </c>
      <c r="J164" s="1">
        <f>LOOKUP(I164,{0,2,3,4,5,6,7,8,9,10,11,12,13,14,15,16},{0,10,20,30,40,50,60,64,68,72,76,80,85,90,95,100})</f>
        <v>0</v>
      </c>
      <c r="K164" s="21"/>
      <c r="L164" s="21"/>
      <c r="M164" s="21">
        <f t="shared" si="101"/>
        <v>0</v>
      </c>
      <c r="N164" s="15">
        <v>8.1</v>
      </c>
      <c r="O164" s="19">
        <f t="shared" si="95"/>
        <v>4.9</v>
      </c>
      <c r="P164" s="1">
        <f>LOOKUP(O164,{0,2.5,2.7,2.9,3.1,3.3,3.5,3.7,3.9,4.1,4.3,4.5,4.7,4.9,5.1,5.3,5.5,5.6,5.7,5.8,5.9},{0,10,20,30,40,50,60,62,64,66,68,70,72,74,76,78,80,85,90,95,100})</f>
        <v>74</v>
      </c>
      <c r="Q164" s="15">
        <v>5.19</v>
      </c>
      <c r="R164" s="15">
        <f t="shared" si="102"/>
        <v>4.81</v>
      </c>
      <c r="S164" s="1">
        <f>LOOKUP(R164,{0,3.75,3.95,4.55,4.75,4.95,5.55,5.6,5.65,5.7,5.75,5.8,5.85,5.9,5.95,6,6.45,6.53,6.6,6.65,6.7},{0,10,20,30,40,50,60,62,64,66,68,70,72,74,76,78,80,85,90,95,100})</f>
        <v>40</v>
      </c>
      <c r="T164" s="21"/>
      <c r="U164" s="21"/>
      <c r="V164" s="21">
        <f t="shared" si="103"/>
        <v>40</v>
      </c>
      <c r="W164" s="15"/>
      <c r="X164" s="21">
        <f t="shared" si="98"/>
        <v>38.5</v>
      </c>
      <c r="Y164" s="21">
        <f t="shared" si="104"/>
        <v>55</v>
      </c>
    </row>
    <row r="165" ht="15.6" hidden="1" outlineLevel="2" spans="1:25">
      <c r="A165" s="15">
        <v>106</v>
      </c>
      <c r="B165" s="15">
        <v>20</v>
      </c>
      <c r="C165" s="14" t="s">
        <v>265</v>
      </c>
      <c r="D165" s="14" t="s">
        <v>11</v>
      </c>
      <c r="E165" s="15">
        <v>8.4</v>
      </c>
      <c r="F165" s="1">
        <f>LOOKUP(E165,{0,-4,-3,-2,-1,0,1,2.4,3.8,5.2,6.6,8,9.4,10.8,12.2,13.6,15,17.2,19.4,21.5,23.6},{0,10,20,30,40,50,60,62,64,66,68,70,72,74,76,78,80,85,90,95,100})</f>
        <v>70</v>
      </c>
      <c r="G165" s="15">
        <v>210</v>
      </c>
      <c r="H165" s="1">
        <f>LOOKUP(G165,{0,170,175,180,185,190,195,199,203,207,211,215,219,223,227,231,235,243,250,255,260},{0,10,20,30,40,50,60,62,64,66,68,70,72,74,76,78,80,85,90,95,100})</f>
        <v>66</v>
      </c>
      <c r="I165" s="15">
        <v>2</v>
      </c>
      <c r="J165" s="1">
        <f>LOOKUP(I165,{0,2,3,4,5,6,7,8,9,10,11,12,13,14,15,16},{0,10,20,30,40,50,60,64,68,72,76,80,85,90,95,100})</f>
        <v>10</v>
      </c>
      <c r="K165" s="21"/>
      <c r="L165" s="21"/>
      <c r="M165" s="21">
        <f t="shared" si="101"/>
        <v>10</v>
      </c>
      <c r="N165" s="15">
        <v>7.6</v>
      </c>
      <c r="O165" s="19">
        <f t="shared" si="95"/>
        <v>5.4</v>
      </c>
      <c r="P165" s="1">
        <f>LOOKUP(O165,{0,2.5,2.7,2.9,3.1,3.3,3.5,3.7,3.9,4.1,4.3,4.5,4.7,4.9,5.1,5.3,5.5,5.6,5.7,5.8,5.9},{0,10,20,30,40,50,60,62,64,66,68,70,72,74,76,78,80,85,90,95,100})</f>
        <v>78</v>
      </c>
      <c r="Q165" s="15">
        <v>4.32</v>
      </c>
      <c r="R165" s="15">
        <f t="shared" si="102"/>
        <v>5.68</v>
      </c>
      <c r="S165" s="1">
        <f>LOOKUP(R165,{0,3.75,3.95,4.55,4.75,4.95,5.55,5.6,5.65,5.7,5.75,5.8,5.85,5.9,5.95,6,6.45,6.53,6.6,6.65,6.7},{0,10,20,30,40,50,60,62,64,66,68,70,72,74,76,78,80,85,90,95,100})</f>
        <v>64</v>
      </c>
      <c r="T165" s="21"/>
      <c r="U165" s="21"/>
      <c r="V165" s="21">
        <f t="shared" si="103"/>
        <v>64</v>
      </c>
      <c r="W165" s="15"/>
      <c r="X165" s="21">
        <f t="shared" si="98"/>
        <v>43</v>
      </c>
      <c r="Y165" s="21">
        <f t="shared" si="104"/>
        <v>61.4285714285714</v>
      </c>
    </row>
    <row r="166" ht="15.6" hidden="1" outlineLevel="2" spans="1:25">
      <c r="A166" s="15">
        <v>106</v>
      </c>
      <c r="B166" s="15">
        <v>21</v>
      </c>
      <c r="C166" s="13" t="s">
        <v>267</v>
      </c>
      <c r="D166" s="14" t="s">
        <v>11</v>
      </c>
      <c r="E166" s="15">
        <v>15</v>
      </c>
      <c r="F166" s="1">
        <f>LOOKUP(E166,{0,-4,-3,-2,-1,0,1,2.4,3.8,5.2,6.6,8,9.4,10.8,12.2,13.6,15,17.2,19.4,21.5,23.6},{0,10,20,30,40,50,60,62,64,66,68,70,72,74,76,78,80,85,90,95,100})</f>
        <v>80</v>
      </c>
      <c r="G166" s="15">
        <v>236</v>
      </c>
      <c r="H166" s="1">
        <f>LOOKUP(G166,{0,170,175,180,185,190,195,199,203,207,211,215,219,223,227,231,235,243,250,255,260},{0,10,20,30,40,50,60,62,64,66,68,70,72,74,76,78,80,85,90,95,100})</f>
        <v>80</v>
      </c>
      <c r="I166" s="15">
        <v>1</v>
      </c>
      <c r="J166" s="1">
        <f>LOOKUP(I166,{0,2,3,4,5,6,7,8,9,10,11,12,13,14,15,16},{0,10,20,30,40,50,60,64,68,72,76,80,85,90,95,100})</f>
        <v>0</v>
      </c>
      <c r="K166" s="21"/>
      <c r="L166" s="21"/>
      <c r="M166" s="21">
        <f t="shared" si="101"/>
        <v>0</v>
      </c>
      <c r="N166" s="15">
        <v>7</v>
      </c>
      <c r="O166" s="19">
        <f t="shared" si="95"/>
        <v>6</v>
      </c>
      <c r="P166" s="1">
        <f>LOOKUP(O166,{0,2.5,2.7,2.9,3.1,3.3,3.5,3.7,3.9,4.1,4.3,4.5,4.7,4.9,5.1,5.3,5.5,5.6,5.7,5.8,5.9},{0,10,20,30,40,50,60,62,64,66,68,70,72,74,76,78,80,85,90,95,100})</f>
        <v>100</v>
      </c>
      <c r="Q166" s="15">
        <v>3.37</v>
      </c>
      <c r="R166" s="15">
        <f t="shared" si="102"/>
        <v>6.63</v>
      </c>
      <c r="S166" s="1">
        <f>LOOKUP(R166,{0,3.75,3.95,4.55,4.75,4.95,5.55,5.6,5.65,5.7,5.75,5.8,5.85,5.9,5.95,6,6.45,6.53,6.6,6.65,6.7},{0,10,20,30,40,50,60,62,64,66,68,70,72,74,76,78,80,85,90,95,100})</f>
        <v>90</v>
      </c>
      <c r="T166" s="21"/>
      <c r="U166" s="21"/>
      <c r="V166" s="21">
        <f t="shared" si="103"/>
        <v>90</v>
      </c>
      <c r="W166" s="15"/>
      <c r="X166" s="21">
        <f t="shared" si="98"/>
        <v>54</v>
      </c>
      <c r="Y166" s="21">
        <f t="shared" si="104"/>
        <v>77.1428571428572</v>
      </c>
    </row>
    <row r="167" ht="15.6" hidden="1" outlineLevel="2" spans="1:25">
      <c r="A167" s="15">
        <v>106</v>
      </c>
      <c r="B167" s="15">
        <v>22</v>
      </c>
      <c r="C167" s="14" t="s">
        <v>268</v>
      </c>
      <c r="D167" s="14" t="s">
        <v>11</v>
      </c>
      <c r="E167" s="15">
        <v>11.7</v>
      </c>
      <c r="F167" s="1">
        <f>LOOKUP(E167,{0,-4,-3,-2,-1,0,1,2.4,3.8,5.2,6.6,8,9.4,10.8,12.2,13.6,15,17.2,19.4,21.5,23.6},{0,10,20,30,40,50,60,62,64,66,68,70,72,74,76,78,80,85,90,95,100})</f>
        <v>74</v>
      </c>
      <c r="G167" s="15">
        <v>235</v>
      </c>
      <c r="H167" s="1">
        <f>LOOKUP(G167,{0,170,175,180,185,190,195,199,203,207,211,215,219,223,227,231,235,243,250,255,260},{0,10,20,30,40,50,60,62,64,66,68,70,72,74,76,78,80,85,90,95,100})</f>
        <v>80</v>
      </c>
      <c r="I167" s="15">
        <v>2</v>
      </c>
      <c r="J167" s="1">
        <f>LOOKUP(I167,{0,2,3,4,5,6,7,8,9,10,11,12,13,14,15,16},{0,10,20,30,40,50,60,64,68,72,76,80,85,90,95,100})</f>
        <v>10</v>
      </c>
      <c r="K167" s="21"/>
      <c r="L167" s="21"/>
      <c r="M167" s="21">
        <f t="shared" si="101"/>
        <v>10</v>
      </c>
      <c r="N167" s="15">
        <v>6.8</v>
      </c>
      <c r="O167" s="19">
        <f t="shared" si="95"/>
        <v>6.2</v>
      </c>
      <c r="P167" s="1">
        <f>LOOKUP(O167,{0,2.5,2.7,2.9,3.1,3.3,3.5,3.7,3.9,4.1,4.3,4.5,4.7,4.9,5.1,5.3,5.5,5.6,5.7,5.8,5.9},{0,10,20,30,40,50,60,62,64,66,68,70,72,74,76,78,80,85,90,95,100})</f>
        <v>100</v>
      </c>
      <c r="Q167" s="15">
        <v>3.33</v>
      </c>
      <c r="R167" s="15">
        <f t="shared" si="102"/>
        <v>6.67</v>
      </c>
      <c r="S167" s="1">
        <f>LOOKUP(R167,{0,3.75,3.95,4.55,4.75,4.95,5.55,5.6,5.65,5.7,5.75,5.8,5.85,5.9,5.95,6,6.45,6.53,6.6,6.65,6.7},{0,10,20,30,40,50,60,62,64,66,68,70,72,74,76,78,80,85,90,95,100})</f>
        <v>95</v>
      </c>
      <c r="T167" s="21"/>
      <c r="U167" s="21"/>
      <c r="V167" s="21">
        <f t="shared" si="103"/>
        <v>95</v>
      </c>
      <c r="W167" s="15"/>
      <c r="X167" s="21">
        <f t="shared" si="98"/>
        <v>55.4</v>
      </c>
      <c r="Y167" s="21">
        <f t="shared" si="104"/>
        <v>79.1428571428571</v>
      </c>
    </row>
    <row r="168" ht="15.6" hidden="1" outlineLevel="2" spans="1:25">
      <c r="A168" s="15">
        <v>106</v>
      </c>
      <c r="B168" s="15">
        <v>23</v>
      </c>
      <c r="C168" s="14" t="s">
        <v>269</v>
      </c>
      <c r="D168" s="14" t="s">
        <v>11</v>
      </c>
      <c r="E168" s="15"/>
      <c r="F168" s="1"/>
      <c r="G168" s="15"/>
      <c r="H168" s="1"/>
      <c r="I168" s="15"/>
      <c r="J168" s="1"/>
      <c r="K168" s="21"/>
      <c r="L168" s="21"/>
      <c r="M168" s="21"/>
      <c r="N168" s="15"/>
      <c r="O168" s="19"/>
      <c r="P168" s="1"/>
      <c r="Q168" s="15"/>
      <c r="R168" s="15"/>
      <c r="S168" s="1"/>
      <c r="T168" s="21"/>
      <c r="U168" s="1"/>
      <c r="V168" s="21"/>
      <c r="W168" s="15" t="s">
        <v>84</v>
      </c>
      <c r="X168" s="21">
        <f t="shared" si="98"/>
        <v>0</v>
      </c>
      <c r="Y168" s="21">
        <v>50</v>
      </c>
    </row>
    <row r="169" ht="15.6" hidden="1" outlineLevel="2" spans="1:25">
      <c r="A169" s="15">
        <v>106</v>
      </c>
      <c r="B169" s="15">
        <v>24</v>
      </c>
      <c r="C169" s="14" t="s">
        <v>270</v>
      </c>
      <c r="D169" s="14" t="s">
        <v>11</v>
      </c>
      <c r="E169" s="15"/>
      <c r="F169" s="1"/>
      <c r="G169" s="15"/>
      <c r="H169" s="1"/>
      <c r="I169" s="15"/>
      <c r="J169" s="1"/>
      <c r="K169" s="21"/>
      <c r="L169" s="21"/>
      <c r="M169" s="21"/>
      <c r="N169" s="15">
        <v>7.7</v>
      </c>
      <c r="O169" s="19">
        <f t="shared" ref="O169:O174" si="105">13-N169</f>
        <v>5.3</v>
      </c>
      <c r="P169" s="1">
        <f>LOOKUP(O169,{0,2.5,2.7,2.9,3.1,3.3,3.5,3.7,3.9,4.1,4.3,4.5,4.7,4.9,5.1,5.3,5.5,5.6,5.7,5.8,5.9},{0,10,20,30,40,50,60,62,64,66,68,70,72,74,76,78,80,85,90,95,100})</f>
        <v>78</v>
      </c>
      <c r="Q169" s="15"/>
      <c r="R169" s="15"/>
      <c r="S169" s="1"/>
      <c r="T169" s="21"/>
      <c r="U169" s="1"/>
      <c r="V169" s="21"/>
      <c r="W169" s="15" t="s">
        <v>84</v>
      </c>
      <c r="X169" s="21">
        <f t="shared" si="98"/>
        <v>15.6</v>
      </c>
      <c r="Y169" s="21">
        <v>50</v>
      </c>
    </row>
    <row r="170" ht="15.6" hidden="1" outlineLevel="2" spans="1:25">
      <c r="A170" s="15">
        <v>106</v>
      </c>
      <c r="B170" s="15">
        <v>25</v>
      </c>
      <c r="C170" s="14" t="s">
        <v>271</v>
      </c>
      <c r="D170" s="14" t="s">
        <v>11</v>
      </c>
      <c r="E170" s="15">
        <v>8</v>
      </c>
      <c r="F170" s="1">
        <f>LOOKUP(E170,{0,-4,-3,-2,-1,0,1,2.4,3.8,5.2,6.6,8,9.4,10.8,12.2,13.6,15,17.2,19.4,21.5,23.6},{0,10,20,30,40,50,60,62,64,66,68,70,72,74,76,78,80,85,90,95,100})</f>
        <v>70</v>
      </c>
      <c r="G170" s="15">
        <v>220</v>
      </c>
      <c r="H170" s="1">
        <f>LOOKUP(G170,{0,170,175,180,185,190,195,199,203,207,211,215,219,223,227,231,235,243,250,255,260},{0,10,20,30,40,50,60,62,64,66,68,70,72,74,76,78,80,85,90,95,100})</f>
        <v>72</v>
      </c>
      <c r="I170" s="15">
        <v>0</v>
      </c>
      <c r="J170" s="1">
        <f>LOOKUP(I170,{0,2,3,4,5,6,7,8,9,10,11,12,13,14,15,16},{0,10,20,30,40,50,60,64,68,72,76,80,85,90,95,100})</f>
        <v>0</v>
      </c>
      <c r="K170" s="21"/>
      <c r="L170" s="21"/>
      <c r="M170" s="21">
        <f t="shared" ref="M170:M174" si="106">J170+L170</f>
        <v>0</v>
      </c>
      <c r="N170" s="15">
        <v>7.1</v>
      </c>
      <c r="O170" s="19">
        <f t="shared" si="105"/>
        <v>5.9</v>
      </c>
      <c r="P170" s="1">
        <f>LOOKUP(O170,{0,2.5,2.7,2.9,3.1,3.3,3.5,3.7,3.9,4.1,4.3,4.5,4.7,4.9,5.1,5.3,5.5,5.6,5.7,5.8,5.9},{0,10,20,30,40,50,60,62,64,66,68,70,72,74,76,78,80,85,90,95,100})</f>
        <v>100</v>
      </c>
      <c r="Q170" s="15">
        <v>3.49</v>
      </c>
      <c r="R170" s="15">
        <f t="shared" ref="R170:R174" si="107">10-Q170</f>
        <v>6.51</v>
      </c>
      <c r="S170" s="1">
        <f>LOOKUP(R170,{0,3.75,3.95,4.55,4.75,4.95,5.55,5.6,5.65,5.7,5.75,5.8,5.85,5.9,5.95,6,6.45,6.53,6.6,6.65,6.7},{0,10,20,30,40,50,60,62,64,66,68,70,72,74,76,78,80,85,90,95,100})</f>
        <v>80</v>
      </c>
      <c r="T170" s="21"/>
      <c r="U170" s="21"/>
      <c r="V170" s="21">
        <f t="shared" ref="V170:V174" si="108">S170+U170</f>
        <v>80</v>
      </c>
      <c r="W170" s="15"/>
      <c r="X170" s="21">
        <f t="shared" si="98"/>
        <v>50.2</v>
      </c>
      <c r="Y170" s="21">
        <f t="shared" ref="Y170:Y174" si="109">X170/0.7+L170+U170</f>
        <v>71.7142857142857</v>
      </c>
    </row>
    <row r="171" s="3" customFormat="1" ht="15.6" hidden="1" outlineLevel="2" spans="1:25">
      <c r="A171" s="15">
        <v>106</v>
      </c>
      <c r="B171" s="15">
        <v>26</v>
      </c>
      <c r="C171" s="14" t="s">
        <v>272</v>
      </c>
      <c r="D171" s="14" t="s">
        <v>11</v>
      </c>
      <c r="E171" s="15">
        <v>16.5</v>
      </c>
      <c r="F171" s="1">
        <f>LOOKUP(E171,{0,-4,-3,-2,-1,0,1,2.4,3.8,5.2,6.6,8,9.4,10.8,12.2,13.6,15,17.2,19.4,21.5,23.6},{0,10,20,30,40,50,60,62,64,66,68,70,72,74,76,78,80,85,90,95,100})</f>
        <v>80</v>
      </c>
      <c r="G171" s="15">
        <v>212</v>
      </c>
      <c r="H171" s="1">
        <f>LOOKUP(G171,{0,170,175,180,185,190,195,199,203,207,211,215,219,223,227,231,235,243,250,255,260},{0,10,20,30,40,50,60,62,64,66,68,70,72,74,76,78,80,85,90,95,100})</f>
        <v>68</v>
      </c>
      <c r="I171" s="15">
        <v>0</v>
      </c>
      <c r="J171" s="1">
        <f>LOOKUP(I171,{0,2,3,4,5,6,7,8,9,10,11,12,13,14,15,16},{0,10,20,30,40,50,60,64,68,72,76,80,85,90,95,100})</f>
        <v>0</v>
      </c>
      <c r="K171" s="21"/>
      <c r="L171" s="21"/>
      <c r="M171" s="21">
        <f t="shared" si="106"/>
        <v>0</v>
      </c>
      <c r="N171" s="15">
        <v>7.9</v>
      </c>
      <c r="O171" s="19">
        <f t="shared" si="105"/>
        <v>5.1</v>
      </c>
      <c r="P171" s="1">
        <f>LOOKUP(O171,{0,2.5,2.7,2.9,3.1,3.3,3.5,3.7,3.9,4.1,4.3,4.5,4.7,4.9,5.1,5.3,5.5,5.6,5.7,5.8,5.9},{0,10,20,30,40,50,60,62,64,66,68,70,72,74,76,78,80,85,90,95,100})</f>
        <v>76</v>
      </c>
      <c r="Q171" s="15">
        <v>4.13</v>
      </c>
      <c r="R171" s="15">
        <f t="shared" si="107"/>
        <v>5.87</v>
      </c>
      <c r="S171" s="1">
        <f>LOOKUP(R171,{0,3.75,3.95,4.55,4.75,4.95,5.55,5.6,5.65,5.7,5.75,5.8,5.85,5.9,5.95,6,6.45,6.53,6.6,6.65,6.7},{0,10,20,30,40,50,60,62,64,66,68,70,72,74,76,78,80,85,90,95,100})</f>
        <v>72</v>
      </c>
      <c r="T171" s="21"/>
      <c r="U171" s="21"/>
      <c r="V171" s="21">
        <f t="shared" si="108"/>
        <v>72</v>
      </c>
      <c r="W171" s="15"/>
      <c r="X171" s="21">
        <f t="shared" si="98"/>
        <v>44.4</v>
      </c>
      <c r="Y171" s="21">
        <f t="shared" si="109"/>
        <v>63.4285714285714</v>
      </c>
    </row>
    <row r="172" ht="15.6" hidden="1" outlineLevel="2" spans="1:25">
      <c r="A172" s="15">
        <v>106</v>
      </c>
      <c r="B172" s="15">
        <v>27</v>
      </c>
      <c r="C172" s="14" t="s">
        <v>273</v>
      </c>
      <c r="D172" s="14" t="s">
        <v>11</v>
      </c>
      <c r="E172" s="15">
        <v>18.5</v>
      </c>
      <c r="F172" s="1">
        <f>LOOKUP(E172,{0,-4,-3,-2,-1,0,1,2.4,3.8,5.2,6.6,8,9.4,10.8,12.2,13.6,15,17.2,19.4,21.5,23.6},{0,10,20,30,40,50,60,62,64,66,68,70,72,74,76,78,80,85,90,95,100})</f>
        <v>85</v>
      </c>
      <c r="G172" s="15">
        <v>212</v>
      </c>
      <c r="H172" s="1">
        <f>LOOKUP(G172,{0,170,175,180,185,190,195,199,203,207,211,215,219,223,227,231,235,243,250,255,260},{0,10,20,30,40,50,60,62,64,66,68,70,72,74,76,78,80,85,90,95,100})</f>
        <v>68</v>
      </c>
      <c r="I172" s="15">
        <v>17</v>
      </c>
      <c r="J172" s="1">
        <f>LOOKUP(I172,{0,2,3,4,5,6,7,8,9,10,11,12,13,14,15,16},{0,10,20,30,40,50,60,64,68,72,76,80,85,90,95,100})</f>
        <v>100</v>
      </c>
      <c r="K172" s="21">
        <f>I172-16</f>
        <v>1</v>
      </c>
      <c r="L172" s="1">
        <f>LOOKUP(K172,{0,1,2,3,4,5,6,7,8,9,10},{0,1,2,3,4,5,6,7,8,9,10})</f>
        <v>1</v>
      </c>
      <c r="M172" s="21">
        <f t="shared" si="106"/>
        <v>101</v>
      </c>
      <c r="N172" s="15">
        <v>7.8</v>
      </c>
      <c r="O172" s="19">
        <f t="shared" si="105"/>
        <v>5.2</v>
      </c>
      <c r="P172" s="1">
        <f>LOOKUP(O172,{0,2.5,2.7,2.9,3.1,3.3,3.5,3.7,3.9,4.1,4.3,4.5,4.7,4.9,5.1,5.3,5.5,5.6,5.7,5.8,5.9},{0,10,20,30,40,50,60,62,64,66,68,70,72,74,76,78,80,85,90,95,100})</f>
        <v>76</v>
      </c>
      <c r="Q172" s="15">
        <v>4.08</v>
      </c>
      <c r="R172" s="15">
        <f t="shared" si="107"/>
        <v>5.92</v>
      </c>
      <c r="S172" s="1">
        <f>LOOKUP(R172,{0,3.75,3.95,4.55,4.75,4.95,5.55,5.6,5.65,5.7,5.75,5.8,5.85,5.9,5.95,6,6.45,6.53,6.6,6.65,6.7},{0,10,20,30,40,50,60,62,64,66,68,70,72,74,76,78,80,85,90,95,100})</f>
        <v>74</v>
      </c>
      <c r="T172" s="21"/>
      <c r="U172" s="21"/>
      <c r="V172" s="21">
        <f t="shared" si="108"/>
        <v>74</v>
      </c>
      <c r="W172" s="15"/>
      <c r="X172" s="21">
        <f t="shared" si="98"/>
        <v>55.3</v>
      </c>
      <c r="Y172" s="21">
        <f t="shared" si="109"/>
        <v>80</v>
      </c>
    </row>
    <row r="173" ht="15.6" hidden="1" outlineLevel="2" spans="1:25">
      <c r="A173" s="15">
        <v>106</v>
      </c>
      <c r="B173" s="15">
        <v>28</v>
      </c>
      <c r="C173" s="14" t="s">
        <v>274</v>
      </c>
      <c r="D173" s="14" t="s">
        <v>11</v>
      </c>
      <c r="E173" s="15">
        <v>16.6</v>
      </c>
      <c r="F173" s="1">
        <f>LOOKUP(E173,{0,-4,-3,-2,-1,0,1,2.4,3.8,5.2,6.6,8,9.4,10.8,12.2,13.6,15,17.2,19.4,21.5,23.6},{0,10,20,30,40,50,60,62,64,66,68,70,72,74,76,78,80,85,90,95,100})</f>
        <v>80</v>
      </c>
      <c r="G173" s="15">
        <v>180</v>
      </c>
      <c r="H173" s="1">
        <f>LOOKUP(G173,{0,170,175,180,185,190,195,199,203,207,211,215,219,223,227,231,235,243,250,255,260},{0,10,20,30,40,50,60,62,64,66,68,70,72,74,76,78,80,85,90,95,100})</f>
        <v>30</v>
      </c>
      <c r="I173" s="15">
        <v>0</v>
      </c>
      <c r="J173" s="1">
        <f>LOOKUP(I173,{0,2,3,4,5,6,7,8,9,10,11,12,13,14,15,16},{0,10,20,30,40,50,60,64,68,72,76,80,85,90,95,100})</f>
        <v>0</v>
      </c>
      <c r="K173" s="21"/>
      <c r="L173" s="21"/>
      <c r="M173" s="21">
        <f t="shared" si="106"/>
        <v>0</v>
      </c>
      <c r="N173" s="15">
        <v>7.9</v>
      </c>
      <c r="O173" s="19">
        <f t="shared" si="105"/>
        <v>5.1</v>
      </c>
      <c r="P173" s="1">
        <f>LOOKUP(O173,{0,2.5,2.7,2.9,3.1,3.3,3.5,3.7,3.9,4.1,4.3,4.5,4.7,4.9,5.1,5.3,5.5,5.6,5.7,5.8,5.9},{0,10,20,30,40,50,60,62,64,66,68,70,72,74,76,78,80,85,90,95,100})</f>
        <v>76</v>
      </c>
      <c r="Q173" s="15">
        <v>4.16</v>
      </c>
      <c r="R173" s="15">
        <f t="shared" si="107"/>
        <v>5.84</v>
      </c>
      <c r="S173" s="1">
        <f>LOOKUP(R173,{0,3.75,3.95,4.55,4.75,4.95,5.55,5.6,5.65,5.7,5.75,5.8,5.85,5.9,5.95,6,6.45,6.53,6.6,6.65,6.7},{0,10,20,30,40,50,60,62,64,66,68,70,72,74,76,78,80,85,90,95,100})</f>
        <v>70</v>
      </c>
      <c r="T173" s="21"/>
      <c r="U173" s="21"/>
      <c r="V173" s="21">
        <f t="shared" si="108"/>
        <v>70</v>
      </c>
      <c r="W173" s="15"/>
      <c r="X173" s="21">
        <f t="shared" si="98"/>
        <v>40.2</v>
      </c>
      <c r="Y173" s="21">
        <f t="shared" si="109"/>
        <v>57.4285714285714</v>
      </c>
    </row>
    <row r="174" ht="15.6" hidden="1" outlineLevel="2" spans="1:25">
      <c r="A174" s="15">
        <v>106</v>
      </c>
      <c r="B174" s="15">
        <v>29</v>
      </c>
      <c r="C174" s="14" t="s">
        <v>275</v>
      </c>
      <c r="D174" s="14" t="s">
        <v>11</v>
      </c>
      <c r="E174" s="15">
        <v>12</v>
      </c>
      <c r="F174" s="1">
        <f>LOOKUP(E174,{0,-4,-3,-2,-1,0,1,2.4,3.8,5.2,6.6,8,9.4,10.8,12.2,13.6,15,17.2,19.4,21.5,23.6},{0,10,20,30,40,50,60,62,64,66,68,70,72,74,76,78,80,85,90,95,100})</f>
        <v>74</v>
      </c>
      <c r="G174" s="15">
        <v>175</v>
      </c>
      <c r="H174" s="1">
        <f>LOOKUP(G174,{0,170,175,180,185,190,195,199,203,207,211,215,219,223,227,231,235,243,250,255,260},{0,10,20,30,40,50,60,62,64,66,68,70,72,74,76,78,80,85,90,95,100})</f>
        <v>20</v>
      </c>
      <c r="I174" s="15">
        <v>0</v>
      </c>
      <c r="J174" s="1">
        <f>LOOKUP(I174,{0,2,3,4,5,6,7,8,9,10,11,12,13,14,15,16},{0,10,20,30,40,50,60,64,68,72,76,80,85,90,95,100})</f>
        <v>0</v>
      </c>
      <c r="K174" s="21"/>
      <c r="L174" s="21"/>
      <c r="M174" s="21">
        <f t="shared" si="106"/>
        <v>0</v>
      </c>
      <c r="N174" s="15">
        <v>8.7</v>
      </c>
      <c r="O174" s="19">
        <f t="shared" si="105"/>
        <v>4.3</v>
      </c>
      <c r="P174" s="1">
        <f>LOOKUP(O174,{0,2.5,2.7,2.9,3.1,3.3,3.5,3.7,3.9,4.1,4.3,4.5,4.7,4.9,5.1,5.3,5.5,5.6,5.7,5.8,5.9},{0,10,20,30,40,50,60,62,64,66,68,70,72,74,76,78,80,85,90,95,100})</f>
        <v>68</v>
      </c>
      <c r="Q174" s="15">
        <v>4.52</v>
      </c>
      <c r="R174" s="15">
        <f t="shared" si="107"/>
        <v>5.48</v>
      </c>
      <c r="S174" s="1">
        <f>LOOKUP(R174,{0,3.75,3.95,4.55,4.75,4.95,5.55,5.6,5.65,5.7,5.75,5.8,5.85,5.9,5.95,6,6.45,6.53,6.6,6.65,6.7},{0,10,20,30,40,50,60,62,64,66,68,70,72,74,76,78,80,85,90,95,100})</f>
        <v>50</v>
      </c>
      <c r="T174" s="21"/>
      <c r="U174" s="21"/>
      <c r="V174" s="21">
        <f t="shared" si="108"/>
        <v>50</v>
      </c>
      <c r="W174" s="15"/>
      <c r="X174" s="21">
        <f t="shared" si="98"/>
        <v>33</v>
      </c>
      <c r="Y174" s="21">
        <f t="shared" si="109"/>
        <v>47.1428571428571</v>
      </c>
    </row>
    <row r="175" ht="15.6" outlineLevel="1" collapsed="1" spans="1:25">
      <c r="A175" s="16" t="s">
        <v>847</v>
      </c>
      <c r="B175" s="15"/>
      <c r="C175" s="14"/>
      <c r="D175" s="14"/>
      <c r="E175" s="15"/>
      <c r="F175" s="1">
        <f>SUBTOTAL(1,F147:F174)</f>
        <v>68.125</v>
      </c>
      <c r="G175" s="15"/>
      <c r="H175" s="1">
        <f>SUBTOTAL(1,H147:H174)</f>
        <v>70.5</v>
      </c>
      <c r="I175" s="15"/>
      <c r="J175" s="1">
        <f>SUBTOTAL(1,J147:J174)</f>
        <v>38.6666666666667</v>
      </c>
      <c r="K175" s="21"/>
      <c r="L175" s="21"/>
      <c r="M175" s="21">
        <f>SUBTOTAL(1,M147:M174)</f>
        <v>39.7916666666667</v>
      </c>
      <c r="N175" s="15"/>
      <c r="O175" s="19"/>
      <c r="P175" s="1">
        <f>SUBTOTAL(1,P147:P174)</f>
        <v>87.6666666666667</v>
      </c>
      <c r="Q175" s="15"/>
      <c r="R175" s="15"/>
      <c r="S175" s="1">
        <f>SUBTOTAL(1,S147:S174)</f>
        <v>79.0869565217391</v>
      </c>
      <c r="T175" s="21"/>
      <c r="U175" s="21"/>
      <c r="V175" s="21">
        <f>SUBTOTAL(1,V147:V174)</f>
        <v>79.3913043478261</v>
      </c>
      <c r="W175" s="15"/>
      <c r="X175" s="21">
        <f>SUBTOTAL(1,X147:X174)</f>
        <v>45.0964285714286</v>
      </c>
      <c r="Y175" s="21">
        <f>SUBTOTAL(1,Y147:Y174)</f>
        <v>70.2602040816326</v>
      </c>
    </row>
    <row r="176" ht="15.6" hidden="1" outlineLevel="2" spans="1:25">
      <c r="A176" s="15">
        <v>107</v>
      </c>
      <c r="B176" s="15">
        <v>1</v>
      </c>
      <c r="C176" s="13" t="s">
        <v>298</v>
      </c>
      <c r="D176" s="14" t="s">
        <v>11</v>
      </c>
      <c r="E176" s="15">
        <v>18.4</v>
      </c>
      <c r="F176" s="1">
        <f>LOOKUP(E176,{0,-4,-3,-2,-1,0,1,2.4,3.8,5.2,6.6,8,9.4,10.8,12.2,13.6,15,17.2,19.4,21.5,23.6},{0,10,20,30,40,50,60,62,64,66,68,70,72,74,76,78,80,85,90,95,100})</f>
        <v>85</v>
      </c>
      <c r="G176" s="15">
        <v>243</v>
      </c>
      <c r="H176" s="1">
        <f>LOOKUP(G176,{0,170,175,180,185,190,195,199,203,207,211,215,219,223,227,231,235,243,250,255,260},{0,10,20,30,40,50,60,62,64,66,68,70,72,74,76,78,80,85,90,95,100})</f>
        <v>85</v>
      </c>
      <c r="I176" s="15">
        <v>3</v>
      </c>
      <c r="J176" s="1">
        <f>LOOKUP(I176,{0,2,3,4,5,6,7,8,9,10,11,12,13,14,15,16},{0,10,20,30,40,50,60,64,68,72,76,80,85,90,95,100})</f>
        <v>20</v>
      </c>
      <c r="K176" s="21"/>
      <c r="L176" s="21"/>
      <c r="M176" s="21">
        <f t="shared" ref="M176:M199" si="110">J176+L176</f>
        <v>20</v>
      </c>
      <c r="N176" s="15">
        <v>7.2</v>
      </c>
      <c r="O176" s="19">
        <f t="shared" ref="O176:O204" si="111">13-N176</f>
        <v>5.8</v>
      </c>
      <c r="P176" s="1">
        <f>LOOKUP(O176,{0,2.5,2.7,2.9,3.1,3.3,3.5,3.7,3.9,4.1,4.3,4.5,4.7,4.9,5.1,5.3,5.5,5.6,5.7,5.8,5.9},{0,10,20,30,40,50,60,62,64,66,68,70,72,74,76,78,80,85,90,95,100})</f>
        <v>95</v>
      </c>
      <c r="Q176" s="15">
        <v>3.58</v>
      </c>
      <c r="R176" s="15">
        <f t="shared" ref="R176:R199" si="112">10-Q176</f>
        <v>6.42</v>
      </c>
      <c r="S176" s="1">
        <f>LOOKUP(R176,{0,3.75,3.95,4.55,4.75,4.95,5.55,5.6,5.65,5.7,5.75,5.8,5.85,5.9,5.95,6,6.45,6.53,6.6,6.65,6.7},{0,10,20,30,40,50,60,62,64,66,68,70,72,74,76,78,80,85,90,95,100})</f>
        <v>78</v>
      </c>
      <c r="T176" s="21"/>
      <c r="U176" s="21"/>
      <c r="V176" s="21">
        <f t="shared" ref="V176:V199" si="113">S176+U176</f>
        <v>78</v>
      </c>
      <c r="W176" s="15"/>
      <c r="X176" s="21">
        <f t="shared" ref="X176:X204" si="114">F176*0.1+H176*0.1+J176*0.1+P176*0.2+S176*0.2</f>
        <v>53.6</v>
      </c>
      <c r="Y176" s="21">
        <f t="shared" ref="Y176:Y199" si="115">X176/0.7+L176+U176</f>
        <v>76.5714285714286</v>
      </c>
    </row>
    <row r="177" ht="15.6" hidden="1" outlineLevel="2" spans="1:25">
      <c r="A177" s="15">
        <v>107</v>
      </c>
      <c r="B177" s="15">
        <v>2</v>
      </c>
      <c r="C177" s="14" t="s">
        <v>299</v>
      </c>
      <c r="D177" s="14" t="s">
        <v>11</v>
      </c>
      <c r="E177" s="15">
        <v>10.3</v>
      </c>
      <c r="F177" s="1">
        <f>LOOKUP(E177,{0,-4,-3,-2,-1,0,1,2.4,3.8,5.2,6.6,8,9.4,10.8,12.2,13.6,15,17.2,19.4,21.5,23.6},{0,10,20,30,40,50,60,62,64,66,68,70,72,74,76,78,80,85,90,95,100})</f>
        <v>72</v>
      </c>
      <c r="G177" s="15">
        <v>215</v>
      </c>
      <c r="H177" s="1">
        <f>LOOKUP(G177,{0,170,175,180,185,190,195,199,203,207,211,215,219,223,227,231,235,243,250,255,260},{0,10,20,30,40,50,60,62,64,66,68,70,72,74,76,78,80,85,90,95,100})</f>
        <v>70</v>
      </c>
      <c r="I177" s="15">
        <v>7</v>
      </c>
      <c r="J177" s="1">
        <f>LOOKUP(I177,{0,2,3,4,5,6,7,8,9,10,11,12,13,14,15,16},{0,10,20,30,40,50,60,64,68,72,76,80,85,90,95,100})</f>
        <v>60</v>
      </c>
      <c r="K177" s="21"/>
      <c r="L177" s="21"/>
      <c r="M177" s="21">
        <f t="shared" si="110"/>
        <v>60</v>
      </c>
      <c r="N177" s="15">
        <v>7.4</v>
      </c>
      <c r="O177" s="19">
        <f t="shared" si="111"/>
        <v>5.6</v>
      </c>
      <c r="P177" s="1">
        <f>LOOKUP(O177,{0,2.5,2.7,2.9,3.1,3.3,3.5,3.7,3.9,4.1,4.3,4.5,4.7,4.9,5.1,5.3,5.5,5.6,5.7,5.8,5.9},{0,10,20,30,40,50,60,62,64,66,68,70,72,74,76,78,80,85,90,95,100})</f>
        <v>85</v>
      </c>
      <c r="Q177" s="15">
        <v>3.38</v>
      </c>
      <c r="R177" s="15">
        <f t="shared" si="112"/>
        <v>6.62</v>
      </c>
      <c r="S177" s="1">
        <f>LOOKUP(R177,{0,3.75,3.95,4.55,4.75,4.95,5.55,5.6,5.65,5.7,5.75,5.8,5.85,5.9,5.95,6,6.45,6.53,6.6,6.65,6.7},{0,10,20,30,40,50,60,62,64,66,68,70,72,74,76,78,80,85,90,95,100})</f>
        <v>90</v>
      </c>
      <c r="T177" s="21"/>
      <c r="U177" s="21"/>
      <c r="V177" s="21">
        <f t="shared" si="113"/>
        <v>90</v>
      </c>
      <c r="W177" s="15"/>
      <c r="X177" s="21">
        <f t="shared" si="114"/>
        <v>55.2</v>
      </c>
      <c r="Y177" s="21">
        <f t="shared" si="115"/>
        <v>78.8571428571429</v>
      </c>
    </row>
    <row r="178" ht="15.6" hidden="1" outlineLevel="2" spans="1:25">
      <c r="A178" s="15">
        <v>107</v>
      </c>
      <c r="B178" s="15">
        <v>3</v>
      </c>
      <c r="C178" s="14" t="s">
        <v>300</v>
      </c>
      <c r="D178" s="14" t="s">
        <v>11</v>
      </c>
      <c r="E178" s="15">
        <v>15.4</v>
      </c>
      <c r="F178" s="1">
        <f>LOOKUP(E178,{0,-4,-3,-2,-1,0,1,2.4,3.8,5.2,6.6,8,9.4,10.8,12.2,13.6,15,17.2,19.4,21.5,23.6},{0,10,20,30,40,50,60,62,64,66,68,70,72,74,76,78,80,85,90,95,100})</f>
        <v>80</v>
      </c>
      <c r="G178" s="15">
        <v>225</v>
      </c>
      <c r="H178" s="1">
        <f>LOOKUP(G178,{0,170,175,180,185,190,195,199,203,207,211,215,219,223,227,231,235,243,250,255,260},{0,10,20,30,40,50,60,62,64,66,68,70,72,74,76,78,80,85,90,95,100})</f>
        <v>74</v>
      </c>
      <c r="I178" s="15">
        <v>15</v>
      </c>
      <c r="J178" s="1">
        <f>LOOKUP(I178,{0,2,3,4,5,6,7,8,9,10,11,12,13,14,15,16},{0,10,20,30,40,50,60,64,68,72,76,80,85,90,95,100})</f>
        <v>95</v>
      </c>
      <c r="K178" s="21"/>
      <c r="L178" s="21"/>
      <c r="M178" s="21">
        <f t="shared" si="110"/>
        <v>95</v>
      </c>
      <c r="N178" s="15">
        <v>7.4</v>
      </c>
      <c r="O178" s="19">
        <f t="shared" si="111"/>
        <v>5.6</v>
      </c>
      <c r="P178" s="1">
        <f>LOOKUP(O178,{0,2.5,2.7,2.9,3.1,3.3,3.5,3.7,3.9,4.1,4.3,4.5,4.7,4.9,5.1,5.3,5.5,5.6,5.7,5.8,5.9},{0,10,20,30,40,50,60,62,64,66,68,70,72,74,76,78,80,85,90,95,100})</f>
        <v>85</v>
      </c>
      <c r="Q178" s="15">
        <v>3.42</v>
      </c>
      <c r="R178" s="15">
        <f t="shared" si="112"/>
        <v>6.58</v>
      </c>
      <c r="S178" s="1">
        <f>LOOKUP(R178,{0,3.75,3.95,4.55,4.75,4.95,5.55,5.6,5.65,5.7,5.75,5.8,5.85,5.9,5.95,6,6.45,6.53,6.6,6.65,6.7},{0,10,20,30,40,50,60,62,64,66,68,70,72,74,76,78,80,85,90,95,100})</f>
        <v>85</v>
      </c>
      <c r="T178" s="21"/>
      <c r="U178" s="21"/>
      <c r="V178" s="21">
        <f t="shared" si="113"/>
        <v>85</v>
      </c>
      <c r="W178" s="15"/>
      <c r="X178" s="21">
        <f t="shared" si="114"/>
        <v>58.9</v>
      </c>
      <c r="Y178" s="21">
        <f t="shared" si="115"/>
        <v>84.1428571428572</v>
      </c>
    </row>
    <row r="179" s="3" customFormat="1" ht="15.6" hidden="1" outlineLevel="2" spans="1:25">
      <c r="A179" s="15">
        <v>107</v>
      </c>
      <c r="B179" s="15">
        <v>4</v>
      </c>
      <c r="C179" s="14" t="s">
        <v>301</v>
      </c>
      <c r="D179" s="14" t="s">
        <v>11</v>
      </c>
      <c r="E179" s="15">
        <v>18.1</v>
      </c>
      <c r="F179" s="1">
        <f>LOOKUP(E179,{0,-4,-3,-2,-1,0,1,2.4,3.8,5.2,6.6,8,9.4,10.8,12.2,13.6,15,17.2,19.4,21.5,23.6},{0,10,20,30,40,50,60,62,64,66,68,70,72,74,76,78,80,85,90,95,100})</f>
        <v>85</v>
      </c>
      <c r="G179" s="15">
        <v>255</v>
      </c>
      <c r="H179" s="1">
        <f>LOOKUP(G179,{0,170,175,180,185,190,195,199,203,207,211,215,219,223,227,231,235,243,250,255,260},{0,10,20,30,40,50,60,62,64,66,68,70,72,74,76,78,80,85,90,95,100})</f>
        <v>95</v>
      </c>
      <c r="I179" s="15">
        <v>28</v>
      </c>
      <c r="J179" s="1">
        <f>LOOKUP(I179,{0,2,3,4,5,6,7,8,9,10,11,12,13,14,15,16},{0,10,20,30,40,50,60,64,68,72,76,80,85,90,95,100})</f>
        <v>100</v>
      </c>
      <c r="K179" s="21">
        <f>I179-16</f>
        <v>12</v>
      </c>
      <c r="L179" s="1">
        <f>LOOKUP(K179,{0,1,2,3,4,5,6,7,8,9,10},{0,1,2,3,4,5,6,7,8,9,10})</f>
        <v>10</v>
      </c>
      <c r="M179" s="21">
        <f t="shared" si="110"/>
        <v>110</v>
      </c>
      <c r="N179" s="15">
        <v>6.7</v>
      </c>
      <c r="O179" s="19">
        <f t="shared" si="111"/>
        <v>6.3</v>
      </c>
      <c r="P179" s="1">
        <f>LOOKUP(O179,{0,2.5,2.7,2.9,3.1,3.3,3.5,3.7,3.9,4.1,4.3,4.5,4.7,4.9,5.1,5.3,5.5,5.6,5.7,5.8,5.9},{0,10,20,30,40,50,60,62,64,66,68,70,72,74,76,78,80,85,90,95,100})</f>
        <v>100</v>
      </c>
      <c r="Q179" s="15">
        <v>3.1</v>
      </c>
      <c r="R179" s="15">
        <f t="shared" si="112"/>
        <v>6.9</v>
      </c>
      <c r="S179" s="1">
        <f>LOOKUP(R179,{0,3.75,3.95,4.55,4.75,4.95,5.55,5.6,5.65,5.7,5.75,5.8,5.85,5.9,5.95,6,6.45,6.53,6.6,6.65,6.7},{0,10,20,30,40,50,60,62,64,66,68,70,72,74,76,78,80,85,90,95,100})</f>
        <v>100</v>
      </c>
      <c r="T179" s="21">
        <f>3.3-Q179</f>
        <v>0.2</v>
      </c>
      <c r="U179" s="1">
        <f>LOOKUP(T179,{0,0.04,0.08,0.12,0.16,0.2,0.23,0.26,0.29,0.32,0.35},{0,1,2,3,4,5,6,7,8,9,10})</f>
        <v>4</v>
      </c>
      <c r="V179" s="21">
        <f t="shared" si="113"/>
        <v>104</v>
      </c>
      <c r="W179" s="15"/>
      <c r="X179" s="21">
        <f t="shared" si="114"/>
        <v>68</v>
      </c>
      <c r="Y179" s="21">
        <f t="shared" si="115"/>
        <v>111.142857142857</v>
      </c>
    </row>
    <row r="180" ht="15.6" hidden="1" outlineLevel="2" spans="1:25">
      <c r="A180" s="15">
        <v>107</v>
      </c>
      <c r="B180" s="15">
        <v>5</v>
      </c>
      <c r="C180" s="14" t="s">
        <v>302</v>
      </c>
      <c r="D180" s="14" t="s">
        <v>11</v>
      </c>
      <c r="E180" s="15">
        <v>23</v>
      </c>
      <c r="F180" s="1">
        <f>LOOKUP(E180,{0,-4,-3,-2,-1,0,1,2.4,3.8,5.2,6.6,8,9.4,10.8,12.2,13.6,15,17.2,19.4,21.5,23.6},{0,10,20,30,40,50,60,62,64,66,68,70,72,74,76,78,80,85,90,95,100})</f>
        <v>95</v>
      </c>
      <c r="G180" s="15">
        <v>173</v>
      </c>
      <c r="H180" s="1">
        <f>LOOKUP(G180,{0,170,175,180,185,190,195,199,203,207,211,215,219,223,227,231,235,243,250,255,260},{0,10,20,30,40,50,60,62,64,66,68,70,72,74,76,78,80,85,90,95,100})</f>
        <v>10</v>
      </c>
      <c r="I180" s="15">
        <v>1</v>
      </c>
      <c r="J180" s="1">
        <f>LOOKUP(I180,{0,2,3,4,5,6,7,8,9,10,11,12,13,14,15,16},{0,10,20,30,40,50,60,64,68,72,76,80,85,90,95,100})</f>
        <v>0</v>
      </c>
      <c r="K180" s="21"/>
      <c r="L180" s="21"/>
      <c r="M180" s="21">
        <f t="shared" si="110"/>
        <v>0</v>
      </c>
      <c r="N180" s="15">
        <v>10.8</v>
      </c>
      <c r="O180" s="19">
        <f t="shared" si="111"/>
        <v>2.2</v>
      </c>
      <c r="P180" s="1">
        <f>LOOKUP(O180,{0,2.5,2.7,2.9,3.1,3.3,3.5,3.7,3.9,4.1,4.3,4.5,4.7,4.9,5.1,5.3,5.5,5.6,5.7,5.8,5.9},{0,10,20,30,40,50,60,62,64,66,68,70,72,74,76,78,80,85,90,95,100})</f>
        <v>0</v>
      </c>
      <c r="Q180" s="15">
        <v>5.18</v>
      </c>
      <c r="R180" s="15">
        <f t="shared" si="112"/>
        <v>4.82</v>
      </c>
      <c r="S180" s="1">
        <f>LOOKUP(R180,{0,3.75,3.95,4.55,4.75,4.95,5.55,5.6,5.65,5.7,5.75,5.8,5.85,5.9,5.95,6,6.45,6.53,6.6,6.65,6.7},{0,10,20,30,40,50,60,62,64,66,68,70,72,74,76,78,80,85,90,95,100})</f>
        <v>40</v>
      </c>
      <c r="T180" s="21"/>
      <c r="U180" s="21"/>
      <c r="V180" s="21">
        <f t="shared" si="113"/>
        <v>40</v>
      </c>
      <c r="W180" s="15"/>
      <c r="X180" s="21">
        <f t="shared" si="114"/>
        <v>18.5</v>
      </c>
      <c r="Y180" s="21">
        <f t="shared" si="115"/>
        <v>26.4285714285714</v>
      </c>
    </row>
    <row r="181" ht="15.6" hidden="1" outlineLevel="2" spans="1:25">
      <c r="A181" s="15">
        <v>107</v>
      </c>
      <c r="B181" s="15">
        <v>6</v>
      </c>
      <c r="C181" s="14" t="s">
        <v>303</v>
      </c>
      <c r="D181" s="14" t="s">
        <v>11</v>
      </c>
      <c r="E181" s="15">
        <v>1.5</v>
      </c>
      <c r="F181" s="1">
        <f>LOOKUP(E181,{0,-4,-3,-2,-1,0,1,2.4,3.8,5.2,6.6,8,9.4,10.8,12.2,13.6,15,17.2,19.4,21.5,23.6},{0,10,20,30,40,50,60,62,64,66,68,70,72,74,76,78,80,85,90,95,100})</f>
        <v>60</v>
      </c>
      <c r="G181" s="15">
        <v>190</v>
      </c>
      <c r="H181" s="1">
        <f>LOOKUP(G181,{0,170,175,180,185,190,195,199,203,207,211,215,219,223,227,231,235,243,250,255,260},{0,10,20,30,40,50,60,62,64,66,68,70,72,74,76,78,80,85,90,95,100})</f>
        <v>50</v>
      </c>
      <c r="I181" s="15">
        <v>20</v>
      </c>
      <c r="J181" s="1">
        <f>LOOKUP(I181,{0,2,3,4,5,6,7,8,9,10,11,12,13,14,15,16},{0,10,20,30,40,50,60,64,68,72,76,80,85,90,95,100})</f>
        <v>100</v>
      </c>
      <c r="K181" s="21">
        <f>I181-16</f>
        <v>4</v>
      </c>
      <c r="L181" s="1">
        <f>LOOKUP(K181,{0,1,2,3,4,5,6,7,8,9,10},{0,1,2,3,4,5,6,7,8,9,10})</f>
        <v>4</v>
      </c>
      <c r="M181" s="21">
        <f t="shared" si="110"/>
        <v>104</v>
      </c>
      <c r="N181" s="15">
        <v>7.3</v>
      </c>
      <c r="O181" s="19">
        <f t="shared" si="111"/>
        <v>5.7</v>
      </c>
      <c r="P181" s="1">
        <f>LOOKUP(O181,{0,2.5,2.7,2.9,3.1,3.3,3.5,3.7,3.9,4.1,4.3,4.5,4.7,4.9,5.1,5.3,5.5,5.6,5.7,5.8,5.9},{0,10,20,30,40,50,60,62,64,66,68,70,72,74,76,78,80,85,90,95,100})</f>
        <v>90</v>
      </c>
      <c r="Q181" s="15">
        <v>4.22</v>
      </c>
      <c r="R181" s="15">
        <f t="shared" si="112"/>
        <v>5.78</v>
      </c>
      <c r="S181" s="1">
        <f>LOOKUP(R181,{0,3.75,3.95,4.55,4.75,4.95,5.55,5.6,5.65,5.7,5.75,5.8,5.85,5.9,5.95,6,6.45,6.53,6.6,6.65,6.7},{0,10,20,30,40,50,60,62,64,66,68,70,72,74,76,78,80,85,90,95,100})</f>
        <v>68</v>
      </c>
      <c r="T181" s="21"/>
      <c r="U181" s="21"/>
      <c r="V181" s="21">
        <f t="shared" si="113"/>
        <v>68</v>
      </c>
      <c r="W181" s="15"/>
      <c r="X181" s="21">
        <f t="shared" si="114"/>
        <v>52.6</v>
      </c>
      <c r="Y181" s="21">
        <f t="shared" si="115"/>
        <v>79.1428571428572</v>
      </c>
    </row>
    <row r="182" ht="15.6" hidden="1" outlineLevel="2" spans="1:25">
      <c r="A182" s="15">
        <v>107</v>
      </c>
      <c r="B182" s="15">
        <v>7</v>
      </c>
      <c r="C182" s="14" t="s">
        <v>304</v>
      </c>
      <c r="D182" s="14" t="s">
        <v>11</v>
      </c>
      <c r="E182" s="15">
        <v>-1.6</v>
      </c>
      <c r="F182" s="1">
        <f>LOOKUP(E182,{0,-4,-3,-2,-1,0,1,2.4,3.8,5.2,6.6,8,9.4,10.8,12.2,13.6,15,17.2,19.4,21.5,23.6},{0,10,20,30,40,50,60,62,64,66,68,70,72,74,76,78,80,85,90,95,100})</f>
        <v>30</v>
      </c>
      <c r="G182" s="15">
        <v>213</v>
      </c>
      <c r="H182" s="1">
        <f>LOOKUP(G182,{0,170,175,180,185,190,195,199,203,207,211,215,219,223,227,231,235,243,250,255,260},{0,10,20,30,40,50,60,62,64,66,68,70,72,74,76,78,80,85,90,95,100})</f>
        <v>68</v>
      </c>
      <c r="I182" s="15">
        <v>15</v>
      </c>
      <c r="J182" s="1">
        <f>LOOKUP(I182,{0,2,3,4,5,6,7,8,9,10,11,12,13,14,15,16},{0,10,20,30,40,50,60,64,68,72,76,80,85,90,95,100})</f>
        <v>95</v>
      </c>
      <c r="K182" s="21"/>
      <c r="L182" s="21"/>
      <c r="M182" s="21">
        <f t="shared" si="110"/>
        <v>95</v>
      </c>
      <c r="N182" s="15">
        <v>7.8</v>
      </c>
      <c r="O182" s="19">
        <f t="shared" si="111"/>
        <v>5.2</v>
      </c>
      <c r="P182" s="1">
        <f>LOOKUP(O182,{0,2.5,2.7,2.9,3.1,3.3,3.5,3.7,3.9,4.1,4.3,4.5,4.7,4.9,5.1,5.3,5.5,5.6,5.7,5.8,5.9},{0,10,20,30,40,50,60,62,64,66,68,70,72,74,76,78,80,85,90,95,100})</f>
        <v>76</v>
      </c>
      <c r="Q182" s="15">
        <v>4.09</v>
      </c>
      <c r="R182" s="15">
        <f t="shared" si="112"/>
        <v>5.91</v>
      </c>
      <c r="S182" s="1">
        <f>LOOKUP(R182,{0,3.75,3.95,4.55,4.75,4.95,5.55,5.6,5.65,5.7,5.75,5.8,5.85,5.9,5.95,6,6.45,6.53,6.6,6.65,6.7},{0,10,20,30,40,50,60,62,64,66,68,70,72,74,76,78,80,85,90,95,100})</f>
        <v>74</v>
      </c>
      <c r="T182" s="21"/>
      <c r="U182" s="21"/>
      <c r="V182" s="21">
        <f t="shared" si="113"/>
        <v>74</v>
      </c>
      <c r="W182" s="15"/>
      <c r="X182" s="21">
        <f t="shared" si="114"/>
        <v>49.3</v>
      </c>
      <c r="Y182" s="21">
        <f t="shared" si="115"/>
        <v>70.4285714285714</v>
      </c>
    </row>
    <row r="183" ht="15.6" hidden="1" outlineLevel="2" spans="1:25">
      <c r="A183" s="15">
        <v>107</v>
      </c>
      <c r="B183" s="15">
        <v>8</v>
      </c>
      <c r="C183" s="14" t="s">
        <v>305</v>
      </c>
      <c r="D183" s="14" t="s">
        <v>11</v>
      </c>
      <c r="E183" s="15">
        <v>17.3</v>
      </c>
      <c r="F183" s="1">
        <f>LOOKUP(E183,{0,-4,-3,-2,-1,0,1,2.4,3.8,5.2,6.6,8,9.4,10.8,12.2,13.6,15,17.2,19.4,21.5,23.6},{0,10,20,30,40,50,60,62,64,66,68,70,72,74,76,78,80,85,90,95,100})</f>
        <v>85</v>
      </c>
      <c r="G183" s="15">
        <v>242</v>
      </c>
      <c r="H183" s="1">
        <f>LOOKUP(G183,{0,170,175,180,185,190,195,199,203,207,211,215,219,223,227,231,235,243,250,255,260},{0,10,20,30,40,50,60,62,64,66,68,70,72,74,76,78,80,85,90,95,100})</f>
        <v>80</v>
      </c>
      <c r="I183" s="15">
        <v>13</v>
      </c>
      <c r="J183" s="1">
        <f>LOOKUP(I183,{0,2,3,4,5,6,7,8,9,10,11,12,13,14,15,16},{0,10,20,30,40,50,60,64,68,72,76,80,85,90,95,100})</f>
        <v>85</v>
      </c>
      <c r="K183" s="21"/>
      <c r="L183" s="21"/>
      <c r="M183" s="21">
        <f t="shared" si="110"/>
        <v>85</v>
      </c>
      <c r="N183" s="15">
        <v>7</v>
      </c>
      <c r="O183" s="19">
        <f t="shared" si="111"/>
        <v>6</v>
      </c>
      <c r="P183" s="1">
        <f>LOOKUP(O183,{0,2.5,2.7,2.9,3.1,3.3,3.5,3.7,3.9,4.1,4.3,4.5,4.7,4.9,5.1,5.3,5.5,5.6,5.7,5.8,5.9},{0,10,20,30,40,50,60,62,64,66,68,70,72,74,76,78,80,85,90,95,100})</f>
        <v>100</v>
      </c>
      <c r="Q183" s="15">
        <v>3.2</v>
      </c>
      <c r="R183" s="15">
        <f t="shared" si="112"/>
        <v>6.8</v>
      </c>
      <c r="S183" s="1">
        <f>LOOKUP(R183,{0,3.75,3.95,4.55,4.75,4.95,5.55,5.6,5.65,5.7,5.75,5.8,5.85,5.9,5.95,6,6.45,6.53,6.6,6.65,6.7},{0,10,20,30,40,50,60,62,64,66,68,70,72,74,76,78,80,85,90,95,100})</f>
        <v>100</v>
      </c>
      <c r="T183" s="21">
        <f t="shared" ref="T183:T187" si="116">3.3-Q183</f>
        <v>0.0999999999999996</v>
      </c>
      <c r="U183" s="1">
        <f>LOOKUP(T183,{0,0.04,0.08,0.12,0.16,0.2,0.23,0.26,0.29,0.32,0.35},{0,1,2,3,4,5,6,7,8,9,10})</f>
        <v>2</v>
      </c>
      <c r="V183" s="21">
        <f t="shared" si="113"/>
        <v>102</v>
      </c>
      <c r="W183" s="15"/>
      <c r="X183" s="21">
        <f t="shared" si="114"/>
        <v>65</v>
      </c>
      <c r="Y183" s="21">
        <f t="shared" si="115"/>
        <v>94.8571428571429</v>
      </c>
    </row>
    <row r="184" ht="15.6" hidden="1" outlineLevel="2" spans="1:25">
      <c r="A184" s="15">
        <v>107</v>
      </c>
      <c r="B184" s="15">
        <v>9</v>
      </c>
      <c r="C184" s="14" t="s">
        <v>306</v>
      </c>
      <c r="D184" s="14" t="s">
        <v>11</v>
      </c>
      <c r="E184" s="15">
        <v>16</v>
      </c>
      <c r="F184" s="1">
        <f>LOOKUP(E184,{0,-4,-3,-2,-1,0,1,2.4,3.8,5.2,6.6,8,9.4,10.8,12.2,13.6,15,17.2,19.4,21.5,23.6},{0,10,20,30,40,50,60,62,64,66,68,70,72,74,76,78,80,85,90,95,100})</f>
        <v>80</v>
      </c>
      <c r="G184" s="15">
        <v>235</v>
      </c>
      <c r="H184" s="1">
        <f>LOOKUP(G184,{0,170,175,180,185,190,195,199,203,207,211,215,219,223,227,231,235,243,250,255,260},{0,10,20,30,40,50,60,62,64,66,68,70,72,74,76,78,80,85,90,95,100})</f>
        <v>80</v>
      </c>
      <c r="I184" s="15">
        <v>13</v>
      </c>
      <c r="J184" s="1">
        <f>LOOKUP(I184,{0,2,3,4,5,6,7,8,9,10,11,12,13,14,15,16},{0,10,20,30,40,50,60,64,68,72,76,80,85,90,95,100})</f>
        <v>85</v>
      </c>
      <c r="K184" s="21"/>
      <c r="L184" s="21"/>
      <c r="M184" s="21">
        <f t="shared" si="110"/>
        <v>85</v>
      </c>
      <c r="N184" s="15">
        <v>7.7</v>
      </c>
      <c r="O184" s="19">
        <f t="shared" si="111"/>
        <v>5.3</v>
      </c>
      <c r="P184" s="1">
        <f>LOOKUP(O184,{0,2.5,2.7,2.9,3.1,3.3,3.5,3.7,3.9,4.1,4.3,4.5,4.7,4.9,5.1,5.3,5.5,5.6,5.7,5.8,5.9},{0,10,20,30,40,50,60,62,64,66,68,70,72,74,76,78,80,85,90,95,100})</f>
        <v>78</v>
      </c>
      <c r="Q184" s="15">
        <v>3.57</v>
      </c>
      <c r="R184" s="15">
        <f t="shared" si="112"/>
        <v>6.43</v>
      </c>
      <c r="S184" s="1">
        <f>LOOKUP(R184,{0,3.75,3.95,4.55,4.75,4.95,5.55,5.6,5.65,5.7,5.75,5.8,5.85,5.9,5.95,6,6.45,6.53,6.6,6.65,6.7},{0,10,20,30,40,50,60,62,64,66,68,70,72,74,76,78,80,85,90,95,100})</f>
        <v>78</v>
      </c>
      <c r="T184" s="21"/>
      <c r="U184" s="21"/>
      <c r="V184" s="21">
        <f t="shared" si="113"/>
        <v>78</v>
      </c>
      <c r="W184" s="15"/>
      <c r="X184" s="21">
        <f t="shared" si="114"/>
        <v>55.7</v>
      </c>
      <c r="Y184" s="21">
        <f t="shared" si="115"/>
        <v>79.5714285714286</v>
      </c>
    </row>
    <row r="185" ht="15.6" hidden="1" outlineLevel="2" spans="1:25">
      <c r="A185" s="15">
        <v>107</v>
      </c>
      <c r="B185" s="15">
        <v>10</v>
      </c>
      <c r="C185" s="14" t="s">
        <v>307</v>
      </c>
      <c r="D185" s="14" t="s">
        <v>11</v>
      </c>
      <c r="E185" s="15">
        <v>10.5</v>
      </c>
      <c r="F185" s="1">
        <f>LOOKUP(E185,{0,-4,-3,-2,-1,0,1,2.4,3.8,5.2,6.6,8,9.4,10.8,12.2,13.6,15,17.2,19.4,21.5,23.6},{0,10,20,30,40,50,60,62,64,66,68,70,72,74,76,78,80,85,90,95,100})</f>
        <v>72</v>
      </c>
      <c r="G185" s="15">
        <v>238</v>
      </c>
      <c r="H185" s="1">
        <f>LOOKUP(G185,{0,170,175,180,185,190,195,199,203,207,211,215,219,223,227,231,235,243,250,255,260},{0,10,20,30,40,50,60,62,64,66,68,70,72,74,76,78,80,85,90,95,100})</f>
        <v>80</v>
      </c>
      <c r="I185" s="15">
        <v>16</v>
      </c>
      <c r="J185" s="1">
        <f>LOOKUP(I185,{0,2,3,4,5,6,7,8,9,10,11,12,13,14,15,16},{0,10,20,30,40,50,60,64,68,72,76,80,85,90,95,100})</f>
        <v>100</v>
      </c>
      <c r="K185" s="21">
        <f>I185-16</f>
        <v>0</v>
      </c>
      <c r="L185" s="1">
        <f>LOOKUP(K185,{0,1,2,3,4,5,6,7,8,9,10},{0,1,2,3,4,5,6,7,8,9,10})</f>
        <v>0</v>
      </c>
      <c r="M185" s="21">
        <f t="shared" si="110"/>
        <v>100</v>
      </c>
      <c r="N185" s="15">
        <v>7.1</v>
      </c>
      <c r="O185" s="19">
        <f t="shared" si="111"/>
        <v>5.9</v>
      </c>
      <c r="P185" s="1">
        <f>LOOKUP(O185,{0,2.5,2.7,2.9,3.1,3.3,3.5,3.7,3.9,4.1,4.3,4.5,4.7,4.9,5.1,5.3,5.5,5.6,5.7,5.8,5.9},{0,10,20,30,40,50,60,62,64,66,68,70,72,74,76,78,80,85,90,95,100})</f>
        <v>100</v>
      </c>
      <c r="Q185" s="15">
        <v>3.39</v>
      </c>
      <c r="R185" s="15">
        <f t="shared" si="112"/>
        <v>6.61</v>
      </c>
      <c r="S185" s="1">
        <f>LOOKUP(R185,{0,3.75,3.95,4.55,4.75,4.95,5.55,5.6,5.65,5.7,5.75,5.8,5.85,5.9,5.95,6,6.45,6.53,6.6,6.65,6.7},{0,10,20,30,40,50,60,62,64,66,68,70,72,74,76,78,80,85,90,95,100})</f>
        <v>90</v>
      </c>
      <c r="T185" s="21"/>
      <c r="U185" s="21"/>
      <c r="V185" s="21">
        <f t="shared" si="113"/>
        <v>90</v>
      </c>
      <c r="W185" s="15"/>
      <c r="X185" s="21">
        <f t="shared" si="114"/>
        <v>63.2</v>
      </c>
      <c r="Y185" s="21">
        <f t="shared" si="115"/>
        <v>90.2857142857143</v>
      </c>
    </row>
    <row r="186" ht="15.6" hidden="1" outlineLevel="2" spans="1:25">
      <c r="A186" s="15">
        <v>107</v>
      </c>
      <c r="B186" s="15">
        <v>11</v>
      </c>
      <c r="C186" s="13" t="s">
        <v>309</v>
      </c>
      <c r="D186" s="14" t="s">
        <v>11</v>
      </c>
      <c r="E186" s="15">
        <v>14.7</v>
      </c>
      <c r="F186" s="1">
        <f>LOOKUP(E186,{0,-4,-3,-2,-1,0,1,2.4,3.8,5.2,6.6,8,9.4,10.8,12.2,13.6,15,17.2,19.4,21.5,23.6},{0,10,20,30,40,50,60,62,64,66,68,70,72,74,76,78,80,85,90,95,100})</f>
        <v>78</v>
      </c>
      <c r="G186" s="15">
        <v>260</v>
      </c>
      <c r="H186" s="1">
        <f>LOOKUP(G186,{0,170,175,180,185,190,195,199,203,207,211,215,219,223,227,231,235,243,250,255,260},{0,10,20,30,40,50,60,62,64,66,68,70,72,74,76,78,80,85,90,95,100})</f>
        <v>100</v>
      </c>
      <c r="I186" s="15">
        <v>11</v>
      </c>
      <c r="J186" s="1">
        <f>LOOKUP(I186,{0,2,3,4,5,6,7,8,9,10,11,12,13,14,15,16},{0,10,20,30,40,50,60,64,68,72,76,80,85,90,95,100})</f>
        <v>76</v>
      </c>
      <c r="K186" s="21"/>
      <c r="L186" s="21"/>
      <c r="M186" s="21">
        <f t="shared" si="110"/>
        <v>76</v>
      </c>
      <c r="N186" s="15">
        <v>7.2</v>
      </c>
      <c r="O186" s="19">
        <f t="shared" si="111"/>
        <v>5.8</v>
      </c>
      <c r="P186" s="1">
        <f>LOOKUP(O186,{0,2.5,2.7,2.9,3.1,3.3,3.5,3.7,3.9,4.1,4.3,4.5,4.7,4.9,5.1,5.3,5.5,5.6,5.7,5.8,5.9},{0,10,20,30,40,50,60,62,64,66,68,70,72,74,76,78,80,85,90,95,100})</f>
        <v>95</v>
      </c>
      <c r="Q186" s="15">
        <v>3.27</v>
      </c>
      <c r="R186" s="15">
        <f t="shared" si="112"/>
        <v>6.73</v>
      </c>
      <c r="S186" s="1">
        <f>LOOKUP(R186,{0,3.75,3.95,4.55,4.75,4.95,5.55,5.6,5.65,5.7,5.75,5.8,5.85,5.9,5.95,6,6.45,6.53,6.6,6.65,6.7},{0,10,20,30,40,50,60,62,64,66,68,70,72,74,76,78,80,85,90,95,100})</f>
        <v>100</v>
      </c>
      <c r="T186" s="21">
        <f t="shared" si="116"/>
        <v>0.0299999999999998</v>
      </c>
      <c r="U186" s="1">
        <f>LOOKUP(T186,{0,0.04,0.08,0.12,0.16,0.2,0.23,0.26,0.29,0.32,0.35},{0,1,2,3,4,5,6,7,8,9,10})</f>
        <v>0</v>
      </c>
      <c r="V186" s="21">
        <f t="shared" si="113"/>
        <v>100</v>
      </c>
      <c r="W186" s="15"/>
      <c r="X186" s="21">
        <f t="shared" si="114"/>
        <v>64.4</v>
      </c>
      <c r="Y186" s="21">
        <f t="shared" si="115"/>
        <v>92</v>
      </c>
    </row>
    <row r="187" ht="15.6" hidden="1" outlineLevel="2" spans="1:25">
      <c r="A187" s="15">
        <v>107</v>
      </c>
      <c r="B187" s="15">
        <v>12</v>
      </c>
      <c r="C187" s="14" t="s">
        <v>310</v>
      </c>
      <c r="D187" s="14" t="s">
        <v>11</v>
      </c>
      <c r="E187" s="15">
        <v>4</v>
      </c>
      <c r="F187" s="1">
        <f>LOOKUP(E187,{0,-4,-3,-2,-1,0,1,2.4,3.8,5.2,6.6,8,9.4,10.8,12.2,13.6,15,17.2,19.4,21.5,23.6},{0,10,20,30,40,50,60,62,64,66,68,70,72,74,76,78,80,85,90,95,100})</f>
        <v>64</v>
      </c>
      <c r="G187" s="15">
        <v>212</v>
      </c>
      <c r="H187" s="1">
        <f>LOOKUP(G187,{0,170,175,180,185,190,195,199,203,207,211,215,219,223,227,231,235,243,250,255,260},{0,10,20,30,40,50,60,62,64,66,68,70,72,74,76,78,80,85,90,95,100})</f>
        <v>68</v>
      </c>
      <c r="I187" s="15">
        <v>2</v>
      </c>
      <c r="J187" s="1">
        <f>LOOKUP(I187,{0,2,3,4,5,6,7,8,9,10,11,12,13,14,15,16},{0,10,20,30,40,50,60,64,68,72,76,80,85,90,95,100})</f>
        <v>10</v>
      </c>
      <c r="K187" s="21"/>
      <c r="L187" s="21"/>
      <c r="M187" s="21">
        <f t="shared" si="110"/>
        <v>10</v>
      </c>
      <c r="N187" s="15">
        <v>7</v>
      </c>
      <c r="O187" s="19">
        <f t="shared" si="111"/>
        <v>6</v>
      </c>
      <c r="P187" s="1">
        <f>LOOKUP(O187,{0,2.5,2.7,2.9,3.1,3.3,3.5,3.7,3.9,4.1,4.3,4.5,4.7,4.9,5.1,5.3,5.5,5.6,5.7,5.8,5.9},{0,10,20,30,40,50,60,62,64,66,68,70,72,74,76,78,80,85,90,95,100})</f>
        <v>100</v>
      </c>
      <c r="Q187" s="15">
        <v>3.19</v>
      </c>
      <c r="R187" s="15">
        <f t="shared" si="112"/>
        <v>6.81</v>
      </c>
      <c r="S187" s="1">
        <f>LOOKUP(R187,{0,3.75,3.95,4.55,4.75,4.95,5.55,5.6,5.65,5.7,5.75,5.8,5.85,5.9,5.95,6,6.45,6.53,6.6,6.65,6.7},{0,10,20,30,40,50,60,62,64,66,68,70,72,74,76,78,80,85,90,95,100})</f>
        <v>100</v>
      </c>
      <c r="T187" s="21">
        <f t="shared" si="116"/>
        <v>0.11</v>
      </c>
      <c r="U187" s="1">
        <f>LOOKUP(T187,{0,0.04,0.08,0.12,0.16,0.2,0.23,0.26,0.29,0.32,0.35},{0,1,2,3,4,5,6,7,8,9,10})</f>
        <v>2</v>
      </c>
      <c r="V187" s="21">
        <f t="shared" si="113"/>
        <v>102</v>
      </c>
      <c r="W187" s="15"/>
      <c r="X187" s="21">
        <f t="shared" si="114"/>
        <v>54.2</v>
      </c>
      <c r="Y187" s="21">
        <f t="shared" si="115"/>
        <v>79.4285714285714</v>
      </c>
    </row>
    <row r="188" ht="15.6" hidden="1" outlineLevel="2" spans="1:25">
      <c r="A188" s="15">
        <v>107</v>
      </c>
      <c r="B188" s="15">
        <v>13</v>
      </c>
      <c r="C188" s="14" t="s">
        <v>311</v>
      </c>
      <c r="D188" s="14" t="s">
        <v>11</v>
      </c>
      <c r="E188" s="15">
        <v>15.2</v>
      </c>
      <c r="F188" s="1">
        <f>LOOKUP(E188,{0,-4,-3,-2,-1,0,1,2.4,3.8,5.2,6.6,8,9.4,10.8,12.2,13.6,15,17.2,19.4,21.5,23.6},{0,10,20,30,40,50,60,62,64,66,68,70,72,74,76,78,80,85,90,95,100})</f>
        <v>80</v>
      </c>
      <c r="G188" s="15">
        <v>227</v>
      </c>
      <c r="H188" s="1">
        <f>LOOKUP(G188,{0,170,175,180,185,190,195,199,203,207,211,215,219,223,227,231,235,243,250,255,260},{0,10,20,30,40,50,60,62,64,66,68,70,72,74,76,78,80,85,90,95,100})</f>
        <v>76</v>
      </c>
      <c r="I188" s="15">
        <v>9</v>
      </c>
      <c r="J188" s="1">
        <f>LOOKUP(I188,{0,2,3,4,5,6,7,8,9,10,11,12,13,14,15,16},{0,10,20,30,40,50,60,64,68,72,76,80,85,90,95,100})</f>
        <v>68</v>
      </c>
      <c r="K188" s="21"/>
      <c r="L188" s="21"/>
      <c r="M188" s="21">
        <f t="shared" si="110"/>
        <v>68</v>
      </c>
      <c r="N188" s="15">
        <v>7.2</v>
      </c>
      <c r="O188" s="19">
        <f t="shared" si="111"/>
        <v>5.8</v>
      </c>
      <c r="P188" s="1">
        <f>LOOKUP(O188,{0,2.5,2.7,2.9,3.1,3.3,3.5,3.7,3.9,4.1,4.3,4.5,4.7,4.9,5.1,5.3,5.5,5.6,5.7,5.8,5.9},{0,10,20,30,40,50,60,62,64,66,68,70,72,74,76,78,80,85,90,95,100})</f>
        <v>95</v>
      </c>
      <c r="Q188" s="15">
        <v>4</v>
      </c>
      <c r="R188" s="15">
        <f t="shared" si="112"/>
        <v>6</v>
      </c>
      <c r="S188" s="1">
        <f>LOOKUP(R188,{0,3.75,3.95,4.55,4.75,4.95,5.55,5.6,5.65,5.7,5.75,5.8,5.85,5.9,5.95,6,6.45,6.53,6.6,6.65,6.7},{0,10,20,30,40,50,60,62,64,66,68,70,72,74,76,78,80,85,90,95,100})</f>
        <v>78</v>
      </c>
      <c r="T188" s="21"/>
      <c r="U188" s="21"/>
      <c r="V188" s="21">
        <f t="shared" si="113"/>
        <v>78</v>
      </c>
      <c r="W188" s="15"/>
      <c r="X188" s="21">
        <f t="shared" si="114"/>
        <v>57</v>
      </c>
      <c r="Y188" s="21">
        <f t="shared" si="115"/>
        <v>81.4285714285714</v>
      </c>
    </row>
    <row r="189" ht="15.6" hidden="1" outlineLevel="2" spans="1:25">
      <c r="A189" s="15">
        <v>107</v>
      </c>
      <c r="B189" s="15">
        <v>14</v>
      </c>
      <c r="C189" s="14" t="s">
        <v>312</v>
      </c>
      <c r="D189" s="14" t="s">
        <v>11</v>
      </c>
      <c r="E189" s="15">
        <v>12.1</v>
      </c>
      <c r="F189" s="1">
        <f>LOOKUP(E189,{0,-4,-3,-2,-1,0,1,2.4,3.8,5.2,6.6,8,9.4,10.8,12.2,13.6,15,17.2,19.4,21.5,23.6},{0,10,20,30,40,50,60,62,64,66,68,70,72,74,76,78,80,85,90,95,100})</f>
        <v>74</v>
      </c>
      <c r="G189" s="15">
        <v>223</v>
      </c>
      <c r="H189" s="1">
        <f>LOOKUP(G189,{0,170,175,180,185,190,195,199,203,207,211,215,219,223,227,231,235,243,250,255,260},{0,10,20,30,40,50,60,62,64,66,68,70,72,74,76,78,80,85,90,95,100})</f>
        <v>74</v>
      </c>
      <c r="I189" s="15">
        <v>13</v>
      </c>
      <c r="J189" s="1">
        <f>LOOKUP(I189,{0,2,3,4,5,6,7,8,9,10,11,12,13,14,15,16},{0,10,20,30,40,50,60,64,68,72,76,80,85,90,95,100})</f>
        <v>85</v>
      </c>
      <c r="K189" s="21"/>
      <c r="L189" s="21"/>
      <c r="M189" s="21">
        <f t="shared" si="110"/>
        <v>85</v>
      </c>
      <c r="N189" s="15">
        <v>7.6</v>
      </c>
      <c r="O189" s="19">
        <f t="shared" si="111"/>
        <v>5.4</v>
      </c>
      <c r="P189" s="1">
        <f>LOOKUP(O189,{0,2.5,2.7,2.9,3.1,3.3,3.5,3.7,3.9,4.1,4.3,4.5,4.7,4.9,5.1,5.3,5.5,5.6,5.7,5.8,5.9},{0,10,20,30,40,50,60,62,64,66,68,70,72,74,76,78,80,85,90,95,100})</f>
        <v>78</v>
      </c>
      <c r="Q189" s="15">
        <v>4.05</v>
      </c>
      <c r="R189" s="15">
        <f t="shared" si="112"/>
        <v>5.95</v>
      </c>
      <c r="S189" s="1">
        <f>LOOKUP(R189,{0,3.75,3.95,4.55,4.75,4.95,5.55,5.6,5.65,5.7,5.75,5.8,5.85,5.9,5.95,6,6.45,6.53,6.6,6.65,6.7},{0,10,20,30,40,50,60,62,64,66,68,70,72,74,76,78,80,85,90,95,100})</f>
        <v>76</v>
      </c>
      <c r="T189" s="21"/>
      <c r="U189" s="21"/>
      <c r="V189" s="21">
        <f t="shared" si="113"/>
        <v>76</v>
      </c>
      <c r="W189" s="15"/>
      <c r="X189" s="21">
        <f t="shared" si="114"/>
        <v>54.1</v>
      </c>
      <c r="Y189" s="21">
        <f t="shared" si="115"/>
        <v>77.2857142857143</v>
      </c>
    </row>
    <row r="190" s="3" customFormat="1" ht="15.6" hidden="1" outlineLevel="2" spans="1:25">
      <c r="A190" s="15">
        <v>107</v>
      </c>
      <c r="B190" s="15">
        <v>15</v>
      </c>
      <c r="C190" s="14" t="s">
        <v>313</v>
      </c>
      <c r="D190" s="14" t="s">
        <v>11</v>
      </c>
      <c r="E190" s="15">
        <v>7.2</v>
      </c>
      <c r="F190" s="1">
        <f>LOOKUP(E190,{0,-4,-3,-2,-1,0,1,2.4,3.8,5.2,6.6,8,9.4,10.8,12.2,13.6,15,17.2,19.4,21.5,23.6},{0,10,20,30,40,50,60,62,64,66,68,70,72,74,76,78,80,85,90,95,100})</f>
        <v>68</v>
      </c>
      <c r="G190" s="15">
        <v>247</v>
      </c>
      <c r="H190" s="1">
        <f>LOOKUP(G190,{0,170,175,180,185,190,195,199,203,207,211,215,219,223,227,231,235,243,250,255,260},{0,10,20,30,40,50,60,62,64,66,68,70,72,74,76,78,80,85,90,95,100})</f>
        <v>85</v>
      </c>
      <c r="I190" s="15">
        <v>2</v>
      </c>
      <c r="J190" s="1">
        <f>LOOKUP(I190,{0,2,3,4,5,6,7,8,9,10,11,12,13,14,15,16},{0,10,20,30,40,50,60,64,68,72,76,80,85,90,95,100})</f>
        <v>10</v>
      </c>
      <c r="K190" s="21"/>
      <c r="L190" s="21"/>
      <c r="M190" s="21">
        <f t="shared" si="110"/>
        <v>10</v>
      </c>
      <c r="N190" s="15">
        <v>6.7</v>
      </c>
      <c r="O190" s="19">
        <f t="shared" si="111"/>
        <v>6.3</v>
      </c>
      <c r="P190" s="1">
        <f>LOOKUP(O190,{0,2.5,2.7,2.9,3.1,3.3,3.5,3.7,3.9,4.1,4.3,4.5,4.7,4.9,5.1,5.3,5.5,5.6,5.7,5.8,5.9},{0,10,20,30,40,50,60,62,64,66,68,70,72,74,76,78,80,85,90,95,100})</f>
        <v>100</v>
      </c>
      <c r="Q190" s="15">
        <v>4.12</v>
      </c>
      <c r="R190" s="15">
        <f t="shared" si="112"/>
        <v>5.88</v>
      </c>
      <c r="S190" s="1">
        <f>LOOKUP(R190,{0,3.75,3.95,4.55,4.75,4.95,5.55,5.6,5.65,5.7,5.75,5.8,5.85,5.9,5.95,6,6.45,6.53,6.6,6.65,6.7},{0,10,20,30,40,50,60,62,64,66,68,70,72,74,76,78,80,85,90,95,100})</f>
        <v>72</v>
      </c>
      <c r="T190" s="21"/>
      <c r="U190" s="21"/>
      <c r="V190" s="21">
        <f t="shared" si="113"/>
        <v>72</v>
      </c>
      <c r="W190" s="15"/>
      <c r="X190" s="21">
        <f t="shared" si="114"/>
        <v>50.7</v>
      </c>
      <c r="Y190" s="21">
        <f t="shared" si="115"/>
        <v>72.4285714285714</v>
      </c>
    </row>
    <row r="191" ht="15.6" hidden="1" outlineLevel="2" spans="1:25">
      <c r="A191" s="15">
        <v>107</v>
      </c>
      <c r="B191" s="15">
        <v>16</v>
      </c>
      <c r="C191" s="14" t="s">
        <v>314</v>
      </c>
      <c r="D191" s="14" t="s">
        <v>11</v>
      </c>
      <c r="E191" s="15">
        <v>15.5</v>
      </c>
      <c r="F191" s="1">
        <f>LOOKUP(E191,{0,-4,-3,-2,-1,0,1,2.4,3.8,5.2,6.6,8,9.4,10.8,12.2,13.6,15,17.2,19.4,21.5,23.6},{0,10,20,30,40,50,60,62,64,66,68,70,72,74,76,78,80,85,90,95,100})</f>
        <v>80</v>
      </c>
      <c r="G191" s="15">
        <v>235</v>
      </c>
      <c r="H191" s="1">
        <f>LOOKUP(G191,{0,170,175,180,185,190,195,199,203,207,211,215,219,223,227,231,235,243,250,255,260},{0,10,20,30,40,50,60,62,64,66,68,70,72,74,76,78,80,85,90,95,100})</f>
        <v>80</v>
      </c>
      <c r="I191" s="15">
        <v>16</v>
      </c>
      <c r="J191" s="1">
        <f>LOOKUP(I191,{0,2,3,4,5,6,7,8,9,10,11,12,13,14,15,16},{0,10,20,30,40,50,60,64,68,72,76,80,85,90,95,100})</f>
        <v>100</v>
      </c>
      <c r="K191" s="21">
        <f>I191-16</f>
        <v>0</v>
      </c>
      <c r="L191" s="1">
        <f>LOOKUP(K191,{0,1,2,3,4,5,6,7,8,9,10},{0,1,2,3,4,5,6,7,8,9,10})</f>
        <v>0</v>
      </c>
      <c r="M191" s="21">
        <f t="shared" si="110"/>
        <v>100</v>
      </c>
      <c r="N191" s="15">
        <v>7.5</v>
      </c>
      <c r="O191" s="19">
        <f t="shared" si="111"/>
        <v>5.5</v>
      </c>
      <c r="P191" s="1">
        <f>LOOKUP(O191,{0,2.5,2.7,2.9,3.1,3.3,3.5,3.7,3.9,4.1,4.3,4.5,4.7,4.9,5.1,5.3,5.5,5.6,5.7,5.8,5.9},{0,10,20,30,40,50,60,62,64,66,68,70,72,74,76,78,80,85,90,95,100})</f>
        <v>80</v>
      </c>
      <c r="Q191" s="15">
        <v>3.21</v>
      </c>
      <c r="R191" s="15">
        <f t="shared" si="112"/>
        <v>6.79</v>
      </c>
      <c r="S191" s="1">
        <f>LOOKUP(R191,{0,3.75,3.95,4.55,4.75,4.95,5.55,5.6,5.65,5.7,5.75,5.8,5.85,5.9,5.95,6,6.45,6.53,6.6,6.65,6.7},{0,10,20,30,40,50,60,62,64,66,68,70,72,74,76,78,80,85,90,95,100})</f>
        <v>100</v>
      </c>
      <c r="T191" s="21">
        <f t="shared" ref="T191:T195" si="117">3.3-Q191</f>
        <v>0.0899999999999999</v>
      </c>
      <c r="U191" s="1">
        <f>LOOKUP(T191,{0,0.04,0.08,0.12,0.16,0.2,0.23,0.26,0.29,0.32,0.35},{0,1,2,3,4,5,6,7,8,9,10})</f>
        <v>2</v>
      </c>
      <c r="V191" s="21">
        <f t="shared" si="113"/>
        <v>102</v>
      </c>
      <c r="W191" s="15"/>
      <c r="X191" s="21">
        <f t="shared" si="114"/>
        <v>62</v>
      </c>
      <c r="Y191" s="21">
        <f t="shared" si="115"/>
        <v>90.5714285714286</v>
      </c>
    </row>
    <row r="192" ht="15.6" hidden="1" outlineLevel="2" spans="1:25">
      <c r="A192" s="15">
        <v>107</v>
      </c>
      <c r="B192" s="15">
        <v>17</v>
      </c>
      <c r="C192" s="14" t="s">
        <v>315</v>
      </c>
      <c r="D192" s="14" t="s">
        <v>11</v>
      </c>
      <c r="E192" s="15">
        <v>4.1</v>
      </c>
      <c r="F192" s="1">
        <f>LOOKUP(E192,{0,-4,-3,-2,-1,0,1,2.4,3.8,5.2,6.6,8,9.4,10.8,12.2,13.6,15,17.2,19.4,21.5,23.6},{0,10,20,30,40,50,60,62,64,66,68,70,72,74,76,78,80,85,90,95,100})</f>
        <v>64</v>
      </c>
      <c r="G192" s="15">
        <v>195</v>
      </c>
      <c r="H192" s="1">
        <f>LOOKUP(G192,{0,170,175,180,185,190,195,199,203,207,211,215,219,223,227,231,235,243,250,255,260},{0,10,20,30,40,50,60,62,64,66,68,70,72,74,76,78,80,85,90,95,100})</f>
        <v>60</v>
      </c>
      <c r="I192" s="15">
        <v>10</v>
      </c>
      <c r="J192" s="1">
        <f>LOOKUP(I192,{0,2,3,4,5,6,7,8,9,10,11,12,13,14,15,16},{0,10,20,30,40,50,60,64,68,72,76,80,85,90,95,100})</f>
        <v>72</v>
      </c>
      <c r="K192" s="21"/>
      <c r="L192" s="21"/>
      <c r="M192" s="21">
        <f t="shared" si="110"/>
        <v>72</v>
      </c>
      <c r="N192" s="15">
        <v>7.3</v>
      </c>
      <c r="O192" s="19">
        <f t="shared" si="111"/>
        <v>5.7</v>
      </c>
      <c r="P192" s="1">
        <f>LOOKUP(O192,{0,2.5,2.7,2.9,3.1,3.3,3.5,3.7,3.9,4.1,4.3,4.5,4.7,4.9,5.1,5.3,5.5,5.6,5.7,5.8,5.9},{0,10,20,30,40,50,60,62,64,66,68,70,72,74,76,78,80,85,90,95,100})</f>
        <v>90</v>
      </c>
      <c r="Q192" s="15">
        <v>3.54</v>
      </c>
      <c r="R192" s="15">
        <f t="shared" si="112"/>
        <v>6.46</v>
      </c>
      <c r="S192" s="1">
        <f>LOOKUP(R192,{0,3.75,3.95,4.55,4.75,4.95,5.55,5.6,5.65,5.7,5.75,5.8,5.85,5.9,5.95,6,6.45,6.53,6.6,6.65,6.7},{0,10,20,30,40,50,60,62,64,66,68,70,72,74,76,78,80,85,90,95,100})</f>
        <v>80</v>
      </c>
      <c r="T192" s="21"/>
      <c r="U192" s="21"/>
      <c r="V192" s="21">
        <f t="shared" si="113"/>
        <v>80</v>
      </c>
      <c r="W192" s="15"/>
      <c r="X192" s="21">
        <f t="shared" si="114"/>
        <v>53.6</v>
      </c>
      <c r="Y192" s="21">
        <f t="shared" si="115"/>
        <v>76.5714285714286</v>
      </c>
    </row>
    <row r="193" ht="15.6" hidden="1" outlineLevel="2" spans="1:25">
      <c r="A193" s="15">
        <v>107</v>
      </c>
      <c r="B193" s="15">
        <v>18</v>
      </c>
      <c r="C193" s="14" t="s">
        <v>316</v>
      </c>
      <c r="D193" s="14" t="s">
        <v>11</v>
      </c>
      <c r="E193" s="15">
        <v>22</v>
      </c>
      <c r="F193" s="1">
        <f>LOOKUP(E193,{0,-4,-3,-2,-1,0,1,2.4,3.8,5.2,6.6,8,9.4,10.8,12.2,13.6,15,17.2,19.4,21.5,23.6},{0,10,20,30,40,50,60,62,64,66,68,70,72,74,76,78,80,85,90,95,100})</f>
        <v>95</v>
      </c>
      <c r="G193" s="15">
        <v>217</v>
      </c>
      <c r="H193" s="1">
        <f>LOOKUP(G193,{0,170,175,180,185,190,195,199,203,207,211,215,219,223,227,231,235,243,250,255,260},{0,10,20,30,40,50,60,62,64,66,68,70,72,74,76,78,80,85,90,95,100})</f>
        <v>70</v>
      </c>
      <c r="I193" s="15">
        <v>7</v>
      </c>
      <c r="J193" s="1">
        <f>LOOKUP(I193,{0,2,3,4,5,6,7,8,9,10,11,12,13,14,15,16},{0,10,20,30,40,50,60,64,68,72,76,80,85,90,95,100})</f>
        <v>60</v>
      </c>
      <c r="K193" s="21"/>
      <c r="L193" s="21"/>
      <c r="M193" s="21">
        <f t="shared" si="110"/>
        <v>60</v>
      </c>
      <c r="N193" s="15">
        <v>7</v>
      </c>
      <c r="O193" s="19">
        <f t="shared" si="111"/>
        <v>6</v>
      </c>
      <c r="P193" s="1">
        <f>LOOKUP(O193,{0,2.5,2.7,2.9,3.1,3.3,3.5,3.7,3.9,4.1,4.3,4.5,4.7,4.9,5.1,5.3,5.5,5.6,5.7,5.8,5.9},{0,10,20,30,40,50,60,62,64,66,68,70,72,74,76,78,80,85,90,95,100})</f>
        <v>100</v>
      </c>
      <c r="Q193" s="15">
        <v>3.26</v>
      </c>
      <c r="R193" s="15">
        <f t="shared" si="112"/>
        <v>6.74</v>
      </c>
      <c r="S193" s="1">
        <f>LOOKUP(R193,{0,3.75,3.95,4.55,4.75,4.95,5.55,5.6,5.65,5.7,5.75,5.8,5.85,5.9,5.95,6,6.45,6.53,6.6,6.65,6.7},{0,10,20,30,40,50,60,62,64,66,68,70,72,74,76,78,80,85,90,95,100})</f>
        <v>100</v>
      </c>
      <c r="T193" s="21">
        <f t="shared" si="117"/>
        <v>0.04</v>
      </c>
      <c r="U193" s="1">
        <f>LOOKUP(T193,{0,0.04,0.08,0.12,0.16,0.2,0.23,0.26,0.29,0.32,0.35},{0,1,2,3,4,5,6,7,8,9,10})</f>
        <v>1</v>
      </c>
      <c r="V193" s="21">
        <f t="shared" si="113"/>
        <v>101</v>
      </c>
      <c r="W193" s="15"/>
      <c r="X193" s="21">
        <f t="shared" si="114"/>
        <v>62.5</v>
      </c>
      <c r="Y193" s="21">
        <f t="shared" si="115"/>
        <v>90.2857142857143</v>
      </c>
    </row>
    <row r="194" ht="15.6" hidden="1" outlineLevel="2" spans="1:25">
      <c r="A194" s="15">
        <v>107</v>
      </c>
      <c r="B194" s="15">
        <v>19</v>
      </c>
      <c r="C194" s="14" t="s">
        <v>317</v>
      </c>
      <c r="D194" s="14" t="s">
        <v>11</v>
      </c>
      <c r="E194" s="15">
        <v>8</v>
      </c>
      <c r="F194" s="1">
        <f>LOOKUP(E194,{0,-4,-3,-2,-1,0,1,2.4,3.8,5.2,6.6,8,9.4,10.8,12.2,13.6,15,17.2,19.4,21.5,23.6},{0,10,20,30,40,50,60,62,64,66,68,70,72,74,76,78,80,85,90,95,100})</f>
        <v>70</v>
      </c>
      <c r="G194" s="15">
        <v>213</v>
      </c>
      <c r="H194" s="1">
        <f>LOOKUP(G194,{0,170,175,180,185,190,195,199,203,207,211,215,219,223,227,231,235,243,250,255,260},{0,10,20,30,40,50,60,62,64,66,68,70,72,74,76,78,80,85,90,95,100})</f>
        <v>68</v>
      </c>
      <c r="I194" s="15">
        <v>0</v>
      </c>
      <c r="J194" s="1">
        <f>LOOKUP(I194,{0,2,3,4,5,6,7,8,9,10,11,12,13,14,15,16},{0,10,20,30,40,50,60,64,68,72,76,80,85,90,95,100})</f>
        <v>0</v>
      </c>
      <c r="K194" s="21"/>
      <c r="L194" s="21"/>
      <c r="M194" s="21">
        <f t="shared" si="110"/>
        <v>0</v>
      </c>
      <c r="N194" s="15">
        <v>7.4</v>
      </c>
      <c r="O194" s="19">
        <f t="shared" si="111"/>
        <v>5.6</v>
      </c>
      <c r="P194" s="1">
        <f>LOOKUP(O194,{0,2.5,2.7,2.9,3.1,3.3,3.5,3.7,3.9,4.1,4.3,4.5,4.7,4.9,5.1,5.3,5.5,5.6,5.7,5.8,5.9},{0,10,20,30,40,50,60,62,64,66,68,70,72,74,76,78,80,85,90,95,100})</f>
        <v>85</v>
      </c>
      <c r="Q194" s="15">
        <v>4.1</v>
      </c>
      <c r="R194" s="15">
        <f t="shared" si="112"/>
        <v>5.9</v>
      </c>
      <c r="S194" s="1">
        <f>LOOKUP(R194,{0,3.75,3.95,4.55,4.75,4.95,5.55,5.6,5.65,5.7,5.75,5.8,5.85,5.9,5.95,6,6.45,6.53,6.6,6.65,6.7},{0,10,20,30,40,50,60,62,64,66,68,70,72,74,76,78,80,85,90,95,100})</f>
        <v>74</v>
      </c>
      <c r="T194" s="21"/>
      <c r="U194" s="21"/>
      <c r="V194" s="21">
        <f t="shared" si="113"/>
        <v>74</v>
      </c>
      <c r="W194" s="15"/>
      <c r="X194" s="21">
        <f t="shared" si="114"/>
        <v>45.6</v>
      </c>
      <c r="Y194" s="21">
        <f t="shared" si="115"/>
        <v>65.1428571428572</v>
      </c>
    </row>
    <row r="195" ht="15.6" hidden="1" outlineLevel="2" spans="1:25">
      <c r="A195" s="15">
        <v>107</v>
      </c>
      <c r="B195" s="15">
        <v>20</v>
      </c>
      <c r="C195" s="14" t="s">
        <v>318</v>
      </c>
      <c r="D195" s="14" t="s">
        <v>11</v>
      </c>
      <c r="E195" s="15">
        <v>15</v>
      </c>
      <c r="F195" s="1">
        <f>LOOKUP(E195,{0,-4,-3,-2,-1,0,1,2.4,3.8,5.2,6.6,8,9.4,10.8,12.2,13.6,15,17.2,19.4,21.5,23.6},{0,10,20,30,40,50,60,62,64,66,68,70,72,74,76,78,80,85,90,95,100})</f>
        <v>80</v>
      </c>
      <c r="G195" s="15">
        <v>225</v>
      </c>
      <c r="H195" s="1">
        <f>LOOKUP(G195,{0,170,175,180,185,190,195,199,203,207,211,215,219,223,227,231,235,243,250,255,260},{0,10,20,30,40,50,60,62,64,66,68,70,72,74,76,78,80,85,90,95,100})</f>
        <v>74</v>
      </c>
      <c r="I195" s="15">
        <v>20</v>
      </c>
      <c r="J195" s="1">
        <f>LOOKUP(I195,{0,2,3,4,5,6,7,8,9,10,11,12,13,14,15,16},{0,10,20,30,40,50,60,64,68,72,76,80,85,90,95,100})</f>
        <v>100</v>
      </c>
      <c r="K195" s="21">
        <f>I195-16</f>
        <v>4</v>
      </c>
      <c r="L195" s="1">
        <f>LOOKUP(K195,{0,1,2,3,4,5,6,7,8,9,10},{0,1,2,3,4,5,6,7,8,9,10})</f>
        <v>4</v>
      </c>
      <c r="M195" s="21">
        <f t="shared" si="110"/>
        <v>104</v>
      </c>
      <c r="N195" s="15">
        <v>7.3</v>
      </c>
      <c r="O195" s="19">
        <f t="shared" si="111"/>
        <v>5.7</v>
      </c>
      <c r="P195" s="1">
        <f>LOOKUP(O195,{0,2.5,2.7,2.9,3.1,3.3,3.5,3.7,3.9,4.1,4.3,4.5,4.7,4.9,5.1,5.3,5.5,5.6,5.7,5.8,5.9},{0,10,20,30,40,50,60,62,64,66,68,70,72,74,76,78,80,85,90,95,100})</f>
        <v>90</v>
      </c>
      <c r="Q195" s="15">
        <v>3.29</v>
      </c>
      <c r="R195" s="15">
        <f t="shared" si="112"/>
        <v>6.71</v>
      </c>
      <c r="S195" s="1">
        <f>LOOKUP(R195,{0,3.75,3.95,4.55,4.75,4.95,5.55,5.6,5.65,5.7,5.75,5.8,5.85,5.9,5.95,6,6.45,6.53,6.6,6.65,6.7},{0,10,20,30,40,50,60,62,64,66,68,70,72,74,76,78,80,85,90,95,100})</f>
        <v>100</v>
      </c>
      <c r="T195" s="21">
        <f t="shared" si="117"/>
        <v>0.00999999999999979</v>
      </c>
      <c r="U195" s="1">
        <f>LOOKUP(T195,{0,0.04,0.08,0.12,0.16,0.2,0.23,0.26,0.29,0.32,0.35},{0,1,2,3,4,5,6,7,8,9,10})</f>
        <v>0</v>
      </c>
      <c r="V195" s="21">
        <f t="shared" si="113"/>
        <v>100</v>
      </c>
      <c r="W195" s="15"/>
      <c r="X195" s="21">
        <f t="shared" si="114"/>
        <v>63.4</v>
      </c>
      <c r="Y195" s="21">
        <f t="shared" si="115"/>
        <v>94.5714285714286</v>
      </c>
    </row>
    <row r="196" ht="15.6" hidden="1" outlineLevel="2" spans="1:25">
      <c r="A196" s="15">
        <v>107</v>
      </c>
      <c r="B196" s="15">
        <v>21</v>
      </c>
      <c r="C196" s="13" t="s">
        <v>320</v>
      </c>
      <c r="D196" s="14" t="s">
        <v>11</v>
      </c>
      <c r="E196" s="15">
        <v>11.6</v>
      </c>
      <c r="F196" s="1">
        <f>LOOKUP(E196,{0,-4,-3,-2,-1,0,1,2.4,3.8,5.2,6.6,8,9.4,10.8,12.2,13.6,15,17.2,19.4,21.5,23.6},{0,10,20,30,40,50,60,62,64,66,68,70,72,74,76,78,80,85,90,95,100})</f>
        <v>74</v>
      </c>
      <c r="G196" s="15">
        <v>262</v>
      </c>
      <c r="H196" s="1">
        <f>LOOKUP(G196,{0,170,175,180,185,190,195,199,203,207,211,215,219,223,227,231,235,243,250,255,260},{0,10,20,30,40,50,60,62,64,66,68,70,72,74,76,78,80,85,90,95,100})</f>
        <v>100</v>
      </c>
      <c r="I196" s="15">
        <v>10</v>
      </c>
      <c r="J196" s="1">
        <f>LOOKUP(I196,{0,2,3,4,5,6,7,8,9,10,11,12,13,14,15,16},{0,10,20,30,40,50,60,64,68,72,76,80,85,90,95,100})</f>
        <v>72</v>
      </c>
      <c r="K196" s="21"/>
      <c r="L196" s="21"/>
      <c r="M196" s="21">
        <f t="shared" si="110"/>
        <v>72</v>
      </c>
      <c r="N196" s="15">
        <v>6.8</v>
      </c>
      <c r="O196" s="19">
        <f t="shared" si="111"/>
        <v>6.2</v>
      </c>
      <c r="P196" s="1">
        <f>LOOKUP(O196,{0,2.5,2.7,2.9,3.1,3.3,3.5,3.7,3.9,4.1,4.3,4.5,4.7,4.9,5.1,5.3,5.5,5.6,5.7,5.8,5.9},{0,10,20,30,40,50,60,62,64,66,68,70,72,74,76,78,80,85,90,95,100})</f>
        <v>100</v>
      </c>
      <c r="Q196" s="15">
        <v>4</v>
      </c>
      <c r="R196" s="15">
        <f t="shared" si="112"/>
        <v>6</v>
      </c>
      <c r="S196" s="1">
        <f>LOOKUP(R196,{0,3.75,3.95,4.55,4.75,4.95,5.55,5.6,5.65,5.7,5.75,5.8,5.85,5.9,5.95,6,6.45,6.53,6.6,6.65,6.7},{0,10,20,30,40,50,60,62,64,66,68,70,72,74,76,78,80,85,90,95,100})</f>
        <v>78</v>
      </c>
      <c r="T196" s="21"/>
      <c r="U196" s="21"/>
      <c r="V196" s="21">
        <f t="shared" si="113"/>
        <v>78</v>
      </c>
      <c r="W196" s="15"/>
      <c r="X196" s="21">
        <f t="shared" si="114"/>
        <v>60.2</v>
      </c>
      <c r="Y196" s="21">
        <f t="shared" si="115"/>
        <v>86</v>
      </c>
    </row>
    <row r="197" ht="15.6" hidden="1" outlineLevel="2" spans="1:25">
      <c r="A197" s="15">
        <v>107</v>
      </c>
      <c r="B197" s="15">
        <v>22</v>
      </c>
      <c r="C197" s="14" t="s">
        <v>321</v>
      </c>
      <c r="D197" s="14" t="s">
        <v>11</v>
      </c>
      <c r="E197" s="15">
        <v>6.2</v>
      </c>
      <c r="F197" s="1">
        <f>LOOKUP(E197,{0,-4,-3,-2,-1,0,1,2.4,3.8,5.2,6.6,8,9.4,10.8,12.2,13.6,15,17.2,19.4,21.5,23.6},{0,10,20,30,40,50,60,62,64,66,68,70,72,74,76,78,80,85,90,95,100})</f>
        <v>66</v>
      </c>
      <c r="G197" s="15">
        <v>226</v>
      </c>
      <c r="H197" s="1">
        <f>LOOKUP(G197,{0,170,175,180,185,190,195,199,203,207,211,215,219,223,227,231,235,243,250,255,260},{0,10,20,30,40,50,60,62,64,66,68,70,72,74,76,78,80,85,90,95,100})</f>
        <v>74</v>
      </c>
      <c r="I197" s="15">
        <v>7</v>
      </c>
      <c r="J197" s="1">
        <f>LOOKUP(I197,{0,2,3,4,5,6,7,8,9,10,11,12,13,14,15,16},{0,10,20,30,40,50,60,64,68,72,76,80,85,90,95,100})</f>
        <v>60</v>
      </c>
      <c r="K197" s="21"/>
      <c r="L197" s="21"/>
      <c r="M197" s="21">
        <f t="shared" si="110"/>
        <v>60</v>
      </c>
      <c r="N197" s="15">
        <v>6.8</v>
      </c>
      <c r="O197" s="19">
        <f t="shared" si="111"/>
        <v>6.2</v>
      </c>
      <c r="P197" s="1">
        <f>LOOKUP(O197,{0,2.5,2.7,2.9,3.1,3.3,3.5,3.7,3.9,4.1,4.3,4.5,4.7,4.9,5.1,5.3,5.5,5.6,5.7,5.8,5.9},{0,10,20,30,40,50,60,62,64,66,68,70,72,74,76,78,80,85,90,95,100})</f>
        <v>100</v>
      </c>
      <c r="Q197" s="15">
        <v>3.28</v>
      </c>
      <c r="R197" s="15">
        <f t="shared" si="112"/>
        <v>6.72</v>
      </c>
      <c r="S197" s="1">
        <f>LOOKUP(R197,{0,3.75,3.95,4.55,4.75,4.95,5.55,5.6,5.65,5.7,5.75,5.8,5.85,5.9,5.95,6,6.45,6.53,6.6,6.65,6.7},{0,10,20,30,40,50,60,62,64,66,68,70,72,74,76,78,80,85,90,95,100})</f>
        <v>100</v>
      </c>
      <c r="T197" s="21">
        <f>3.3-Q197</f>
        <v>0.02</v>
      </c>
      <c r="U197" s="1">
        <f>LOOKUP(T197,{0,0.04,0.08,0.12,0.16,0.2,0.23,0.26,0.29,0.32,0.35},{0,1,2,3,4,5,6,7,8,9,10})</f>
        <v>0</v>
      </c>
      <c r="V197" s="21">
        <f t="shared" si="113"/>
        <v>100</v>
      </c>
      <c r="W197" s="15"/>
      <c r="X197" s="21">
        <f t="shared" si="114"/>
        <v>60</v>
      </c>
      <c r="Y197" s="21">
        <f t="shared" si="115"/>
        <v>85.7142857142857</v>
      </c>
    </row>
    <row r="198" ht="15.6" hidden="1" outlineLevel="2" spans="1:25">
      <c r="A198" s="15">
        <v>107</v>
      </c>
      <c r="B198" s="15">
        <v>23</v>
      </c>
      <c r="C198" s="14" t="s">
        <v>322</v>
      </c>
      <c r="D198" s="14" t="s">
        <v>11</v>
      </c>
      <c r="E198" s="15">
        <v>16.8</v>
      </c>
      <c r="F198" s="1">
        <f>LOOKUP(E198,{0,-4,-3,-2,-1,0,1,2.4,3.8,5.2,6.6,8,9.4,10.8,12.2,13.6,15,17.2,19.4,21.5,23.6},{0,10,20,30,40,50,60,62,64,66,68,70,72,74,76,78,80,85,90,95,100})</f>
        <v>80</v>
      </c>
      <c r="G198" s="15">
        <v>240</v>
      </c>
      <c r="H198" s="1">
        <f>LOOKUP(G198,{0,170,175,180,185,190,195,199,203,207,211,215,219,223,227,231,235,243,250,255,260},{0,10,20,30,40,50,60,62,64,66,68,70,72,74,76,78,80,85,90,95,100})</f>
        <v>80</v>
      </c>
      <c r="I198" s="15">
        <v>7</v>
      </c>
      <c r="J198" s="1">
        <f>LOOKUP(I198,{0,2,3,4,5,6,7,8,9,10,11,12,13,14,15,16},{0,10,20,30,40,50,60,64,68,72,76,80,85,90,95,100})</f>
        <v>60</v>
      </c>
      <c r="K198" s="21"/>
      <c r="L198" s="21"/>
      <c r="M198" s="21">
        <f t="shared" si="110"/>
        <v>60</v>
      </c>
      <c r="N198" s="15">
        <v>7.4</v>
      </c>
      <c r="O198" s="19">
        <f t="shared" si="111"/>
        <v>5.6</v>
      </c>
      <c r="P198" s="1">
        <f>LOOKUP(O198,{0,2.5,2.7,2.9,3.1,3.3,3.5,3.7,3.9,4.1,4.3,4.5,4.7,4.9,5.1,5.3,5.5,5.6,5.7,5.8,5.9},{0,10,20,30,40,50,60,62,64,66,68,70,72,74,76,78,80,85,90,95,100})</f>
        <v>85</v>
      </c>
      <c r="Q198" s="15">
        <v>3.37</v>
      </c>
      <c r="R198" s="15">
        <f t="shared" si="112"/>
        <v>6.63</v>
      </c>
      <c r="S198" s="1">
        <f>LOOKUP(R198,{0,3.75,3.95,4.55,4.75,4.95,5.55,5.6,5.65,5.7,5.75,5.8,5.85,5.9,5.95,6,6.45,6.53,6.6,6.65,6.7},{0,10,20,30,40,50,60,62,64,66,68,70,72,74,76,78,80,85,90,95,100})</f>
        <v>90</v>
      </c>
      <c r="T198" s="21"/>
      <c r="U198" s="21"/>
      <c r="V198" s="21">
        <f t="shared" si="113"/>
        <v>90</v>
      </c>
      <c r="W198" s="15"/>
      <c r="X198" s="21">
        <f t="shared" si="114"/>
        <v>57</v>
      </c>
      <c r="Y198" s="21">
        <f t="shared" si="115"/>
        <v>81.4285714285714</v>
      </c>
    </row>
    <row r="199" ht="15.6" hidden="1" outlineLevel="2" spans="1:25">
      <c r="A199" s="15">
        <v>107</v>
      </c>
      <c r="B199" s="15">
        <v>24</v>
      </c>
      <c r="C199" s="14" t="s">
        <v>323</v>
      </c>
      <c r="D199" s="14" t="s">
        <v>11</v>
      </c>
      <c r="E199" s="15">
        <v>9.5</v>
      </c>
      <c r="F199" s="1">
        <f>LOOKUP(E199,{0,-4,-3,-2,-1,0,1,2.4,3.8,5.2,6.6,8,9.4,10.8,12.2,13.6,15,17.2,19.4,21.5,23.6},{0,10,20,30,40,50,60,62,64,66,68,70,72,74,76,78,80,85,90,95,100})</f>
        <v>72</v>
      </c>
      <c r="G199" s="15">
        <v>241</v>
      </c>
      <c r="H199" s="1">
        <f>LOOKUP(G199,{0,170,175,180,185,190,195,199,203,207,211,215,219,223,227,231,235,243,250,255,260},{0,10,20,30,40,50,60,62,64,66,68,70,72,74,76,78,80,85,90,95,100})</f>
        <v>80</v>
      </c>
      <c r="I199" s="15">
        <v>1</v>
      </c>
      <c r="J199" s="1">
        <f>LOOKUP(I199,{0,2,3,4,5,6,7,8,9,10,11,12,13,14,15,16},{0,10,20,30,40,50,60,64,68,72,76,80,85,90,95,100})</f>
        <v>0</v>
      </c>
      <c r="K199" s="21"/>
      <c r="L199" s="21"/>
      <c r="M199" s="21">
        <f t="shared" si="110"/>
        <v>0</v>
      </c>
      <c r="N199" s="15">
        <v>7.6</v>
      </c>
      <c r="O199" s="19">
        <f t="shared" si="111"/>
        <v>5.4</v>
      </c>
      <c r="P199" s="1">
        <f>LOOKUP(O199,{0,2.5,2.7,2.9,3.1,3.3,3.5,3.7,3.9,4.1,4.3,4.5,4.7,4.9,5.1,5.3,5.5,5.6,5.7,5.8,5.9},{0,10,20,30,40,50,60,62,64,66,68,70,72,74,76,78,80,85,90,95,100})</f>
        <v>78</v>
      </c>
      <c r="Q199" s="15">
        <v>3.56</v>
      </c>
      <c r="R199" s="15">
        <f t="shared" si="112"/>
        <v>6.44</v>
      </c>
      <c r="S199" s="1">
        <f>LOOKUP(R199,{0,3.75,3.95,4.55,4.75,4.95,5.55,5.6,5.65,5.7,5.75,5.8,5.85,5.9,5.95,6,6.45,6.53,6.6,6.65,6.7},{0,10,20,30,40,50,60,62,64,66,68,70,72,74,76,78,80,85,90,95,100})</f>
        <v>78</v>
      </c>
      <c r="T199" s="21"/>
      <c r="U199" s="21"/>
      <c r="V199" s="21">
        <f t="shared" si="113"/>
        <v>78</v>
      </c>
      <c r="W199" s="15"/>
      <c r="X199" s="21">
        <f t="shared" si="114"/>
        <v>46.4</v>
      </c>
      <c r="Y199" s="21">
        <f t="shared" si="115"/>
        <v>66.2857142857143</v>
      </c>
    </row>
    <row r="200" ht="15.6" hidden="1" outlineLevel="2" spans="1:25">
      <c r="A200" s="15">
        <v>107</v>
      </c>
      <c r="B200" s="15">
        <v>25</v>
      </c>
      <c r="C200" s="14" t="s">
        <v>324</v>
      </c>
      <c r="D200" s="14" t="s">
        <v>11</v>
      </c>
      <c r="E200" s="15"/>
      <c r="F200" s="1"/>
      <c r="G200" s="15"/>
      <c r="H200" s="1"/>
      <c r="I200" s="15"/>
      <c r="J200" s="1"/>
      <c r="K200" s="21"/>
      <c r="L200" s="21"/>
      <c r="M200" s="21"/>
      <c r="N200" s="15">
        <v>7.1</v>
      </c>
      <c r="O200" s="19">
        <f t="shared" si="111"/>
        <v>5.9</v>
      </c>
      <c r="P200" s="1">
        <f>LOOKUP(O200,{0,2.5,2.7,2.9,3.1,3.3,3.5,3.7,3.9,4.1,4.3,4.5,4.7,4.9,5.1,5.3,5.5,5.6,5.7,5.8,5.9},{0,10,20,30,40,50,60,62,64,66,68,70,72,74,76,78,80,85,90,95,100})</f>
        <v>100</v>
      </c>
      <c r="Q200" s="15"/>
      <c r="R200" s="15"/>
      <c r="S200" s="1"/>
      <c r="T200" s="21"/>
      <c r="U200" s="1"/>
      <c r="V200" s="21"/>
      <c r="W200" s="15" t="s">
        <v>84</v>
      </c>
      <c r="X200" s="21">
        <f t="shared" si="114"/>
        <v>20</v>
      </c>
      <c r="Y200" s="21">
        <v>50</v>
      </c>
    </row>
    <row r="201" s="3" customFormat="1" ht="15.6" hidden="1" outlineLevel="2" spans="1:25">
      <c r="A201" s="15">
        <v>107</v>
      </c>
      <c r="B201" s="15">
        <v>26</v>
      </c>
      <c r="C201" s="14" t="s">
        <v>325</v>
      </c>
      <c r="D201" s="14" t="s">
        <v>11</v>
      </c>
      <c r="E201" s="15">
        <v>-4</v>
      </c>
      <c r="F201" s="1">
        <f>LOOKUP(E201,{0,-4,-3,-2,-1,0,1,2.4,3.8,5.2,6.6,8,9.4,10.8,12.2,13.6,15,17.2,19.4,21.5,23.6},{0,10,20,30,40,50,60,62,64,66,68,70,72,74,76,78,80,85,90,95,100})</f>
        <v>10</v>
      </c>
      <c r="G201" s="15">
        <v>215</v>
      </c>
      <c r="H201" s="1">
        <f>LOOKUP(G201,{0,170,175,180,185,190,195,199,203,207,211,215,219,223,227,231,235,243,250,255,260},{0,10,20,30,40,50,60,62,64,66,68,70,72,74,76,78,80,85,90,95,100})</f>
        <v>70</v>
      </c>
      <c r="I201" s="15">
        <v>9</v>
      </c>
      <c r="J201" s="1">
        <f>LOOKUP(I201,{0,2,3,4,5,6,7,8,9,10,11,12,13,14,15,16},{0,10,20,30,40,50,60,64,68,72,76,80,85,90,95,100})</f>
        <v>68</v>
      </c>
      <c r="K201" s="21"/>
      <c r="L201" s="21"/>
      <c r="M201" s="21">
        <f t="shared" ref="M201:M204" si="118">J201+L201</f>
        <v>68</v>
      </c>
      <c r="N201" s="15">
        <v>7.7</v>
      </c>
      <c r="O201" s="19">
        <f t="shared" si="111"/>
        <v>5.3</v>
      </c>
      <c r="P201" s="1">
        <f>LOOKUP(O201,{0,2.5,2.7,2.9,3.1,3.3,3.5,3.7,3.9,4.1,4.3,4.5,4.7,4.9,5.1,5.3,5.5,5.6,5.7,5.8,5.9},{0,10,20,30,40,50,60,62,64,66,68,70,72,74,76,78,80,85,90,95,100})</f>
        <v>78</v>
      </c>
      <c r="Q201" s="15">
        <v>4.11</v>
      </c>
      <c r="R201" s="15">
        <f t="shared" ref="R201:R204" si="119">10-Q201</f>
        <v>5.89</v>
      </c>
      <c r="S201" s="1">
        <f>LOOKUP(R201,{0,3.75,3.95,4.55,4.75,4.95,5.55,5.6,5.65,5.7,5.75,5.8,5.85,5.9,5.95,6,6.45,6.53,6.6,6.65,6.7},{0,10,20,30,40,50,60,62,64,66,68,70,72,74,76,78,80,85,90,95,100})</f>
        <v>72</v>
      </c>
      <c r="T201" s="21"/>
      <c r="U201" s="21"/>
      <c r="V201" s="21">
        <f t="shared" ref="V201:V204" si="120">S201+U201</f>
        <v>72</v>
      </c>
      <c r="W201" s="15"/>
      <c r="X201" s="21">
        <f t="shared" si="114"/>
        <v>44.8</v>
      </c>
      <c r="Y201" s="21">
        <f t="shared" ref="Y201:Y204" si="121">X201/0.7+L201+U201</f>
        <v>64</v>
      </c>
    </row>
    <row r="202" ht="15.6" hidden="1" outlineLevel="2" spans="1:25">
      <c r="A202" s="15">
        <v>107</v>
      </c>
      <c r="B202" s="15">
        <v>27</v>
      </c>
      <c r="C202" s="14" t="s">
        <v>326</v>
      </c>
      <c r="D202" s="14" t="s">
        <v>11</v>
      </c>
      <c r="E202" s="15">
        <v>24</v>
      </c>
      <c r="F202" s="1">
        <f>LOOKUP(E202,{0,-4,-3,-2,-1,0,1,2.4,3.8,5.2,6.6,8,9.4,10.8,12.2,13.6,15,17.2,19.4,21.5,23.6},{0,10,20,30,40,50,60,62,64,66,68,70,72,74,76,78,80,85,90,95,100})</f>
        <v>100</v>
      </c>
      <c r="G202" s="15">
        <v>222</v>
      </c>
      <c r="H202" s="1">
        <f>LOOKUP(G202,{0,170,175,180,185,190,195,199,203,207,211,215,219,223,227,231,235,243,250,255,260},{0,10,20,30,40,50,60,62,64,66,68,70,72,74,76,78,80,85,90,95,100})</f>
        <v>72</v>
      </c>
      <c r="I202" s="15">
        <v>29</v>
      </c>
      <c r="J202" s="1">
        <f>LOOKUP(I202,{0,2,3,4,5,6,7,8,9,10,11,12,13,14,15,16},{0,10,20,30,40,50,60,64,68,72,76,80,85,90,95,100})</f>
        <v>100</v>
      </c>
      <c r="K202" s="21">
        <f>I202-16</f>
        <v>13</v>
      </c>
      <c r="L202" s="1">
        <f>LOOKUP(K202,{0,1,2,3,4,5,6,7,8,9,10},{0,1,2,3,4,5,6,7,8,9,10})</f>
        <v>10</v>
      </c>
      <c r="M202" s="21">
        <f t="shared" si="118"/>
        <v>110</v>
      </c>
      <c r="N202" s="15">
        <v>7.1</v>
      </c>
      <c r="O202" s="19">
        <f t="shared" si="111"/>
        <v>5.9</v>
      </c>
      <c r="P202" s="1">
        <f>LOOKUP(O202,{0,2.5,2.7,2.9,3.1,3.3,3.5,3.7,3.9,4.1,4.3,4.5,4.7,4.9,5.1,5.3,5.5,5.6,5.7,5.8,5.9},{0,10,20,30,40,50,60,62,64,66,68,70,72,74,76,78,80,85,90,95,100})</f>
        <v>100</v>
      </c>
      <c r="Q202" s="15">
        <v>3.36</v>
      </c>
      <c r="R202" s="15">
        <f t="shared" si="119"/>
        <v>6.64</v>
      </c>
      <c r="S202" s="1">
        <f>LOOKUP(R202,{0,3.75,3.95,4.55,4.75,4.95,5.55,5.6,5.65,5.7,5.75,5.8,5.85,5.9,5.95,6,6.45,6.53,6.6,6.65,6.7},{0,10,20,30,40,50,60,62,64,66,68,70,72,74,76,78,80,85,90,95,100})</f>
        <v>90</v>
      </c>
      <c r="T202" s="21"/>
      <c r="U202" s="21"/>
      <c r="V202" s="21">
        <f t="shared" si="120"/>
        <v>90</v>
      </c>
      <c r="W202" s="15"/>
      <c r="X202" s="21">
        <f t="shared" si="114"/>
        <v>65.2</v>
      </c>
      <c r="Y202" s="21">
        <f t="shared" si="121"/>
        <v>103.142857142857</v>
      </c>
    </row>
    <row r="203" ht="15.6" hidden="1" outlineLevel="2" spans="1:25">
      <c r="A203" s="15">
        <v>107</v>
      </c>
      <c r="B203" s="15">
        <v>28</v>
      </c>
      <c r="C203" s="14" t="s">
        <v>327</v>
      </c>
      <c r="D203" s="14" t="s">
        <v>11</v>
      </c>
      <c r="E203" s="15">
        <v>-7.5</v>
      </c>
      <c r="F203" s="1">
        <v>0</v>
      </c>
      <c r="G203" s="15">
        <v>246</v>
      </c>
      <c r="H203" s="1">
        <f>LOOKUP(G203,{0,170,175,180,185,190,195,199,203,207,211,215,219,223,227,231,235,243,250,255,260},{0,10,20,30,40,50,60,62,64,66,68,70,72,74,76,78,80,85,90,95,100})</f>
        <v>85</v>
      </c>
      <c r="I203" s="15">
        <v>20</v>
      </c>
      <c r="J203" s="1">
        <f>LOOKUP(I203,{0,2,3,4,5,6,7,8,9,10,11,12,13,14,15,16},{0,10,20,30,40,50,60,64,68,72,76,80,85,90,95,100})</f>
        <v>100</v>
      </c>
      <c r="K203" s="21">
        <f>I203-16</f>
        <v>4</v>
      </c>
      <c r="L203" s="1">
        <f>LOOKUP(K203,{0,1,2,3,4,5,6,7,8,9,10},{0,1,2,3,4,5,6,7,8,9,10})</f>
        <v>4</v>
      </c>
      <c r="M203" s="21">
        <f t="shared" si="118"/>
        <v>104</v>
      </c>
      <c r="N203" s="15">
        <v>7</v>
      </c>
      <c r="O203" s="19">
        <f t="shared" si="111"/>
        <v>6</v>
      </c>
      <c r="P203" s="1">
        <f>LOOKUP(O203,{0,2.5,2.7,2.9,3.1,3.3,3.5,3.7,3.9,4.1,4.3,4.5,4.7,4.9,5.1,5.3,5.5,5.6,5.7,5.8,5.9},{0,10,20,30,40,50,60,62,64,66,68,70,72,74,76,78,80,85,90,95,100})</f>
        <v>100</v>
      </c>
      <c r="Q203" s="15">
        <v>3.53</v>
      </c>
      <c r="R203" s="15">
        <f t="shared" si="119"/>
        <v>6.47</v>
      </c>
      <c r="S203" s="1">
        <f>LOOKUP(R203,{0,3.75,3.95,4.55,4.75,4.95,5.55,5.6,5.65,5.7,5.75,5.8,5.85,5.9,5.95,6,6.45,6.53,6.6,6.65,6.7},{0,10,20,30,40,50,60,62,64,66,68,70,72,74,76,78,80,85,90,95,100})</f>
        <v>80</v>
      </c>
      <c r="T203" s="21"/>
      <c r="U203" s="21"/>
      <c r="V203" s="21">
        <f t="shared" si="120"/>
        <v>80</v>
      </c>
      <c r="W203" s="15"/>
      <c r="X203" s="21">
        <f t="shared" si="114"/>
        <v>54.5</v>
      </c>
      <c r="Y203" s="21">
        <f t="shared" si="121"/>
        <v>81.8571428571429</v>
      </c>
    </row>
    <row r="204" ht="15.6" hidden="1" outlineLevel="2" spans="1:25">
      <c r="A204" s="15">
        <v>107</v>
      </c>
      <c r="B204" s="15">
        <v>29</v>
      </c>
      <c r="C204" s="14" t="s">
        <v>328</v>
      </c>
      <c r="D204" s="14" t="s">
        <v>11</v>
      </c>
      <c r="E204" s="15">
        <v>6.5</v>
      </c>
      <c r="F204" s="1">
        <f>LOOKUP(E204,{0,-4,-3,-2,-1,0,1,2.4,3.8,5.2,6.6,8,9.4,10.8,12.2,13.6,15,17.2,19.4,21.5,23.6},{0,10,20,30,40,50,60,62,64,66,68,70,72,74,76,78,80,85,90,95,100})</f>
        <v>66</v>
      </c>
      <c r="G204" s="15">
        <v>172</v>
      </c>
      <c r="H204" s="1">
        <f>LOOKUP(G204,{0,170,175,180,185,190,195,199,203,207,211,215,219,223,227,231,235,243,250,255,260},{0,10,20,30,40,50,60,62,64,66,68,70,72,74,76,78,80,85,90,95,100})</f>
        <v>10</v>
      </c>
      <c r="I204" s="15">
        <v>1</v>
      </c>
      <c r="J204" s="1">
        <f>LOOKUP(I204,{0,2,3,4,5,6,7,8,9,10,11,12,13,14,15,16},{0,10,20,30,40,50,60,64,68,72,76,80,85,90,95,100})</f>
        <v>0</v>
      </c>
      <c r="K204" s="21"/>
      <c r="L204" s="21"/>
      <c r="M204" s="21">
        <f t="shared" si="118"/>
        <v>0</v>
      </c>
      <c r="N204" s="15">
        <v>9.9</v>
      </c>
      <c r="O204" s="19">
        <f t="shared" si="111"/>
        <v>3.1</v>
      </c>
      <c r="P204" s="1">
        <f>LOOKUP(O204,{0,2.5,2.7,2.9,3.1,3.3,3.5,3.7,3.9,4.1,4.3,4.5,4.7,4.9,5.1,5.3,5.5,5.6,5.7,5.8,5.9},{0,10,20,30,40,50,60,62,64,66,68,70,72,74,76,78,80,85,90,95,100})</f>
        <v>40</v>
      </c>
      <c r="Q204" s="15">
        <v>4.46</v>
      </c>
      <c r="R204" s="15">
        <f t="shared" si="119"/>
        <v>5.54</v>
      </c>
      <c r="S204" s="1">
        <f>LOOKUP(R204,{0,3.75,3.95,4.55,4.75,4.95,5.55,5.6,5.65,5.7,5.75,5.8,5.85,5.9,5.95,6,6.45,6.53,6.6,6.65,6.7},{0,10,20,30,40,50,60,62,64,66,68,70,72,74,76,78,80,85,90,95,100})</f>
        <v>50</v>
      </c>
      <c r="T204" s="21"/>
      <c r="U204" s="21"/>
      <c r="V204" s="21">
        <f t="shared" si="120"/>
        <v>50</v>
      </c>
      <c r="W204" s="15"/>
      <c r="X204" s="21">
        <f t="shared" si="114"/>
        <v>25.6</v>
      </c>
      <c r="Y204" s="21">
        <f t="shared" si="121"/>
        <v>36.5714285714286</v>
      </c>
    </row>
    <row r="205" ht="15.6" outlineLevel="1" collapsed="1" spans="1:25">
      <c r="A205" s="16" t="s">
        <v>848</v>
      </c>
      <c r="B205" s="15"/>
      <c r="C205" s="14"/>
      <c r="D205" s="14"/>
      <c r="E205" s="15"/>
      <c r="F205" s="1">
        <f>SUBTOTAL(1,F176:F204)</f>
        <v>70.1785714285714</v>
      </c>
      <c r="G205" s="15"/>
      <c r="H205" s="1">
        <f>SUBTOTAL(1,H176:H204)</f>
        <v>72.0714285714286</v>
      </c>
      <c r="I205" s="15"/>
      <c r="J205" s="1">
        <f>SUBTOTAL(1,J176:J204)</f>
        <v>63.6071428571429</v>
      </c>
      <c r="K205" s="21"/>
      <c r="L205" s="21"/>
      <c r="M205" s="21">
        <f>SUBTOTAL(1,M176:M204)</f>
        <v>64.75</v>
      </c>
      <c r="N205" s="15"/>
      <c r="O205" s="19"/>
      <c r="P205" s="1">
        <f>SUBTOTAL(1,P176:P204)</f>
        <v>86.3103448275862</v>
      </c>
      <c r="Q205" s="15"/>
      <c r="R205" s="15"/>
      <c r="S205" s="1">
        <f>SUBTOTAL(1,S176:S204)</f>
        <v>82.8928571428571</v>
      </c>
      <c r="T205" s="21"/>
      <c r="U205" s="21"/>
      <c r="V205" s="21">
        <f>SUBTOTAL(1,V176:V204)</f>
        <v>83.2857142857143</v>
      </c>
      <c r="W205" s="15"/>
      <c r="X205" s="21">
        <f>SUBTOTAL(1,X176:X204)</f>
        <v>53.1448275862069</v>
      </c>
      <c r="Y205" s="21">
        <f>SUBTOTAL(1,Y176:Y204)</f>
        <v>78.1428571428571</v>
      </c>
    </row>
    <row r="206" ht="15.6" hidden="1" outlineLevel="2" spans="1:25">
      <c r="A206" s="15">
        <v>108</v>
      </c>
      <c r="B206" s="15">
        <v>1</v>
      </c>
      <c r="C206" s="13" t="s">
        <v>351</v>
      </c>
      <c r="D206" s="14" t="s">
        <v>11</v>
      </c>
      <c r="E206" s="15">
        <v>20</v>
      </c>
      <c r="F206" s="1">
        <f>LOOKUP(E206,{0,-4,-3,-2,-1,0,1,2.4,3.8,5.2,6.6,8,9.4,10.8,12.2,13.6,15,17.2,19.4,21.5,23.6},{0,10,20,30,40,50,60,62,64,66,68,70,72,74,76,78,80,85,90,95,100})</f>
        <v>90</v>
      </c>
      <c r="G206" s="15">
        <v>230</v>
      </c>
      <c r="H206" s="1">
        <f>LOOKUP(G206,{0,170,175,180,185,190,195,199,203,207,211,215,219,223,227,231,235,243,250,255,260},{0,10,20,30,40,50,60,62,64,66,68,70,72,74,76,78,80,85,90,95,100})</f>
        <v>76</v>
      </c>
      <c r="I206" s="15">
        <v>15</v>
      </c>
      <c r="J206" s="1">
        <f>LOOKUP(I206,{0,2,3,4,5,6,7,8,9,10,11,12,13,14,15,16},{0,10,20,30,40,50,60,64,68,72,76,80,85,90,95,100})</f>
        <v>95</v>
      </c>
      <c r="K206" s="21"/>
      <c r="L206" s="21"/>
      <c r="M206" s="21">
        <f t="shared" ref="M206:M220" si="122">J206+L206</f>
        <v>95</v>
      </c>
      <c r="N206" s="15">
        <v>6.9</v>
      </c>
      <c r="O206" s="19">
        <f t="shared" ref="O206:O226" si="123">13-N206</f>
        <v>6.1</v>
      </c>
      <c r="P206" s="1">
        <f>LOOKUP(O206,{0,2.5,2.7,2.9,3.1,3.3,3.5,3.7,3.9,4.1,4.3,4.5,4.7,4.9,5.1,5.3,5.5,5.6,5.7,5.8,5.9},{0,10,20,30,40,50,60,62,64,66,68,70,72,74,76,78,80,85,90,95,100})</f>
        <v>100</v>
      </c>
      <c r="Q206" s="15">
        <v>3.38</v>
      </c>
      <c r="R206" s="15">
        <f t="shared" ref="R206:R234" si="124">10-Q206</f>
        <v>6.62</v>
      </c>
      <c r="S206" s="1">
        <f>LOOKUP(R206,{0,3.75,3.95,4.55,4.75,4.95,5.55,5.6,5.65,5.7,5.75,5.8,5.85,5.9,5.95,6,6.45,6.53,6.6,6.65,6.7},{0,10,20,30,40,50,60,62,64,66,68,70,72,74,76,78,80,85,90,95,100})</f>
        <v>90</v>
      </c>
      <c r="T206" s="21"/>
      <c r="U206" s="21"/>
      <c r="V206" s="21">
        <f t="shared" ref="V206:V234" si="125">S206+U206</f>
        <v>90</v>
      </c>
      <c r="W206" s="15"/>
      <c r="X206" s="21">
        <f t="shared" ref="X206:X234" si="126">F206*0.1+H206*0.1+J206*0.1+P206*0.2+S206*0.2</f>
        <v>64.1</v>
      </c>
      <c r="Y206" s="21">
        <f t="shared" ref="Y206:Y226" si="127">X206/0.7+L206+U206</f>
        <v>91.5714285714286</v>
      </c>
    </row>
    <row r="207" ht="15.6" hidden="1" outlineLevel="2" spans="1:25">
      <c r="A207" s="15">
        <v>108</v>
      </c>
      <c r="B207" s="15">
        <v>2</v>
      </c>
      <c r="C207" s="14" t="s">
        <v>352</v>
      </c>
      <c r="D207" s="14" t="s">
        <v>11</v>
      </c>
      <c r="E207" s="15"/>
      <c r="F207" s="1"/>
      <c r="G207" s="15"/>
      <c r="H207" s="1"/>
      <c r="I207" s="15"/>
      <c r="J207" s="1"/>
      <c r="K207" s="21"/>
      <c r="L207" s="21"/>
      <c r="M207" s="21"/>
      <c r="N207" s="15"/>
      <c r="O207" s="19"/>
      <c r="P207" s="1"/>
      <c r="Q207" s="15"/>
      <c r="R207" s="15"/>
      <c r="S207" s="1"/>
      <c r="T207" s="21"/>
      <c r="U207" s="1"/>
      <c r="V207" s="21"/>
      <c r="W207" s="15" t="s">
        <v>84</v>
      </c>
      <c r="X207" s="21">
        <f t="shared" si="126"/>
        <v>0</v>
      </c>
      <c r="Y207" s="21">
        <v>50</v>
      </c>
    </row>
    <row r="208" s="3" customFormat="1" ht="15.6" hidden="1" outlineLevel="2" spans="1:25">
      <c r="A208" s="15">
        <v>108</v>
      </c>
      <c r="B208" s="15">
        <v>3</v>
      </c>
      <c r="C208" s="14" t="s">
        <v>353</v>
      </c>
      <c r="D208" s="14" t="s">
        <v>11</v>
      </c>
      <c r="E208" s="15">
        <v>6.5</v>
      </c>
      <c r="F208" s="1">
        <f>LOOKUP(E208,{0,-4,-3,-2,-1,0,1,2.4,3.8,5.2,6.6,8,9.4,10.8,12.2,13.6,15,17.2,19.4,21.5,23.6},{0,10,20,30,40,50,60,62,64,66,68,70,72,74,76,78,80,85,90,95,100})</f>
        <v>66</v>
      </c>
      <c r="G208" s="15">
        <v>240</v>
      </c>
      <c r="H208" s="1">
        <f>LOOKUP(G208,{0,170,175,180,185,190,195,199,203,207,211,215,219,223,227,231,235,243,250,255,260},{0,10,20,30,40,50,60,62,64,66,68,70,72,74,76,78,80,85,90,95,100})</f>
        <v>80</v>
      </c>
      <c r="I208" s="15">
        <v>17</v>
      </c>
      <c r="J208" s="1">
        <f>LOOKUP(I208,{0,2,3,4,5,6,7,8,9,10,11,12,13,14,15,16},{0,10,20,30,40,50,60,64,68,72,76,80,85,90,95,100})</f>
        <v>100</v>
      </c>
      <c r="K208" s="21">
        <f>I208-16</f>
        <v>1</v>
      </c>
      <c r="L208" s="1">
        <f>LOOKUP(K208,{0,1,2,3,4,5,6,7,8,9,10},{0,1,2,3,4,5,6,7,8,9,10})</f>
        <v>1</v>
      </c>
      <c r="M208" s="21">
        <f t="shared" si="122"/>
        <v>101</v>
      </c>
      <c r="N208" s="15">
        <v>7.2</v>
      </c>
      <c r="O208" s="19">
        <f t="shared" si="123"/>
        <v>5.8</v>
      </c>
      <c r="P208" s="1">
        <f>LOOKUP(O208,{0,2.5,2.7,2.9,3.1,3.3,3.5,3.7,3.9,4.1,4.3,4.5,4.7,4.9,5.1,5.3,5.5,5.6,5.7,5.8,5.9},{0,10,20,30,40,50,60,62,64,66,68,70,72,74,76,78,80,85,90,95,100})</f>
        <v>95</v>
      </c>
      <c r="Q208" s="15">
        <v>3.59</v>
      </c>
      <c r="R208" s="15">
        <f t="shared" si="124"/>
        <v>6.41</v>
      </c>
      <c r="S208" s="1">
        <f>LOOKUP(R208,{0,3.75,3.95,4.55,4.75,4.95,5.55,5.6,5.65,5.7,5.75,5.8,5.85,5.9,5.95,6,6.45,6.53,6.6,6.65,6.7},{0,10,20,30,40,50,60,62,64,66,68,70,72,74,76,78,80,85,90,95,100})</f>
        <v>78</v>
      </c>
      <c r="T208" s="21"/>
      <c r="U208" s="21"/>
      <c r="V208" s="21">
        <f t="shared" si="125"/>
        <v>78</v>
      </c>
      <c r="W208" s="15"/>
      <c r="X208" s="21">
        <f t="shared" si="126"/>
        <v>59.2</v>
      </c>
      <c r="Y208" s="21">
        <f t="shared" si="127"/>
        <v>85.5714285714286</v>
      </c>
    </row>
    <row r="209" ht="15.6" hidden="1" outlineLevel="2" spans="1:25">
      <c r="A209" s="15">
        <v>108</v>
      </c>
      <c r="B209" s="15">
        <v>4</v>
      </c>
      <c r="C209" s="14" t="s">
        <v>354</v>
      </c>
      <c r="D209" s="14" t="s">
        <v>11</v>
      </c>
      <c r="E209" s="15">
        <v>9</v>
      </c>
      <c r="F209" s="1">
        <f>LOOKUP(E209,{0,-4,-3,-2,-1,0,1,2.4,3.8,5.2,6.6,8,9.4,10.8,12.2,13.6,15,17.2,19.4,21.5,23.6},{0,10,20,30,40,50,60,62,64,66,68,70,72,74,76,78,80,85,90,95,100})</f>
        <v>70</v>
      </c>
      <c r="G209" s="15">
        <v>235</v>
      </c>
      <c r="H209" s="1">
        <f>LOOKUP(G209,{0,170,175,180,185,190,195,199,203,207,211,215,219,223,227,231,235,243,250,255,260},{0,10,20,30,40,50,60,62,64,66,68,70,72,74,76,78,80,85,90,95,100})</f>
        <v>80</v>
      </c>
      <c r="I209" s="15">
        <v>10</v>
      </c>
      <c r="J209" s="1">
        <f>LOOKUP(I209,{0,2,3,4,5,6,7,8,9,10,11,12,13,14,15,16},{0,10,20,30,40,50,60,64,68,72,76,80,85,90,95,100})</f>
        <v>72</v>
      </c>
      <c r="K209" s="21"/>
      <c r="L209" s="21"/>
      <c r="M209" s="21">
        <f t="shared" si="122"/>
        <v>72</v>
      </c>
      <c r="N209" s="15">
        <v>7.5</v>
      </c>
      <c r="O209" s="19">
        <f t="shared" si="123"/>
        <v>5.5</v>
      </c>
      <c r="P209" s="1">
        <f>LOOKUP(O209,{0,2.5,2.7,2.9,3.1,3.3,3.5,3.7,3.9,4.1,4.3,4.5,4.7,4.9,5.1,5.3,5.5,5.6,5.7,5.8,5.9},{0,10,20,30,40,50,60,62,64,66,68,70,72,74,76,78,80,85,90,95,100})</f>
        <v>80</v>
      </c>
      <c r="Q209" s="15">
        <v>3.57</v>
      </c>
      <c r="R209" s="15">
        <f t="shared" si="124"/>
        <v>6.43</v>
      </c>
      <c r="S209" s="1">
        <f>LOOKUP(R209,{0,3.75,3.95,4.55,4.75,4.95,5.55,5.6,5.65,5.7,5.75,5.8,5.85,5.9,5.95,6,6.45,6.53,6.6,6.65,6.7},{0,10,20,30,40,50,60,62,64,66,68,70,72,74,76,78,80,85,90,95,100})</f>
        <v>78</v>
      </c>
      <c r="T209" s="21"/>
      <c r="U209" s="21"/>
      <c r="V209" s="21">
        <f t="shared" si="125"/>
        <v>78</v>
      </c>
      <c r="W209" s="15"/>
      <c r="X209" s="21">
        <f t="shared" si="126"/>
        <v>53.8</v>
      </c>
      <c r="Y209" s="21">
        <f t="shared" si="127"/>
        <v>76.8571428571429</v>
      </c>
    </row>
    <row r="210" ht="15.6" hidden="1" outlineLevel="2" spans="1:25">
      <c r="A210" s="15">
        <v>108</v>
      </c>
      <c r="B210" s="15">
        <v>5</v>
      </c>
      <c r="C210" s="14" t="s">
        <v>355</v>
      </c>
      <c r="D210" s="14" t="s">
        <v>11</v>
      </c>
      <c r="E210" s="15">
        <v>17</v>
      </c>
      <c r="F210" s="1">
        <f>LOOKUP(E210,{0,-4,-3,-2,-1,0,1,2.4,3.8,5.2,6.6,8,9.4,10.8,12.2,13.6,15,17.2,19.4,21.5,23.6},{0,10,20,30,40,50,60,62,64,66,68,70,72,74,76,78,80,85,90,95,100})</f>
        <v>80</v>
      </c>
      <c r="G210" s="15">
        <v>245</v>
      </c>
      <c r="H210" s="1">
        <f>LOOKUP(G210,{0,170,175,180,185,190,195,199,203,207,211,215,219,223,227,231,235,243,250,255,260},{0,10,20,30,40,50,60,62,64,66,68,70,72,74,76,78,80,85,90,95,100})</f>
        <v>85</v>
      </c>
      <c r="I210" s="15">
        <v>3</v>
      </c>
      <c r="J210" s="1">
        <f>LOOKUP(I210,{0,2,3,4,5,6,7,8,9,10,11,12,13,14,15,16},{0,10,20,30,40,50,60,64,68,72,76,80,85,90,95,100})</f>
        <v>20</v>
      </c>
      <c r="K210" s="21"/>
      <c r="L210" s="21"/>
      <c r="M210" s="21">
        <f t="shared" si="122"/>
        <v>20</v>
      </c>
      <c r="N210" s="15">
        <v>7.4</v>
      </c>
      <c r="O210" s="19">
        <f t="shared" si="123"/>
        <v>5.6</v>
      </c>
      <c r="P210" s="1">
        <f>LOOKUP(O210,{0,2.5,2.7,2.9,3.1,3.3,3.5,3.7,3.9,4.1,4.3,4.5,4.7,4.9,5.1,5.3,5.5,5.6,5.7,5.8,5.9},{0,10,20,30,40,50,60,62,64,66,68,70,72,74,76,78,80,85,90,95,100})</f>
        <v>85</v>
      </c>
      <c r="Q210" s="15">
        <v>3.57</v>
      </c>
      <c r="R210" s="15">
        <f t="shared" si="124"/>
        <v>6.43</v>
      </c>
      <c r="S210" s="1">
        <f>LOOKUP(R210,{0,3.75,3.95,4.55,4.75,4.95,5.55,5.6,5.65,5.7,5.75,5.8,5.85,5.9,5.95,6,6.45,6.53,6.6,6.65,6.7},{0,10,20,30,40,50,60,62,64,66,68,70,72,74,76,78,80,85,90,95,100})</f>
        <v>78</v>
      </c>
      <c r="T210" s="21"/>
      <c r="U210" s="21"/>
      <c r="V210" s="21">
        <f t="shared" si="125"/>
        <v>78</v>
      </c>
      <c r="W210" s="15"/>
      <c r="X210" s="21">
        <f t="shared" si="126"/>
        <v>51.1</v>
      </c>
      <c r="Y210" s="21">
        <f t="shared" si="127"/>
        <v>73</v>
      </c>
    </row>
    <row r="211" ht="15.6" hidden="1" outlineLevel="2" spans="1:25">
      <c r="A211" s="15">
        <v>108</v>
      </c>
      <c r="B211" s="15">
        <v>6</v>
      </c>
      <c r="C211" s="14" t="s">
        <v>356</v>
      </c>
      <c r="D211" s="14" t="s">
        <v>11</v>
      </c>
      <c r="E211" s="15">
        <v>4</v>
      </c>
      <c r="F211" s="1">
        <f>LOOKUP(E211,{0,-4,-3,-2,-1,0,1,2.4,3.8,5.2,6.6,8,9.4,10.8,12.2,13.6,15,17.2,19.4,21.5,23.6},{0,10,20,30,40,50,60,62,64,66,68,70,72,74,76,78,80,85,90,95,100})</f>
        <v>64</v>
      </c>
      <c r="G211" s="15">
        <v>176</v>
      </c>
      <c r="H211" s="1">
        <f>LOOKUP(G211,{0,170,175,180,185,190,195,199,203,207,211,215,219,223,227,231,235,243,250,255,260},{0,10,20,30,40,50,60,62,64,66,68,70,72,74,76,78,80,85,90,95,100})</f>
        <v>20</v>
      </c>
      <c r="I211" s="15">
        <v>0</v>
      </c>
      <c r="J211" s="1">
        <f>LOOKUP(I211,{0,2,3,4,5,6,7,8,9,10,11,12,13,14,15,16},{0,10,20,30,40,50,60,64,68,72,76,80,85,90,95,100})</f>
        <v>0</v>
      </c>
      <c r="K211" s="21"/>
      <c r="L211" s="21"/>
      <c r="M211" s="21">
        <f t="shared" si="122"/>
        <v>0</v>
      </c>
      <c r="N211" s="15">
        <v>2.2</v>
      </c>
      <c r="O211" s="19">
        <f t="shared" si="123"/>
        <v>10.8</v>
      </c>
      <c r="P211" s="1">
        <f>LOOKUP(O211,{0,2.5,2.7,2.9,3.1,3.3,3.5,3.7,3.9,4.1,4.3,4.5,4.7,4.9,5.1,5.3,5.5,5.6,5.7,5.8,5.9},{0,10,20,30,40,50,60,62,64,66,68,70,72,74,76,78,80,85,90,95,100})</f>
        <v>100</v>
      </c>
      <c r="Q211" s="15">
        <v>4.01</v>
      </c>
      <c r="R211" s="15">
        <f t="shared" si="124"/>
        <v>5.99</v>
      </c>
      <c r="S211" s="1">
        <f>LOOKUP(R211,{0,3.75,3.95,4.55,4.75,4.95,5.55,5.6,5.65,5.7,5.75,5.8,5.85,5.9,5.95,6,6.45,6.53,6.6,6.65,6.7},{0,10,20,30,40,50,60,62,64,66,68,70,72,74,76,78,80,85,90,95,100})</f>
        <v>76</v>
      </c>
      <c r="T211" s="21"/>
      <c r="U211" s="21"/>
      <c r="V211" s="21">
        <f t="shared" si="125"/>
        <v>76</v>
      </c>
      <c r="W211" s="15"/>
      <c r="X211" s="21">
        <f t="shared" si="126"/>
        <v>43.6</v>
      </c>
      <c r="Y211" s="21">
        <f t="shared" si="127"/>
        <v>62.2857142857143</v>
      </c>
    </row>
    <row r="212" ht="15.6" hidden="1" outlineLevel="2" spans="1:25">
      <c r="A212" s="15">
        <v>108</v>
      </c>
      <c r="B212" s="15">
        <v>7</v>
      </c>
      <c r="C212" s="14" t="s">
        <v>357</v>
      </c>
      <c r="D212" s="14" t="s">
        <v>11</v>
      </c>
      <c r="E212" s="15">
        <v>3</v>
      </c>
      <c r="F212" s="1">
        <f>LOOKUP(E212,{0,-4,-3,-2,-1,0,1,2.4,3.8,5.2,6.6,8,9.4,10.8,12.2,13.6,15,17.2,19.4,21.5,23.6},{0,10,20,30,40,50,60,62,64,66,68,70,72,74,76,78,80,85,90,95,100})</f>
        <v>62</v>
      </c>
      <c r="G212" s="15">
        <v>190</v>
      </c>
      <c r="H212" s="1">
        <f>LOOKUP(G212,{0,170,175,180,185,190,195,199,203,207,211,215,219,223,227,231,235,243,250,255,260},{0,10,20,30,40,50,60,62,64,66,68,70,72,74,76,78,80,85,90,95,100})</f>
        <v>50</v>
      </c>
      <c r="I212" s="15">
        <v>0</v>
      </c>
      <c r="J212" s="1">
        <f>LOOKUP(I212,{0,2,3,4,5,6,7,8,9,10,11,12,13,14,15,16},{0,10,20,30,40,50,60,64,68,72,76,80,85,90,95,100})</f>
        <v>0</v>
      </c>
      <c r="K212" s="21"/>
      <c r="L212" s="21"/>
      <c r="M212" s="21">
        <f t="shared" si="122"/>
        <v>0</v>
      </c>
      <c r="N212" s="15">
        <v>7.7</v>
      </c>
      <c r="O212" s="19">
        <f t="shared" si="123"/>
        <v>5.3</v>
      </c>
      <c r="P212" s="1">
        <f>LOOKUP(O212,{0,2.5,2.7,2.9,3.1,3.3,3.5,3.7,3.9,4.1,4.3,4.5,4.7,4.9,5.1,5.3,5.5,5.6,5.7,5.8,5.9},{0,10,20,30,40,50,60,62,64,66,68,70,72,74,76,78,80,85,90,95,100})</f>
        <v>78</v>
      </c>
      <c r="Q212" s="15">
        <v>3.58</v>
      </c>
      <c r="R212" s="15">
        <f t="shared" si="124"/>
        <v>6.42</v>
      </c>
      <c r="S212" s="1">
        <f>LOOKUP(R212,{0,3.75,3.95,4.55,4.75,4.95,5.55,5.6,5.65,5.7,5.75,5.8,5.85,5.9,5.95,6,6.45,6.53,6.6,6.65,6.7},{0,10,20,30,40,50,60,62,64,66,68,70,72,74,76,78,80,85,90,95,100})</f>
        <v>78</v>
      </c>
      <c r="T212" s="21"/>
      <c r="U212" s="21"/>
      <c r="V212" s="21">
        <f t="shared" si="125"/>
        <v>78</v>
      </c>
      <c r="W212" s="15"/>
      <c r="X212" s="21">
        <f t="shared" si="126"/>
        <v>42.4</v>
      </c>
      <c r="Y212" s="21">
        <f t="shared" si="127"/>
        <v>60.5714285714286</v>
      </c>
    </row>
    <row r="213" ht="15.6" hidden="1" outlineLevel="2" spans="1:25">
      <c r="A213" s="15">
        <v>108</v>
      </c>
      <c r="B213" s="15">
        <v>8</v>
      </c>
      <c r="C213" s="14" t="s">
        <v>358</v>
      </c>
      <c r="D213" s="14" t="s">
        <v>11</v>
      </c>
      <c r="E213" s="15">
        <v>10.6</v>
      </c>
      <c r="F213" s="1">
        <f>LOOKUP(E213,{0,-4,-3,-2,-1,0,1,2.4,3.8,5.2,6.6,8,9.4,10.8,12.2,13.6,15,17.2,19.4,21.5,23.6},{0,10,20,30,40,50,60,62,64,66,68,70,72,74,76,78,80,85,90,95,100})</f>
        <v>72</v>
      </c>
      <c r="G213" s="15">
        <v>200</v>
      </c>
      <c r="H213" s="1">
        <f>LOOKUP(G213,{0,170,175,180,185,190,195,199,203,207,211,215,219,223,227,231,235,243,250,255,260},{0,10,20,30,40,50,60,62,64,66,68,70,72,74,76,78,80,85,90,95,100})</f>
        <v>62</v>
      </c>
      <c r="I213" s="15">
        <v>13</v>
      </c>
      <c r="J213" s="1">
        <f>LOOKUP(I213,{0,2,3,4,5,6,7,8,9,10,11,12,13,14,15,16},{0,10,20,30,40,50,60,64,68,72,76,80,85,90,95,100})</f>
        <v>85</v>
      </c>
      <c r="K213" s="21"/>
      <c r="L213" s="21"/>
      <c r="M213" s="21">
        <f t="shared" si="122"/>
        <v>85</v>
      </c>
      <c r="N213" s="15">
        <v>7.4</v>
      </c>
      <c r="O213" s="19">
        <f t="shared" si="123"/>
        <v>5.6</v>
      </c>
      <c r="P213" s="1">
        <f>LOOKUP(O213,{0,2.5,2.7,2.9,3.1,3.3,3.5,3.7,3.9,4.1,4.3,4.5,4.7,4.9,5.1,5.3,5.5,5.6,5.7,5.8,5.9},{0,10,20,30,40,50,60,62,64,66,68,70,72,74,76,78,80,85,90,95,100})</f>
        <v>85</v>
      </c>
      <c r="Q213" s="15">
        <v>3.48</v>
      </c>
      <c r="R213" s="15">
        <f t="shared" si="124"/>
        <v>6.52</v>
      </c>
      <c r="S213" s="1">
        <f>LOOKUP(R213,{0,3.75,3.95,4.55,4.75,4.95,5.55,5.6,5.65,5.7,5.75,5.8,5.85,5.9,5.95,6,6.45,6.53,6.6,6.65,6.7},{0,10,20,30,40,50,60,62,64,66,68,70,72,74,76,78,80,85,90,95,100})</f>
        <v>80</v>
      </c>
      <c r="T213" s="21"/>
      <c r="U213" s="21"/>
      <c r="V213" s="21">
        <f t="shared" si="125"/>
        <v>80</v>
      </c>
      <c r="W213" s="15"/>
      <c r="X213" s="21">
        <f t="shared" si="126"/>
        <v>54.9</v>
      </c>
      <c r="Y213" s="21">
        <f t="shared" si="127"/>
        <v>78.4285714285714</v>
      </c>
    </row>
    <row r="214" ht="15.6" hidden="1" outlineLevel="2" spans="1:25">
      <c r="A214" s="15">
        <v>108</v>
      </c>
      <c r="B214" s="15">
        <v>9</v>
      </c>
      <c r="C214" s="14" t="s">
        <v>359</v>
      </c>
      <c r="D214" s="14" t="s">
        <v>11</v>
      </c>
      <c r="E214" s="15">
        <v>16.8</v>
      </c>
      <c r="F214" s="1">
        <f>LOOKUP(E214,{0,-4,-3,-2,-1,0,1,2.4,3.8,5.2,6.6,8,9.4,10.8,12.2,13.6,15,17.2,19.4,21.5,23.6},{0,10,20,30,40,50,60,62,64,66,68,70,72,74,76,78,80,85,90,95,100})</f>
        <v>80</v>
      </c>
      <c r="G214" s="15">
        <v>231</v>
      </c>
      <c r="H214" s="1">
        <f>LOOKUP(G214,{0,170,175,180,185,190,195,199,203,207,211,215,219,223,227,231,235,243,250,255,260},{0,10,20,30,40,50,60,62,64,66,68,70,72,74,76,78,80,85,90,95,100})</f>
        <v>78</v>
      </c>
      <c r="I214" s="15">
        <v>23</v>
      </c>
      <c r="J214" s="1">
        <f>LOOKUP(I214,{0,2,3,4,5,6,7,8,9,10,11,12,13,14,15,16},{0,10,20,30,40,50,60,64,68,72,76,80,85,90,95,100})</f>
        <v>100</v>
      </c>
      <c r="K214" s="21">
        <f>I214-16</f>
        <v>7</v>
      </c>
      <c r="L214" s="1">
        <f>LOOKUP(K214,{0,1,2,3,4,5,6,7,8,9,10},{0,1,2,3,4,5,6,7,8,9,10})</f>
        <v>7</v>
      </c>
      <c r="M214" s="21">
        <f t="shared" si="122"/>
        <v>107</v>
      </c>
      <c r="N214" s="15">
        <v>7.2</v>
      </c>
      <c r="O214" s="19">
        <f t="shared" si="123"/>
        <v>5.8</v>
      </c>
      <c r="P214" s="1">
        <f>LOOKUP(O214,{0,2.5,2.7,2.9,3.1,3.3,3.5,3.7,3.9,4.1,4.3,4.5,4.7,4.9,5.1,5.3,5.5,5.6,5.7,5.8,5.9},{0,10,20,30,40,50,60,62,64,66,68,70,72,74,76,78,80,85,90,95,100})</f>
        <v>95</v>
      </c>
      <c r="Q214" s="15">
        <v>3.34</v>
      </c>
      <c r="R214" s="15">
        <f t="shared" si="124"/>
        <v>6.66</v>
      </c>
      <c r="S214" s="1">
        <f>LOOKUP(R214,{0,3.75,3.95,4.55,4.75,4.95,5.55,5.6,5.65,5.7,5.75,5.8,5.85,5.9,5.95,6,6.45,6.53,6.6,6.65,6.7},{0,10,20,30,40,50,60,62,64,66,68,70,72,74,76,78,80,85,90,95,100})</f>
        <v>95</v>
      </c>
      <c r="T214" s="21"/>
      <c r="U214" s="21"/>
      <c r="V214" s="21">
        <f t="shared" si="125"/>
        <v>95</v>
      </c>
      <c r="W214" s="15"/>
      <c r="X214" s="21">
        <f t="shared" si="126"/>
        <v>63.8</v>
      </c>
      <c r="Y214" s="21">
        <f t="shared" si="127"/>
        <v>98.1428571428571</v>
      </c>
    </row>
    <row r="215" ht="15.6" hidden="1" outlineLevel="2" spans="1:25">
      <c r="A215" s="15">
        <v>108</v>
      </c>
      <c r="B215" s="15">
        <v>10</v>
      </c>
      <c r="C215" s="14" t="s">
        <v>360</v>
      </c>
      <c r="D215" s="14" t="s">
        <v>11</v>
      </c>
      <c r="E215" s="15">
        <v>11</v>
      </c>
      <c r="F215" s="1">
        <f>LOOKUP(E215,{0,-4,-3,-2,-1,0,1,2.4,3.8,5.2,6.6,8,9.4,10.8,12.2,13.6,15,17.2,19.4,21.5,23.6},{0,10,20,30,40,50,60,62,64,66,68,70,72,74,76,78,80,85,90,95,100})</f>
        <v>74</v>
      </c>
      <c r="G215" s="15">
        <v>232</v>
      </c>
      <c r="H215" s="1">
        <f>LOOKUP(G215,{0,170,175,180,185,190,195,199,203,207,211,215,219,223,227,231,235,243,250,255,260},{0,10,20,30,40,50,60,62,64,66,68,70,72,74,76,78,80,85,90,95,100})</f>
        <v>78</v>
      </c>
      <c r="I215" s="15">
        <v>10</v>
      </c>
      <c r="J215" s="1">
        <f>LOOKUP(I215,{0,2,3,4,5,6,7,8,9,10,11,12,13,14,15,16},{0,10,20,30,40,50,60,64,68,72,76,80,85,90,95,100})</f>
        <v>72</v>
      </c>
      <c r="K215" s="21"/>
      <c r="L215" s="21"/>
      <c r="M215" s="21">
        <f t="shared" si="122"/>
        <v>72</v>
      </c>
      <c r="N215" s="15">
        <v>7.4</v>
      </c>
      <c r="O215" s="19">
        <f t="shared" si="123"/>
        <v>5.6</v>
      </c>
      <c r="P215" s="1">
        <f>LOOKUP(O215,{0,2.5,2.7,2.9,3.1,3.3,3.5,3.7,3.9,4.1,4.3,4.5,4.7,4.9,5.1,5.3,5.5,5.6,5.7,5.8,5.9},{0,10,20,30,40,50,60,62,64,66,68,70,72,74,76,78,80,85,90,95,100})</f>
        <v>85</v>
      </c>
      <c r="Q215" s="15">
        <v>4.35</v>
      </c>
      <c r="R215" s="15">
        <f t="shared" si="124"/>
        <v>5.65</v>
      </c>
      <c r="S215" s="1">
        <f>LOOKUP(R215,{0,3.75,3.95,4.55,4.75,4.95,5.55,5.6,5.65,5.7,5.75,5.8,5.85,5.9,5.95,6,6.45,6.53,6.6,6.65,6.7},{0,10,20,30,40,50,60,62,64,66,68,70,72,74,76,78,80,85,90,95,100})</f>
        <v>64</v>
      </c>
      <c r="T215" s="21"/>
      <c r="U215" s="21"/>
      <c r="V215" s="21">
        <f t="shared" si="125"/>
        <v>64</v>
      </c>
      <c r="W215" s="15"/>
      <c r="X215" s="21">
        <f t="shared" si="126"/>
        <v>52.2</v>
      </c>
      <c r="Y215" s="21">
        <f t="shared" si="127"/>
        <v>74.5714285714286</v>
      </c>
    </row>
    <row r="216" ht="15.6" hidden="1" outlineLevel="2" spans="1:25">
      <c r="A216" s="15">
        <v>108</v>
      </c>
      <c r="B216" s="15">
        <v>11</v>
      </c>
      <c r="C216" s="13" t="s">
        <v>362</v>
      </c>
      <c r="D216" s="14" t="s">
        <v>11</v>
      </c>
      <c r="E216" s="15">
        <v>10.6</v>
      </c>
      <c r="F216" s="1">
        <f>LOOKUP(E216,{0,-4,-3,-2,-1,0,1,2.4,3.8,5.2,6.6,8,9.4,10.8,12.2,13.6,15,17.2,19.4,21.5,23.6},{0,10,20,30,40,50,60,62,64,66,68,70,72,74,76,78,80,85,90,95,100})</f>
        <v>72</v>
      </c>
      <c r="G216" s="15">
        <v>198</v>
      </c>
      <c r="H216" s="1">
        <f>LOOKUP(G216,{0,170,175,180,185,190,195,199,203,207,211,215,219,223,227,231,235,243,250,255,260},{0,10,20,30,40,50,60,62,64,66,68,70,72,74,76,78,80,85,90,95,100})</f>
        <v>60</v>
      </c>
      <c r="I216" s="15">
        <v>11</v>
      </c>
      <c r="J216" s="1">
        <f>LOOKUP(I216,{0,2,3,4,5,6,7,8,9,10,11,12,13,14,15,16},{0,10,20,30,40,50,60,64,68,72,76,80,85,90,95,100})</f>
        <v>76</v>
      </c>
      <c r="K216" s="21"/>
      <c r="L216" s="21"/>
      <c r="M216" s="21">
        <f t="shared" si="122"/>
        <v>76</v>
      </c>
      <c r="N216" s="15">
        <v>8</v>
      </c>
      <c r="O216" s="19">
        <f t="shared" si="123"/>
        <v>5</v>
      </c>
      <c r="P216" s="1">
        <f>LOOKUP(O216,{0,2.5,2.7,2.9,3.1,3.3,3.5,3.7,3.9,4.1,4.3,4.5,4.7,4.9,5.1,5.3,5.5,5.6,5.7,5.8,5.9},{0,10,20,30,40,50,60,62,64,66,68,70,72,74,76,78,80,85,90,95,100})</f>
        <v>74</v>
      </c>
      <c r="Q216" s="15">
        <v>4.21</v>
      </c>
      <c r="R216" s="15">
        <f t="shared" si="124"/>
        <v>5.79</v>
      </c>
      <c r="S216" s="1">
        <f>LOOKUP(R216,{0,3.75,3.95,4.55,4.75,4.95,5.55,5.6,5.65,5.7,5.75,5.8,5.85,5.9,5.95,6,6.45,6.53,6.6,6.65,6.7},{0,10,20,30,40,50,60,62,64,66,68,70,72,74,76,78,80,85,90,95,100})</f>
        <v>68</v>
      </c>
      <c r="T216" s="21"/>
      <c r="U216" s="21"/>
      <c r="V216" s="21">
        <f t="shared" si="125"/>
        <v>68</v>
      </c>
      <c r="W216" s="15"/>
      <c r="X216" s="21">
        <f t="shared" si="126"/>
        <v>49.2</v>
      </c>
      <c r="Y216" s="21">
        <f t="shared" si="127"/>
        <v>70.2857142857143</v>
      </c>
    </row>
    <row r="217" ht="15.6" hidden="1" outlineLevel="2" spans="1:25">
      <c r="A217" s="15">
        <v>108</v>
      </c>
      <c r="B217" s="15">
        <v>12</v>
      </c>
      <c r="C217" s="14" t="s">
        <v>363</v>
      </c>
      <c r="D217" s="14" t="s">
        <v>11</v>
      </c>
      <c r="E217" s="15">
        <v>5.3</v>
      </c>
      <c r="F217" s="1">
        <f>LOOKUP(E217,{0,-4,-3,-2,-1,0,1,2.4,3.8,5.2,6.6,8,9.4,10.8,12.2,13.6,15,17.2,19.4,21.5,23.6},{0,10,20,30,40,50,60,62,64,66,68,70,72,74,76,78,80,85,90,95,100})</f>
        <v>66</v>
      </c>
      <c r="G217" s="15">
        <v>223</v>
      </c>
      <c r="H217" s="1">
        <f>LOOKUP(G217,{0,170,175,180,185,190,195,199,203,207,211,215,219,223,227,231,235,243,250,255,260},{0,10,20,30,40,50,60,62,64,66,68,70,72,74,76,78,80,85,90,95,100})</f>
        <v>74</v>
      </c>
      <c r="I217" s="15">
        <v>24</v>
      </c>
      <c r="J217" s="1">
        <f>LOOKUP(I217,{0,2,3,4,5,6,7,8,9,10,11,12,13,14,15,16},{0,10,20,30,40,50,60,64,68,72,76,80,85,90,95,100})</f>
        <v>100</v>
      </c>
      <c r="K217" s="21">
        <f>I217-16</f>
        <v>8</v>
      </c>
      <c r="L217" s="1">
        <f>LOOKUP(K217,{0,1,2,3,4,5,6,7,8,9,10},{0,1,2,3,4,5,6,7,8,9,10})</f>
        <v>8</v>
      </c>
      <c r="M217" s="21">
        <f t="shared" si="122"/>
        <v>108</v>
      </c>
      <c r="N217" s="15">
        <v>7.4</v>
      </c>
      <c r="O217" s="19">
        <f t="shared" si="123"/>
        <v>5.6</v>
      </c>
      <c r="P217" s="1">
        <f>LOOKUP(O217,{0,2.5,2.7,2.9,3.1,3.3,3.5,3.7,3.9,4.1,4.3,4.5,4.7,4.9,5.1,5.3,5.5,5.6,5.7,5.8,5.9},{0,10,20,30,40,50,60,62,64,66,68,70,72,74,76,78,80,85,90,95,100})</f>
        <v>85</v>
      </c>
      <c r="Q217" s="15">
        <v>3.52</v>
      </c>
      <c r="R217" s="15">
        <f t="shared" si="124"/>
        <v>6.48</v>
      </c>
      <c r="S217" s="1">
        <f>LOOKUP(R217,{0,3.75,3.95,4.55,4.75,4.95,5.55,5.6,5.65,5.7,5.75,5.8,5.85,5.9,5.95,6,6.45,6.53,6.6,6.65,6.7},{0,10,20,30,40,50,60,62,64,66,68,70,72,74,76,78,80,85,90,95,100})</f>
        <v>80</v>
      </c>
      <c r="T217" s="21"/>
      <c r="U217" s="21"/>
      <c r="V217" s="21">
        <f t="shared" si="125"/>
        <v>80</v>
      </c>
      <c r="W217" s="15"/>
      <c r="X217" s="21">
        <f t="shared" si="126"/>
        <v>57</v>
      </c>
      <c r="Y217" s="21">
        <f t="shared" si="127"/>
        <v>89.4285714285714</v>
      </c>
    </row>
    <row r="218" s="3" customFormat="1" ht="15.6" hidden="1" outlineLevel="2" spans="1:25">
      <c r="A218" s="15">
        <v>108</v>
      </c>
      <c r="B218" s="15">
        <v>13</v>
      </c>
      <c r="C218" s="14" t="s">
        <v>364</v>
      </c>
      <c r="D218" s="14" t="s">
        <v>11</v>
      </c>
      <c r="E218" s="15">
        <v>0.2</v>
      </c>
      <c r="F218" s="1">
        <f>LOOKUP(E218,{0,-4,-3,-2,-1,0,1,2.4,3.8,5.2,6.6,8,9.4,10.8,12.2,13.6,15,17.2,19.4,21.5,23.6},{0,10,20,30,40,50,60,62,64,66,68,70,72,74,76,78,80,85,90,95,100})</f>
        <v>50</v>
      </c>
      <c r="G218" s="15">
        <v>206</v>
      </c>
      <c r="H218" s="1">
        <f>LOOKUP(G218,{0,170,175,180,185,190,195,199,203,207,211,215,219,223,227,231,235,243,250,255,260},{0,10,20,30,40,50,60,62,64,66,68,70,72,74,76,78,80,85,90,95,100})</f>
        <v>64</v>
      </c>
      <c r="I218" s="15">
        <v>4</v>
      </c>
      <c r="J218" s="1">
        <f>LOOKUP(I218,{0,2,3,4,5,6,7,8,9,10,11,12,13,14,15,16},{0,10,20,30,40,50,60,64,68,72,76,80,85,90,95,100})</f>
        <v>30</v>
      </c>
      <c r="K218" s="21"/>
      <c r="L218" s="21"/>
      <c r="M218" s="21">
        <f t="shared" si="122"/>
        <v>30</v>
      </c>
      <c r="N218" s="15">
        <v>7.1</v>
      </c>
      <c r="O218" s="19">
        <f t="shared" si="123"/>
        <v>5.9</v>
      </c>
      <c r="P218" s="1">
        <f>LOOKUP(O218,{0,2.5,2.7,2.9,3.1,3.3,3.5,3.7,3.9,4.1,4.3,4.5,4.7,4.9,5.1,5.3,5.5,5.6,5.7,5.8,5.9},{0,10,20,30,40,50,60,62,64,66,68,70,72,74,76,78,80,85,90,95,100})</f>
        <v>100</v>
      </c>
      <c r="Q218" s="15">
        <v>3.27</v>
      </c>
      <c r="R218" s="15">
        <f t="shared" si="124"/>
        <v>6.73</v>
      </c>
      <c r="S218" s="1">
        <f>LOOKUP(R218,{0,3.75,3.95,4.55,4.75,4.95,5.55,5.6,5.65,5.7,5.75,5.8,5.85,5.9,5.95,6,6.45,6.53,6.6,6.65,6.7},{0,10,20,30,40,50,60,62,64,66,68,70,72,74,76,78,80,85,90,95,100})</f>
        <v>100</v>
      </c>
      <c r="T218" s="21">
        <f>3.3-Q218</f>
        <v>0.0299999999999998</v>
      </c>
      <c r="U218" s="1">
        <f>LOOKUP(T218,{0,0.04,0.08,0.12,0.16,0.2,0.23,0.26,0.29,0.32,0.35},{0,1,2,3,4,5,6,7,8,9,10})</f>
        <v>0</v>
      </c>
      <c r="V218" s="21">
        <f t="shared" si="125"/>
        <v>100</v>
      </c>
      <c r="W218" s="15"/>
      <c r="X218" s="21">
        <f t="shared" si="126"/>
        <v>54.4</v>
      </c>
      <c r="Y218" s="21">
        <f t="shared" si="127"/>
        <v>77.7142857142857</v>
      </c>
    </row>
    <row r="219" ht="15.6" hidden="1" outlineLevel="2" spans="1:25">
      <c r="A219" s="15">
        <v>108</v>
      </c>
      <c r="B219" s="15">
        <v>14</v>
      </c>
      <c r="C219" s="14" t="s">
        <v>365</v>
      </c>
      <c r="D219" s="14" t="s">
        <v>11</v>
      </c>
      <c r="E219" s="15">
        <v>16.5</v>
      </c>
      <c r="F219" s="1">
        <f>LOOKUP(E219,{0,-4,-3,-2,-1,0,1,2.4,3.8,5.2,6.6,8,9.4,10.8,12.2,13.6,15,17.2,19.4,21.5,23.6},{0,10,20,30,40,50,60,62,64,66,68,70,72,74,76,78,80,85,90,95,100})</f>
        <v>80</v>
      </c>
      <c r="G219" s="15">
        <v>203</v>
      </c>
      <c r="H219" s="1">
        <f>LOOKUP(G219,{0,170,175,180,185,190,195,199,203,207,211,215,219,223,227,231,235,243,250,255,260},{0,10,20,30,40,50,60,62,64,66,68,70,72,74,76,78,80,85,90,95,100})</f>
        <v>64</v>
      </c>
      <c r="I219" s="15">
        <v>10</v>
      </c>
      <c r="J219" s="1">
        <f>LOOKUP(I219,{0,2,3,4,5,6,7,8,9,10,11,12,13,14,15,16},{0,10,20,30,40,50,60,64,68,72,76,80,85,90,95,100})</f>
        <v>72</v>
      </c>
      <c r="K219" s="21"/>
      <c r="L219" s="21"/>
      <c r="M219" s="21">
        <f t="shared" si="122"/>
        <v>72</v>
      </c>
      <c r="N219" s="15">
        <v>7.7</v>
      </c>
      <c r="O219" s="19">
        <f t="shared" si="123"/>
        <v>5.3</v>
      </c>
      <c r="P219" s="1">
        <f>LOOKUP(O219,{0,2.5,2.7,2.9,3.1,3.3,3.5,3.7,3.9,4.1,4.3,4.5,4.7,4.9,5.1,5.3,5.5,5.6,5.7,5.8,5.9},{0,10,20,30,40,50,60,62,64,66,68,70,72,74,76,78,80,85,90,95,100})</f>
        <v>78</v>
      </c>
      <c r="Q219" s="15">
        <v>3.54</v>
      </c>
      <c r="R219" s="15">
        <f t="shared" si="124"/>
        <v>6.46</v>
      </c>
      <c r="S219" s="1">
        <f>LOOKUP(R219,{0,3.75,3.95,4.55,4.75,4.95,5.55,5.6,5.65,5.7,5.75,5.8,5.85,5.9,5.95,6,6.45,6.53,6.6,6.65,6.7},{0,10,20,30,40,50,60,62,64,66,68,70,72,74,76,78,80,85,90,95,100})</f>
        <v>80</v>
      </c>
      <c r="T219" s="21"/>
      <c r="U219" s="21"/>
      <c r="V219" s="21">
        <f t="shared" si="125"/>
        <v>80</v>
      </c>
      <c r="W219" s="15"/>
      <c r="X219" s="21">
        <f t="shared" si="126"/>
        <v>53.2</v>
      </c>
      <c r="Y219" s="21">
        <f t="shared" si="127"/>
        <v>76</v>
      </c>
    </row>
    <row r="220" ht="15.6" hidden="1" outlineLevel="2" spans="1:25">
      <c r="A220" s="15">
        <v>108</v>
      </c>
      <c r="B220" s="15">
        <v>15</v>
      </c>
      <c r="C220" s="14" t="s">
        <v>366</v>
      </c>
      <c r="D220" s="14" t="s">
        <v>11</v>
      </c>
      <c r="E220" s="15">
        <v>13.4</v>
      </c>
      <c r="F220" s="1">
        <f>LOOKUP(E220,{0,-4,-3,-2,-1,0,1,2.4,3.8,5.2,6.6,8,9.4,10.8,12.2,13.6,15,17.2,19.4,21.5,23.6},{0,10,20,30,40,50,60,62,64,66,68,70,72,74,76,78,80,85,90,95,100})</f>
        <v>76</v>
      </c>
      <c r="G220" s="15">
        <v>223</v>
      </c>
      <c r="H220" s="1">
        <f>LOOKUP(G220,{0,170,175,180,185,190,195,199,203,207,211,215,219,223,227,231,235,243,250,255,260},{0,10,20,30,40,50,60,62,64,66,68,70,72,74,76,78,80,85,90,95,100})</f>
        <v>74</v>
      </c>
      <c r="I220" s="15">
        <v>6</v>
      </c>
      <c r="J220" s="1">
        <f>LOOKUP(I220,{0,2,3,4,5,6,7,8,9,10,11,12,13,14,15,16},{0,10,20,30,40,50,60,64,68,72,76,80,85,90,95,100})</f>
        <v>50</v>
      </c>
      <c r="K220" s="21"/>
      <c r="L220" s="21"/>
      <c r="M220" s="21">
        <f t="shared" si="122"/>
        <v>50</v>
      </c>
      <c r="N220" s="15">
        <v>7.3</v>
      </c>
      <c r="O220" s="19">
        <f t="shared" si="123"/>
        <v>5.7</v>
      </c>
      <c r="P220" s="1">
        <f>LOOKUP(O220,{0,2.5,2.7,2.9,3.1,3.3,3.5,3.7,3.9,4.1,4.3,4.5,4.7,4.9,5.1,5.3,5.5,5.6,5.7,5.8,5.9},{0,10,20,30,40,50,60,62,64,66,68,70,72,74,76,78,80,85,90,95,100})</f>
        <v>90</v>
      </c>
      <c r="Q220" s="15">
        <v>3.5</v>
      </c>
      <c r="R220" s="15">
        <f t="shared" si="124"/>
        <v>6.5</v>
      </c>
      <c r="S220" s="1">
        <f>LOOKUP(R220,{0,3.75,3.95,4.55,4.75,4.95,5.55,5.6,5.65,5.7,5.75,5.8,5.85,5.9,5.95,6,6.45,6.53,6.6,6.65,6.7},{0,10,20,30,40,50,60,62,64,66,68,70,72,74,76,78,80,85,90,95,100})</f>
        <v>80</v>
      </c>
      <c r="T220" s="21"/>
      <c r="U220" s="21"/>
      <c r="V220" s="21">
        <f t="shared" si="125"/>
        <v>80</v>
      </c>
      <c r="W220" s="15"/>
      <c r="X220" s="21">
        <f t="shared" si="126"/>
        <v>54</v>
      </c>
      <c r="Y220" s="21">
        <f t="shared" si="127"/>
        <v>77.1428571428572</v>
      </c>
    </row>
    <row r="221" ht="15.6" hidden="1" outlineLevel="2" spans="1:25">
      <c r="A221" s="15">
        <v>108</v>
      </c>
      <c r="B221" s="15">
        <v>16</v>
      </c>
      <c r="C221" s="14" t="s">
        <v>367</v>
      </c>
      <c r="D221" s="14" t="s">
        <v>11</v>
      </c>
      <c r="E221" s="15">
        <v>16.1</v>
      </c>
      <c r="F221" s="1">
        <f>LOOKUP(E221,{0,-4,-3,-2,-1,0,1,2.4,3.8,5.2,6.6,8,9.4,10.8,12.2,13.6,15,17.2,19.4,21.5,23.6},{0,10,20,30,40,50,60,62,64,66,68,70,72,74,76,78,80,85,90,95,100})</f>
        <v>80</v>
      </c>
      <c r="G221" s="15">
        <v>217</v>
      </c>
      <c r="H221" s="1">
        <f>LOOKUP(G221,{0,170,175,180,185,190,195,199,203,207,211,215,219,223,227,231,235,243,250,255,260},{0,10,20,30,40,50,60,62,64,66,68,70,72,74,76,78,80,85,90,95,100})</f>
        <v>70</v>
      </c>
      <c r="I221" s="15" t="s">
        <v>368</v>
      </c>
      <c r="J221" s="1">
        <v>0</v>
      </c>
      <c r="K221" s="21"/>
      <c r="L221" s="21"/>
      <c r="M221" s="21">
        <v>0</v>
      </c>
      <c r="N221" s="15">
        <v>7.6</v>
      </c>
      <c r="O221" s="19">
        <f t="shared" si="123"/>
        <v>5.4</v>
      </c>
      <c r="P221" s="1">
        <f>LOOKUP(O221,{0,2.5,2.7,2.9,3.1,3.3,3.5,3.7,3.9,4.1,4.3,4.5,4.7,4.9,5.1,5.3,5.5,5.6,5.7,5.8,5.9},{0,10,20,30,40,50,60,62,64,66,68,70,72,74,76,78,80,85,90,95,100})</f>
        <v>78</v>
      </c>
      <c r="Q221" s="15">
        <v>3.49</v>
      </c>
      <c r="R221" s="15">
        <f t="shared" si="124"/>
        <v>6.51</v>
      </c>
      <c r="S221" s="1">
        <f>LOOKUP(R221,{0,3.75,3.95,4.55,4.75,4.95,5.55,5.6,5.65,5.7,5.75,5.8,5.85,5.9,5.95,6,6.45,6.53,6.6,6.65,6.7},{0,10,20,30,40,50,60,62,64,66,68,70,72,74,76,78,80,85,90,95,100})</f>
        <v>80</v>
      </c>
      <c r="T221" s="21"/>
      <c r="U221" s="21"/>
      <c r="V221" s="21">
        <f t="shared" si="125"/>
        <v>80</v>
      </c>
      <c r="W221" s="15"/>
      <c r="X221" s="21">
        <f t="shared" si="126"/>
        <v>46.6</v>
      </c>
      <c r="Y221" s="21">
        <f t="shared" si="127"/>
        <v>66.5714285714286</v>
      </c>
    </row>
    <row r="222" ht="15.6" hidden="1" outlineLevel="2" spans="1:25">
      <c r="A222" s="15">
        <v>108</v>
      </c>
      <c r="B222" s="15">
        <v>17</v>
      </c>
      <c r="C222" s="14" t="s">
        <v>369</v>
      </c>
      <c r="D222" s="14" t="s">
        <v>11</v>
      </c>
      <c r="E222" s="15">
        <v>-4.7</v>
      </c>
      <c r="F222" s="1">
        <v>0</v>
      </c>
      <c r="G222" s="15">
        <v>218</v>
      </c>
      <c r="H222" s="1">
        <f>LOOKUP(G222,{0,170,175,180,185,190,195,199,203,207,211,215,219,223,227,231,235,243,250,255,260},{0,10,20,30,40,50,60,62,64,66,68,70,72,74,76,78,80,85,90,95,100})</f>
        <v>70</v>
      </c>
      <c r="I222" s="15">
        <v>0</v>
      </c>
      <c r="J222" s="1">
        <f>LOOKUP(I222,{0,2,3,4,5,6,7,8,9,10,11,12,13,14,15,16},{0,10,20,30,40,50,60,64,68,72,76,80,85,90,95,100})</f>
        <v>0</v>
      </c>
      <c r="K222" s="21"/>
      <c r="L222" s="21"/>
      <c r="M222" s="21">
        <f t="shared" ref="M222:M234" si="128">J222+L222</f>
        <v>0</v>
      </c>
      <c r="N222" s="15">
        <v>7.2</v>
      </c>
      <c r="O222" s="19">
        <f t="shared" si="123"/>
        <v>5.8</v>
      </c>
      <c r="P222" s="1">
        <f>LOOKUP(O222,{0,2.5,2.7,2.9,3.1,3.3,3.5,3.7,3.9,4.1,4.3,4.5,4.7,4.9,5.1,5.3,5.5,5.6,5.7,5.8,5.9},{0,10,20,30,40,50,60,62,64,66,68,70,72,74,76,78,80,85,90,95,100})</f>
        <v>95</v>
      </c>
      <c r="Q222" s="15">
        <v>4.03</v>
      </c>
      <c r="R222" s="15">
        <f t="shared" si="124"/>
        <v>5.97</v>
      </c>
      <c r="S222" s="1">
        <f>LOOKUP(R222,{0,3.75,3.95,4.55,4.75,4.95,5.55,5.6,5.65,5.7,5.75,5.8,5.85,5.9,5.95,6,6.45,6.53,6.6,6.65,6.7},{0,10,20,30,40,50,60,62,64,66,68,70,72,74,76,78,80,85,90,95,100})</f>
        <v>76</v>
      </c>
      <c r="T222" s="21"/>
      <c r="U222" s="21"/>
      <c r="V222" s="21">
        <f t="shared" si="125"/>
        <v>76</v>
      </c>
      <c r="W222" s="15"/>
      <c r="X222" s="21">
        <f t="shared" si="126"/>
        <v>41.2</v>
      </c>
      <c r="Y222" s="21">
        <f t="shared" si="127"/>
        <v>58.8571428571429</v>
      </c>
    </row>
    <row r="223" ht="15.6" hidden="1" outlineLevel="2" spans="1:25">
      <c r="A223" s="15">
        <v>108</v>
      </c>
      <c r="B223" s="15">
        <v>18</v>
      </c>
      <c r="C223" s="14" t="s">
        <v>370</v>
      </c>
      <c r="D223" s="14" t="s">
        <v>11</v>
      </c>
      <c r="E223" s="15">
        <v>3.5</v>
      </c>
      <c r="F223" s="1">
        <f>LOOKUP(E223,{0,-4,-3,-2,-1,0,1,2.4,3.8,5.2,6.6,8,9.4,10.8,12.2,13.6,15,17.2,19.4,21.5,23.6},{0,10,20,30,40,50,60,62,64,66,68,70,72,74,76,78,80,85,90,95,100})</f>
        <v>62</v>
      </c>
      <c r="G223" s="15">
        <v>240</v>
      </c>
      <c r="H223" s="1">
        <f>LOOKUP(G223,{0,170,175,180,185,190,195,199,203,207,211,215,219,223,227,231,235,243,250,255,260},{0,10,20,30,40,50,60,62,64,66,68,70,72,74,76,78,80,85,90,95,100})</f>
        <v>80</v>
      </c>
      <c r="I223" s="15">
        <v>11</v>
      </c>
      <c r="J223" s="1">
        <f>LOOKUP(I223,{0,2,3,4,5,6,7,8,9,10,11,12,13,14,15,16},{0,10,20,30,40,50,60,64,68,72,76,80,85,90,95,100})</f>
        <v>76</v>
      </c>
      <c r="K223" s="21"/>
      <c r="L223" s="21"/>
      <c r="M223" s="21">
        <f t="shared" si="128"/>
        <v>76</v>
      </c>
      <c r="N223" s="15">
        <v>6.9</v>
      </c>
      <c r="O223" s="19">
        <f t="shared" si="123"/>
        <v>6.1</v>
      </c>
      <c r="P223" s="1">
        <f>LOOKUP(O223,{0,2.5,2.7,2.9,3.1,3.3,3.5,3.7,3.9,4.1,4.3,4.5,4.7,4.9,5.1,5.3,5.5,5.6,5.7,5.8,5.9},{0,10,20,30,40,50,60,62,64,66,68,70,72,74,76,78,80,85,90,95,100})</f>
        <v>100</v>
      </c>
      <c r="Q223" s="15">
        <v>3.48</v>
      </c>
      <c r="R223" s="15">
        <f t="shared" si="124"/>
        <v>6.52</v>
      </c>
      <c r="S223" s="1">
        <f>LOOKUP(R223,{0,3.75,3.95,4.55,4.75,4.95,5.55,5.6,5.65,5.7,5.75,5.8,5.85,5.9,5.95,6,6.45,6.53,6.6,6.65,6.7},{0,10,20,30,40,50,60,62,64,66,68,70,72,74,76,78,80,85,90,95,100})</f>
        <v>80</v>
      </c>
      <c r="T223" s="21"/>
      <c r="U223" s="21"/>
      <c r="V223" s="21">
        <f t="shared" si="125"/>
        <v>80</v>
      </c>
      <c r="W223" s="15"/>
      <c r="X223" s="21">
        <f t="shared" si="126"/>
        <v>57.8</v>
      </c>
      <c r="Y223" s="21">
        <f t="shared" si="127"/>
        <v>82.5714285714286</v>
      </c>
    </row>
    <row r="224" ht="15.6" hidden="1" outlineLevel="2" spans="1:25">
      <c r="A224" s="15">
        <v>108</v>
      </c>
      <c r="B224" s="15">
        <v>19</v>
      </c>
      <c r="C224" s="14" t="s">
        <v>371</v>
      </c>
      <c r="D224" s="14" t="s">
        <v>11</v>
      </c>
      <c r="E224" s="15">
        <v>0</v>
      </c>
      <c r="F224" s="1">
        <f>LOOKUP(E224,{0,-4,-3,-2,-1,0,1,2.4,3.8,5.2,6.6,8,9.4,10.8,12.2,13.6,15,17.2,19.4,21.5,23.6},{0,10,20,30,40,50,60,62,64,66,68,70,72,74,76,78,80,85,90,95,100})</f>
        <v>50</v>
      </c>
      <c r="G224" s="15">
        <v>241</v>
      </c>
      <c r="H224" s="1">
        <f>LOOKUP(G224,{0,170,175,180,185,190,195,199,203,207,211,215,219,223,227,231,235,243,250,255,260},{0,10,20,30,40,50,60,62,64,66,68,70,72,74,76,78,80,85,90,95,100})</f>
        <v>80</v>
      </c>
      <c r="I224" s="15">
        <v>1</v>
      </c>
      <c r="J224" s="1">
        <f>LOOKUP(I224,{0,2,3,4,5,6,7,8,9,10,11,12,13,14,15,16},{0,10,20,30,40,50,60,64,68,72,76,80,85,90,95,100})</f>
        <v>0</v>
      </c>
      <c r="K224" s="21"/>
      <c r="L224" s="21"/>
      <c r="M224" s="21">
        <f t="shared" si="128"/>
        <v>0</v>
      </c>
      <c r="N224" s="15">
        <v>7.1</v>
      </c>
      <c r="O224" s="19">
        <f t="shared" si="123"/>
        <v>5.9</v>
      </c>
      <c r="P224" s="1">
        <f>LOOKUP(O224,{0,2.5,2.7,2.9,3.1,3.3,3.5,3.7,3.9,4.1,4.3,4.5,4.7,4.9,5.1,5.3,5.5,5.6,5.7,5.8,5.9},{0,10,20,30,40,50,60,62,64,66,68,70,72,74,76,78,80,85,90,95,100})</f>
        <v>100</v>
      </c>
      <c r="Q224" s="15">
        <v>3.45</v>
      </c>
      <c r="R224" s="15">
        <f t="shared" si="124"/>
        <v>6.55</v>
      </c>
      <c r="S224" s="1">
        <f>LOOKUP(R224,{0,3.75,3.95,4.55,4.75,4.95,5.55,5.6,5.65,5.7,5.75,5.8,5.85,5.9,5.95,6,6.45,6.53,6.6,6.65,6.7},{0,10,20,30,40,50,60,62,64,66,68,70,72,74,76,78,80,85,90,95,100})</f>
        <v>85</v>
      </c>
      <c r="T224" s="21"/>
      <c r="U224" s="21"/>
      <c r="V224" s="21">
        <f t="shared" si="125"/>
        <v>85</v>
      </c>
      <c r="W224" s="15"/>
      <c r="X224" s="21">
        <f t="shared" si="126"/>
        <v>50</v>
      </c>
      <c r="Y224" s="21">
        <f t="shared" si="127"/>
        <v>71.4285714285714</v>
      </c>
    </row>
    <row r="225" ht="15.6" hidden="1" outlineLevel="2" spans="1:25">
      <c r="A225" s="15">
        <v>108</v>
      </c>
      <c r="B225" s="15">
        <v>20</v>
      </c>
      <c r="C225" s="14" t="s">
        <v>372</v>
      </c>
      <c r="D225" s="14" t="s">
        <v>11</v>
      </c>
      <c r="E225" s="15">
        <v>16.4</v>
      </c>
      <c r="F225" s="1">
        <f>LOOKUP(E225,{0,-4,-3,-2,-1,0,1,2.4,3.8,5.2,6.6,8,9.4,10.8,12.2,13.6,15,17.2,19.4,21.5,23.6},{0,10,20,30,40,50,60,62,64,66,68,70,72,74,76,78,80,85,90,95,100})</f>
        <v>80</v>
      </c>
      <c r="G225" s="15">
        <v>197</v>
      </c>
      <c r="H225" s="1">
        <f>LOOKUP(G225,{0,170,175,180,185,190,195,199,203,207,211,215,219,223,227,231,235,243,250,255,260},{0,10,20,30,40,50,60,62,64,66,68,70,72,74,76,78,80,85,90,95,100})</f>
        <v>60</v>
      </c>
      <c r="I225" s="15">
        <v>0</v>
      </c>
      <c r="J225" s="1">
        <f>LOOKUP(I225,{0,2,3,4,5,6,7,8,9,10,11,12,13,14,15,16},{0,10,20,30,40,50,60,64,68,72,76,80,85,90,95,100})</f>
        <v>0</v>
      </c>
      <c r="K225" s="21"/>
      <c r="L225" s="21"/>
      <c r="M225" s="21">
        <f t="shared" si="128"/>
        <v>0</v>
      </c>
      <c r="N225" s="15">
        <v>7.5</v>
      </c>
      <c r="O225" s="19">
        <f t="shared" si="123"/>
        <v>5.5</v>
      </c>
      <c r="P225" s="1">
        <f>LOOKUP(O225,{0,2.5,2.7,2.9,3.1,3.3,3.5,3.7,3.9,4.1,4.3,4.5,4.7,4.9,5.1,5.3,5.5,5.6,5.7,5.8,5.9},{0,10,20,30,40,50,60,62,64,66,68,70,72,74,76,78,80,85,90,95,100})</f>
        <v>80</v>
      </c>
      <c r="Q225" s="15">
        <v>3.57</v>
      </c>
      <c r="R225" s="15">
        <f t="shared" si="124"/>
        <v>6.43</v>
      </c>
      <c r="S225" s="1">
        <f>LOOKUP(R225,{0,3.75,3.95,4.55,4.75,4.95,5.55,5.6,5.65,5.7,5.75,5.8,5.85,5.9,5.95,6,6.45,6.53,6.6,6.65,6.7},{0,10,20,30,40,50,60,62,64,66,68,70,72,74,76,78,80,85,90,95,100})</f>
        <v>78</v>
      </c>
      <c r="T225" s="21"/>
      <c r="U225" s="21"/>
      <c r="V225" s="21">
        <f t="shared" si="125"/>
        <v>78</v>
      </c>
      <c r="W225" s="15"/>
      <c r="X225" s="21">
        <f t="shared" si="126"/>
        <v>45.6</v>
      </c>
      <c r="Y225" s="21">
        <f t="shared" si="127"/>
        <v>65.1428571428572</v>
      </c>
    </row>
    <row r="226" ht="15.6" hidden="1" outlineLevel="2" spans="1:25">
      <c r="A226" s="15">
        <v>108</v>
      </c>
      <c r="B226" s="15">
        <v>21</v>
      </c>
      <c r="C226" s="13" t="s">
        <v>374</v>
      </c>
      <c r="D226" s="14" t="s">
        <v>11</v>
      </c>
      <c r="E226" s="15">
        <v>-1</v>
      </c>
      <c r="F226" s="1">
        <f>LOOKUP(E226,{0,-4,-3,-2,-1,0,1,2.4,3.8,5.2,6.6,8,9.4,10.8,12.2,13.6,15,17.2,19.4,21.5,23.6},{0,10,20,30,40,50,60,62,64,66,68,70,72,74,76,78,80,85,90,95,100})</f>
        <v>40</v>
      </c>
      <c r="G226" s="15">
        <v>193</v>
      </c>
      <c r="H226" s="1">
        <f>LOOKUP(G226,{0,170,175,180,185,190,195,199,203,207,211,215,219,223,227,231,235,243,250,255,260},{0,10,20,30,40,50,60,62,64,66,68,70,72,74,76,78,80,85,90,95,100})</f>
        <v>50</v>
      </c>
      <c r="I226" s="15">
        <v>4</v>
      </c>
      <c r="J226" s="1">
        <f>LOOKUP(I226,{0,2,3,4,5,6,7,8,9,10,11,12,13,14,15,16},{0,10,20,30,40,50,60,64,68,72,76,80,85,90,95,100})</f>
        <v>30</v>
      </c>
      <c r="K226" s="21"/>
      <c r="L226" s="21"/>
      <c r="M226" s="21">
        <f t="shared" si="128"/>
        <v>30</v>
      </c>
      <c r="N226" s="15">
        <v>7.6</v>
      </c>
      <c r="O226" s="19">
        <f t="shared" si="123"/>
        <v>5.4</v>
      </c>
      <c r="P226" s="1">
        <f>LOOKUP(O226,{0,2.5,2.7,2.9,3.1,3.3,3.5,3.7,3.9,4.1,4.3,4.5,4.7,4.9,5.1,5.3,5.5,5.6,5.7,5.8,5.9},{0,10,20,30,40,50,60,62,64,66,68,70,72,74,76,78,80,85,90,95,100})</f>
        <v>78</v>
      </c>
      <c r="Q226" s="15">
        <v>4.12</v>
      </c>
      <c r="R226" s="15">
        <f t="shared" si="124"/>
        <v>5.88</v>
      </c>
      <c r="S226" s="1">
        <f>LOOKUP(R226,{0,3.75,3.95,4.55,4.75,4.95,5.55,5.6,5.65,5.7,5.75,5.8,5.85,5.9,5.95,6,6.45,6.53,6.6,6.65,6.7},{0,10,20,30,40,50,60,62,64,66,68,70,72,74,76,78,80,85,90,95,100})</f>
        <v>72</v>
      </c>
      <c r="T226" s="21"/>
      <c r="U226" s="21"/>
      <c r="V226" s="21">
        <f t="shared" si="125"/>
        <v>72</v>
      </c>
      <c r="W226" s="15"/>
      <c r="X226" s="21">
        <f t="shared" si="126"/>
        <v>42</v>
      </c>
      <c r="Y226" s="21">
        <f t="shared" si="127"/>
        <v>60</v>
      </c>
    </row>
    <row r="227" ht="15.6" hidden="1" outlineLevel="2" spans="1:25">
      <c r="A227" s="15">
        <v>108</v>
      </c>
      <c r="B227" s="15">
        <v>22</v>
      </c>
      <c r="C227" s="14" t="s">
        <v>375</v>
      </c>
      <c r="D227" s="14" t="s">
        <v>11</v>
      </c>
      <c r="E227" s="15">
        <v>16</v>
      </c>
      <c r="F227" s="1">
        <f>LOOKUP(E227,{0,-4,-3,-2,-1,0,1,2.4,3.8,5.2,6.6,8,9.4,10.8,12.2,13.6,15,17.2,19.4,21.5,23.6},{0,10,20,30,40,50,60,62,64,66,68,70,72,74,76,78,80,85,90,95,100})</f>
        <v>80</v>
      </c>
      <c r="G227" s="15">
        <v>188</v>
      </c>
      <c r="H227" s="1">
        <f>LOOKUP(G227,{0,170,175,180,185,190,195,199,203,207,211,215,219,223,227,231,235,243,250,255,260},{0,10,20,30,40,50,60,62,64,66,68,70,72,74,76,78,80,85,90,95,100})</f>
        <v>40</v>
      </c>
      <c r="I227" s="15">
        <v>1</v>
      </c>
      <c r="J227" s="1">
        <f>LOOKUP(I227,{0,2,3,4,5,6,7,8,9,10,11,12,13,14,15,16},{0,10,20,30,40,50,60,64,68,72,76,80,85,90,95,100})</f>
        <v>0</v>
      </c>
      <c r="K227" s="21"/>
      <c r="L227" s="21"/>
      <c r="M227" s="21">
        <f t="shared" si="128"/>
        <v>0</v>
      </c>
      <c r="N227" s="15"/>
      <c r="O227" s="19"/>
      <c r="P227" s="1"/>
      <c r="Q227" s="15">
        <v>5.07</v>
      </c>
      <c r="R227" s="15">
        <f t="shared" si="124"/>
        <v>4.93</v>
      </c>
      <c r="S227" s="1">
        <f>LOOKUP(R227,{0,3.75,3.95,4.55,4.75,4.95,5.55,5.6,5.65,5.7,5.75,5.8,5.85,5.9,5.95,6,6.45,6.53,6.6,6.65,6.7},{0,10,20,30,40,50,60,62,64,66,68,70,72,74,76,78,80,85,90,95,100})</f>
        <v>40</v>
      </c>
      <c r="T227" s="21"/>
      <c r="U227" s="21"/>
      <c r="V227" s="21">
        <f t="shared" si="125"/>
        <v>40</v>
      </c>
      <c r="W227" s="15"/>
      <c r="X227" s="21">
        <f t="shared" si="126"/>
        <v>20</v>
      </c>
      <c r="Y227" s="27">
        <v>50</v>
      </c>
    </row>
    <row r="228" ht="15.6" hidden="1" outlineLevel="2" spans="1:25">
      <c r="A228" s="15">
        <v>108</v>
      </c>
      <c r="B228" s="15">
        <v>23</v>
      </c>
      <c r="C228" s="14" t="s">
        <v>376</v>
      </c>
      <c r="D228" s="14" t="s">
        <v>11</v>
      </c>
      <c r="E228" s="15">
        <v>12</v>
      </c>
      <c r="F228" s="1">
        <f>LOOKUP(E228,{0,-4,-3,-2,-1,0,1,2.4,3.8,5.2,6.6,8,9.4,10.8,12.2,13.6,15,17.2,19.4,21.5,23.6},{0,10,20,30,40,50,60,62,64,66,68,70,72,74,76,78,80,85,90,95,100})</f>
        <v>74</v>
      </c>
      <c r="G228" s="15">
        <v>226</v>
      </c>
      <c r="H228" s="1">
        <f>LOOKUP(G228,{0,170,175,180,185,190,195,199,203,207,211,215,219,223,227,231,235,243,250,255,260},{0,10,20,30,40,50,60,62,64,66,68,70,72,74,76,78,80,85,90,95,100})</f>
        <v>74</v>
      </c>
      <c r="I228" s="15">
        <v>0</v>
      </c>
      <c r="J228" s="1">
        <f>LOOKUP(I228,{0,2,3,4,5,6,7,8,9,10,11,12,13,14,15,16},{0,10,20,30,40,50,60,64,68,72,76,80,85,90,95,100})</f>
        <v>0</v>
      </c>
      <c r="K228" s="21"/>
      <c r="L228" s="21"/>
      <c r="M228" s="21">
        <f t="shared" si="128"/>
        <v>0</v>
      </c>
      <c r="N228" s="15">
        <v>7.8</v>
      </c>
      <c r="O228" s="19">
        <f t="shared" ref="O228:O234" si="129">13-N228</f>
        <v>5.2</v>
      </c>
      <c r="P228" s="1">
        <f>LOOKUP(O228,{0,2.5,2.7,2.9,3.1,3.3,3.5,3.7,3.9,4.1,4.3,4.5,4.7,4.9,5.1,5.3,5.5,5.6,5.7,5.8,5.9},{0,10,20,30,40,50,60,62,64,66,68,70,72,74,76,78,80,85,90,95,100})</f>
        <v>76</v>
      </c>
      <c r="Q228" s="15">
        <v>4.14</v>
      </c>
      <c r="R228" s="15">
        <f t="shared" si="124"/>
        <v>5.86</v>
      </c>
      <c r="S228" s="1">
        <f>LOOKUP(R228,{0,3.75,3.95,4.55,4.75,4.95,5.55,5.6,5.65,5.7,5.75,5.8,5.85,5.9,5.95,6,6.45,6.53,6.6,6.65,6.7},{0,10,20,30,40,50,60,62,64,66,68,70,72,74,76,78,80,85,90,95,100})</f>
        <v>72</v>
      </c>
      <c r="T228" s="21"/>
      <c r="U228" s="21"/>
      <c r="V228" s="21">
        <f t="shared" si="125"/>
        <v>72</v>
      </c>
      <c r="W228" s="15"/>
      <c r="X228" s="21">
        <f t="shared" si="126"/>
        <v>44.4</v>
      </c>
      <c r="Y228" s="21">
        <f t="shared" ref="Y228:Y234" si="130">X228/0.7+L228+U228</f>
        <v>63.4285714285714</v>
      </c>
    </row>
    <row r="229" ht="15.6" hidden="1" outlineLevel="2" spans="1:25">
      <c r="A229" s="15">
        <v>108</v>
      </c>
      <c r="B229" s="15">
        <v>24</v>
      </c>
      <c r="C229" s="14" t="s">
        <v>377</v>
      </c>
      <c r="D229" s="14" t="s">
        <v>11</v>
      </c>
      <c r="E229" s="15">
        <v>4.5</v>
      </c>
      <c r="F229" s="1">
        <f>LOOKUP(E229,{0,-4,-3,-2,-1,0,1,2.4,3.8,5.2,6.6,8,9.4,10.8,12.2,13.6,15,17.2,19.4,21.5,23.6},{0,10,20,30,40,50,60,62,64,66,68,70,72,74,76,78,80,85,90,95,100})</f>
        <v>64</v>
      </c>
      <c r="G229" s="15">
        <v>216</v>
      </c>
      <c r="H229" s="1">
        <f>LOOKUP(G229,{0,170,175,180,185,190,195,199,203,207,211,215,219,223,227,231,235,243,250,255,260},{0,10,20,30,40,50,60,62,64,66,68,70,72,74,76,78,80,85,90,95,100})</f>
        <v>70</v>
      </c>
      <c r="I229" s="15">
        <v>5</v>
      </c>
      <c r="J229" s="1">
        <f>LOOKUP(I229,{0,2,3,4,5,6,7,8,9,10,11,12,13,14,15,16},{0,10,20,30,40,50,60,64,68,72,76,80,85,90,95,100})</f>
        <v>40</v>
      </c>
      <c r="K229" s="21"/>
      <c r="L229" s="21"/>
      <c r="M229" s="21">
        <f t="shared" si="128"/>
        <v>40</v>
      </c>
      <c r="N229" s="15">
        <v>8.6</v>
      </c>
      <c r="O229" s="19">
        <f t="shared" si="129"/>
        <v>4.4</v>
      </c>
      <c r="P229" s="1">
        <f>LOOKUP(O229,{0,2.5,2.7,2.9,3.1,3.3,3.5,3.7,3.9,4.1,4.3,4.5,4.7,4.9,5.1,5.3,5.5,5.6,5.7,5.8,5.9},{0,10,20,30,40,50,60,62,64,66,68,70,72,74,76,78,80,85,90,95,100})</f>
        <v>68</v>
      </c>
      <c r="Q229" s="15">
        <v>4.08</v>
      </c>
      <c r="R229" s="15">
        <f t="shared" si="124"/>
        <v>5.92</v>
      </c>
      <c r="S229" s="1">
        <f>LOOKUP(R229,{0,3.75,3.95,4.55,4.75,4.95,5.55,5.6,5.65,5.7,5.75,5.8,5.85,5.9,5.95,6,6.45,6.53,6.6,6.65,6.7},{0,10,20,30,40,50,60,62,64,66,68,70,72,74,76,78,80,85,90,95,100})</f>
        <v>74</v>
      </c>
      <c r="T229" s="21"/>
      <c r="U229" s="21"/>
      <c r="V229" s="21">
        <f t="shared" si="125"/>
        <v>74</v>
      </c>
      <c r="W229" s="15"/>
      <c r="X229" s="21">
        <f t="shared" si="126"/>
        <v>45.8</v>
      </c>
      <c r="Y229" s="21">
        <f t="shared" si="130"/>
        <v>65.4285714285714</v>
      </c>
    </row>
    <row r="230" s="3" customFormat="1" ht="15.6" hidden="1" outlineLevel="2" spans="1:25">
      <c r="A230" s="15">
        <v>108</v>
      </c>
      <c r="B230" s="15">
        <v>25</v>
      </c>
      <c r="C230" s="14" t="s">
        <v>378</v>
      </c>
      <c r="D230" s="14" t="s">
        <v>11</v>
      </c>
      <c r="E230" s="15">
        <v>5</v>
      </c>
      <c r="F230" s="1">
        <f>LOOKUP(E230,{0,-4,-3,-2,-1,0,1,2.4,3.8,5.2,6.6,8,9.4,10.8,12.2,13.6,15,17.2,19.4,21.5,23.6},{0,10,20,30,40,50,60,62,64,66,68,70,72,74,76,78,80,85,90,95,100})</f>
        <v>64</v>
      </c>
      <c r="G230" s="15">
        <v>212</v>
      </c>
      <c r="H230" s="1">
        <f>LOOKUP(G230,{0,170,175,180,185,190,195,199,203,207,211,215,219,223,227,231,235,243,250,255,260},{0,10,20,30,40,50,60,62,64,66,68,70,72,74,76,78,80,85,90,95,100})</f>
        <v>68</v>
      </c>
      <c r="I230" s="15">
        <v>3</v>
      </c>
      <c r="J230" s="1">
        <f>LOOKUP(I230,{0,2,3,4,5,6,7,8,9,10,11,12,13,14,15,16},{0,10,20,30,40,50,60,64,68,72,76,80,85,90,95,100})</f>
        <v>20</v>
      </c>
      <c r="K230" s="21"/>
      <c r="L230" s="21"/>
      <c r="M230" s="21">
        <f t="shared" si="128"/>
        <v>20</v>
      </c>
      <c r="N230" s="15">
        <v>7.4</v>
      </c>
      <c r="O230" s="19">
        <f t="shared" si="129"/>
        <v>5.6</v>
      </c>
      <c r="P230" s="1">
        <f>LOOKUP(O230,{0,2.5,2.7,2.9,3.1,3.3,3.5,3.7,3.9,4.1,4.3,4.5,4.7,4.9,5.1,5.3,5.5,5.6,5.7,5.8,5.9},{0,10,20,30,40,50,60,62,64,66,68,70,72,74,76,78,80,85,90,95,100})</f>
        <v>85</v>
      </c>
      <c r="Q230" s="15">
        <v>4.04</v>
      </c>
      <c r="R230" s="15">
        <f t="shared" si="124"/>
        <v>5.96</v>
      </c>
      <c r="S230" s="1">
        <f>LOOKUP(R230,{0,3.75,3.95,4.55,4.75,4.95,5.55,5.6,5.65,5.7,5.75,5.8,5.85,5.9,5.95,6,6.45,6.53,6.6,6.65,6.7},{0,10,20,30,40,50,60,62,64,66,68,70,72,74,76,78,80,85,90,95,100})</f>
        <v>76</v>
      </c>
      <c r="T230" s="21"/>
      <c r="U230" s="21"/>
      <c r="V230" s="21">
        <f t="shared" si="125"/>
        <v>76</v>
      </c>
      <c r="W230" s="15"/>
      <c r="X230" s="21">
        <f t="shared" si="126"/>
        <v>47.4</v>
      </c>
      <c r="Y230" s="21">
        <f t="shared" si="130"/>
        <v>67.7142857142857</v>
      </c>
    </row>
    <row r="231" ht="15.6" hidden="1" outlineLevel="2" spans="1:25">
      <c r="A231" s="15">
        <v>108</v>
      </c>
      <c r="B231" s="15">
        <v>26</v>
      </c>
      <c r="C231" s="14" t="s">
        <v>379</v>
      </c>
      <c r="D231" s="14" t="s">
        <v>11</v>
      </c>
      <c r="E231" s="15">
        <v>10.6</v>
      </c>
      <c r="F231" s="1">
        <f>LOOKUP(E231,{0,-4,-3,-2,-1,0,1,2.4,3.8,5.2,6.6,8,9.4,10.8,12.2,13.6,15,17.2,19.4,21.5,23.6},{0,10,20,30,40,50,60,62,64,66,68,70,72,74,76,78,80,85,90,95,100})</f>
        <v>72</v>
      </c>
      <c r="G231" s="15">
        <v>233</v>
      </c>
      <c r="H231" s="1">
        <f>LOOKUP(G231,{0,170,175,180,185,190,195,199,203,207,211,215,219,223,227,231,235,243,250,255,260},{0,10,20,30,40,50,60,62,64,66,68,70,72,74,76,78,80,85,90,95,100})</f>
        <v>78</v>
      </c>
      <c r="I231" s="15">
        <v>0</v>
      </c>
      <c r="J231" s="1">
        <f>LOOKUP(I231,{0,2,3,4,5,6,7,8,9,10,11,12,13,14,15,16},{0,10,20,30,40,50,60,64,68,72,76,80,85,90,95,100})</f>
        <v>0</v>
      </c>
      <c r="K231" s="21"/>
      <c r="L231" s="21"/>
      <c r="M231" s="21">
        <f t="shared" si="128"/>
        <v>0</v>
      </c>
      <c r="N231" s="15">
        <v>7.5</v>
      </c>
      <c r="O231" s="19">
        <f t="shared" si="129"/>
        <v>5.5</v>
      </c>
      <c r="P231" s="1">
        <f>LOOKUP(O231,{0,2.5,2.7,2.9,3.1,3.3,3.5,3.7,3.9,4.1,4.3,4.5,4.7,4.9,5.1,5.3,5.5,5.6,5.7,5.8,5.9},{0,10,20,30,40,50,60,62,64,66,68,70,72,74,76,78,80,85,90,95,100})</f>
        <v>80</v>
      </c>
      <c r="Q231" s="15">
        <v>4.11</v>
      </c>
      <c r="R231" s="15">
        <f t="shared" si="124"/>
        <v>5.89</v>
      </c>
      <c r="S231" s="1">
        <f>LOOKUP(R231,{0,3.75,3.95,4.55,4.75,4.95,5.55,5.6,5.65,5.7,5.75,5.8,5.85,5.9,5.95,6,6.45,6.53,6.6,6.65,6.7},{0,10,20,30,40,50,60,62,64,66,68,70,72,74,76,78,80,85,90,95,100})</f>
        <v>72</v>
      </c>
      <c r="T231" s="21"/>
      <c r="U231" s="21"/>
      <c r="V231" s="21">
        <f t="shared" si="125"/>
        <v>72</v>
      </c>
      <c r="W231" s="15"/>
      <c r="X231" s="21">
        <f t="shared" si="126"/>
        <v>45.4</v>
      </c>
      <c r="Y231" s="21">
        <f t="shared" si="130"/>
        <v>64.8571428571429</v>
      </c>
    </row>
    <row r="232" ht="15.6" hidden="1" outlineLevel="2" spans="1:25">
      <c r="A232" s="15">
        <v>108</v>
      </c>
      <c r="B232" s="15">
        <v>27</v>
      </c>
      <c r="C232" s="14" t="s">
        <v>380</v>
      </c>
      <c r="D232" s="14" t="s">
        <v>11</v>
      </c>
      <c r="E232" s="15">
        <v>17.8</v>
      </c>
      <c r="F232" s="1">
        <f>LOOKUP(E232,{0,-4,-3,-2,-1,0,1,2.4,3.8,5.2,6.6,8,9.4,10.8,12.2,13.6,15,17.2,19.4,21.5,23.6},{0,10,20,30,40,50,60,62,64,66,68,70,72,74,76,78,80,85,90,95,100})</f>
        <v>85</v>
      </c>
      <c r="G232" s="15">
        <v>208</v>
      </c>
      <c r="H232" s="1">
        <f>LOOKUP(G232,{0,170,175,180,185,190,195,199,203,207,211,215,219,223,227,231,235,243,250,255,260},{0,10,20,30,40,50,60,62,64,66,68,70,72,74,76,78,80,85,90,95,100})</f>
        <v>66</v>
      </c>
      <c r="I232" s="15">
        <v>5</v>
      </c>
      <c r="J232" s="1">
        <f>LOOKUP(I232,{0,2,3,4,5,6,7,8,9,10,11,12,13,14,15,16},{0,10,20,30,40,50,60,64,68,72,76,80,85,90,95,100})</f>
        <v>40</v>
      </c>
      <c r="K232" s="21"/>
      <c r="L232" s="21"/>
      <c r="M232" s="21">
        <f t="shared" si="128"/>
        <v>40</v>
      </c>
      <c r="N232" s="15">
        <v>7.3</v>
      </c>
      <c r="O232" s="19">
        <f t="shared" si="129"/>
        <v>5.7</v>
      </c>
      <c r="P232" s="1">
        <f>LOOKUP(O232,{0,2.5,2.7,2.9,3.1,3.3,3.5,3.7,3.9,4.1,4.3,4.5,4.7,4.9,5.1,5.3,5.5,5.6,5.7,5.8,5.9},{0,10,20,30,40,50,60,62,64,66,68,70,72,74,76,78,80,85,90,95,100})</f>
        <v>90</v>
      </c>
      <c r="Q232" s="15">
        <v>3.3</v>
      </c>
      <c r="R232" s="15">
        <f t="shared" si="124"/>
        <v>6.7</v>
      </c>
      <c r="S232" s="1">
        <f>LOOKUP(R232,{0,3.75,3.95,4.55,4.75,4.95,5.55,5.6,5.65,5.7,5.75,5.8,5.85,5.9,5.95,6,6.45,6.53,6.6,6.65,6.7},{0,10,20,30,40,50,60,62,64,66,68,70,72,74,76,78,80,85,90,95,100})</f>
        <v>100</v>
      </c>
      <c r="T232" s="21">
        <f>3.3-Q232</f>
        <v>0</v>
      </c>
      <c r="U232" s="1">
        <f>LOOKUP(T232,{0,0.04,0.08,0.12,0.16,0.2,0.23,0.26,0.29,0.32,0.35},{0,1,2,3,4,5,6,7,8,9,10})</f>
        <v>0</v>
      </c>
      <c r="V232" s="21">
        <f t="shared" si="125"/>
        <v>100</v>
      </c>
      <c r="W232" s="15"/>
      <c r="X232" s="21">
        <f t="shared" si="126"/>
        <v>57.1</v>
      </c>
      <c r="Y232" s="21">
        <f t="shared" si="130"/>
        <v>81.5714285714286</v>
      </c>
    </row>
    <row r="233" ht="15.6" hidden="1" outlineLevel="2" spans="1:25">
      <c r="A233" s="15">
        <v>108</v>
      </c>
      <c r="B233" s="15">
        <v>28</v>
      </c>
      <c r="C233" s="14" t="s">
        <v>381</v>
      </c>
      <c r="D233" s="14" t="s">
        <v>11</v>
      </c>
      <c r="E233" s="15">
        <v>21</v>
      </c>
      <c r="F233" s="1">
        <f>LOOKUP(E233,{0,-4,-3,-2,-1,0,1,2.4,3.8,5.2,6.6,8,9.4,10.8,12.2,13.6,15,17.2,19.4,21.5,23.6},{0,10,20,30,40,50,60,62,64,66,68,70,72,74,76,78,80,85,90,95,100})</f>
        <v>90</v>
      </c>
      <c r="G233" s="15">
        <v>206</v>
      </c>
      <c r="H233" s="1">
        <f>LOOKUP(G233,{0,170,175,180,185,190,195,199,203,207,211,215,219,223,227,231,235,243,250,255,260},{0,10,20,30,40,50,60,62,64,66,68,70,72,74,76,78,80,85,90,95,100})</f>
        <v>64</v>
      </c>
      <c r="I233" s="15">
        <v>25</v>
      </c>
      <c r="J233" s="1">
        <f>LOOKUP(I233,{0,2,3,4,5,6,7,8,9,10,11,12,13,14,15,16},{0,10,20,30,40,50,60,64,68,72,76,80,85,90,95,100})</f>
        <v>100</v>
      </c>
      <c r="K233" s="21">
        <f>I233-16</f>
        <v>9</v>
      </c>
      <c r="L233" s="1">
        <f>LOOKUP(K233,{0,1,2,3,4,5,6,7,8,9,10},{0,1,2,3,4,5,6,7,8,9,10})</f>
        <v>9</v>
      </c>
      <c r="M233" s="21">
        <f t="shared" si="128"/>
        <v>109</v>
      </c>
      <c r="N233" s="15">
        <v>6.5</v>
      </c>
      <c r="O233" s="19">
        <f t="shared" si="129"/>
        <v>6.5</v>
      </c>
      <c r="P233" s="1">
        <f>LOOKUP(O233,{0,2.5,2.7,2.9,3.1,3.3,3.5,3.7,3.9,4.1,4.3,4.5,4.7,4.9,5.1,5.3,5.5,5.6,5.7,5.8,5.9},{0,10,20,30,40,50,60,62,64,66,68,70,72,74,76,78,80,85,90,95,100})</f>
        <v>100</v>
      </c>
      <c r="Q233" s="15">
        <v>3.27</v>
      </c>
      <c r="R233" s="15">
        <f t="shared" si="124"/>
        <v>6.73</v>
      </c>
      <c r="S233" s="1">
        <f>LOOKUP(R233,{0,3.75,3.95,4.55,4.75,4.95,5.55,5.6,5.65,5.7,5.75,5.8,5.85,5.9,5.95,6,6.45,6.53,6.6,6.65,6.7},{0,10,20,30,40,50,60,62,64,66,68,70,72,74,76,78,80,85,90,95,100})</f>
        <v>100</v>
      </c>
      <c r="T233" s="21">
        <f>3.3-Q233</f>
        <v>0.0299999999999998</v>
      </c>
      <c r="U233" s="1">
        <f>LOOKUP(T233,{0,0.04,0.08,0.12,0.16,0.2,0.23,0.26,0.29,0.32,0.35},{0,1,2,3,4,5,6,7,8,9,10})</f>
        <v>0</v>
      </c>
      <c r="V233" s="21">
        <f t="shared" si="125"/>
        <v>100</v>
      </c>
      <c r="W233" s="15"/>
      <c r="X233" s="21">
        <f t="shared" si="126"/>
        <v>65.4</v>
      </c>
      <c r="Y233" s="21">
        <f t="shared" si="130"/>
        <v>102.428571428571</v>
      </c>
    </row>
    <row r="234" ht="15.6" hidden="1" outlineLevel="2" spans="1:25">
      <c r="A234" s="15">
        <v>108</v>
      </c>
      <c r="B234" s="15">
        <v>29</v>
      </c>
      <c r="C234" s="14" t="s">
        <v>382</v>
      </c>
      <c r="D234" s="14" t="s">
        <v>11</v>
      </c>
      <c r="E234" s="15">
        <v>10.2</v>
      </c>
      <c r="F234" s="1">
        <f>LOOKUP(E234,{0,-4,-3,-2,-1,0,1,2.4,3.8,5.2,6.6,8,9.4,10.8,12.2,13.6,15,17.2,19.4,21.5,23.6},{0,10,20,30,40,50,60,62,64,66,68,70,72,74,76,78,80,85,90,95,100})</f>
        <v>72</v>
      </c>
      <c r="G234" s="15">
        <v>198</v>
      </c>
      <c r="H234" s="1">
        <f>LOOKUP(G234,{0,170,175,180,185,190,195,199,203,207,211,215,219,223,227,231,235,243,250,255,260},{0,10,20,30,40,50,60,62,64,66,68,70,72,74,76,78,80,85,90,95,100})</f>
        <v>60</v>
      </c>
      <c r="I234" s="15">
        <v>1</v>
      </c>
      <c r="J234" s="1">
        <f>LOOKUP(I234,{0,2,3,4,5,6,7,8,9,10,11,12,13,14,15,16},{0,10,20,30,40,50,60,64,68,72,76,80,85,90,95,100})</f>
        <v>0</v>
      </c>
      <c r="K234" s="21"/>
      <c r="L234" s="21"/>
      <c r="M234" s="21">
        <f t="shared" si="128"/>
        <v>0</v>
      </c>
      <c r="N234" s="15">
        <v>7.5</v>
      </c>
      <c r="O234" s="19">
        <f t="shared" si="129"/>
        <v>5.5</v>
      </c>
      <c r="P234" s="1">
        <f>LOOKUP(O234,{0,2.5,2.7,2.9,3.1,3.3,3.5,3.7,3.9,4.1,4.3,4.5,4.7,4.9,5.1,5.3,5.5,5.6,5.7,5.8,5.9},{0,10,20,30,40,50,60,62,64,66,68,70,72,74,76,78,80,85,90,95,100})</f>
        <v>80</v>
      </c>
      <c r="Q234" s="15">
        <v>4.1</v>
      </c>
      <c r="R234" s="15">
        <f t="shared" si="124"/>
        <v>5.9</v>
      </c>
      <c r="S234" s="1">
        <f>LOOKUP(R234,{0,3.75,3.95,4.55,4.75,4.95,5.55,5.6,5.65,5.7,5.75,5.8,5.85,5.9,5.95,6,6.45,6.53,6.6,6.65,6.7},{0,10,20,30,40,50,60,62,64,66,68,70,72,74,76,78,80,85,90,95,100})</f>
        <v>74</v>
      </c>
      <c r="T234" s="21"/>
      <c r="U234" s="21"/>
      <c r="V234" s="21">
        <f t="shared" si="125"/>
        <v>74</v>
      </c>
      <c r="W234" s="15"/>
      <c r="X234" s="21">
        <f t="shared" si="126"/>
        <v>44</v>
      </c>
      <c r="Y234" s="21">
        <f t="shared" si="130"/>
        <v>62.8571428571429</v>
      </c>
    </row>
    <row r="235" ht="15.6" outlineLevel="1" collapsed="1" spans="1:25">
      <c r="A235" s="16" t="s">
        <v>849</v>
      </c>
      <c r="B235" s="15"/>
      <c r="C235" s="14"/>
      <c r="D235" s="14"/>
      <c r="E235" s="15"/>
      <c r="F235" s="1">
        <f>SUBTOTAL(1,F206:F234)</f>
        <v>68.3928571428571</v>
      </c>
      <c r="G235" s="15"/>
      <c r="H235" s="1">
        <f>SUBTOTAL(1,H206:H234)</f>
        <v>66.9642857142857</v>
      </c>
      <c r="I235" s="15"/>
      <c r="J235" s="1">
        <f>SUBTOTAL(1,J206:J234)</f>
        <v>42.0714285714286</v>
      </c>
      <c r="K235" s="21"/>
      <c r="L235" s="21"/>
      <c r="M235" s="21">
        <f>SUBTOTAL(1,M206:M234)</f>
        <v>42.9642857142857</v>
      </c>
      <c r="N235" s="15"/>
      <c r="O235" s="19"/>
      <c r="P235" s="1">
        <f>SUBTOTAL(1,P206:P234)</f>
        <v>86.6666666666667</v>
      </c>
      <c r="Q235" s="15"/>
      <c r="R235" s="15"/>
      <c r="S235" s="1">
        <f>SUBTOTAL(1,S206:S234)</f>
        <v>78.7142857142857</v>
      </c>
      <c r="T235" s="21"/>
      <c r="U235" s="21"/>
      <c r="V235" s="21">
        <f>SUBTOTAL(1,V206:V234)</f>
        <v>78.7142857142857</v>
      </c>
      <c r="W235" s="15"/>
      <c r="X235" s="21">
        <f>SUBTOTAL(1,X206:X234)</f>
        <v>48.4689655172414</v>
      </c>
      <c r="Y235" s="21">
        <f>SUBTOTAL(1,Y206:Y234)</f>
        <v>72.5665024630542</v>
      </c>
    </row>
    <row r="236" ht="15.6" hidden="1" outlineLevel="2" spans="1:25">
      <c r="A236" s="15">
        <v>109</v>
      </c>
      <c r="B236" s="15">
        <v>1</v>
      </c>
      <c r="C236" s="13" t="s">
        <v>405</v>
      </c>
      <c r="D236" s="14" t="s">
        <v>11</v>
      </c>
      <c r="E236" s="15">
        <v>11</v>
      </c>
      <c r="F236" s="1">
        <f>LOOKUP(E236,{0,-4,-3,-2,-1,0,1,2.4,3.8,5.2,6.6,8,9.4,10.8,12.2,13.6,15,17.2,19.4,21.5,23.6},{0,10,20,30,40,50,60,62,64,66,68,70,72,74,76,78,80,85,90,95,100})</f>
        <v>74</v>
      </c>
      <c r="G236" s="15">
        <v>205</v>
      </c>
      <c r="H236" s="1">
        <f>LOOKUP(G236,{0,170,175,180,185,190,195,199,203,207,211,215,219,223,227,231,235,243,250,255,260},{0,10,20,30,40,50,60,62,64,66,68,70,72,74,76,78,80,85,90,95,100})</f>
        <v>64</v>
      </c>
      <c r="I236" s="15">
        <v>0</v>
      </c>
      <c r="J236" s="1">
        <f>LOOKUP(I236,{0,2,3,4,5,6,7,8,9,10,11,12,13,14,15,16},{0,10,20,30,40,50,60,64,68,72,76,80,85,90,95,100})</f>
        <v>0</v>
      </c>
      <c r="K236" s="21"/>
      <c r="L236" s="21"/>
      <c r="M236" s="21">
        <f t="shared" ref="M236:M238" si="131">J236+L236</f>
        <v>0</v>
      </c>
      <c r="N236" s="15">
        <v>7.8</v>
      </c>
      <c r="O236" s="19">
        <f t="shared" ref="O236:O238" si="132">13-N236</f>
        <v>5.2</v>
      </c>
      <c r="P236" s="1">
        <f>LOOKUP(O236,{0,2.5,2.7,2.9,3.1,3.3,3.5,3.7,3.9,4.1,4.3,4.5,4.7,4.9,5.1,5.3,5.5,5.6,5.7,5.8,5.9},{0,10,20,30,40,50,60,62,64,66,68,70,72,74,76,78,80,85,90,95,100})</f>
        <v>76</v>
      </c>
      <c r="Q236" s="15">
        <v>5.35</v>
      </c>
      <c r="R236" s="15">
        <f t="shared" ref="R236:R238" si="133">10-Q236</f>
        <v>4.65</v>
      </c>
      <c r="S236" s="1">
        <f>LOOKUP(R236,{0,3.75,3.95,4.55,4.75,4.95,5.55,5.6,5.65,5.7,5.75,5.8,5.85,5.9,5.95,6,6.45,6.53,6.6,6.65,6.7},{0,10,20,30,40,50,60,62,64,66,68,70,72,74,76,78,80,85,90,95,100})</f>
        <v>30</v>
      </c>
      <c r="T236" s="21"/>
      <c r="U236" s="21"/>
      <c r="V236" s="21">
        <f t="shared" ref="V236:V238" si="134">S236+U236</f>
        <v>30</v>
      </c>
      <c r="W236" s="15"/>
      <c r="X236" s="21">
        <f t="shared" ref="X236:X263" si="135">F236*0.1+H236*0.1+J236*0.1+P236*0.2+S236*0.2</f>
        <v>35</v>
      </c>
      <c r="Y236" s="21">
        <f t="shared" ref="Y236:Y238" si="136">X236/0.7+L236+U236</f>
        <v>50</v>
      </c>
    </row>
    <row r="237" ht="15.6" hidden="1" outlineLevel="2" spans="1:25">
      <c r="A237" s="15">
        <v>109</v>
      </c>
      <c r="B237" s="15">
        <v>2</v>
      </c>
      <c r="C237" s="14" t="s">
        <v>406</v>
      </c>
      <c r="D237" s="14" t="s">
        <v>11</v>
      </c>
      <c r="E237" s="15">
        <v>13.7</v>
      </c>
      <c r="F237" s="1">
        <f>LOOKUP(E237,{0,-4,-3,-2,-1,0,1,2.4,3.8,5.2,6.6,8,9.4,10.8,12.2,13.6,15,17.2,19.4,21.5,23.6},{0,10,20,30,40,50,60,62,64,66,68,70,72,74,76,78,80,85,90,95,100})</f>
        <v>78</v>
      </c>
      <c r="G237" s="15">
        <v>235</v>
      </c>
      <c r="H237" s="1">
        <f>LOOKUP(G237,{0,170,175,180,185,190,195,199,203,207,211,215,219,223,227,231,235,243,250,255,260},{0,10,20,30,40,50,60,62,64,66,68,70,72,74,76,78,80,85,90,95,100})</f>
        <v>80</v>
      </c>
      <c r="I237" s="15">
        <v>21</v>
      </c>
      <c r="J237" s="1">
        <f>LOOKUP(I237,{0,2,3,4,5,6,7,8,9,10,11,12,13,14,15,16},{0,10,20,30,40,50,60,64,68,72,76,80,85,90,95,100})</f>
        <v>100</v>
      </c>
      <c r="K237" s="21">
        <f>I237-16</f>
        <v>5</v>
      </c>
      <c r="L237" s="1">
        <f>LOOKUP(K237,{0,1,2,3,4,5,6,7,8,9,10},{0,1,2,3,4,5,6,7,8,9,10})</f>
        <v>5</v>
      </c>
      <c r="M237" s="21">
        <f t="shared" si="131"/>
        <v>105</v>
      </c>
      <c r="N237" s="15">
        <v>7.3</v>
      </c>
      <c r="O237" s="19">
        <f t="shared" si="132"/>
        <v>5.7</v>
      </c>
      <c r="P237" s="1">
        <f>LOOKUP(O237,{0,2.5,2.7,2.9,3.1,3.3,3.5,3.7,3.9,4.1,4.3,4.5,4.7,4.9,5.1,5.3,5.5,5.6,5.7,5.8,5.9},{0,10,20,30,40,50,60,62,64,66,68,70,72,74,76,78,80,85,90,95,100})</f>
        <v>90</v>
      </c>
      <c r="Q237" s="15">
        <v>3.5</v>
      </c>
      <c r="R237" s="15">
        <f t="shared" si="133"/>
        <v>6.5</v>
      </c>
      <c r="S237" s="1">
        <f>LOOKUP(R237,{0,3.75,3.95,4.55,4.75,4.95,5.55,5.6,5.65,5.7,5.75,5.8,5.85,5.9,5.95,6,6.45,6.53,6.6,6.65,6.7},{0,10,20,30,40,50,60,62,64,66,68,70,72,74,76,78,80,85,90,95,100})</f>
        <v>80</v>
      </c>
      <c r="T237" s="21"/>
      <c r="U237" s="21"/>
      <c r="V237" s="21">
        <f t="shared" si="134"/>
        <v>80</v>
      </c>
      <c r="W237" s="15"/>
      <c r="X237" s="21">
        <f t="shared" si="135"/>
        <v>59.8</v>
      </c>
      <c r="Y237" s="21">
        <f t="shared" si="136"/>
        <v>90.4285714285714</v>
      </c>
    </row>
    <row r="238" ht="15.6" hidden="1" outlineLevel="2" spans="1:25">
      <c r="A238" s="15">
        <v>109</v>
      </c>
      <c r="B238" s="15">
        <v>3</v>
      </c>
      <c r="C238" s="14" t="s">
        <v>407</v>
      </c>
      <c r="D238" s="14" t="s">
        <v>11</v>
      </c>
      <c r="E238" s="15">
        <v>13</v>
      </c>
      <c r="F238" s="1">
        <f>LOOKUP(E238,{0,-4,-3,-2,-1,0,1,2.4,3.8,5.2,6.6,8,9.4,10.8,12.2,13.6,15,17.2,19.4,21.5,23.6},{0,10,20,30,40,50,60,62,64,66,68,70,72,74,76,78,80,85,90,95,100})</f>
        <v>76</v>
      </c>
      <c r="G238" s="15">
        <v>210</v>
      </c>
      <c r="H238" s="1">
        <f>LOOKUP(G238,{0,170,175,180,185,190,195,199,203,207,211,215,219,223,227,231,235,243,250,255,260},{0,10,20,30,40,50,60,62,64,66,68,70,72,74,76,78,80,85,90,95,100})</f>
        <v>66</v>
      </c>
      <c r="I238" s="15">
        <v>0</v>
      </c>
      <c r="J238" s="1">
        <f>LOOKUP(I238,{0,2,3,4,5,6,7,8,9,10,11,12,13,14,15,16},{0,10,20,30,40,50,60,64,68,72,76,80,85,90,95,100})</f>
        <v>0</v>
      </c>
      <c r="K238" s="21"/>
      <c r="L238" s="21"/>
      <c r="M238" s="21">
        <f t="shared" si="131"/>
        <v>0</v>
      </c>
      <c r="N238" s="15">
        <v>7.4</v>
      </c>
      <c r="O238" s="19">
        <f t="shared" si="132"/>
        <v>5.6</v>
      </c>
      <c r="P238" s="1">
        <f>LOOKUP(O238,{0,2.5,2.7,2.9,3.1,3.3,3.5,3.7,3.9,4.1,4.3,4.5,4.7,4.9,5.1,5.3,5.5,5.6,5.7,5.8,5.9},{0,10,20,30,40,50,60,62,64,66,68,70,72,74,76,78,80,85,90,95,100})</f>
        <v>85</v>
      </c>
      <c r="Q238" s="15">
        <v>5.36</v>
      </c>
      <c r="R238" s="15">
        <f t="shared" si="133"/>
        <v>4.64</v>
      </c>
      <c r="S238" s="1">
        <f>LOOKUP(R238,{0,3.75,3.95,4.55,4.75,4.95,5.55,5.6,5.65,5.7,5.75,5.8,5.85,5.9,5.95,6,6.45,6.53,6.6,6.65,6.7},{0,10,20,30,40,50,60,62,64,66,68,70,72,74,76,78,80,85,90,95,100})</f>
        <v>30</v>
      </c>
      <c r="T238" s="21"/>
      <c r="U238" s="21"/>
      <c r="V238" s="21">
        <f t="shared" si="134"/>
        <v>30</v>
      </c>
      <c r="W238" s="15"/>
      <c r="X238" s="21">
        <f t="shared" si="135"/>
        <v>37.2</v>
      </c>
      <c r="Y238" s="21">
        <f t="shared" si="136"/>
        <v>53.1428571428572</v>
      </c>
    </row>
    <row r="239" ht="15.6" hidden="1" outlineLevel="2" spans="1:25">
      <c r="A239" s="15">
        <v>109</v>
      </c>
      <c r="B239" s="15">
        <v>4</v>
      </c>
      <c r="C239" s="14" t="s">
        <v>408</v>
      </c>
      <c r="D239" s="14" t="s">
        <v>11</v>
      </c>
      <c r="E239" s="15"/>
      <c r="F239" s="1"/>
      <c r="G239" s="15"/>
      <c r="H239" s="1"/>
      <c r="I239" s="15"/>
      <c r="J239" s="1"/>
      <c r="K239" s="21"/>
      <c r="L239" s="21"/>
      <c r="M239" s="21"/>
      <c r="N239" s="15"/>
      <c r="O239" s="19"/>
      <c r="P239" s="1"/>
      <c r="Q239" s="15"/>
      <c r="R239" s="15"/>
      <c r="S239" s="1"/>
      <c r="T239" s="21"/>
      <c r="U239" s="1"/>
      <c r="V239" s="21"/>
      <c r="W239" s="15" t="s">
        <v>84</v>
      </c>
      <c r="X239" s="21">
        <f t="shared" si="135"/>
        <v>0</v>
      </c>
      <c r="Y239" s="21">
        <v>50</v>
      </c>
    </row>
    <row r="240" ht="15.6" hidden="1" outlineLevel="2" spans="1:25">
      <c r="A240" s="15">
        <v>109</v>
      </c>
      <c r="B240" s="15">
        <v>5</v>
      </c>
      <c r="C240" s="14" t="s">
        <v>409</v>
      </c>
      <c r="D240" s="14" t="s">
        <v>11</v>
      </c>
      <c r="E240" s="15">
        <v>1.2</v>
      </c>
      <c r="F240" s="1">
        <f>LOOKUP(E240,{0,-4,-3,-2,-1,0,1,2.4,3.8,5.2,6.6,8,9.4,10.8,12.2,13.6,15,17.2,19.4,21.5,23.6},{0,10,20,30,40,50,60,62,64,66,68,70,72,74,76,78,80,85,90,95,100})</f>
        <v>60</v>
      </c>
      <c r="G240" s="15">
        <v>230</v>
      </c>
      <c r="H240" s="1">
        <f>LOOKUP(G240,{0,170,175,180,185,190,195,199,203,207,211,215,219,223,227,231,235,243,250,255,260},{0,10,20,30,40,50,60,62,64,66,68,70,72,74,76,78,80,85,90,95,100})</f>
        <v>76</v>
      </c>
      <c r="I240" s="15">
        <v>26</v>
      </c>
      <c r="J240" s="1">
        <f>LOOKUP(I240,{0,2,3,4,5,6,7,8,9,10,11,12,13,14,15,16},{0,10,20,30,40,50,60,64,68,72,76,80,85,90,95,100})</f>
        <v>100</v>
      </c>
      <c r="K240" s="21">
        <f t="shared" ref="K240:K245" si="137">I240-16</f>
        <v>10</v>
      </c>
      <c r="L240" s="1">
        <f>LOOKUP(K240,{0,1,2,3,4,5,6,7,8,9,10},{0,1,2,3,4,5,6,7,8,9,10})</f>
        <v>10</v>
      </c>
      <c r="M240" s="21">
        <f t="shared" ref="M240:M246" si="138">J240+L240</f>
        <v>110</v>
      </c>
      <c r="N240" s="15">
        <v>6.4</v>
      </c>
      <c r="O240" s="19">
        <f t="shared" ref="O240:O246" si="139">13-N240</f>
        <v>6.6</v>
      </c>
      <c r="P240" s="1">
        <f>LOOKUP(O240,{0,2.5,2.7,2.9,3.1,3.3,3.5,3.7,3.9,4.1,4.3,4.5,4.7,4.9,5.1,5.3,5.5,5.6,5.7,5.8,5.9},{0,10,20,30,40,50,60,62,64,66,68,70,72,74,76,78,80,85,90,95,100})</f>
        <v>100</v>
      </c>
      <c r="Q240" s="15">
        <v>3.04</v>
      </c>
      <c r="R240" s="15">
        <f t="shared" ref="R240:R246" si="140">10-Q240</f>
        <v>6.96</v>
      </c>
      <c r="S240" s="1">
        <f>LOOKUP(R240,{0,3.75,3.95,4.55,4.75,4.95,5.55,5.6,5.65,5.7,5.75,5.8,5.85,5.9,5.95,6,6.45,6.53,6.6,6.65,6.7},{0,10,20,30,40,50,60,62,64,66,68,70,72,74,76,78,80,85,90,95,100})</f>
        <v>100</v>
      </c>
      <c r="T240" s="21">
        <f>3.3-Q240</f>
        <v>0.26</v>
      </c>
      <c r="U240" s="1">
        <f>LOOKUP(T240,{0,0.04,0.08,0.12,0.16,0.2,0.23,0.26,0.29,0.32,0.35},{0,1,2,3,4,5,6,7,8,9,10})</f>
        <v>7</v>
      </c>
      <c r="V240" s="21">
        <f t="shared" ref="V240:V246" si="141">S240+U240</f>
        <v>107</v>
      </c>
      <c r="W240" s="15"/>
      <c r="X240" s="21">
        <f t="shared" si="135"/>
        <v>63.6</v>
      </c>
      <c r="Y240" s="21">
        <f t="shared" ref="Y240:Y246" si="142">X240/0.7+L240+U240</f>
        <v>107.857142857143</v>
      </c>
    </row>
    <row r="241" s="34" customFormat="1" ht="15.6" hidden="1" outlineLevel="2" spans="1:25">
      <c r="A241" s="15">
        <v>109</v>
      </c>
      <c r="B241" s="15">
        <v>6</v>
      </c>
      <c r="C241" s="14" t="s">
        <v>410</v>
      </c>
      <c r="D241" s="14" t="s">
        <v>11</v>
      </c>
      <c r="E241" s="15">
        <v>17.5</v>
      </c>
      <c r="F241" s="1">
        <f>LOOKUP(E241,{0,-4,-3,-2,-1,0,1,2.4,3.8,5.2,6.6,8,9.4,10.8,12.2,13.6,15,17.2,19.4,21.5,23.6},{0,10,20,30,40,50,60,62,64,66,68,70,72,74,76,78,80,85,90,95,100})</f>
        <v>85</v>
      </c>
      <c r="G241" s="15">
        <v>243</v>
      </c>
      <c r="H241" s="1">
        <f>LOOKUP(G241,{0,170,175,180,185,190,195,199,203,207,211,215,219,223,227,231,235,243,250,255,260},{0,10,20,30,40,50,60,62,64,66,68,70,72,74,76,78,80,85,90,95,100})</f>
        <v>85</v>
      </c>
      <c r="I241" s="15">
        <v>6</v>
      </c>
      <c r="J241" s="1">
        <f>LOOKUP(I241,{0,2,3,4,5,6,7,8,9,10,11,12,13,14,15,16},{0,10,20,30,40,50,60,64,68,72,76,80,85,90,95,100})</f>
        <v>50</v>
      </c>
      <c r="K241" s="21"/>
      <c r="L241" s="21"/>
      <c r="M241" s="21">
        <f t="shared" si="138"/>
        <v>50</v>
      </c>
      <c r="N241" s="15">
        <v>7.2</v>
      </c>
      <c r="O241" s="19">
        <f t="shared" si="139"/>
        <v>5.8</v>
      </c>
      <c r="P241" s="1">
        <f>LOOKUP(O241,{0,2.5,2.7,2.9,3.1,3.3,3.5,3.7,3.9,4.1,4.3,4.5,4.7,4.9,5.1,5.3,5.5,5.6,5.7,5.8,5.9},{0,10,20,30,40,50,60,62,64,66,68,70,72,74,76,78,80,85,90,95,100})</f>
        <v>95</v>
      </c>
      <c r="Q241" s="15">
        <v>3.52</v>
      </c>
      <c r="R241" s="15">
        <f t="shared" si="140"/>
        <v>6.48</v>
      </c>
      <c r="S241" s="1">
        <f>LOOKUP(R241,{0,3.75,3.95,4.55,4.75,4.95,5.55,5.6,5.65,5.7,5.75,5.8,5.85,5.9,5.95,6,6.45,6.53,6.6,6.65,6.7},{0,10,20,30,40,50,60,62,64,66,68,70,72,74,76,78,80,85,90,95,100})</f>
        <v>80</v>
      </c>
      <c r="T241" s="21"/>
      <c r="U241" s="21"/>
      <c r="V241" s="21">
        <f t="shared" si="141"/>
        <v>80</v>
      </c>
      <c r="W241" s="15"/>
      <c r="X241" s="21">
        <f t="shared" si="135"/>
        <v>57</v>
      </c>
      <c r="Y241" s="21">
        <f t="shared" si="142"/>
        <v>81.4285714285714</v>
      </c>
    </row>
    <row r="242" ht="15.6" hidden="1" outlineLevel="2" spans="1:25">
      <c r="A242" s="15">
        <v>109</v>
      </c>
      <c r="B242" s="15">
        <v>7</v>
      </c>
      <c r="C242" s="14" t="s">
        <v>411</v>
      </c>
      <c r="D242" s="14" t="s">
        <v>11</v>
      </c>
      <c r="E242" s="15">
        <v>19.5</v>
      </c>
      <c r="F242" s="1">
        <f>LOOKUP(E242,{0,-4,-3,-2,-1,0,1,2.4,3.8,5.2,6.6,8,9.4,10.8,12.2,13.6,15,17.2,19.4,21.5,23.6},{0,10,20,30,40,50,60,62,64,66,68,70,72,74,76,78,80,85,90,95,100})</f>
        <v>90</v>
      </c>
      <c r="G242" s="15">
        <v>253</v>
      </c>
      <c r="H242" s="1">
        <f>LOOKUP(G242,{0,170,175,180,185,190,195,199,203,207,211,215,219,223,227,231,235,243,250,255,260},{0,10,20,30,40,50,60,62,64,66,68,70,72,74,76,78,80,85,90,95,100})</f>
        <v>90</v>
      </c>
      <c r="I242" s="15">
        <v>12</v>
      </c>
      <c r="J242" s="1">
        <f>LOOKUP(I242,{0,2,3,4,5,6,7,8,9,10,11,12,13,14,15,16},{0,10,20,30,40,50,60,64,68,72,76,80,85,90,95,100})</f>
        <v>80</v>
      </c>
      <c r="K242" s="21"/>
      <c r="L242" s="21"/>
      <c r="M242" s="21">
        <f t="shared" si="138"/>
        <v>80</v>
      </c>
      <c r="N242" s="15">
        <v>7.2</v>
      </c>
      <c r="O242" s="19">
        <f t="shared" si="139"/>
        <v>5.8</v>
      </c>
      <c r="P242" s="1">
        <f>LOOKUP(O242,{0,2.5,2.7,2.9,3.1,3.3,3.5,3.7,3.9,4.1,4.3,4.5,4.7,4.9,5.1,5.3,5.5,5.6,5.7,5.8,5.9},{0,10,20,30,40,50,60,62,64,66,68,70,72,74,76,78,80,85,90,95,100})</f>
        <v>95</v>
      </c>
      <c r="Q242" s="15">
        <v>3.46</v>
      </c>
      <c r="R242" s="15">
        <f t="shared" si="140"/>
        <v>6.54</v>
      </c>
      <c r="S242" s="1">
        <f>LOOKUP(R242,{0,3.75,3.95,4.55,4.75,4.95,5.55,5.6,5.65,5.7,5.75,5.8,5.85,5.9,5.95,6,6.45,6.53,6.6,6.65,6.7},{0,10,20,30,40,50,60,62,64,66,68,70,72,74,76,78,80,85,90,95,100})</f>
        <v>85</v>
      </c>
      <c r="T242" s="21"/>
      <c r="U242" s="21"/>
      <c r="V242" s="21">
        <f t="shared" si="141"/>
        <v>85</v>
      </c>
      <c r="W242" s="15"/>
      <c r="X242" s="21">
        <f t="shared" si="135"/>
        <v>62</v>
      </c>
      <c r="Y242" s="21">
        <f t="shared" si="142"/>
        <v>88.5714285714286</v>
      </c>
    </row>
    <row r="243" ht="15.6" hidden="1" outlineLevel="2" spans="1:25">
      <c r="A243" s="15">
        <v>109</v>
      </c>
      <c r="B243" s="15">
        <v>8</v>
      </c>
      <c r="C243" s="14" t="s">
        <v>412</v>
      </c>
      <c r="D243" s="14" t="s">
        <v>11</v>
      </c>
      <c r="E243" s="15">
        <v>12.7</v>
      </c>
      <c r="F243" s="1">
        <f>LOOKUP(E243,{0,-4,-3,-2,-1,0,1,2.4,3.8,5.2,6.6,8,9.4,10.8,12.2,13.6,15,17.2,19.4,21.5,23.6},{0,10,20,30,40,50,60,62,64,66,68,70,72,74,76,78,80,85,90,95,100})</f>
        <v>76</v>
      </c>
      <c r="G243" s="15">
        <v>260</v>
      </c>
      <c r="H243" s="1">
        <f>LOOKUP(G243,{0,170,175,180,185,190,195,199,203,207,211,215,219,223,227,231,235,243,250,255,260},{0,10,20,30,40,50,60,62,64,66,68,70,72,74,76,78,80,85,90,95,100})</f>
        <v>100</v>
      </c>
      <c r="I243" s="15">
        <v>17</v>
      </c>
      <c r="J243" s="1">
        <f>LOOKUP(I243,{0,2,3,4,5,6,7,8,9,10,11,12,13,14,15,16},{0,10,20,30,40,50,60,64,68,72,76,80,85,90,95,100})</f>
        <v>100</v>
      </c>
      <c r="K243" s="21">
        <f t="shared" si="137"/>
        <v>1</v>
      </c>
      <c r="L243" s="1">
        <f>LOOKUP(K243,{0,1,2,3,4,5,6,7,8,9,10},{0,1,2,3,4,5,6,7,8,9,10})</f>
        <v>1</v>
      </c>
      <c r="M243" s="21">
        <f t="shared" si="138"/>
        <v>101</v>
      </c>
      <c r="N243" s="15">
        <v>6.5</v>
      </c>
      <c r="O243" s="19">
        <f t="shared" si="139"/>
        <v>6.5</v>
      </c>
      <c r="P243" s="1">
        <f>LOOKUP(O243,{0,2.5,2.7,2.9,3.1,3.3,3.5,3.7,3.9,4.1,4.3,4.5,4.7,4.9,5.1,5.3,5.5,5.6,5.7,5.8,5.9},{0,10,20,30,40,50,60,62,64,66,68,70,72,74,76,78,80,85,90,95,100})</f>
        <v>100</v>
      </c>
      <c r="Q243" s="15">
        <v>3.1</v>
      </c>
      <c r="R243" s="15">
        <f t="shared" si="140"/>
        <v>6.9</v>
      </c>
      <c r="S243" s="1">
        <f>LOOKUP(R243,{0,3.75,3.95,4.55,4.75,4.95,5.55,5.6,5.65,5.7,5.75,5.8,5.85,5.9,5.95,6,6.45,6.53,6.6,6.65,6.7},{0,10,20,30,40,50,60,62,64,66,68,70,72,74,76,78,80,85,90,95,100})</f>
        <v>100</v>
      </c>
      <c r="T243" s="21">
        <f>3.3-Q243</f>
        <v>0.2</v>
      </c>
      <c r="U243" s="1">
        <f>LOOKUP(T243,{0,0.04,0.08,0.12,0.16,0.2,0.23,0.26,0.29,0.32,0.35},{0,1,2,3,4,5,6,7,8,9,10})</f>
        <v>4</v>
      </c>
      <c r="V243" s="21">
        <f t="shared" si="141"/>
        <v>104</v>
      </c>
      <c r="W243" s="15"/>
      <c r="X243" s="21">
        <f t="shared" si="135"/>
        <v>67.6</v>
      </c>
      <c r="Y243" s="21">
        <f t="shared" si="142"/>
        <v>101.571428571429</v>
      </c>
    </row>
    <row r="244" ht="15.6" hidden="1" outlineLevel="2" spans="1:25">
      <c r="A244" s="15">
        <v>109</v>
      </c>
      <c r="B244" s="15">
        <v>9</v>
      </c>
      <c r="C244" s="14" t="s">
        <v>413</v>
      </c>
      <c r="D244" s="14" t="s">
        <v>11</v>
      </c>
      <c r="E244" s="15">
        <v>13.5</v>
      </c>
      <c r="F244" s="1">
        <f>LOOKUP(E244,{0,-4,-3,-2,-1,0,1,2.4,3.8,5.2,6.6,8,9.4,10.8,12.2,13.6,15,17.2,19.4,21.5,23.6},{0,10,20,30,40,50,60,62,64,66,68,70,72,74,76,78,80,85,90,95,100})</f>
        <v>76</v>
      </c>
      <c r="G244" s="15">
        <v>245</v>
      </c>
      <c r="H244" s="1">
        <f>LOOKUP(G244,{0,170,175,180,185,190,195,199,203,207,211,215,219,223,227,231,235,243,250,255,260},{0,10,20,30,40,50,60,62,64,66,68,70,72,74,76,78,80,85,90,95,100})</f>
        <v>85</v>
      </c>
      <c r="I244" s="15">
        <v>18</v>
      </c>
      <c r="J244" s="1">
        <f>LOOKUP(I244,{0,2,3,4,5,6,7,8,9,10,11,12,13,14,15,16},{0,10,20,30,40,50,60,64,68,72,76,80,85,90,95,100})</f>
        <v>100</v>
      </c>
      <c r="K244" s="21">
        <f t="shared" si="137"/>
        <v>2</v>
      </c>
      <c r="L244" s="1">
        <f>LOOKUP(K244,{0,1,2,3,4,5,6,7,8,9,10},{0,1,2,3,4,5,6,7,8,9,10})</f>
        <v>2</v>
      </c>
      <c r="M244" s="21">
        <f t="shared" si="138"/>
        <v>102</v>
      </c>
      <c r="N244" s="15">
        <v>7.2</v>
      </c>
      <c r="O244" s="19">
        <f t="shared" si="139"/>
        <v>5.8</v>
      </c>
      <c r="P244" s="1">
        <f>LOOKUP(O244,{0,2.5,2.7,2.9,3.1,3.3,3.5,3.7,3.9,4.1,4.3,4.5,4.7,4.9,5.1,5.3,5.5,5.6,5.7,5.8,5.9},{0,10,20,30,40,50,60,62,64,66,68,70,72,74,76,78,80,85,90,95,100})</f>
        <v>95</v>
      </c>
      <c r="Q244" s="15">
        <v>3.42</v>
      </c>
      <c r="R244" s="15">
        <f t="shared" si="140"/>
        <v>6.58</v>
      </c>
      <c r="S244" s="1">
        <f>LOOKUP(R244,{0,3.75,3.95,4.55,4.75,4.95,5.55,5.6,5.65,5.7,5.75,5.8,5.85,5.9,5.95,6,6.45,6.53,6.6,6.65,6.7},{0,10,20,30,40,50,60,62,64,66,68,70,72,74,76,78,80,85,90,95,100})</f>
        <v>85</v>
      </c>
      <c r="T244" s="21"/>
      <c r="U244" s="21"/>
      <c r="V244" s="21">
        <f t="shared" si="141"/>
        <v>85</v>
      </c>
      <c r="W244" s="15"/>
      <c r="X244" s="21">
        <f t="shared" si="135"/>
        <v>62.1</v>
      </c>
      <c r="Y244" s="21">
        <f t="shared" si="142"/>
        <v>90.7142857142857</v>
      </c>
    </row>
    <row r="245" ht="15.6" hidden="1" outlineLevel="2" spans="1:25">
      <c r="A245" s="15">
        <v>109</v>
      </c>
      <c r="B245" s="15">
        <v>10</v>
      </c>
      <c r="C245" s="14" t="s">
        <v>414</v>
      </c>
      <c r="D245" s="14" t="s">
        <v>11</v>
      </c>
      <c r="E245" s="15">
        <v>1.1</v>
      </c>
      <c r="F245" s="1">
        <f>LOOKUP(E245,{0,-4,-3,-2,-1,0,1,2.4,3.8,5.2,6.6,8,9.4,10.8,12.2,13.6,15,17.2,19.4,21.5,23.6},{0,10,20,30,40,50,60,62,64,66,68,70,72,74,76,78,80,85,90,95,100})</f>
        <v>60</v>
      </c>
      <c r="G245" s="15">
        <v>235</v>
      </c>
      <c r="H245" s="1">
        <f>LOOKUP(G245,{0,170,175,180,185,190,195,199,203,207,211,215,219,223,227,231,235,243,250,255,260},{0,10,20,30,40,50,60,62,64,66,68,70,72,74,76,78,80,85,90,95,100})</f>
        <v>80</v>
      </c>
      <c r="I245" s="15">
        <v>17</v>
      </c>
      <c r="J245" s="1">
        <f>LOOKUP(I245,{0,2,3,4,5,6,7,8,9,10,11,12,13,14,15,16},{0,10,20,30,40,50,60,64,68,72,76,80,85,90,95,100})</f>
        <v>100</v>
      </c>
      <c r="K245" s="21">
        <f t="shared" si="137"/>
        <v>1</v>
      </c>
      <c r="L245" s="1">
        <f>LOOKUP(K245,{0,1,2,3,4,5,6,7,8,9,10},{0,1,2,3,4,5,6,7,8,9,10})</f>
        <v>1</v>
      </c>
      <c r="M245" s="21">
        <f t="shared" si="138"/>
        <v>101</v>
      </c>
      <c r="N245" s="15">
        <v>7.3</v>
      </c>
      <c r="O245" s="19">
        <f t="shared" si="139"/>
        <v>5.7</v>
      </c>
      <c r="P245" s="1">
        <f>LOOKUP(O245,{0,2.5,2.7,2.9,3.1,3.3,3.5,3.7,3.9,4.1,4.3,4.5,4.7,4.9,5.1,5.3,5.5,5.6,5.7,5.8,5.9},{0,10,20,30,40,50,60,62,64,66,68,70,72,74,76,78,80,85,90,95,100})</f>
        <v>90</v>
      </c>
      <c r="Q245" s="15">
        <v>4.36</v>
      </c>
      <c r="R245" s="15">
        <f t="shared" si="140"/>
        <v>5.64</v>
      </c>
      <c r="S245" s="1">
        <f>LOOKUP(R245,{0,3.75,3.95,4.55,4.75,4.95,5.55,5.6,5.65,5.7,5.75,5.8,5.85,5.9,5.95,6,6.45,6.53,6.6,6.65,6.7},{0,10,20,30,40,50,60,62,64,66,68,70,72,74,76,78,80,85,90,95,100})</f>
        <v>62</v>
      </c>
      <c r="T245" s="21"/>
      <c r="U245" s="21"/>
      <c r="V245" s="21">
        <f t="shared" si="141"/>
        <v>62</v>
      </c>
      <c r="W245" s="15"/>
      <c r="X245" s="21">
        <f t="shared" si="135"/>
        <v>54.4</v>
      </c>
      <c r="Y245" s="21">
        <f t="shared" si="142"/>
        <v>78.7142857142857</v>
      </c>
    </row>
    <row r="246" ht="15.6" hidden="1" outlineLevel="2" spans="1:25">
      <c r="A246" s="15">
        <v>109</v>
      </c>
      <c r="B246" s="15">
        <v>11</v>
      </c>
      <c r="C246" s="13" t="s">
        <v>416</v>
      </c>
      <c r="D246" s="14" t="s">
        <v>11</v>
      </c>
      <c r="E246" s="15">
        <v>-0.5</v>
      </c>
      <c r="F246" s="1">
        <f>LOOKUP(E246,{0,-4,-3,-2,-1,0,1,2.4,3.8,5.2,6.6,8,9.4,10.8,12.2,13.6,15,17.2,19.4,21.5,23.6},{0,10,20,30,40,50,60,62,64,66,68,70,72,74,76,78,80,85,90,95,100})</f>
        <v>40</v>
      </c>
      <c r="G246" s="15">
        <v>217</v>
      </c>
      <c r="H246" s="1">
        <f>LOOKUP(G246,{0,170,175,180,185,190,195,199,203,207,211,215,219,223,227,231,235,243,250,255,260},{0,10,20,30,40,50,60,62,64,66,68,70,72,74,76,78,80,85,90,95,100})</f>
        <v>70</v>
      </c>
      <c r="I246" s="15">
        <v>12</v>
      </c>
      <c r="J246" s="1">
        <f>LOOKUP(I246,{0,2,3,4,5,6,7,8,9,10,11,12,13,14,15,16},{0,10,20,30,40,50,60,64,68,72,76,80,85,90,95,100})</f>
        <v>80</v>
      </c>
      <c r="K246" s="21"/>
      <c r="L246" s="21"/>
      <c r="M246" s="21">
        <f t="shared" si="138"/>
        <v>80</v>
      </c>
      <c r="N246" s="15">
        <v>7.5</v>
      </c>
      <c r="O246" s="19">
        <f t="shared" si="139"/>
        <v>5.5</v>
      </c>
      <c r="P246" s="1">
        <f>LOOKUP(O246,{0,2.5,2.7,2.9,3.1,3.3,3.5,3.7,3.9,4.1,4.3,4.5,4.7,4.9,5.1,5.3,5.5,5.6,5.7,5.8,5.9},{0,10,20,30,40,50,60,62,64,66,68,70,72,74,76,78,80,85,90,95,100})</f>
        <v>80</v>
      </c>
      <c r="Q246" s="15">
        <v>5.55</v>
      </c>
      <c r="R246" s="15">
        <f t="shared" si="140"/>
        <v>4.45</v>
      </c>
      <c r="S246" s="1">
        <f>LOOKUP(R246,{0,3.75,3.95,4.55,4.75,4.95,5.55,5.6,5.65,5.7,5.75,5.8,5.85,5.9,5.95,6,6.45,6.53,6.6,6.65,6.7},{0,10,20,30,40,50,60,62,64,66,68,70,72,74,76,78,80,85,90,95,100})</f>
        <v>20</v>
      </c>
      <c r="T246" s="21"/>
      <c r="U246" s="21"/>
      <c r="V246" s="21">
        <f t="shared" si="141"/>
        <v>20</v>
      </c>
      <c r="W246" s="15"/>
      <c r="X246" s="21">
        <f t="shared" si="135"/>
        <v>39</v>
      </c>
      <c r="Y246" s="21">
        <f t="shared" si="142"/>
        <v>55.7142857142857</v>
      </c>
    </row>
    <row r="247" s="3" customFormat="1" ht="15.6" hidden="1" outlineLevel="2" spans="1:25">
      <c r="A247" s="15">
        <v>109</v>
      </c>
      <c r="B247" s="15">
        <v>12</v>
      </c>
      <c r="C247" s="14" t="s">
        <v>417</v>
      </c>
      <c r="D247" s="14" t="s">
        <v>11</v>
      </c>
      <c r="E247" s="15"/>
      <c r="F247" s="1"/>
      <c r="G247" s="15"/>
      <c r="H247" s="1"/>
      <c r="I247" s="15"/>
      <c r="J247" s="1"/>
      <c r="K247" s="21"/>
      <c r="L247" s="21"/>
      <c r="M247" s="21"/>
      <c r="N247" s="15"/>
      <c r="O247" s="19"/>
      <c r="P247" s="1"/>
      <c r="Q247" s="15"/>
      <c r="R247" s="15"/>
      <c r="S247" s="1"/>
      <c r="T247" s="21"/>
      <c r="U247" s="1"/>
      <c r="V247" s="21"/>
      <c r="W247" s="15" t="s">
        <v>84</v>
      </c>
      <c r="X247" s="21">
        <f t="shared" si="135"/>
        <v>0</v>
      </c>
      <c r="Y247" s="21">
        <v>50</v>
      </c>
    </row>
    <row r="248" ht="15.6" hidden="1" outlineLevel="2" spans="1:25">
      <c r="A248" s="15">
        <v>109</v>
      </c>
      <c r="B248" s="15">
        <v>13</v>
      </c>
      <c r="C248" s="14" t="s">
        <v>418</v>
      </c>
      <c r="D248" s="14" t="s">
        <v>11</v>
      </c>
      <c r="E248" s="15">
        <v>15</v>
      </c>
      <c r="F248" s="1">
        <f>LOOKUP(E248,{0,-4,-3,-2,-1,0,1,2.4,3.8,5.2,6.6,8,9.4,10.8,12.2,13.6,15,17.2,19.4,21.5,23.6},{0,10,20,30,40,50,60,62,64,66,68,70,72,74,76,78,80,85,90,95,100})</f>
        <v>80</v>
      </c>
      <c r="G248" s="15">
        <v>220</v>
      </c>
      <c r="H248" s="1">
        <f>LOOKUP(G248,{0,170,175,180,185,190,195,199,203,207,211,215,219,223,227,231,235,243,250,255,260},{0,10,20,30,40,50,60,62,64,66,68,70,72,74,76,78,80,85,90,95,100})</f>
        <v>72</v>
      </c>
      <c r="I248" s="15">
        <v>23</v>
      </c>
      <c r="J248" s="1">
        <f>LOOKUP(I248,{0,2,3,4,5,6,7,8,9,10,11,12,13,14,15,16},{0,10,20,30,40,50,60,64,68,72,76,80,85,90,95,100})</f>
        <v>100</v>
      </c>
      <c r="K248" s="21">
        <f t="shared" ref="K248:K253" si="143">I248-16</f>
        <v>7</v>
      </c>
      <c r="L248" s="1">
        <f>LOOKUP(K248,{0,1,2,3,4,5,6,7,8,9,10},{0,1,2,3,4,5,6,7,8,9,10})</f>
        <v>7</v>
      </c>
      <c r="M248" s="21">
        <f t="shared" ref="M248:M255" si="144">J248+L248</f>
        <v>107</v>
      </c>
      <c r="N248" s="15">
        <v>7.7</v>
      </c>
      <c r="O248" s="19">
        <f t="shared" ref="O248:O255" si="145">13-N248</f>
        <v>5.3</v>
      </c>
      <c r="P248" s="1">
        <f>LOOKUP(O248,{0,2.5,2.7,2.9,3.1,3.3,3.5,3.7,3.9,4.1,4.3,4.5,4.7,4.9,5.1,5.3,5.5,5.6,5.7,5.8,5.9},{0,10,20,30,40,50,60,62,64,66,68,70,72,74,76,78,80,85,90,95,100})</f>
        <v>78</v>
      </c>
      <c r="Q248" s="15">
        <v>3.37</v>
      </c>
      <c r="R248" s="15">
        <f t="shared" ref="R248:R255" si="146">10-Q248</f>
        <v>6.63</v>
      </c>
      <c r="S248" s="1">
        <f>LOOKUP(R248,{0,3.75,3.95,4.55,4.75,4.95,5.55,5.6,5.65,5.7,5.75,5.8,5.85,5.9,5.95,6,6.45,6.53,6.6,6.65,6.7},{0,10,20,30,40,50,60,62,64,66,68,70,72,74,76,78,80,85,90,95,100})</f>
        <v>90</v>
      </c>
      <c r="T248" s="21"/>
      <c r="U248" s="21"/>
      <c r="V248" s="21">
        <f t="shared" ref="V248:V255" si="147">S248+U248</f>
        <v>90</v>
      </c>
      <c r="W248" s="15"/>
      <c r="X248" s="21">
        <f t="shared" si="135"/>
        <v>58.8</v>
      </c>
      <c r="Y248" s="21">
        <f t="shared" ref="Y248:Y255" si="148">X248/0.7+L248+U248</f>
        <v>91</v>
      </c>
    </row>
    <row r="249" ht="15.6" hidden="1" outlineLevel="2" spans="1:25">
      <c r="A249" s="15">
        <v>109</v>
      </c>
      <c r="B249" s="15">
        <v>14</v>
      </c>
      <c r="C249" s="14" t="s">
        <v>419</v>
      </c>
      <c r="D249" s="14" t="s">
        <v>11</v>
      </c>
      <c r="E249" s="15">
        <v>3.8</v>
      </c>
      <c r="F249" s="1">
        <f>LOOKUP(E249,{0,-4,-3,-2,-1,0,1,2.4,3.8,5.2,6.6,8,9.4,10.8,12.2,13.6,15,17.2,19.4,21.5,23.6},{0,10,20,30,40,50,60,62,64,66,68,70,72,74,76,78,80,85,90,95,100})</f>
        <v>64</v>
      </c>
      <c r="G249" s="15">
        <v>205</v>
      </c>
      <c r="H249" s="1">
        <f>LOOKUP(G249,{0,170,175,180,185,190,195,199,203,207,211,215,219,223,227,231,235,243,250,255,260},{0,10,20,30,40,50,60,62,64,66,68,70,72,74,76,78,80,85,90,95,100})</f>
        <v>64</v>
      </c>
      <c r="I249" s="15">
        <v>3</v>
      </c>
      <c r="J249" s="1">
        <f>LOOKUP(I249,{0,2,3,4,5,6,7,8,9,10,11,12,13,14,15,16},{0,10,20,30,40,50,60,64,68,72,76,80,85,90,95,100})</f>
        <v>20</v>
      </c>
      <c r="K249" s="21"/>
      <c r="L249" s="21"/>
      <c r="M249" s="21">
        <f t="shared" si="144"/>
        <v>20</v>
      </c>
      <c r="N249" s="15">
        <v>7.5</v>
      </c>
      <c r="O249" s="19">
        <f t="shared" si="145"/>
        <v>5.5</v>
      </c>
      <c r="P249" s="1">
        <f>LOOKUP(O249,{0,2.5,2.7,2.9,3.1,3.3,3.5,3.7,3.9,4.1,4.3,4.5,4.7,4.9,5.1,5.3,5.5,5.6,5.7,5.8,5.9},{0,10,20,30,40,50,60,62,64,66,68,70,72,74,76,78,80,85,90,95,100})</f>
        <v>80</v>
      </c>
      <c r="Q249" s="15">
        <v>3.48</v>
      </c>
      <c r="R249" s="15">
        <f t="shared" si="146"/>
        <v>6.52</v>
      </c>
      <c r="S249" s="1">
        <f>LOOKUP(R249,{0,3.75,3.95,4.55,4.75,4.95,5.55,5.6,5.65,5.7,5.75,5.8,5.85,5.9,5.95,6,6.45,6.53,6.6,6.65,6.7},{0,10,20,30,40,50,60,62,64,66,68,70,72,74,76,78,80,85,90,95,100})</f>
        <v>80</v>
      </c>
      <c r="T249" s="21"/>
      <c r="U249" s="21"/>
      <c r="V249" s="21">
        <f t="shared" si="147"/>
        <v>80</v>
      </c>
      <c r="W249" s="15"/>
      <c r="X249" s="21">
        <f t="shared" si="135"/>
        <v>46.8</v>
      </c>
      <c r="Y249" s="21">
        <f t="shared" si="148"/>
        <v>66.8571428571429</v>
      </c>
    </row>
    <row r="250" ht="15.6" hidden="1" outlineLevel="2" spans="1:25">
      <c r="A250" s="15">
        <v>109</v>
      </c>
      <c r="B250" s="15">
        <v>15</v>
      </c>
      <c r="C250" s="14" t="s">
        <v>420</v>
      </c>
      <c r="D250" s="14" t="s">
        <v>11</v>
      </c>
      <c r="E250" s="15">
        <v>0.4</v>
      </c>
      <c r="F250" s="1">
        <f>LOOKUP(E250,{0,-4,-3,-2,-1,0,1,2.4,3.8,5.2,6.6,8,9.4,10.8,12.2,13.6,15,17.2,19.4,21.5,23.6},{0,10,20,30,40,50,60,62,64,66,68,70,72,74,76,78,80,85,90,95,100})</f>
        <v>50</v>
      </c>
      <c r="G250" s="15">
        <v>215</v>
      </c>
      <c r="H250" s="1">
        <f>LOOKUP(G250,{0,170,175,180,185,190,195,199,203,207,211,215,219,223,227,231,235,243,250,255,260},{0,10,20,30,40,50,60,62,64,66,68,70,72,74,76,78,80,85,90,95,100})</f>
        <v>70</v>
      </c>
      <c r="I250" s="15">
        <v>0</v>
      </c>
      <c r="J250" s="1">
        <f>LOOKUP(I250,{0,2,3,4,5,6,7,8,9,10,11,12,13,14,15,16},{0,10,20,30,40,50,60,64,68,72,76,80,85,90,95,100})</f>
        <v>0</v>
      </c>
      <c r="K250" s="21"/>
      <c r="L250" s="21"/>
      <c r="M250" s="21">
        <f t="shared" si="144"/>
        <v>0</v>
      </c>
      <c r="N250" s="15">
        <v>7.3</v>
      </c>
      <c r="O250" s="19">
        <f t="shared" si="145"/>
        <v>5.7</v>
      </c>
      <c r="P250" s="1">
        <f>LOOKUP(O250,{0,2.5,2.7,2.9,3.1,3.3,3.5,3.7,3.9,4.1,4.3,4.5,4.7,4.9,5.1,5.3,5.5,5.6,5.7,5.8,5.9},{0,10,20,30,40,50,60,62,64,66,68,70,72,74,76,78,80,85,90,95,100})</f>
        <v>90</v>
      </c>
      <c r="Q250" s="15">
        <v>4.38</v>
      </c>
      <c r="R250" s="15">
        <f t="shared" si="146"/>
        <v>5.62</v>
      </c>
      <c r="S250" s="1">
        <f>LOOKUP(R250,{0,3.75,3.95,4.55,4.75,4.95,5.55,5.6,5.65,5.7,5.75,5.8,5.85,5.9,5.95,6,6.45,6.53,6.6,6.65,6.7},{0,10,20,30,40,50,60,62,64,66,68,70,72,74,76,78,80,85,90,95,100})</f>
        <v>62</v>
      </c>
      <c r="T250" s="21"/>
      <c r="U250" s="21"/>
      <c r="V250" s="21">
        <f t="shared" si="147"/>
        <v>62</v>
      </c>
      <c r="W250" s="15"/>
      <c r="X250" s="21">
        <f t="shared" si="135"/>
        <v>42.4</v>
      </c>
      <c r="Y250" s="21">
        <f t="shared" si="148"/>
        <v>60.5714285714286</v>
      </c>
    </row>
    <row r="251" ht="15.6" hidden="1" outlineLevel="2" spans="1:25">
      <c r="A251" s="15">
        <v>109</v>
      </c>
      <c r="B251" s="15">
        <v>16</v>
      </c>
      <c r="C251" s="14" t="s">
        <v>421</v>
      </c>
      <c r="D251" s="14" t="s">
        <v>11</v>
      </c>
      <c r="E251" s="15">
        <v>4.2</v>
      </c>
      <c r="F251" s="1">
        <f>LOOKUP(E251,{0,-4,-3,-2,-1,0,1,2.4,3.8,5.2,6.6,8,9.4,10.8,12.2,13.6,15,17.2,19.4,21.5,23.6},{0,10,20,30,40,50,60,62,64,66,68,70,72,74,76,78,80,85,90,95,100})</f>
        <v>64</v>
      </c>
      <c r="G251" s="15">
        <v>255</v>
      </c>
      <c r="H251" s="1">
        <f>LOOKUP(G251,{0,170,175,180,185,190,195,199,203,207,211,215,219,223,227,231,235,243,250,255,260},{0,10,20,30,40,50,60,62,64,66,68,70,72,74,76,78,80,85,90,95,100})</f>
        <v>95</v>
      </c>
      <c r="I251" s="15">
        <v>12</v>
      </c>
      <c r="J251" s="1">
        <f>LOOKUP(I251,{0,2,3,4,5,6,7,8,9,10,11,12,13,14,15,16},{0,10,20,30,40,50,60,64,68,72,76,80,85,90,95,100})</f>
        <v>80</v>
      </c>
      <c r="K251" s="21"/>
      <c r="L251" s="21"/>
      <c r="M251" s="21">
        <f t="shared" si="144"/>
        <v>80</v>
      </c>
      <c r="N251" s="15">
        <v>6.7</v>
      </c>
      <c r="O251" s="19">
        <f t="shared" si="145"/>
        <v>6.3</v>
      </c>
      <c r="P251" s="1">
        <f>LOOKUP(O251,{0,2.5,2.7,2.9,3.1,3.3,3.5,3.7,3.9,4.1,4.3,4.5,4.7,4.9,5.1,5.3,5.5,5.6,5.7,5.8,5.9},{0,10,20,30,40,50,60,62,64,66,68,70,72,74,76,78,80,85,90,95,100})</f>
        <v>100</v>
      </c>
      <c r="Q251" s="15">
        <v>3.28</v>
      </c>
      <c r="R251" s="15">
        <f t="shared" si="146"/>
        <v>6.72</v>
      </c>
      <c r="S251" s="1">
        <f>LOOKUP(R251,{0,3.75,3.95,4.55,4.75,4.95,5.55,5.6,5.65,5.7,5.75,5.8,5.85,5.9,5.95,6,6.45,6.53,6.6,6.65,6.7},{0,10,20,30,40,50,60,62,64,66,68,70,72,74,76,78,80,85,90,95,100})</f>
        <v>100</v>
      </c>
      <c r="T251" s="21">
        <f t="shared" ref="T251:T253" si="149">3.3-Q251</f>
        <v>0.02</v>
      </c>
      <c r="U251" s="1">
        <f>LOOKUP(T251,{0,0.04,0.08,0.12,0.16,0.2,0.23,0.26,0.29,0.32,0.35},{0,1,2,3,4,5,6,7,8,9,10})</f>
        <v>0</v>
      </c>
      <c r="V251" s="21">
        <f t="shared" si="147"/>
        <v>100</v>
      </c>
      <c r="W251" s="15"/>
      <c r="X251" s="21">
        <f t="shared" si="135"/>
        <v>63.9</v>
      </c>
      <c r="Y251" s="21">
        <f t="shared" si="148"/>
        <v>91.2857142857143</v>
      </c>
    </row>
    <row r="252" ht="15.6" hidden="1" outlineLevel="2" spans="1:25">
      <c r="A252" s="15">
        <v>109</v>
      </c>
      <c r="B252" s="15">
        <v>17</v>
      </c>
      <c r="C252" s="14" t="s">
        <v>422</v>
      </c>
      <c r="D252" s="14" t="s">
        <v>11</v>
      </c>
      <c r="E252" s="15">
        <v>25</v>
      </c>
      <c r="F252" s="1">
        <f>LOOKUP(E252,{0,-4,-3,-2,-1,0,1,2.4,3.8,5.2,6.6,8,9.4,10.8,12.2,13.6,15,17.2,19.4,21.5,23.6},{0,10,20,30,40,50,60,62,64,66,68,70,72,74,76,78,80,85,90,95,100})</f>
        <v>100</v>
      </c>
      <c r="G252" s="15">
        <v>250</v>
      </c>
      <c r="H252" s="1">
        <f>LOOKUP(G252,{0,170,175,180,185,190,195,199,203,207,211,215,219,223,227,231,235,243,250,255,260},{0,10,20,30,40,50,60,62,64,66,68,70,72,74,76,78,80,85,90,95,100})</f>
        <v>90</v>
      </c>
      <c r="I252" s="15">
        <v>35</v>
      </c>
      <c r="J252" s="1">
        <f>LOOKUP(I252,{0,2,3,4,5,6,7,8,9,10,11,12,13,14,15,16},{0,10,20,30,40,50,60,64,68,72,76,80,85,90,95,100})</f>
        <v>100</v>
      </c>
      <c r="K252" s="21">
        <f t="shared" si="143"/>
        <v>19</v>
      </c>
      <c r="L252" s="1">
        <f>LOOKUP(K252,{0,1,2,3,4,5,6,7,8,9,10},{0,1,2,3,4,5,6,7,8,9,10})</f>
        <v>10</v>
      </c>
      <c r="M252" s="21">
        <f t="shared" si="144"/>
        <v>110</v>
      </c>
      <c r="N252" s="15">
        <v>7</v>
      </c>
      <c r="O252" s="19">
        <f t="shared" si="145"/>
        <v>6</v>
      </c>
      <c r="P252" s="1">
        <f>LOOKUP(O252,{0,2.5,2.7,2.9,3.1,3.3,3.5,3.7,3.9,4.1,4.3,4.5,4.7,4.9,5.1,5.3,5.5,5.6,5.7,5.8,5.9},{0,10,20,30,40,50,60,62,64,66,68,70,72,74,76,78,80,85,90,95,100})</f>
        <v>100</v>
      </c>
      <c r="Q252" s="15">
        <v>3.23</v>
      </c>
      <c r="R252" s="15">
        <f t="shared" si="146"/>
        <v>6.77</v>
      </c>
      <c r="S252" s="1">
        <f>LOOKUP(R252,{0,3.75,3.95,4.55,4.75,4.95,5.55,5.6,5.65,5.7,5.75,5.8,5.85,5.9,5.95,6,6.45,6.53,6.6,6.65,6.7},{0,10,20,30,40,50,60,62,64,66,68,70,72,74,76,78,80,85,90,95,100})</f>
        <v>100</v>
      </c>
      <c r="T252" s="21">
        <f t="shared" si="149"/>
        <v>0.0699999999999998</v>
      </c>
      <c r="U252" s="1">
        <f>LOOKUP(T252,{0,0.04,0.08,0.12,0.16,0.2,0.23,0.26,0.29,0.32,0.35},{0,1,2,3,4,5,6,7,8,9,10})</f>
        <v>1</v>
      </c>
      <c r="V252" s="21">
        <f t="shared" si="147"/>
        <v>101</v>
      </c>
      <c r="W252" s="15"/>
      <c r="X252" s="21">
        <f t="shared" si="135"/>
        <v>69</v>
      </c>
      <c r="Y252" s="21">
        <f t="shared" si="148"/>
        <v>109.571428571429</v>
      </c>
    </row>
    <row r="253" ht="15.6" hidden="1" outlineLevel="2" spans="1:25">
      <c r="A253" s="15">
        <v>109</v>
      </c>
      <c r="B253" s="15">
        <v>18</v>
      </c>
      <c r="C253" s="14" t="s">
        <v>423</v>
      </c>
      <c r="D253" s="14" t="s">
        <v>11</v>
      </c>
      <c r="E253" s="15">
        <v>21.8</v>
      </c>
      <c r="F253" s="1">
        <f>LOOKUP(E253,{0,-4,-3,-2,-1,0,1,2.4,3.8,5.2,6.6,8,9.4,10.8,12.2,13.6,15,17.2,19.4,21.5,23.6},{0,10,20,30,40,50,60,62,64,66,68,70,72,74,76,78,80,85,90,95,100})</f>
        <v>95</v>
      </c>
      <c r="G253" s="15">
        <v>260</v>
      </c>
      <c r="H253" s="1">
        <f>LOOKUP(G253,{0,170,175,180,185,190,195,199,203,207,211,215,219,223,227,231,235,243,250,255,260},{0,10,20,30,40,50,60,62,64,66,68,70,72,74,76,78,80,85,90,95,100})</f>
        <v>100</v>
      </c>
      <c r="I253" s="15">
        <v>26</v>
      </c>
      <c r="J253" s="1">
        <f>LOOKUP(I253,{0,2,3,4,5,6,7,8,9,10,11,12,13,14,15,16},{0,10,20,30,40,50,60,64,68,72,76,80,85,90,95,100})</f>
        <v>100</v>
      </c>
      <c r="K253" s="21">
        <f t="shared" si="143"/>
        <v>10</v>
      </c>
      <c r="L253" s="1">
        <f>LOOKUP(K253,{0,1,2,3,4,5,6,7,8,9,10},{0,1,2,3,4,5,6,7,8,9,10})</f>
        <v>10</v>
      </c>
      <c r="M253" s="21">
        <f t="shared" si="144"/>
        <v>110</v>
      </c>
      <c r="N253" s="15">
        <v>7</v>
      </c>
      <c r="O253" s="19">
        <f t="shared" si="145"/>
        <v>6</v>
      </c>
      <c r="P253" s="1">
        <f>LOOKUP(O253,{0,2.5,2.7,2.9,3.1,3.3,3.5,3.7,3.9,4.1,4.3,4.5,4.7,4.9,5.1,5.3,5.5,5.6,5.7,5.8,5.9},{0,10,20,30,40,50,60,62,64,66,68,70,72,74,76,78,80,85,90,95,100})</f>
        <v>100</v>
      </c>
      <c r="Q253" s="15">
        <v>3.24</v>
      </c>
      <c r="R253" s="15">
        <f t="shared" si="146"/>
        <v>6.76</v>
      </c>
      <c r="S253" s="1">
        <f>LOOKUP(R253,{0,3.75,3.95,4.55,4.75,4.95,5.55,5.6,5.65,5.7,5.75,5.8,5.85,5.9,5.95,6,6.45,6.53,6.6,6.65,6.7},{0,10,20,30,40,50,60,62,64,66,68,70,72,74,76,78,80,85,90,95,100})</f>
        <v>100</v>
      </c>
      <c r="T253" s="21">
        <f t="shared" si="149"/>
        <v>0.0599999999999996</v>
      </c>
      <c r="U253" s="1">
        <f>LOOKUP(T253,{0,0.04,0.08,0.12,0.16,0.2,0.23,0.26,0.29,0.32,0.35},{0,1,2,3,4,5,6,7,8,9,10})</f>
        <v>1</v>
      </c>
      <c r="V253" s="21">
        <f t="shared" si="147"/>
        <v>101</v>
      </c>
      <c r="W253" s="15"/>
      <c r="X253" s="21">
        <f t="shared" si="135"/>
        <v>69.5</v>
      </c>
      <c r="Y253" s="21">
        <f t="shared" si="148"/>
        <v>110.285714285714</v>
      </c>
    </row>
    <row r="254" ht="15.6" hidden="1" outlineLevel="2" spans="1:25">
      <c r="A254" s="15">
        <v>109</v>
      </c>
      <c r="B254" s="15">
        <v>19</v>
      </c>
      <c r="C254" s="14" t="s">
        <v>424</v>
      </c>
      <c r="D254" s="14" t="s">
        <v>11</v>
      </c>
      <c r="E254" s="15">
        <v>17</v>
      </c>
      <c r="F254" s="1">
        <f>LOOKUP(E254,{0,-4,-3,-2,-1,0,1,2.4,3.8,5.2,6.6,8,9.4,10.8,12.2,13.6,15,17.2,19.4,21.5,23.6},{0,10,20,30,40,50,60,62,64,66,68,70,72,74,76,78,80,85,90,95,100})</f>
        <v>80</v>
      </c>
      <c r="G254" s="15">
        <v>243</v>
      </c>
      <c r="H254" s="1">
        <f>LOOKUP(G254,{0,170,175,180,185,190,195,199,203,207,211,215,219,223,227,231,235,243,250,255,260},{0,10,20,30,40,50,60,62,64,66,68,70,72,74,76,78,80,85,90,95,100})</f>
        <v>85</v>
      </c>
      <c r="I254" s="15">
        <v>14</v>
      </c>
      <c r="J254" s="1">
        <f>LOOKUP(I254,{0,2,3,4,5,6,7,8,9,10,11,12,13,14,15,16},{0,10,20,30,40,50,60,64,68,72,76,80,85,90,95,100})</f>
        <v>90</v>
      </c>
      <c r="K254" s="21"/>
      <c r="L254" s="21"/>
      <c r="M254" s="21">
        <f t="shared" si="144"/>
        <v>90</v>
      </c>
      <c r="N254" s="15">
        <v>7.1</v>
      </c>
      <c r="O254" s="19">
        <f t="shared" si="145"/>
        <v>5.9</v>
      </c>
      <c r="P254" s="1">
        <f>LOOKUP(O254,{0,2.5,2.7,2.9,3.1,3.3,3.5,3.7,3.9,4.1,4.3,4.5,4.7,4.9,5.1,5.3,5.5,5.6,5.7,5.8,5.9},{0,10,20,30,40,50,60,62,64,66,68,70,72,74,76,78,80,85,90,95,100})</f>
        <v>100</v>
      </c>
      <c r="Q254" s="15">
        <v>4</v>
      </c>
      <c r="R254" s="15">
        <f t="shared" si="146"/>
        <v>6</v>
      </c>
      <c r="S254" s="1">
        <f>LOOKUP(R254,{0,3.75,3.95,4.55,4.75,4.95,5.55,5.6,5.65,5.7,5.75,5.8,5.85,5.9,5.95,6,6.45,6.53,6.6,6.65,6.7},{0,10,20,30,40,50,60,62,64,66,68,70,72,74,76,78,80,85,90,95,100})</f>
        <v>78</v>
      </c>
      <c r="T254" s="21"/>
      <c r="U254" s="21"/>
      <c r="V254" s="21">
        <f t="shared" si="147"/>
        <v>78</v>
      </c>
      <c r="W254" s="15"/>
      <c r="X254" s="21">
        <f t="shared" si="135"/>
        <v>61.1</v>
      </c>
      <c r="Y254" s="21">
        <f t="shared" si="148"/>
        <v>87.2857142857143</v>
      </c>
    </row>
    <row r="255" ht="15.6" hidden="1" outlineLevel="2" spans="1:25">
      <c r="A255" s="15">
        <v>109</v>
      </c>
      <c r="B255" s="15">
        <v>20</v>
      </c>
      <c r="C255" s="13" t="s">
        <v>426</v>
      </c>
      <c r="D255" s="14" t="s">
        <v>11</v>
      </c>
      <c r="E255" s="15">
        <v>16</v>
      </c>
      <c r="F255" s="1">
        <f>LOOKUP(E255,{0,-4,-3,-2,-1,0,1,2.4,3.8,5.2,6.6,8,9.4,10.8,12.2,13.6,15,17.2,19.4,21.5,23.6},{0,10,20,30,40,50,60,62,64,66,68,70,72,74,76,78,80,85,90,95,100})</f>
        <v>80</v>
      </c>
      <c r="G255" s="15">
        <v>242</v>
      </c>
      <c r="H255" s="1">
        <f>LOOKUP(G255,{0,170,175,180,185,190,195,199,203,207,211,215,219,223,227,231,235,243,250,255,260},{0,10,20,30,40,50,60,62,64,66,68,70,72,74,76,78,80,85,90,95,100})</f>
        <v>80</v>
      </c>
      <c r="I255" s="15">
        <v>11</v>
      </c>
      <c r="J255" s="1">
        <f>LOOKUP(I255,{0,2,3,4,5,6,7,8,9,10,11,12,13,14,15,16},{0,10,20,30,40,50,60,64,68,72,76,80,85,90,95,100})</f>
        <v>76</v>
      </c>
      <c r="K255" s="21"/>
      <c r="L255" s="21"/>
      <c r="M255" s="21">
        <f t="shared" si="144"/>
        <v>76</v>
      </c>
      <c r="N255" s="15">
        <v>6.9</v>
      </c>
      <c r="O255" s="19">
        <f t="shared" si="145"/>
        <v>6.1</v>
      </c>
      <c r="P255" s="1">
        <f>LOOKUP(O255,{0,2.5,2.7,2.9,3.1,3.3,3.5,3.7,3.9,4.1,4.3,4.5,4.7,4.9,5.1,5.3,5.5,5.6,5.7,5.8,5.9},{0,10,20,30,40,50,60,62,64,66,68,70,72,74,76,78,80,85,90,95,100})</f>
        <v>100</v>
      </c>
      <c r="Q255" s="15">
        <v>3.32</v>
      </c>
      <c r="R255" s="15">
        <f t="shared" si="146"/>
        <v>6.68</v>
      </c>
      <c r="S255" s="1">
        <f>LOOKUP(R255,{0,3.75,3.95,4.55,4.75,4.95,5.55,5.6,5.65,5.7,5.75,5.8,5.85,5.9,5.95,6,6.45,6.53,6.6,6.65,6.7},{0,10,20,30,40,50,60,62,64,66,68,70,72,74,76,78,80,85,90,95,100})</f>
        <v>95</v>
      </c>
      <c r="T255" s="21"/>
      <c r="U255" s="21"/>
      <c r="V255" s="21">
        <f t="shared" si="147"/>
        <v>95</v>
      </c>
      <c r="W255" s="15"/>
      <c r="X255" s="21">
        <f t="shared" si="135"/>
        <v>62.6</v>
      </c>
      <c r="Y255" s="21">
        <f t="shared" si="148"/>
        <v>89.4285714285714</v>
      </c>
    </row>
    <row r="256" ht="15.6" hidden="1" outlineLevel="2" spans="1:25">
      <c r="A256" s="15">
        <v>109</v>
      </c>
      <c r="B256" s="15">
        <v>21</v>
      </c>
      <c r="C256" s="14" t="s">
        <v>427</v>
      </c>
      <c r="D256" s="14" t="s">
        <v>11</v>
      </c>
      <c r="E256" s="15"/>
      <c r="F256" s="1"/>
      <c r="G256" s="15"/>
      <c r="H256" s="1"/>
      <c r="I256" s="15"/>
      <c r="J256" s="1"/>
      <c r="K256" s="21"/>
      <c r="L256" s="21"/>
      <c r="M256" s="21"/>
      <c r="N256" s="15"/>
      <c r="O256" s="19"/>
      <c r="P256" s="1"/>
      <c r="Q256" s="15"/>
      <c r="R256" s="15"/>
      <c r="S256" s="1"/>
      <c r="T256" s="21"/>
      <c r="U256" s="1"/>
      <c r="V256" s="21"/>
      <c r="W256" s="15"/>
      <c r="X256" s="21">
        <f t="shared" si="135"/>
        <v>0</v>
      </c>
      <c r="Y256" s="27">
        <v>50</v>
      </c>
    </row>
    <row r="257" ht="15.6" hidden="1" outlineLevel="2" spans="1:25">
      <c r="A257" s="15">
        <v>109</v>
      </c>
      <c r="B257" s="15">
        <v>22</v>
      </c>
      <c r="C257" s="14" t="s">
        <v>428</v>
      </c>
      <c r="D257" s="14" t="s">
        <v>11</v>
      </c>
      <c r="E257" s="15">
        <v>5.5</v>
      </c>
      <c r="F257" s="1">
        <f>LOOKUP(E257,{0,-4,-3,-2,-1,0,1,2.4,3.8,5.2,6.6,8,9.4,10.8,12.2,13.6,15,17.2,19.4,21.5,23.6},{0,10,20,30,40,50,60,62,64,66,68,70,72,74,76,78,80,85,90,95,100})</f>
        <v>66</v>
      </c>
      <c r="G257" s="15">
        <v>185</v>
      </c>
      <c r="H257" s="1">
        <f>LOOKUP(G257,{0,170,175,180,185,190,195,199,203,207,211,215,219,223,227,231,235,243,250,255,260},{0,10,20,30,40,50,60,62,64,66,68,70,72,74,76,78,80,85,90,95,100})</f>
        <v>40</v>
      </c>
      <c r="I257" s="15">
        <v>0</v>
      </c>
      <c r="J257" s="1">
        <f>LOOKUP(I257,{0,2,3,4,5,6,7,8,9,10,11,12,13,14,15,16},{0,10,20,30,40,50,60,64,68,72,76,80,85,90,95,100})</f>
        <v>0</v>
      </c>
      <c r="K257" s="21"/>
      <c r="L257" s="21"/>
      <c r="M257" s="21">
        <f t="shared" ref="M257:M263" si="150">J257+L257</f>
        <v>0</v>
      </c>
      <c r="N257" s="15">
        <v>8.6</v>
      </c>
      <c r="O257" s="19">
        <f t="shared" ref="O257:O263" si="151">13-N257</f>
        <v>4.4</v>
      </c>
      <c r="P257" s="1">
        <f>LOOKUP(O257,{0,2.5,2.7,2.9,3.1,3.3,3.5,3.7,3.9,4.1,4.3,4.5,4.7,4.9,5.1,5.3,5.5,5.6,5.7,5.8,5.9},{0,10,20,30,40,50,60,62,64,66,68,70,72,74,76,78,80,85,90,95,100})</f>
        <v>68</v>
      </c>
      <c r="Q257" s="15">
        <v>5.57</v>
      </c>
      <c r="R257" s="15">
        <f t="shared" ref="R257:R263" si="152">10-Q257</f>
        <v>4.43</v>
      </c>
      <c r="S257" s="1">
        <f>LOOKUP(R257,{0,3.75,3.95,4.55,4.75,4.95,5.55,5.6,5.65,5.7,5.75,5.8,5.85,5.9,5.95,6,6.45,6.53,6.6,6.65,6.7},{0,10,20,30,40,50,60,62,64,66,68,70,72,74,76,78,80,85,90,95,100})</f>
        <v>20</v>
      </c>
      <c r="T257" s="21"/>
      <c r="U257" s="21"/>
      <c r="V257" s="21">
        <f t="shared" ref="V257:V263" si="153">S257+U257</f>
        <v>20</v>
      </c>
      <c r="W257" s="15"/>
      <c r="X257" s="21">
        <f t="shared" si="135"/>
        <v>28.2</v>
      </c>
      <c r="Y257" s="21">
        <f t="shared" ref="Y257:Y263" si="154">X257/0.7+L257+U257</f>
        <v>40.2857142857143</v>
      </c>
    </row>
    <row r="258" ht="15.6" hidden="1" outlineLevel="2" spans="1:25">
      <c r="A258" s="15">
        <v>109</v>
      </c>
      <c r="B258" s="15">
        <v>23</v>
      </c>
      <c r="C258" s="14" t="s">
        <v>429</v>
      </c>
      <c r="D258" s="14" t="s">
        <v>11</v>
      </c>
      <c r="E258" s="15">
        <v>15.5</v>
      </c>
      <c r="F258" s="1">
        <f>LOOKUP(E258,{0,-4,-3,-2,-1,0,1,2.4,3.8,5.2,6.6,8,9.4,10.8,12.2,13.6,15,17.2,19.4,21.5,23.6},{0,10,20,30,40,50,60,62,64,66,68,70,72,74,76,78,80,85,90,95,100})</f>
        <v>80</v>
      </c>
      <c r="G258" s="15">
        <v>166</v>
      </c>
      <c r="H258" s="1">
        <f>LOOKUP(G258,{0,170,175,180,185,190,195,199,203,207,211,215,219,223,227,231,235,243,250,255,260},{0,10,20,30,40,50,60,62,64,66,68,70,72,74,76,78,80,85,90,95,100})</f>
        <v>0</v>
      </c>
      <c r="I258" s="15">
        <v>0</v>
      </c>
      <c r="J258" s="1">
        <f>LOOKUP(I258,{0,2,3,4,5,6,7,8,9,10,11,12,13,14,15,16},{0,10,20,30,40,50,60,64,68,72,76,80,85,90,95,100})</f>
        <v>0</v>
      </c>
      <c r="K258" s="21"/>
      <c r="L258" s="21"/>
      <c r="M258" s="21">
        <f t="shared" si="150"/>
        <v>0</v>
      </c>
      <c r="N258" s="15">
        <v>7.6</v>
      </c>
      <c r="O258" s="19">
        <f t="shared" si="151"/>
        <v>5.4</v>
      </c>
      <c r="P258" s="1">
        <f>LOOKUP(O258,{0,2.5,2.7,2.9,3.1,3.3,3.5,3.7,3.9,4.1,4.3,4.5,4.7,4.9,5.1,5.3,5.5,5.6,5.7,5.8,5.9},{0,10,20,30,40,50,60,62,64,66,68,70,72,74,76,78,80,85,90,95,100})</f>
        <v>78</v>
      </c>
      <c r="Q258" s="15">
        <v>4.07</v>
      </c>
      <c r="R258" s="15">
        <f t="shared" si="152"/>
        <v>5.93</v>
      </c>
      <c r="S258" s="1">
        <f>LOOKUP(R258,{0,3.75,3.95,4.55,4.75,4.95,5.55,5.6,5.65,5.7,5.75,5.8,5.85,5.9,5.95,6,6.45,6.53,6.6,6.65,6.7},{0,10,20,30,40,50,60,62,64,66,68,70,72,74,76,78,80,85,90,95,100})</f>
        <v>74</v>
      </c>
      <c r="T258" s="21"/>
      <c r="U258" s="21"/>
      <c r="V258" s="21">
        <f t="shared" si="153"/>
        <v>74</v>
      </c>
      <c r="W258" s="15"/>
      <c r="X258" s="21">
        <f t="shared" si="135"/>
        <v>38.4</v>
      </c>
      <c r="Y258" s="21">
        <f t="shared" si="154"/>
        <v>54.8571428571429</v>
      </c>
    </row>
    <row r="259" s="3" customFormat="1" ht="15.6" hidden="1" outlineLevel="2" spans="1:25">
      <c r="A259" s="15">
        <v>109</v>
      </c>
      <c r="B259" s="15">
        <v>24</v>
      </c>
      <c r="C259" s="14" t="s">
        <v>430</v>
      </c>
      <c r="D259" s="14" t="s">
        <v>11</v>
      </c>
      <c r="E259" s="15">
        <v>-7</v>
      </c>
      <c r="F259" s="1">
        <v>0</v>
      </c>
      <c r="G259" s="15">
        <v>254</v>
      </c>
      <c r="H259" s="1">
        <f>LOOKUP(G259,{0,170,175,180,185,190,195,199,203,207,211,215,219,223,227,231,235,243,250,255,260},{0,10,20,30,40,50,60,62,64,66,68,70,72,74,76,78,80,85,90,95,100})</f>
        <v>90</v>
      </c>
      <c r="I259" s="15">
        <v>6</v>
      </c>
      <c r="J259" s="1">
        <f>LOOKUP(I259,{0,2,3,4,5,6,7,8,9,10,11,12,13,14,15,16},{0,10,20,30,40,50,60,64,68,72,76,80,85,90,95,100})</f>
        <v>50</v>
      </c>
      <c r="K259" s="21"/>
      <c r="L259" s="21"/>
      <c r="M259" s="21">
        <f t="shared" si="150"/>
        <v>50</v>
      </c>
      <c r="N259" s="15">
        <v>6.9</v>
      </c>
      <c r="O259" s="19">
        <f t="shared" si="151"/>
        <v>6.1</v>
      </c>
      <c r="P259" s="1">
        <f>LOOKUP(O259,{0,2.5,2.7,2.9,3.1,3.3,3.5,3.7,3.9,4.1,4.3,4.5,4.7,4.9,5.1,5.3,5.5,5.6,5.7,5.8,5.9},{0,10,20,30,40,50,60,62,64,66,68,70,72,74,76,78,80,85,90,95,100})</f>
        <v>100</v>
      </c>
      <c r="Q259" s="15">
        <v>3.36</v>
      </c>
      <c r="R259" s="15">
        <f t="shared" si="152"/>
        <v>6.64</v>
      </c>
      <c r="S259" s="1">
        <f>LOOKUP(R259,{0,3.75,3.95,4.55,4.75,4.95,5.55,5.6,5.65,5.7,5.75,5.8,5.85,5.9,5.95,6,6.45,6.53,6.6,6.65,6.7},{0,10,20,30,40,50,60,62,64,66,68,70,72,74,76,78,80,85,90,95,100})</f>
        <v>90</v>
      </c>
      <c r="T259" s="21"/>
      <c r="U259" s="21"/>
      <c r="V259" s="21">
        <f t="shared" si="153"/>
        <v>90</v>
      </c>
      <c r="W259" s="15"/>
      <c r="X259" s="21">
        <f t="shared" si="135"/>
        <v>52</v>
      </c>
      <c r="Y259" s="21">
        <f t="shared" si="154"/>
        <v>74.2857142857143</v>
      </c>
    </row>
    <row r="260" ht="15.6" hidden="1" outlineLevel="2" spans="1:25">
      <c r="A260" s="15">
        <v>109</v>
      </c>
      <c r="B260" s="15">
        <v>25</v>
      </c>
      <c r="C260" s="14" t="s">
        <v>431</v>
      </c>
      <c r="D260" s="14" t="s">
        <v>11</v>
      </c>
      <c r="E260" s="15">
        <v>16.5</v>
      </c>
      <c r="F260" s="1">
        <f>LOOKUP(E260,{0,-4,-3,-2,-1,0,1,2.4,3.8,5.2,6.6,8,9.4,10.8,12.2,13.6,15,17.2,19.4,21.5,23.6},{0,10,20,30,40,50,60,62,64,66,68,70,72,74,76,78,80,85,90,95,100})</f>
        <v>80</v>
      </c>
      <c r="G260" s="15">
        <v>267</v>
      </c>
      <c r="H260" s="1">
        <f>LOOKUP(G260,{0,170,175,180,185,190,195,199,203,207,211,215,219,223,227,231,235,243,250,255,260},{0,10,20,30,40,50,60,62,64,66,68,70,72,74,76,78,80,85,90,95,100})</f>
        <v>100</v>
      </c>
      <c r="I260" s="15">
        <v>4</v>
      </c>
      <c r="J260" s="1">
        <f>LOOKUP(I260,{0,2,3,4,5,6,7,8,9,10,11,12,13,14,15,16},{0,10,20,30,40,50,60,64,68,72,76,80,85,90,95,100})</f>
        <v>30</v>
      </c>
      <c r="K260" s="21"/>
      <c r="L260" s="21"/>
      <c r="M260" s="21">
        <f t="shared" si="150"/>
        <v>30</v>
      </c>
      <c r="N260" s="15">
        <v>7.2</v>
      </c>
      <c r="O260" s="19">
        <f t="shared" si="151"/>
        <v>5.8</v>
      </c>
      <c r="P260" s="1">
        <f>LOOKUP(O260,{0,2.5,2.7,2.9,3.1,3.3,3.5,3.7,3.9,4.1,4.3,4.5,4.7,4.9,5.1,5.3,5.5,5.6,5.7,5.8,5.9},{0,10,20,30,40,50,60,62,64,66,68,70,72,74,76,78,80,85,90,95,100})</f>
        <v>95</v>
      </c>
      <c r="Q260" s="15">
        <v>3.47</v>
      </c>
      <c r="R260" s="15">
        <f t="shared" si="152"/>
        <v>6.53</v>
      </c>
      <c r="S260" s="1">
        <f>LOOKUP(R260,{0,3.75,3.95,4.55,4.75,4.95,5.55,5.6,5.65,5.7,5.75,5.8,5.85,5.9,5.95,6,6.45,6.53,6.6,6.65,6.7},{0,10,20,30,40,50,60,62,64,66,68,70,72,74,76,78,80,85,90,95,100})</f>
        <v>85</v>
      </c>
      <c r="T260" s="21"/>
      <c r="U260" s="21"/>
      <c r="V260" s="21">
        <f t="shared" si="153"/>
        <v>85</v>
      </c>
      <c r="W260" s="15"/>
      <c r="X260" s="21">
        <f t="shared" si="135"/>
        <v>57</v>
      </c>
      <c r="Y260" s="21">
        <f t="shared" si="154"/>
        <v>81.4285714285714</v>
      </c>
    </row>
    <row r="261" ht="15.6" hidden="1" outlineLevel="2" spans="1:25">
      <c r="A261" s="15">
        <v>109</v>
      </c>
      <c r="B261" s="15">
        <v>26</v>
      </c>
      <c r="C261" s="14" t="s">
        <v>432</v>
      </c>
      <c r="D261" s="14" t="s">
        <v>11</v>
      </c>
      <c r="E261" s="15">
        <v>11.2</v>
      </c>
      <c r="F261" s="1">
        <f>LOOKUP(E261,{0,-4,-3,-2,-1,0,1,2.4,3.8,5.2,6.6,8,9.4,10.8,12.2,13.6,15,17.2,19.4,21.5,23.6},{0,10,20,30,40,50,60,62,64,66,68,70,72,74,76,78,80,85,90,95,100})</f>
        <v>74</v>
      </c>
      <c r="G261" s="15">
        <v>226</v>
      </c>
      <c r="H261" s="1">
        <f>LOOKUP(G261,{0,170,175,180,185,190,195,199,203,207,211,215,219,223,227,231,235,243,250,255,260},{0,10,20,30,40,50,60,62,64,66,68,70,72,74,76,78,80,85,90,95,100})</f>
        <v>74</v>
      </c>
      <c r="I261" s="15">
        <v>0</v>
      </c>
      <c r="J261" s="1">
        <f>LOOKUP(I261,{0,2,3,4,5,6,7,8,9,10,11,12,13,14,15,16},{0,10,20,30,40,50,60,64,68,72,76,80,85,90,95,100})</f>
        <v>0</v>
      </c>
      <c r="K261" s="21"/>
      <c r="L261" s="21"/>
      <c r="M261" s="21">
        <f t="shared" si="150"/>
        <v>0</v>
      </c>
      <c r="N261" s="15">
        <v>7.5</v>
      </c>
      <c r="O261" s="19">
        <f t="shared" si="151"/>
        <v>5.5</v>
      </c>
      <c r="P261" s="1">
        <f>LOOKUP(O261,{0,2.5,2.7,2.9,3.1,3.3,3.5,3.7,3.9,4.1,4.3,4.5,4.7,4.9,5.1,5.3,5.5,5.6,5.7,5.8,5.9},{0,10,20,30,40,50,60,62,64,66,68,70,72,74,76,78,80,85,90,95,100})</f>
        <v>80</v>
      </c>
      <c r="Q261" s="15">
        <v>5.36</v>
      </c>
      <c r="R261" s="15">
        <f t="shared" si="152"/>
        <v>4.64</v>
      </c>
      <c r="S261" s="1">
        <f>LOOKUP(R261,{0,3.75,3.95,4.55,4.75,4.95,5.55,5.6,5.65,5.7,5.75,5.8,5.85,5.9,5.95,6,6.45,6.53,6.6,6.65,6.7},{0,10,20,30,40,50,60,62,64,66,68,70,72,74,76,78,80,85,90,95,100})</f>
        <v>30</v>
      </c>
      <c r="T261" s="21"/>
      <c r="U261" s="21"/>
      <c r="V261" s="21">
        <f t="shared" si="153"/>
        <v>30</v>
      </c>
      <c r="W261" s="15"/>
      <c r="X261" s="21">
        <f t="shared" si="135"/>
        <v>36.8</v>
      </c>
      <c r="Y261" s="21">
        <f t="shared" si="154"/>
        <v>52.5714285714286</v>
      </c>
    </row>
    <row r="262" ht="15.6" hidden="1" outlineLevel="2" spans="1:25">
      <c r="A262" s="15">
        <v>109</v>
      </c>
      <c r="B262" s="15">
        <v>27</v>
      </c>
      <c r="C262" s="14" t="s">
        <v>433</v>
      </c>
      <c r="D262" s="14" t="s">
        <v>11</v>
      </c>
      <c r="E262" s="15">
        <v>18.3</v>
      </c>
      <c r="F262" s="1">
        <f>LOOKUP(E262,{0,-4,-3,-2,-1,0,1,2.4,3.8,5.2,6.6,8,9.4,10.8,12.2,13.6,15,17.2,19.4,21.5,23.6},{0,10,20,30,40,50,60,62,64,66,68,70,72,74,76,78,80,85,90,95,100})</f>
        <v>85</v>
      </c>
      <c r="G262" s="15">
        <v>212</v>
      </c>
      <c r="H262" s="1">
        <f>LOOKUP(G262,{0,170,175,180,185,190,195,199,203,207,211,215,219,223,227,231,235,243,250,255,260},{0,10,20,30,40,50,60,62,64,66,68,70,72,74,76,78,80,85,90,95,100})</f>
        <v>68</v>
      </c>
      <c r="I262" s="15">
        <v>0</v>
      </c>
      <c r="J262" s="1">
        <f>LOOKUP(I262,{0,2,3,4,5,6,7,8,9,10,11,12,13,14,15,16},{0,10,20,30,40,50,60,64,68,72,76,80,85,90,95,100})</f>
        <v>0</v>
      </c>
      <c r="K262" s="21"/>
      <c r="L262" s="21"/>
      <c r="M262" s="21">
        <f t="shared" si="150"/>
        <v>0</v>
      </c>
      <c r="N262" s="15">
        <v>7.9</v>
      </c>
      <c r="O262" s="19">
        <f t="shared" si="151"/>
        <v>5.1</v>
      </c>
      <c r="P262" s="1">
        <f>LOOKUP(O262,{0,2.5,2.7,2.9,3.1,3.3,3.5,3.7,3.9,4.1,4.3,4.5,4.7,4.9,5.1,5.3,5.5,5.6,5.7,5.8,5.9},{0,10,20,30,40,50,60,62,64,66,68,70,72,74,76,78,80,85,90,95,100})</f>
        <v>76</v>
      </c>
      <c r="Q262" s="15">
        <v>4.18</v>
      </c>
      <c r="R262" s="15">
        <f t="shared" si="152"/>
        <v>5.82</v>
      </c>
      <c r="S262" s="1">
        <f>LOOKUP(R262,{0,3.75,3.95,4.55,4.75,4.95,5.55,5.6,5.65,5.7,5.75,5.8,5.85,5.9,5.95,6,6.45,6.53,6.6,6.65,6.7},{0,10,20,30,40,50,60,62,64,66,68,70,72,74,76,78,80,85,90,95,100})</f>
        <v>70</v>
      </c>
      <c r="T262" s="21"/>
      <c r="U262" s="21"/>
      <c r="V262" s="21">
        <f t="shared" si="153"/>
        <v>70</v>
      </c>
      <c r="W262" s="15"/>
      <c r="X262" s="21">
        <f t="shared" si="135"/>
        <v>44.5</v>
      </c>
      <c r="Y262" s="21">
        <f t="shared" si="154"/>
        <v>63.5714285714286</v>
      </c>
    </row>
    <row r="263" ht="15.6" hidden="1" outlineLevel="2" spans="1:25">
      <c r="A263" s="15">
        <v>109</v>
      </c>
      <c r="B263" s="15">
        <v>28</v>
      </c>
      <c r="C263" s="14" t="s">
        <v>434</v>
      </c>
      <c r="D263" s="14" t="s">
        <v>11</v>
      </c>
      <c r="E263" s="15">
        <v>-13.5</v>
      </c>
      <c r="F263" s="1">
        <v>0</v>
      </c>
      <c r="G263" s="15">
        <v>172</v>
      </c>
      <c r="H263" s="1">
        <f>LOOKUP(G263,{0,170,175,180,185,190,195,199,203,207,211,215,219,223,227,231,235,243,250,255,260},{0,10,20,30,40,50,60,62,64,66,68,70,72,74,76,78,80,85,90,95,100})</f>
        <v>10</v>
      </c>
      <c r="I263" s="15">
        <v>3</v>
      </c>
      <c r="J263" s="1">
        <f>LOOKUP(I263,{0,2,3,4,5,6,7,8,9,10,11,12,13,14,15,16},{0,10,20,30,40,50,60,64,68,72,76,80,85,90,95,100})</f>
        <v>20</v>
      </c>
      <c r="K263" s="21"/>
      <c r="L263" s="21"/>
      <c r="M263" s="21">
        <f t="shared" si="150"/>
        <v>20</v>
      </c>
      <c r="N263" s="15">
        <v>7.9</v>
      </c>
      <c r="O263" s="19">
        <f t="shared" si="151"/>
        <v>5.1</v>
      </c>
      <c r="P263" s="1">
        <f>LOOKUP(O263,{0,2.5,2.7,2.9,3.1,3.3,3.5,3.7,3.9,4.1,4.3,4.5,4.7,4.9,5.1,5.3,5.5,5.6,5.7,5.8,5.9},{0,10,20,30,40,50,60,62,64,66,68,70,72,74,76,78,80,85,90,95,100})</f>
        <v>76</v>
      </c>
      <c r="Q263" s="15">
        <v>4.24</v>
      </c>
      <c r="R263" s="15">
        <f t="shared" si="152"/>
        <v>5.76</v>
      </c>
      <c r="S263" s="1">
        <f>LOOKUP(R263,{0,3.75,3.95,4.55,4.75,4.95,5.55,5.6,5.65,5.7,5.75,5.8,5.85,5.9,5.95,6,6.45,6.53,6.6,6.65,6.7},{0,10,20,30,40,50,60,62,64,66,68,70,72,74,76,78,80,85,90,95,100})</f>
        <v>68</v>
      </c>
      <c r="T263" s="21"/>
      <c r="U263" s="21"/>
      <c r="V263" s="21">
        <f t="shared" si="153"/>
        <v>68</v>
      </c>
      <c r="W263" s="15"/>
      <c r="X263" s="21">
        <f t="shared" si="135"/>
        <v>31.8</v>
      </c>
      <c r="Y263" s="21">
        <f t="shared" si="154"/>
        <v>45.4285714285714</v>
      </c>
    </row>
    <row r="264" ht="15.6" outlineLevel="1" collapsed="1" spans="1:25">
      <c r="A264" s="16" t="s">
        <v>850</v>
      </c>
      <c r="B264" s="15"/>
      <c r="C264" s="14"/>
      <c r="D264" s="14"/>
      <c r="E264" s="15"/>
      <c r="F264" s="1">
        <f>SUBTOTAL(1,F236:F263)</f>
        <v>68.52</v>
      </c>
      <c r="G264" s="15"/>
      <c r="H264" s="1">
        <f>SUBTOTAL(1,H236:H263)</f>
        <v>73.36</v>
      </c>
      <c r="I264" s="15"/>
      <c r="J264" s="1">
        <f>SUBTOTAL(1,J236:J263)</f>
        <v>55.04</v>
      </c>
      <c r="K264" s="21"/>
      <c r="L264" s="21"/>
      <c r="M264" s="21">
        <f>SUBTOTAL(1,M236:M263)</f>
        <v>56.88</v>
      </c>
      <c r="N264" s="15"/>
      <c r="O264" s="19"/>
      <c r="P264" s="1">
        <f>SUBTOTAL(1,P236:P263)</f>
        <v>89.08</v>
      </c>
      <c r="Q264" s="15"/>
      <c r="R264" s="15"/>
      <c r="S264" s="1">
        <f>SUBTOTAL(1,S236:S263)</f>
        <v>72.56</v>
      </c>
      <c r="T264" s="21"/>
      <c r="U264" s="21"/>
      <c r="V264" s="21">
        <f>SUBTOTAL(1,V236:V263)</f>
        <v>73.08</v>
      </c>
      <c r="W264" s="15"/>
      <c r="X264" s="21">
        <f>SUBTOTAL(1,X236:X263)</f>
        <v>46.4464285714286</v>
      </c>
      <c r="Y264" s="21">
        <f>SUBTOTAL(1,Y236:Y263)</f>
        <v>73.8163265306122</v>
      </c>
    </row>
    <row r="265" ht="15.6" hidden="1" outlineLevel="2" spans="1:25">
      <c r="A265" s="15">
        <v>110</v>
      </c>
      <c r="B265" s="15">
        <v>1</v>
      </c>
      <c r="C265" s="13" t="s">
        <v>459</v>
      </c>
      <c r="D265" s="14" t="s">
        <v>11</v>
      </c>
      <c r="E265" s="15">
        <v>5.8</v>
      </c>
      <c r="F265" s="1">
        <f>LOOKUP(E265,{0,-4,-3,-2,-1,0,1,2.4,3.8,5.2,6.6,8,9.4,10.8,12.2,13.6,15,17.2,19.4,21.5,23.6},{0,10,20,30,40,50,60,62,64,66,68,70,72,74,76,78,80,85,90,95,100})</f>
        <v>66</v>
      </c>
      <c r="G265" s="15">
        <v>256</v>
      </c>
      <c r="H265" s="1">
        <f>LOOKUP(G265,{0,170,175,180,185,190,195,199,203,207,211,215,219,223,227,231,235,243,250,255,260},{0,10,20,30,40,50,60,62,64,66,68,70,72,74,76,78,80,85,90,95,100})</f>
        <v>95</v>
      </c>
      <c r="I265" s="15">
        <v>6</v>
      </c>
      <c r="J265" s="1">
        <f>LOOKUP(I265,{0,2,3,4,5,6,7,8,9,10,11,12,13,14,15,16},{0,10,20,30,40,50,60,64,68,72,76,80,85,90,95,100})</f>
        <v>50</v>
      </c>
      <c r="K265" s="21"/>
      <c r="L265" s="21"/>
      <c r="M265" s="21">
        <f t="shared" ref="M265:M291" si="155">J265+L265</f>
        <v>50</v>
      </c>
      <c r="N265" s="15">
        <v>6.9</v>
      </c>
      <c r="O265" s="19">
        <f t="shared" ref="O265:O279" si="156">13-N265</f>
        <v>6.1</v>
      </c>
      <c r="P265" s="1">
        <f>LOOKUP(O265,{0,2.5,2.7,2.9,3.1,3.3,3.5,3.7,3.9,4.1,4.3,4.5,4.7,4.9,5.1,5.3,5.5,5.6,5.7,5.8,5.9},{0,10,20,30,40,50,60,62,64,66,68,70,72,74,76,78,80,85,90,95,100})</f>
        <v>100</v>
      </c>
      <c r="Q265" s="15">
        <v>3.23</v>
      </c>
      <c r="R265" s="15">
        <f t="shared" ref="R265:R291" si="157">10-Q265</f>
        <v>6.77</v>
      </c>
      <c r="S265" s="1">
        <f>LOOKUP(R265,{0,3.75,3.95,4.55,4.75,4.95,5.55,5.6,5.65,5.7,5.75,5.8,5.85,5.9,5.95,6,6.45,6.53,6.6,6.65,6.7},{0,10,20,30,40,50,60,62,64,66,68,70,72,74,76,78,80,85,90,95,100})</f>
        <v>100</v>
      </c>
      <c r="T265" s="21">
        <f>3.3-Q265</f>
        <v>0.0699999999999998</v>
      </c>
      <c r="U265" s="1">
        <f>LOOKUP(T265,{0,0.04,0.08,0.12,0.16,0.2,0.23,0.26,0.29,0.32,0.35},{0,1,2,3,4,5,6,7,8,9,10})</f>
        <v>1</v>
      </c>
      <c r="V265" s="21">
        <f t="shared" ref="V265:V291" si="158">S265+U265</f>
        <v>101</v>
      </c>
      <c r="W265" s="15"/>
      <c r="X265" s="21">
        <f t="shared" ref="X265:X291" si="159">F265*0.1+H265*0.1+J265*0.1+P265*0.2+S265*0.2</f>
        <v>61.1</v>
      </c>
      <c r="Y265" s="21">
        <f t="shared" ref="Y265:Y279" si="160">X265/0.7+L265+U265</f>
        <v>88.2857142857143</v>
      </c>
    </row>
    <row r="266" ht="15.6" hidden="1" outlineLevel="2" spans="1:25">
      <c r="A266" s="15">
        <v>110</v>
      </c>
      <c r="B266" s="15">
        <v>2</v>
      </c>
      <c r="C266" s="14" t="s">
        <v>460</v>
      </c>
      <c r="D266" s="14" t="s">
        <v>11</v>
      </c>
      <c r="E266" s="15">
        <v>17</v>
      </c>
      <c r="F266" s="1">
        <f>LOOKUP(E266,{0,-4,-3,-2,-1,0,1,2.4,3.8,5.2,6.6,8,9.4,10.8,12.2,13.6,15,17.2,19.4,21.5,23.6},{0,10,20,30,40,50,60,62,64,66,68,70,72,74,76,78,80,85,90,95,100})</f>
        <v>80</v>
      </c>
      <c r="G266" s="15">
        <v>212</v>
      </c>
      <c r="H266" s="1">
        <f>LOOKUP(G266,{0,170,175,180,185,190,195,199,203,207,211,215,219,223,227,231,235,243,250,255,260},{0,10,20,30,40,50,60,62,64,66,68,70,72,74,76,78,80,85,90,95,100})</f>
        <v>68</v>
      </c>
      <c r="I266" s="15">
        <v>1</v>
      </c>
      <c r="J266" s="1">
        <f>LOOKUP(I266,{0,2,3,4,5,6,7,8,9,10,11,12,13,14,15,16},{0,10,20,30,40,50,60,64,68,72,76,80,85,90,95,100})</f>
        <v>0</v>
      </c>
      <c r="K266" s="21"/>
      <c r="L266" s="21"/>
      <c r="M266" s="21">
        <f t="shared" si="155"/>
        <v>0</v>
      </c>
      <c r="N266" s="15">
        <v>7.8</v>
      </c>
      <c r="O266" s="19">
        <f t="shared" si="156"/>
        <v>5.2</v>
      </c>
      <c r="P266" s="1">
        <f>LOOKUP(O266,{0,2.5,2.7,2.9,3.1,3.3,3.5,3.7,3.9,4.1,4.3,4.5,4.7,4.9,5.1,5.3,5.5,5.6,5.7,5.8,5.9},{0,10,20,30,40,50,60,62,64,66,68,70,72,74,76,78,80,85,90,95,100})</f>
        <v>76</v>
      </c>
      <c r="Q266" s="15">
        <v>4.07</v>
      </c>
      <c r="R266" s="15">
        <f t="shared" si="157"/>
        <v>5.93</v>
      </c>
      <c r="S266" s="1">
        <f>LOOKUP(R266,{0,3.75,3.95,4.55,4.75,4.95,5.55,5.6,5.65,5.7,5.75,5.8,5.85,5.9,5.95,6,6.45,6.53,6.6,6.65,6.7},{0,10,20,30,40,50,60,62,64,66,68,70,72,74,76,78,80,85,90,95,100})</f>
        <v>74</v>
      </c>
      <c r="T266" s="21"/>
      <c r="U266" s="21"/>
      <c r="V266" s="21">
        <f t="shared" si="158"/>
        <v>74</v>
      </c>
      <c r="W266" s="15"/>
      <c r="X266" s="21">
        <f t="shared" si="159"/>
        <v>44.8</v>
      </c>
      <c r="Y266" s="21">
        <f t="shared" si="160"/>
        <v>64</v>
      </c>
    </row>
    <row r="267" ht="15.6" hidden="1" outlineLevel="2" spans="1:25">
      <c r="A267" s="15">
        <v>110</v>
      </c>
      <c r="B267" s="15">
        <v>3</v>
      </c>
      <c r="C267" s="14" t="s">
        <v>461</v>
      </c>
      <c r="D267" s="14" t="s">
        <v>11</v>
      </c>
      <c r="E267" s="15">
        <v>7</v>
      </c>
      <c r="F267" s="1">
        <f>LOOKUP(E267,{0,-4,-3,-2,-1,0,1,2.4,3.8,5.2,6.6,8,9.4,10.8,12.2,13.6,15,17.2,19.4,21.5,23.6},{0,10,20,30,40,50,60,62,64,66,68,70,72,74,76,78,80,85,90,95,100})</f>
        <v>68</v>
      </c>
      <c r="G267" s="15">
        <v>257</v>
      </c>
      <c r="H267" s="1">
        <f>LOOKUP(G267,{0,170,175,180,185,190,195,199,203,207,211,215,219,223,227,231,235,243,250,255,260},{0,10,20,30,40,50,60,62,64,66,68,70,72,74,76,78,80,85,90,95,100})</f>
        <v>95</v>
      </c>
      <c r="I267" s="15">
        <v>17</v>
      </c>
      <c r="J267" s="1">
        <f>LOOKUP(I267,{0,2,3,4,5,6,7,8,9,10,11,12,13,14,15,16},{0,10,20,30,40,50,60,64,68,72,76,80,85,90,95,100})</f>
        <v>100</v>
      </c>
      <c r="K267" s="21">
        <f t="shared" ref="K267:K269" si="161">I267-16</f>
        <v>1</v>
      </c>
      <c r="L267" s="1">
        <f>LOOKUP(K267,{0,1,2,3,4,5,6,7,8,9,10},{0,1,2,3,4,5,6,7,8,9,10})</f>
        <v>1</v>
      </c>
      <c r="M267" s="21">
        <f t="shared" si="155"/>
        <v>101</v>
      </c>
      <c r="N267" s="15">
        <v>6.9</v>
      </c>
      <c r="O267" s="19">
        <f t="shared" si="156"/>
        <v>6.1</v>
      </c>
      <c r="P267" s="1">
        <f>LOOKUP(O267,{0,2.5,2.7,2.9,3.1,3.3,3.5,3.7,3.9,4.1,4.3,4.5,4.7,4.9,5.1,5.3,5.5,5.6,5.7,5.8,5.9},{0,10,20,30,40,50,60,62,64,66,68,70,72,74,76,78,80,85,90,95,100})</f>
        <v>100</v>
      </c>
      <c r="Q267" s="15">
        <v>3.47</v>
      </c>
      <c r="R267" s="15">
        <f t="shared" si="157"/>
        <v>6.53</v>
      </c>
      <c r="S267" s="1">
        <f>LOOKUP(R267,{0,3.75,3.95,4.55,4.75,4.95,5.55,5.6,5.65,5.7,5.75,5.8,5.85,5.9,5.95,6,6.45,6.53,6.6,6.65,6.7},{0,10,20,30,40,50,60,62,64,66,68,70,72,74,76,78,80,85,90,95,100})</f>
        <v>85</v>
      </c>
      <c r="T267" s="21"/>
      <c r="U267" s="21"/>
      <c r="V267" s="21">
        <f t="shared" si="158"/>
        <v>85</v>
      </c>
      <c r="W267" s="15"/>
      <c r="X267" s="21">
        <f t="shared" si="159"/>
        <v>63.3</v>
      </c>
      <c r="Y267" s="21">
        <f t="shared" si="160"/>
        <v>91.4285714285714</v>
      </c>
    </row>
    <row r="268" ht="15.6" hidden="1" outlineLevel="2" spans="1:25">
      <c r="A268" s="15">
        <v>110</v>
      </c>
      <c r="B268" s="15">
        <v>4</v>
      </c>
      <c r="C268" s="14" t="s">
        <v>462</v>
      </c>
      <c r="D268" s="14" t="s">
        <v>11</v>
      </c>
      <c r="E268" s="15">
        <v>21</v>
      </c>
      <c r="F268" s="1">
        <f>LOOKUP(E268,{0,-4,-3,-2,-1,0,1,2.4,3.8,5.2,6.6,8,9.4,10.8,12.2,13.6,15,17.2,19.4,21.5,23.6},{0,10,20,30,40,50,60,62,64,66,68,70,72,74,76,78,80,85,90,95,100})</f>
        <v>90</v>
      </c>
      <c r="G268" s="15">
        <v>253</v>
      </c>
      <c r="H268" s="1">
        <f>LOOKUP(G268,{0,170,175,180,185,190,195,199,203,207,211,215,219,223,227,231,235,243,250,255,260},{0,10,20,30,40,50,60,62,64,66,68,70,72,74,76,78,80,85,90,95,100})</f>
        <v>90</v>
      </c>
      <c r="I268" s="15">
        <v>20</v>
      </c>
      <c r="J268" s="1">
        <f>LOOKUP(I268,{0,2,3,4,5,6,7,8,9,10,11,12,13,14,15,16},{0,10,20,30,40,50,60,64,68,72,76,80,85,90,95,100})</f>
        <v>100</v>
      </c>
      <c r="K268" s="21">
        <f t="shared" si="161"/>
        <v>4</v>
      </c>
      <c r="L268" s="1">
        <f>LOOKUP(K268,{0,1,2,3,4,5,6,7,8,9,10},{0,1,2,3,4,5,6,7,8,9,10})</f>
        <v>4</v>
      </c>
      <c r="M268" s="21">
        <f t="shared" si="155"/>
        <v>104</v>
      </c>
      <c r="N268" s="15">
        <v>7.2</v>
      </c>
      <c r="O268" s="19">
        <f t="shared" si="156"/>
        <v>5.8</v>
      </c>
      <c r="P268" s="1">
        <f>LOOKUP(O268,{0,2.5,2.7,2.9,3.1,3.3,3.5,3.7,3.9,4.1,4.3,4.5,4.7,4.9,5.1,5.3,5.5,5.6,5.7,5.8,5.9},{0,10,20,30,40,50,60,62,64,66,68,70,72,74,76,78,80,85,90,95,100})</f>
        <v>95</v>
      </c>
      <c r="Q268" s="15">
        <v>3.4</v>
      </c>
      <c r="R268" s="15">
        <f t="shared" si="157"/>
        <v>6.6</v>
      </c>
      <c r="S268" s="1">
        <f>LOOKUP(R268,{0,3.75,3.95,4.55,4.75,4.95,5.55,5.6,5.65,5.7,5.75,5.8,5.85,5.9,5.95,6,6.45,6.53,6.6,6.65,6.7},{0,10,20,30,40,50,60,62,64,66,68,70,72,74,76,78,80,85,90,95,100})</f>
        <v>90</v>
      </c>
      <c r="T268" s="21"/>
      <c r="U268" s="21"/>
      <c r="V268" s="21">
        <f t="shared" si="158"/>
        <v>90</v>
      </c>
      <c r="W268" s="15"/>
      <c r="X268" s="21">
        <f t="shared" si="159"/>
        <v>65</v>
      </c>
      <c r="Y268" s="21">
        <f t="shared" si="160"/>
        <v>96.8571428571429</v>
      </c>
    </row>
    <row r="269" ht="15.6" hidden="1" outlineLevel="2" spans="1:25">
      <c r="A269" s="15">
        <v>110</v>
      </c>
      <c r="B269" s="15">
        <v>5</v>
      </c>
      <c r="C269" s="14" t="s">
        <v>463</v>
      </c>
      <c r="D269" s="14" t="s">
        <v>11</v>
      </c>
      <c r="E269" s="15">
        <v>11.5</v>
      </c>
      <c r="F269" s="1">
        <f>LOOKUP(E269,{0,-4,-3,-2,-1,0,1,2.4,3.8,5.2,6.6,8,9.4,10.8,12.2,13.6,15,17.2,19.4,21.5,23.6},{0,10,20,30,40,50,60,62,64,66,68,70,72,74,76,78,80,85,90,95,100})</f>
        <v>74</v>
      </c>
      <c r="G269" s="15">
        <v>243</v>
      </c>
      <c r="H269" s="1">
        <f>LOOKUP(G269,{0,170,175,180,185,190,195,199,203,207,211,215,219,223,227,231,235,243,250,255,260},{0,10,20,30,40,50,60,62,64,66,68,70,72,74,76,78,80,85,90,95,100})</f>
        <v>85</v>
      </c>
      <c r="I269" s="15">
        <v>26</v>
      </c>
      <c r="J269" s="1">
        <f>LOOKUP(I269,{0,2,3,4,5,6,7,8,9,10,11,12,13,14,15,16},{0,10,20,30,40,50,60,64,68,72,76,80,85,90,95,100})</f>
        <v>100</v>
      </c>
      <c r="K269" s="21">
        <f t="shared" si="161"/>
        <v>10</v>
      </c>
      <c r="L269" s="1">
        <f>LOOKUP(K269,{0,1,2,3,4,5,6,7,8,9,10},{0,1,2,3,4,5,6,7,8,9,10})</f>
        <v>10</v>
      </c>
      <c r="M269" s="21">
        <f t="shared" si="155"/>
        <v>110</v>
      </c>
      <c r="N269" s="15">
        <v>7</v>
      </c>
      <c r="O269" s="19">
        <f t="shared" si="156"/>
        <v>6</v>
      </c>
      <c r="P269" s="1">
        <f>LOOKUP(O269,{0,2.5,2.7,2.9,3.1,3.3,3.5,3.7,3.9,4.1,4.3,4.5,4.7,4.9,5.1,5.3,5.5,5.6,5.7,5.8,5.9},{0,10,20,30,40,50,60,62,64,66,68,70,72,74,76,78,80,85,90,95,100})</f>
        <v>100</v>
      </c>
      <c r="Q269" s="15">
        <v>3.53</v>
      </c>
      <c r="R269" s="15">
        <f t="shared" si="157"/>
        <v>6.47</v>
      </c>
      <c r="S269" s="1">
        <f>LOOKUP(R269,{0,3.75,3.95,4.55,4.75,4.95,5.55,5.6,5.65,5.7,5.75,5.8,5.85,5.9,5.95,6,6.45,6.53,6.6,6.65,6.7},{0,10,20,30,40,50,60,62,64,66,68,70,72,74,76,78,80,85,90,95,100})</f>
        <v>80</v>
      </c>
      <c r="T269" s="21"/>
      <c r="U269" s="21"/>
      <c r="V269" s="21">
        <f t="shared" si="158"/>
        <v>80</v>
      </c>
      <c r="W269" s="15"/>
      <c r="X269" s="21">
        <f t="shared" si="159"/>
        <v>61.9</v>
      </c>
      <c r="Y269" s="21">
        <f t="shared" si="160"/>
        <v>98.4285714285714</v>
      </c>
    </row>
    <row r="270" ht="15.6" hidden="1" outlineLevel="2" spans="1:25">
      <c r="A270" s="15">
        <v>110</v>
      </c>
      <c r="B270" s="15">
        <v>6</v>
      </c>
      <c r="C270" s="14" t="s">
        <v>464</v>
      </c>
      <c r="D270" s="14" t="s">
        <v>11</v>
      </c>
      <c r="E270" s="15">
        <v>16.3</v>
      </c>
      <c r="F270" s="1">
        <f>LOOKUP(E270,{0,-4,-3,-2,-1,0,1,2.4,3.8,5.2,6.6,8,9.4,10.8,12.2,13.6,15,17.2,19.4,21.5,23.6},{0,10,20,30,40,50,60,62,64,66,68,70,72,74,76,78,80,85,90,95,100})</f>
        <v>80</v>
      </c>
      <c r="G270" s="15">
        <v>228</v>
      </c>
      <c r="H270" s="1">
        <f>LOOKUP(G270,{0,170,175,180,185,190,195,199,203,207,211,215,219,223,227,231,235,243,250,255,260},{0,10,20,30,40,50,60,62,64,66,68,70,72,74,76,78,80,85,90,95,100})</f>
        <v>76</v>
      </c>
      <c r="I270" s="15">
        <v>1</v>
      </c>
      <c r="J270" s="1">
        <f>LOOKUP(I270,{0,2,3,4,5,6,7,8,9,10,11,12,13,14,15,16},{0,10,20,30,40,50,60,64,68,72,76,80,85,90,95,100})</f>
        <v>0</v>
      </c>
      <c r="K270" s="21"/>
      <c r="L270" s="21"/>
      <c r="M270" s="21">
        <f t="shared" si="155"/>
        <v>0</v>
      </c>
      <c r="N270" s="15">
        <v>7.1</v>
      </c>
      <c r="O270" s="19">
        <f t="shared" si="156"/>
        <v>5.9</v>
      </c>
      <c r="P270" s="1">
        <f>LOOKUP(O270,{0,2.5,2.7,2.9,3.1,3.3,3.5,3.7,3.9,4.1,4.3,4.5,4.7,4.9,5.1,5.3,5.5,5.6,5.7,5.8,5.9},{0,10,20,30,40,50,60,62,64,66,68,70,72,74,76,78,80,85,90,95,100})</f>
        <v>100</v>
      </c>
      <c r="Q270" s="15">
        <v>3.5</v>
      </c>
      <c r="R270" s="15">
        <f t="shared" si="157"/>
        <v>6.5</v>
      </c>
      <c r="S270" s="1">
        <f>LOOKUP(R270,{0,3.75,3.95,4.55,4.75,4.95,5.55,5.6,5.65,5.7,5.75,5.8,5.85,5.9,5.95,6,6.45,6.53,6.6,6.65,6.7},{0,10,20,30,40,50,60,62,64,66,68,70,72,74,76,78,80,85,90,95,100})</f>
        <v>80</v>
      </c>
      <c r="T270" s="21"/>
      <c r="U270" s="21"/>
      <c r="V270" s="21">
        <f t="shared" si="158"/>
        <v>80</v>
      </c>
      <c r="W270" s="15"/>
      <c r="X270" s="21">
        <f t="shared" si="159"/>
        <v>51.6</v>
      </c>
      <c r="Y270" s="21">
        <f t="shared" si="160"/>
        <v>73.7142857142857</v>
      </c>
    </row>
    <row r="271" ht="15.6" hidden="1" outlineLevel="2" spans="1:25">
      <c r="A271" s="15">
        <v>110</v>
      </c>
      <c r="B271" s="15">
        <v>7</v>
      </c>
      <c r="C271" s="14" t="s">
        <v>465</v>
      </c>
      <c r="D271" s="14" t="s">
        <v>11</v>
      </c>
      <c r="E271" s="15">
        <v>18.5</v>
      </c>
      <c r="F271" s="1">
        <f>LOOKUP(E271,{0,-4,-3,-2,-1,0,1,2.4,3.8,5.2,6.6,8,9.4,10.8,12.2,13.6,15,17.2,19.4,21.5,23.6},{0,10,20,30,40,50,60,62,64,66,68,70,72,74,76,78,80,85,90,95,100})</f>
        <v>85</v>
      </c>
      <c r="G271" s="15">
        <v>246</v>
      </c>
      <c r="H271" s="1">
        <f>LOOKUP(G271,{0,170,175,180,185,190,195,199,203,207,211,215,219,223,227,231,235,243,250,255,260},{0,10,20,30,40,50,60,62,64,66,68,70,72,74,76,78,80,85,90,95,100})</f>
        <v>85</v>
      </c>
      <c r="I271" s="15">
        <v>11</v>
      </c>
      <c r="J271" s="1">
        <f>LOOKUP(I271,{0,2,3,4,5,6,7,8,9,10,11,12,13,14,15,16},{0,10,20,30,40,50,60,64,68,72,76,80,85,90,95,100})</f>
        <v>76</v>
      </c>
      <c r="K271" s="21"/>
      <c r="L271" s="21"/>
      <c r="M271" s="21">
        <f t="shared" si="155"/>
        <v>76</v>
      </c>
      <c r="N271" s="15">
        <v>7</v>
      </c>
      <c r="O271" s="19">
        <f t="shared" si="156"/>
        <v>6</v>
      </c>
      <c r="P271" s="1">
        <f>LOOKUP(O271,{0,2.5,2.7,2.9,3.1,3.3,3.5,3.7,3.9,4.1,4.3,4.5,4.7,4.9,5.1,5.3,5.5,5.6,5.7,5.8,5.9},{0,10,20,30,40,50,60,62,64,66,68,70,72,74,76,78,80,85,90,95,100})</f>
        <v>100</v>
      </c>
      <c r="Q271" s="15">
        <v>3.37</v>
      </c>
      <c r="R271" s="15">
        <f t="shared" si="157"/>
        <v>6.63</v>
      </c>
      <c r="S271" s="1">
        <f>LOOKUP(R271,{0,3.75,3.95,4.55,4.75,4.95,5.55,5.6,5.65,5.7,5.75,5.8,5.85,5.9,5.95,6,6.45,6.53,6.6,6.65,6.7},{0,10,20,30,40,50,60,62,64,66,68,70,72,74,76,78,80,85,90,95,100})</f>
        <v>90</v>
      </c>
      <c r="T271" s="21"/>
      <c r="U271" s="21"/>
      <c r="V271" s="21">
        <f t="shared" si="158"/>
        <v>90</v>
      </c>
      <c r="W271" s="15"/>
      <c r="X271" s="21">
        <f t="shared" si="159"/>
        <v>62.6</v>
      </c>
      <c r="Y271" s="21">
        <f t="shared" si="160"/>
        <v>89.4285714285714</v>
      </c>
    </row>
    <row r="272" ht="15.6" hidden="1" outlineLevel="2" spans="1:25">
      <c r="A272" s="15">
        <v>110</v>
      </c>
      <c r="B272" s="15">
        <v>8</v>
      </c>
      <c r="C272" s="14" t="s">
        <v>466</v>
      </c>
      <c r="D272" s="14" t="s">
        <v>11</v>
      </c>
      <c r="E272" s="15">
        <v>10.1</v>
      </c>
      <c r="F272" s="1">
        <f>LOOKUP(E272,{0,-4,-3,-2,-1,0,1,2.4,3.8,5.2,6.6,8,9.4,10.8,12.2,13.6,15,17.2,19.4,21.5,23.6},{0,10,20,30,40,50,60,62,64,66,68,70,72,74,76,78,80,85,90,95,100})</f>
        <v>72</v>
      </c>
      <c r="G272" s="15">
        <v>220</v>
      </c>
      <c r="H272" s="1">
        <f>LOOKUP(G272,{0,170,175,180,185,190,195,199,203,207,211,215,219,223,227,231,235,243,250,255,260},{0,10,20,30,40,50,60,62,64,66,68,70,72,74,76,78,80,85,90,95,100})</f>
        <v>72</v>
      </c>
      <c r="I272" s="15">
        <v>6</v>
      </c>
      <c r="J272" s="1">
        <f>LOOKUP(I272,{0,2,3,4,5,6,7,8,9,10,11,12,13,14,15,16},{0,10,20,30,40,50,60,64,68,72,76,80,85,90,95,100})</f>
        <v>50</v>
      </c>
      <c r="K272" s="21"/>
      <c r="L272" s="21"/>
      <c r="M272" s="21">
        <f t="shared" si="155"/>
        <v>50</v>
      </c>
      <c r="N272" s="15">
        <v>7.6</v>
      </c>
      <c r="O272" s="19">
        <f t="shared" si="156"/>
        <v>5.4</v>
      </c>
      <c r="P272" s="1">
        <f>LOOKUP(O272,{0,2.5,2.7,2.9,3.1,3.3,3.5,3.7,3.9,4.1,4.3,4.5,4.7,4.9,5.1,5.3,5.5,5.6,5.7,5.8,5.9},{0,10,20,30,40,50,60,62,64,66,68,70,72,74,76,78,80,85,90,95,100})</f>
        <v>78</v>
      </c>
      <c r="Q272" s="15">
        <v>4.02</v>
      </c>
      <c r="R272" s="15">
        <f t="shared" si="157"/>
        <v>5.98</v>
      </c>
      <c r="S272" s="1">
        <f>LOOKUP(R272,{0,3.75,3.95,4.55,4.75,4.95,5.55,5.6,5.65,5.7,5.75,5.8,5.85,5.9,5.95,6,6.45,6.53,6.6,6.65,6.7},{0,10,20,30,40,50,60,62,64,66,68,70,72,74,76,78,80,85,90,95,100})</f>
        <v>76</v>
      </c>
      <c r="T272" s="21"/>
      <c r="U272" s="21"/>
      <c r="V272" s="21">
        <f t="shared" si="158"/>
        <v>76</v>
      </c>
      <c r="W272" s="15"/>
      <c r="X272" s="21">
        <f t="shared" si="159"/>
        <v>50.2</v>
      </c>
      <c r="Y272" s="21">
        <f t="shared" si="160"/>
        <v>71.7142857142857</v>
      </c>
    </row>
    <row r="273" ht="15.6" hidden="1" outlineLevel="2" spans="1:25">
      <c r="A273" s="15">
        <v>110</v>
      </c>
      <c r="B273" s="15">
        <v>9</v>
      </c>
      <c r="C273" s="14" t="s">
        <v>467</v>
      </c>
      <c r="D273" s="14" t="s">
        <v>11</v>
      </c>
      <c r="E273" s="15">
        <v>20.2</v>
      </c>
      <c r="F273" s="1">
        <f>LOOKUP(E273,{0,-4,-3,-2,-1,0,1,2.4,3.8,5.2,6.6,8,9.4,10.8,12.2,13.6,15,17.2,19.4,21.5,23.6},{0,10,20,30,40,50,60,62,64,66,68,70,72,74,76,78,80,85,90,95,100})</f>
        <v>90</v>
      </c>
      <c r="G273" s="15">
        <v>252</v>
      </c>
      <c r="H273" s="1">
        <f>LOOKUP(G273,{0,170,175,180,185,190,195,199,203,207,211,215,219,223,227,231,235,243,250,255,260},{0,10,20,30,40,50,60,62,64,66,68,70,72,74,76,78,80,85,90,95,100})</f>
        <v>90</v>
      </c>
      <c r="I273" s="15">
        <v>25</v>
      </c>
      <c r="J273" s="1">
        <f>LOOKUP(I273,{0,2,3,4,5,6,7,8,9,10,11,12,13,14,15,16},{0,10,20,30,40,50,60,64,68,72,76,80,85,90,95,100})</f>
        <v>100</v>
      </c>
      <c r="K273" s="21">
        <f t="shared" ref="K273:K275" si="162">I273-16</f>
        <v>9</v>
      </c>
      <c r="L273" s="1">
        <f>LOOKUP(K273,{0,1,2,3,4,5,6,7,8,9,10},{0,1,2,3,4,5,6,7,8,9,10})</f>
        <v>9</v>
      </c>
      <c r="M273" s="21">
        <f t="shared" si="155"/>
        <v>109</v>
      </c>
      <c r="N273" s="15">
        <v>7</v>
      </c>
      <c r="O273" s="19">
        <f t="shared" si="156"/>
        <v>6</v>
      </c>
      <c r="P273" s="1">
        <f>LOOKUP(O273,{0,2.5,2.7,2.9,3.1,3.3,3.5,3.7,3.9,4.1,4.3,4.5,4.7,4.9,5.1,5.3,5.5,5.6,5.7,5.8,5.9},{0,10,20,30,40,50,60,62,64,66,68,70,72,74,76,78,80,85,90,95,100})</f>
        <v>100</v>
      </c>
      <c r="Q273" s="15">
        <v>4.03</v>
      </c>
      <c r="R273" s="15">
        <f t="shared" si="157"/>
        <v>5.97</v>
      </c>
      <c r="S273" s="1">
        <f>LOOKUP(R273,{0,3.75,3.95,4.55,4.75,4.95,5.55,5.6,5.65,5.7,5.75,5.8,5.85,5.9,5.95,6,6.45,6.53,6.6,6.65,6.7},{0,10,20,30,40,50,60,62,64,66,68,70,72,74,76,78,80,85,90,95,100})</f>
        <v>76</v>
      </c>
      <c r="T273" s="21"/>
      <c r="U273" s="21"/>
      <c r="V273" s="21">
        <f t="shared" si="158"/>
        <v>76</v>
      </c>
      <c r="W273" s="15"/>
      <c r="X273" s="21">
        <f t="shared" si="159"/>
        <v>63.2</v>
      </c>
      <c r="Y273" s="21">
        <f t="shared" si="160"/>
        <v>99.2857142857143</v>
      </c>
    </row>
    <row r="274" ht="15.6" hidden="1" outlineLevel="2" spans="1:25">
      <c r="A274" s="15">
        <v>110</v>
      </c>
      <c r="B274" s="15">
        <v>10</v>
      </c>
      <c r="C274" s="14" t="s">
        <v>468</v>
      </c>
      <c r="D274" s="14" t="s">
        <v>11</v>
      </c>
      <c r="E274" s="15">
        <v>6.5</v>
      </c>
      <c r="F274" s="1">
        <f>LOOKUP(E274,{0,-4,-3,-2,-1,0,1,2.4,3.8,5.2,6.6,8,9.4,10.8,12.2,13.6,15,17.2,19.4,21.5,23.6},{0,10,20,30,40,50,60,62,64,66,68,70,72,74,76,78,80,85,90,95,100})</f>
        <v>66</v>
      </c>
      <c r="G274" s="15">
        <v>248</v>
      </c>
      <c r="H274" s="1">
        <f>LOOKUP(G274,{0,170,175,180,185,190,195,199,203,207,211,215,219,223,227,231,235,243,250,255,260},{0,10,20,30,40,50,60,62,64,66,68,70,72,74,76,78,80,85,90,95,100})</f>
        <v>85</v>
      </c>
      <c r="I274" s="15">
        <v>26</v>
      </c>
      <c r="J274" s="1">
        <f>LOOKUP(I274,{0,2,3,4,5,6,7,8,9,10,11,12,13,14,15,16},{0,10,20,30,40,50,60,64,68,72,76,80,85,90,95,100})</f>
        <v>100</v>
      </c>
      <c r="K274" s="21">
        <f t="shared" si="162"/>
        <v>10</v>
      </c>
      <c r="L274" s="1">
        <f>LOOKUP(K274,{0,1,2,3,4,5,6,7,8,9,10},{0,1,2,3,4,5,6,7,8,9,10})</f>
        <v>10</v>
      </c>
      <c r="M274" s="21">
        <f t="shared" si="155"/>
        <v>110</v>
      </c>
      <c r="N274" s="15">
        <v>7.2</v>
      </c>
      <c r="O274" s="19">
        <f t="shared" si="156"/>
        <v>5.8</v>
      </c>
      <c r="P274" s="1">
        <f>LOOKUP(O274,{0,2.5,2.7,2.9,3.1,3.3,3.5,3.7,3.9,4.1,4.3,4.5,4.7,4.9,5.1,5.3,5.5,5.6,5.7,5.8,5.9},{0,10,20,30,40,50,60,62,64,66,68,70,72,74,76,78,80,85,90,95,100})</f>
        <v>95</v>
      </c>
      <c r="Q274" s="15">
        <v>4.07</v>
      </c>
      <c r="R274" s="15">
        <f t="shared" si="157"/>
        <v>5.93</v>
      </c>
      <c r="S274" s="1">
        <f>LOOKUP(R274,{0,3.75,3.95,4.55,4.75,4.95,5.55,5.6,5.65,5.7,5.75,5.8,5.85,5.9,5.95,6,6.45,6.53,6.6,6.65,6.7},{0,10,20,30,40,50,60,62,64,66,68,70,72,74,76,78,80,85,90,95,100})</f>
        <v>74</v>
      </c>
      <c r="T274" s="21"/>
      <c r="U274" s="21"/>
      <c r="V274" s="21">
        <f t="shared" si="158"/>
        <v>74</v>
      </c>
      <c r="W274" s="15"/>
      <c r="X274" s="21">
        <f t="shared" si="159"/>
        <v>58.9</v>
      </c>
      <c r="Y274" s="21">
        <f t="shared" si="160"/>
        <v>94.1428571428572</v>
      </c>
    </row>
    <row r="275" s="3" customFormat="1" ht="15.6" hidden="1" outlineLevel="2" spans="1:25">
      <c r="A275" s="15">
        <v>110</v>
      </c>
      <c r="B275" s="15">
        <v>11</v>
      </c>
      <c r="C275" s="14" t="s">
        <v>470</v>
      </c>
      <c r="D275" s="14" t="s">
        <v>11</v>
      </c>
      <c r="E275" s="15">
        <v>10.4</v>
      </c>
      <c r="F275" s="1">
        <f>LOOKUP(E275,{0,-4,-3,-2,-1,0,1,2.4,3.8,5.2,6.6,8,9.4,10.8,12.2,13.6,15,17.2,19.4,21.5,23.6},{0,10,20,30,40,50,60,62,64,66,68,70,72,74,76,78,80,85,90,95,100})</f>
        <v>72</v>
      </c>
      <c r="G275" s="15">
        <v>260</v>
      </c>
      <c r="H275" s="1">
        <f>LOOKUP(G275,{0,170,175,180,185,190,195,199,203,207,211,215,219,223,227,231,235,243,250,255,260},{0,10,20,30,40,50,60,62,64,66,68,70,72,74,76,78,80,85,90,95,100})</f>
        <v>100</v>
      </c>
      <c r="I275" s="15">
        <v>18</v>
      </c>
      <c r="J275" s="1">
        <f>LOOKUP(I275,{0,2,3,4,5,6,7,8,9,10,11,12,13,14,15,16},{0,10,20,30,40,50,60,64,68,72,76,80,85,90,95,100})</f>
        <v>100</v>
      </c>
      <c r="K275" s="21">
        <f t="shared" si="162"/>
        <v>2</v>
      </c>
      <c r="L275" s="1">
        <f>LOOKUP(K275,{0,1,2,3,4,5,6,7,8,9,10},{0,1,2,3,4,5,6,7,8,9,10})</f>
        <v>2</v>
      </c>
      <c r="M275" s="21">
        <f t="shared" si="155"/>
        <v>102</v>
      </c>
      <c r="N275" s="15">
        <v>6.7</v>
      </c>
      <c r="O275" s="19">
        <f t="shared" si="156"/>
        <v>6.3</v>
      </c>
      <c r="P275" s="1">
        <f>LOOKUP(O275,{0,2.5,2.7,2.9,3.1,3.3,3.5,3.7,3.9,4.1,4.3,4.5,4.7,4.9,5.1,5.3,5.5,5.6,5.7,5.8,5.9},{0,10,20,30,40,50,60,62,64,66,68,70,72,74,76,78,80,85,90,95,100})</f>
        <v>100</v>
      </c>
      <c r="Q275" s="15">
        <v>3.29</v>
      </c>
      <c r="R275" s="15">
        <f t="shared" si="157"/>
        <v>6.71</v>
      </c>
      <c r="S275" s="1">
        <f>LOOKUP(R275,{0,3.75,3.95,4.55,4.75,4.95,5.55,5.6,5.65,5.7,5.75,5.8,5.85,5.9,5.95,6,6.45,6.53,6.6,6.65,6.7},{0,10,20,30,40,50,60,62,64,66,68,70,72,74,76,78,80,85,90,95,100})</f>
        <v>100</v>
      </c>
      <c r="T275" s="21">
        <f>3.3-Q275</f>
        <v>0.00999999999999979</v>
      </c>
      <c r="U275" s="1">
        <f>LOOKUP(T275,{0,0.04,0.08,0.12,0.16,0.2,0.23,0.26,0.29,0.32,0.35},{0,1,2,3,4,5,6,7,8,9,10})</f>
        <v>0</v>
      </c>
      <c r="V275" s="21">
        <f t="shared" si="158"/>
        <v>100</v>
      </c>
      <c r="W275" s="15"/>
      <c r="X275" s="21">
        <f t="shared" si="159"/>
        <v>67.2</v>
      </c>
      <c r="Y275" s="21">
        <f t="shared" si="160"/>
        <v>98</v>
      </c>
    </row>
    <row r="276" ht="15.6" hidden="1" outlineLevel="2" spans="1:25">
      <c r="A276" s="15">
        <v>110</v>
      </c>
      <c r="B276" s="15">
        <v>12</v>
      </c>
      <c r="C276" s="14" t="s">
        <v>471</v>
      </c>
      <c r="D276" s="14" t="s">
        <v>11</v>
      </c>
      <c r="E276" s="15">
        <v>23</v>
      </c>
      <c r="F276" s="1">
        <f>LOOKUP(E276,{0,-4,-3,-2,-1,0,1,2.4,3.8,5.2,6.6,8,9.4,10.8,12.2,13.6,15,17.2,19.4,21.5,23.6},{0,10,20,30,40,50,60,62,64,66,68,70,72,74,76,78,80,85,90,95,100})</f>
        <v>95</v>
      </c>
      <c r="G276" s="15">
        <v>235</v>
      </c>
      <c r="H276" s="1">
        <f>LOOKUP(G276,{0,170,175,180,185,190,195,199,203,207,211,215,219,223,227,231,235,243,250,255,260},{0,10,20,30,40,50,60,62,64,66,68,70,72,74,76,78,80,85,90,95,100})</f>
        <v>80</v>
      </c>
      <c r="I276" s="15">
        <v>1</v>
      </c>
      <c r="J276" s="1">
        <f>LOOKUP(I276,{0,2,3,4,5,6,7,8,9,10,11,12,13,14,15,16},{0,10,20,30,40,50,60,64,68,72,76,80,85,90,95,100})</f>
        <v>0</v>
      </c>
      <c r="K276" s="21"/>
      <c r="L276" s="21"/>
      <c r="M276" s="21">
        <f t="shared" si="155"/>
        <v>0</v>
      </c>
      <c r="N276" s="15">
        <v>7.2</v>
      </c>
      <c r="O276" s="19">
        <f t="shared" si="156"/>
        <v>5.8</v>
      </c>
      <c r="P276" s="1">
        <f>LOOKUP(O276,{0,2.5,2.7,2.9,3.1,3.3,3.5,3.7,3.9,4.1,4.3,4.5,4.7,4.9,5.1,5.3,5.5,5.6,5.7,5.8,5.9},{0,10,20,30,40,50,60,62,64,66,68,70,72,74,76,78,80,85,90,95,100})</f>
        <v>95</v>
      </c>
      <c r="Q276" s="15">
        <v>4.11</v>
      </c>
      <c r="R276" s="15">
        <f t="shared" si="157"/>
        <v>5.89</v>
      </c>
      <c r="S276" s="1">
        <f>LOOKUP(R276,{0,3.75,3.95,4.55,4.75,4.95,5.55,5.6,5.65,5.7,5.75,5.8,5.85,5.9,5.95,6,6.45,6.53,6.6,6.65,6.7},{0,10,20,30,40,50,60,62,64,66,68,70,72,74,76,78,80,85,90,95,100})</f>
        <v>72</v>
      </c>
      <c r="T276" s="21"/>
      <c r="U276" s="21"/>
      <c r="V276" s="21">
        <f t="shared" si="158"/>
        <v>72</v>
      </c>
      <c r="W276" s="15"/>
      <c r="X276" s="21">
        <f t="shared" si="159"/>
        <v>50.9</v>
      </c>
      <c r="Y276" s="21">
        <f t="shared" si="160"/>
        <v>72.7142857142857</v>
      </c>
    </row>
    <row r="277" ht="15.6" hidden="1" outlineLevel="2" spans="1:25">
      <c r="A277" s="15">
        <v>110</v>
      </c>
      <c r="B277" s="15">
        <v>13</v>
      </c>
      <c r="C277" s="14" t="s">
        <v>472</v>
      </c>
      <c r="D277" s="14" t="s">
        <v>11</v>
      </c>
      <c r="E277" s="15">
        <v>8.5</v>
      </c>
      <c r="F277" s="1">
        <f>LOOKUP(E277,{0,-4,-3,-2,-1,0,1,2.4,3.8,5.2,6.6,8,9.4,10.8,12.2,13.6,15,17.2,19.4,21.5,23.6},{0,10,20,30,40,50,60,62,64,66,68,70,72,74,76,78,80,85,90,95,100})</f>
        <v>70</v>
      </c>
      <c r="G277" s="15">
        <v>210</v>
      </c>
      <c r="H277" s="1">
        <f>LOOKUP(G277,{0,170,175,180,185,190,195,199,203,207,211,215,219,223,227,231,235,243,250,255,260},{0,10,20,30,40,50,60,62,64,66,68,70,72,74,76,78,80,85,90,95,100})</f>
        <v>66</v>
      </c>
      <c r="I277" s="15">
        <v>0</v>
      </c>
      <c r="J277" s="1">
        <f>LOOKUP(I277,{0,2,3,4,5,6,7,8,9,10,11,12,13,14,15,16},{0,10,20,30,40,50,60,64,68,72,76,80,85,90,95,100})</f>
        <v>0</v>
      </c>
      <c r="K277" s="21"/>
      <c r="L277" s="21"/>
      <c r="M277" s="21">
        <f t="shared" si="155"/>
        <v>0</v>
      </c>
      <c r="N277" s="15">
        <v>8</v>
      </c>
      <c r="O277" s="19">
        <f t="shared" si="156"/>
        <v>5</v>
      </c>
      <c r="P277" s="1">
        <f>LOOKUP(O277,{0,2.5,2.7,2.9,3.1,3.3,3.5,3.7,3.9,4.1,4.3,4.5,4.7,4.9,5.1,5.3,5.5,5.6,5.7,5.8,5.9},{0,10,20,30,40,50,60,62,64,66,68,70,72,74,76,78,80,85,90,95,100})</f>
        <v>74</v>
      </c>
      <c r="Q277" s="15">
        <v>4.17</v>
      </c>
      <c r="R277" s="15">
        <f t="shared" si="157"/>
        <v>5.83</v>
      </c>
      <c r="S277" s="1">
        <f>LOOKUP(R277,{0,3.75,3.95,4.55,4.75,4.95,5.55,5.6,5.65,5.7,5.75,5.8,5.85,5.9,5.95,6,6.45,6.53,6.6,6.65,6.7},{0,10,20,30,40,50,60,62,64,66,68,70,72,74,76,78,80,85,90,95,100})</f>
        <v>70</v>
      </c>
      <c r="T277" s="21"/>
      <c r="U277" s="21"/>
      <c r="V277" s="21">
        <f t="shared" si="158"/>
        <v>70</v>
      </c>
      <c r="W277" s="15"/>
      <c r="X277" s="21">
        <f t="shared" si="159"/>
        <v>42.4</v>
      </c>
      <c r="Y277" s="21">
        <f t="shared" si="160"/>
        <v>60.5714285714286</v>
      </c>
    </row>
    <row r="278" ht="15.6" hidden="1" outlineLevel="2" spans="1:25">
      <c r="A278" s="15">
        <v>110</v>
      </c>
      <c r="B278" s="15">
        <v>14</v>
      </c>
      <c r="C278" s="14" t="s">
        <v>473</v>
      </c>
      <c r="D278" s="14" t="s">
        <v>11</v>
      </c>
      <c r="E278" s="15">
        <v>6</v>
      </c>
      <c r="F278" s="1">
        <f>LOOKUP(E278,{0,-4,-3,-2,-1,0,1,2.4,3.8,5.2,6.6,8,9.4,10.8,12.2,13.6,15,17.2,19.4,21.5,23.6},{0,10,20,30,40,50,60,62,64,66,68,70,72,74,76,78,80,85,90,95,100})</f>
        <v>66</v>
      </c>
      <c r="G278" s="15">
        <v>198</v>
      </c>
      <c r="H278" s="1">
        <f>LOOKUP(G278,{0,170,175,180,185,190,195,199,203,207,211,215,219,223,227,231,235,243,250,255,260},{0,10,20,30,40,50,60,62,64,66,68,70,72,74,76,78,80,85,90,95,100})</f>
        <v>60</v>
      </c>
      <c r="I278" s="15">
        <v>0</v>
      </c>
      <c r="J278" s="1">
        <f>LOOKUP(I278,{0,2,3,4,5,6,7,8,9,10,11,12,13,14,15,16},{0,10,20,30,40,50,60,64,68,72,76,80,85,90,95,100})</f>
        <v>0</v>
      </c>
      <c r="K278" s="21"/>
      <c r="L278" s="21"/>
      <c r="M278" s="21">
        <f t="shared" si="155"/>
        <v>0</v>
      </c>
      <c r="N278" s="15">
        <v>7.7</v>
      </c>
      <c r="O278" s="19">
        <f t="shared" si="156"/>
        <v>5.3</v>
      </c>
      <c r="P278" s="1">
        <f>LOOKUP(O278,{0,2.5,2.7,2.9,3.1,3.3,3.5,3.7,3.9,4.1,4.3,4.5,4.7,4.9,5.1,5.3,5.5,5.6,5.7,5.8,5.9},{0,10,20,30,40,50,60,62,64,66,68,70,72,74,76,78,80,85,90,95,100})</f>
        <v>78</v>
      </c>
      <c r="Q278" s="15">
        <v>4.56</v>
      </c>
      <c r="R278" s="15">
        <f t="shared" si="157"/>
        <v>5.44</v>
      </c>
      <c r="S278" s="1">
        <f>LOOKUP(R278,{0,3.75,3.95,4.55,4.75,4.95,5.55,5.6,5.65,5.7,5.75,5.8,5.85,5.9,5.95,6,6.45,6.53,6.6,6.65,6.7},{0,10,20,30,40,50,60,62,64,66,68,70,72,74,76,78,80,85,90,95,100})</f>
        <v>50</v>
      </c>
      <c r="T278" s="21"/>
      <c r="U278" s="21"/>
      <c r="V278" s="21">
        <f t="shared" si="158"/>
        <v>50</v>
      </c>
      <c r="W278" s="15"/>
      <c r="X278" s="21">
        <f t="shared" si="159"/>
        <v>38.2</v>
      </c>
      <c r="Y278" s="21">
        <f t="shared" si="160"/>
        <v>54.5714285714286</v>
      </c>
    </row>
    <row r="279" ht="15.6" hidden="1" outlineLevel="2" spans="1:25">
      <c r="A279" s="15">
        <v>110</v>
      </c>
      <c r="B279" s="15">
        <v>15</v>
      </c>
      <c r="C279" s="14" t="s">
        <v>474</v>
      </c>
      <c r="D279" s="14" t="s">
        <v>11</v>
      </c>
      <c r="E279" s="15">
        <v>14.7</v>
      </c>
      <c r="F279" s="1">
        <f>LOOKUP(E279,{0,-4,-3,-2,-1,0,1,2.4,3.8,5.2,6.6,8,9.4,10.8,12.2,13.6,15,17.2,19.4,21.5,23.6},{0,10,20,30,40,50,60,62,64,66,68,70,72,74,76,78,80,85,90,95,100})</f>
        <v>78</v>
      </c>
      <c r="G279" s="15">
        <v>220</v>
      </c>
      <c r="H279" s="1">
        <f>LOOKUP(G279,{0,170,175,180,185,190,195,199,203,207,211,215,219,223,227,231,235,243,250,255,260},{0,10,20,30,40,50,60,62,64,66,68,70,72,74,76,78,80,85,90,95,100})</f>
        <v>72</v>
      </c>
      <c r="I279" s="15">
        <v>0</v>
      </c>
      <c r="J279" s="1">
        <f>LOOKUP(I279,{0,2,3,4,5,6,7,8,9,10,11,12,13,14,15,16},{0,10,20,30,40,50,60,64,68,72,76,80,85,90,95,100})</f>
        <v>0</v>
      </c>
      <c r="K279" s="21"/>
      <c r="L279" s="21"/>
      <c r="M279" s="21">
        <f t="shared" si="155"/>
        <v>0</v>
      </c>
      <c r="N279" s="15">
        <v>7.6</v>
      </c>
      <c r="O279" s="19">
        <f t="shared" si="156"/>
        <v>5.4</v>
      </c>
      <c r="P279" s="1">
        <f>LOOKUP(O279,{0,2.5,2.7,2.9,3.1,3.3,3.5,3.7,3.9,4.1,4.3,4.5,4.7,4.9,5.1,5.3,5.5,5.6,5.7,5.8,5.9},{0,10,20,30,40,50,60,62,64,66,68,70,72,74,76,78,80,85,90,95,100})</f>
        <v>78</v>
      </c>
      <c r="Q279" s="15">
        <v>4.21</v>
      </c>
      <c r="R279" s="15">
        <f t="shared" si="157"/>
        <v>5.79</v>
      </c>
      <c r="S279" s="1">
        <f>LOOKUP(R279,{0,3.75,3.95,4.55,4.75,4.95,5.55,5.6,5.65,5.7,5.75,5.8,5.85,5.9,5.95,6,6.45,6.53,6.6,6.65,6.7},{0,10,20,30,40,50,60,62,64,66,68,70,72,74,76,78,80,85,90,95,100})</f>
        <v>68</v>
      </c>
      <c r="T279" s="21"/>
      <c r="U279" s="21"/>
      <c r="V279" s="21">
        <f t="shared" si="158"/>
        <v>68</v>
      </c>
      <c r="W279" s="15"/>
      <c r="X279" s="21">
        <f t="shared" si="159"/>
        <v>44.2</v>
      </c>
      <c r="Y279" s="21">
        <f t="shared" si="160"/>
        <v>63.1428571428572</v>
      </c>
    </row>
    <row r="280" ht="15.6" hidden="1" outlineLevel="2" spans="1:25">
      <c r="A280" s="15">
        <v>110</v>
      </c>
      <c r="B280" s="15">
        <v>16</v>
      </c>
      <c r="C280" s="14" t="s">
        <v>475</v>
      </c>
      <c r="D280" s="14" t="s">
        <v>11</v>
      </c>
      <c r="E280" s="15">
        <v>12.5</v>
      </c>
      <c r="F280" s="1">
        <f>LOOKUP(E280,{0,-4,-3,-2,-1,0,1,2.4,3.8,5.2,6.6,8,9.4,10.8,12.2,13.6,15,17.2,19.4,21.5,23.6},{0,10,20,30,40,50,60,62,64,66,68,70,72,74,76,78,80,85,90,95,100})</f>
        <v>76</v>
      </c>
      <c r="G280" s="15">
        <v>238</v>
      </c>
      <c r="H280" s="1">
        <f>LOOKUP(G280,{0,170,175,180,185,190,195,199,203,207,211,215,219,223,227,231,235,243,250,255,260},{0,10,20,30,40,50,60,62,64,66,68,70,72,74,76,78,80,85,90,95,100})</f>
        <v>80</v>
      </c>
      <c r="I280" s="15">
        <v>3</v>
      </c>
      <c r="J280" s="1">
        <f>LOOKUP(I280,{0,2,3,4,5,6,7,8,9,10,11,12,13,14,15,16},{0,10,20,30,40,50,60,64,68,72,76,80,85,90,95,100})</f>
        <v>20</v>
      </c>
      <c r="K280" s="21"/>
      <c r="L280" s="21"/>
      <c r="M280" s="21">
        <f t="shared" si="155"/>
        <v>20</v>
      </c>
      <c r="N280" s="15"/>
      <c r="O280" s="19"/>
      <c r="P280" s="1"/>
      <c r="Q280" s="15">
        <v>3.43</v>
      </c>
      <c r="R280" s="15">
        <f t="shared" si="157"/>
        <v>6.57</v>
      </c>
      <c r="S280" s="1">
        <f>LOOKUP(R280,{0,3.75,3.95,4.55,4.75,4.95,5.55,5.6,5.65,5.7,5.75,5.8,5.85,5.9,5.95,6,6.45,6.53,6.6,6.65,6.7},{0,10,20,30,40,50,60,62,64,66,68,70,72,74,76,78,80,85,90,95,100})</f>
        <v>85</v>
      </c>
      <c r="T280" s="21"/>
      <c r="U280" s="21"/>
      <c r="V280" s="21">
        <f t="shared" si="158"/>
        <v>85</v>
      </c>
      <c r="W280" s="15"/>
      <c r="X280" s="21">
        <f t="shared" si="159"/>
        <v>34.6</v>
      </c>
      <c r="Y280" s="27">
        <v>50</v>
      </c>
    </row>
    <row r="281" ht="15.6" hidden="1" outlineLevel="2" spans="1:25">
      <c r="A281" s="15">
        <v>110</v>
      </c>
      <c r="B281" s="15">
        <v>17</v>
      </c>
      <c r="C281" s="14" t="s">
        <v>476</v>
      </c>
      <c r="D281" s="14" t="s">
        <v>11</v>
      </c>
      <c r="E281" s="15">
        <v>14</v>
      </c>
      <c r="F281" s="1">
        <f>LOOKUP(E281,{0,-4,-3,-2,-1,0,1,2.4,3.8,5.2,6.6,8,9.4,10.8,12.2,13.6,15,17.2,19.4,21.5,23.6},{0,10,20,30,40,50,60,62,64,66,68,70,72,74,76,78,80,85,90,95,100})</f>
        <v>78</v>
      </c>
      <c r="G281" s="15">
        <v>260</v>
      </c>
      <c r="H281" s="1">
        <f>LOOKUP(G281,{0,170,175,180,185,190,195,199,203,207,211,215,219,223,227,231,235,243,250,255,260},{0,10,20,30,40,50,60,62,64,66,68,70,72,74,76,78,80,85,90,95,100})</f>
        <v>100</v>
      </c>
      <c r="I281" s="15">
        <v>16</v>
      </c>
      <c r="J281" s="1">
        <f>LOOKUP(I281,{0,2,3,4,5,6,7,8,9,10,11,12,13,14,15,16},{0,10,20,30,40,50,60,64,68,72,76,80,85,90,95,100})</f>
        <v>100</v>
      </c>
      <c r="K281" s="21">
        <f t="shared" ref="K281:K284" si="163">I281-16</f>
        <v>0</v>
      </c>
      <c r="L281" s="1">
        <f>LOOKUP(K281,{0,1,2,3,4,5,6,7,8,9,10},{0,1,2,3,4,5,6,7,8,9,10})</f>
        <v>0</v>
      </c>
      <c r="M281" s="21">
        <f t="shared" si="155"/>
        <v>100</v>
      </c>
      <c r="N281" s="15">
        <v>6.4</v>
      </c>
      <c r="O281" s="19">
        <f t="shared" ref="O281:O291" si="164">13-N281</f>
        <v>6.6</v>
      </c>
      <c r="P281" s="1">
        <f>LOOKUP(O281,{0,2.5,2.7,2.9,3.1,3.3,3.5,3.7,3.9,4.1,4.3,4.5,4.7,4.9,5.1,5.3,5.5,5.6,5.7,5.8,5.9},{0,10,20,30,40,50,60,62,64,66,68,70,72,74,76,78,80,85,90,95,100})</f>
        <v>100</v>
      </c>
      <c r="Q281" s="15">
        <v>3.33</v>
      </c>
      <c r="R281" s="15">
        <f t="shared" si="157"/>
        <v>6.67</v>
      </c>
      <c r="S281" s="1">
        <f>LOOKUP(R281,{0,3.75,3.95,4.55,4.75,4.95,5.55,5.6,5.65,5.7,5.75,5.8,5.85,5.9,5.95,6,6.45,6.53,6.6,6.65,6.7},{0,10,20,30,40,50,60,62,64,66,68,70,72,74,76,78,80,85,90,95,100})</f>
        <v>95</v>
      </c>
      <c r="T281" s="21"/>
      <c r="U281" s="21"/>
      <c r="V281" s="21">
        <f t="shared" si="158"/>
        <v>95</v>
      </c>
      <c r="W281" s="15"/>
      <c r="X281" s="21">
        <f t="shared" si="159"/>
        <v>66.8</v>
      </c>
      <c r="Y281" s="21">
        <f t="shared" ref="Y281:Y291" si="165">X281/0.7+L281+U281</f>
        <v>95.4285714285714</v>
      </c>
    </row>
    <row r="282" ht="15.6" hidden="1" outlineLevel="2" spans="1:25">
      <c r="A282" s="15">
        <v>110</v>
      </c>
      <c r="B282" s="15">
        <v>18</v>
      </c>
      <c r="C282" s="14" t="s">
        <v>477</v>
      </c>
      <c r="D282" s="14" t="s">
        <v>11</v>
      </c>
      <c r="E282" s="15">
        <v>4.5</v>
      </c>
      <c r="F282" s="1">
        <f>LOOKUP(E282,{0,-4,-3,-2,-1,0,1,2.4,3.8,5.2,6.6,8,9.4,10.8,12.2,13.6,15,17.2,19.4,21.5,23.6},{0,10,20,30,40,50,60,62,64,66,68,70,72,74,76,78,80,85,90,95,100})</f>
        <v>64</v>
      </c>
      <c r="G282" s="15">
        <v>248</v>
      </c>
      <c r="H282" s="1">
        <f>LOOKUP(G282,{0,170,175,180,185,190,195,199,203,207,211,215,219,223,227,231,235,243,250,255,260},{0,10,20,30,40,50,60,62,64,66,68,70,72,74,76,78,80,85,90,95,100})</f>
        <v>85</v>
      </c>
      <c r="I282" s="15">
        <v>26</v>
      </c>
      <c r="J282" s="1">
        <f>LOOKUP(I282,{0,2,3,4,5,6,7,8,9,10,11,12,13,14,15,16},{0,10,20,30,40,50,60,64,68,72,76,80,85,90,95,100})</f>
        <v>100</v>
      </c>
      <c r="K282" s="21">
        <f t="shared" si="163"/>
        <v>10</v>
      </c>
      <c r="L282" s="1">
        <f>LOOKUP(K282,{0,1,2,3,4,5,6,7,8,9,10},{0,1,2,3,4,5,6,7,8,9,10})</f>
        <v>10</v>
      </c>
      <c r="M282" s="21">
        <f t="shared" si="155"/>
        <v>110</v>
      </c>
      <c r="N282" s="15">
        <v>7.7</v>
      </c>
      <c r="O282" s="19">
        <f t="shared" si="164"/>
        <v>5.3</v>
      </c>
      <c r="P282" s="1">
        <f>LOOKUP(O282,{0,2.5,2.7,2.9,3.1,3.3,3.5,3.7,3.9,4.1,4.3,4.5,4.7,4.9,5.1,5.3,5.5,5.6,5.7,5.8,5.9},{0,10,20,30,40,50,60,62,64,66,68,70,72,74,76,78,80,85,90,95,100})</f>
        <v>78</v>
      </c>
      <c r="Q282" s="15">
        <v>3.35</v>
      </c>
      <c r="R282" s="15">
        <f t="shared" si="157"/>
        <v>6.65</v>
      </c>
      <c r="S282" s="1">
        <f>LOOKUP(R282,{0,3.75,3.95,4.55,4.75,4.95,5.55,5.6,5.65,5.7,5.75,5.8,5.85,5.9,5.95,6,6.45,6.53,6.6,6.65,6.7},{0,10,20,30,40,50,60,62,64,66,68,70,72,74,76,78,80,85,90,95,100})</f>
        <v>95</v>
      </c>
      <c r="T282" s="21"/>
      <c r="U282" s="21"/>
      <c r="V282" s="21">
        <f t="shared" si="158"/>
        <v>95</v>
      </c>
      <c r="W282" s="15"/>
      <c r="X282" s="21">
        <f t="shared" si="159"/>
        <v>59.5</v>
      </c>
      <c r="Y282" s="21">
        <f t="shared" si="165"/>
        <v>95</v>
      </c>
    </row>
    <row r="283" ht="15.6" hidden="1" outlineLevel="2" spans="1:25">
      <c r="A283" s="15">
        <v>110</v>
      </c>
      <c r="B283" s="15">
        <v>19</v>
      </c>
      <c r="C283" s="14" t="s">
        <v>478</v>
      </c>
      <c r="D283" s="14" t="s">
        <v>11</v>
      </c>
      <c r="E283" s="15">
        <v>24</v>
      </c>
      <c r="F283" s="1">
        <f>LOOKUP(E283,{0,-4,-3,-2,-1,0,1,2.4,3.8,5.2,6.6,8,9.4,10.8,12.2,13.6,15,17.2,19.4,21.5,23.6},{0,10,20,30,40,50,60,62,64,66,68,70,72,74,76,78,80,85,90,95,100})</f>
        <v>100</v>
      </c>
      <c r="G283" s="15">
        <v>268</v>
      </c>
      <c r="H283" s="1">
        <f>LOOKUP(G283,{0,170,175,180,185,190,195,199,203,207,211,215,219,223,227,231,235,243,250,255,260},{0,10,20,30,40,50,60,62,64,66,68,70,72,74,76,78,80,85,90,95,100})</f>
        <v>100</v>
      </c>
      <c r="I283" s="15">
        <v>16</v>
      </c>
      <c r="J283" s="1">
        <f>LOOKUP(I283,{0,2,3,4,5,6,7,8,9,10,11,12,13,14,15,16},{0,10,20,30,40,50,60,64,68,72,76,80,85,90,95,100})</f>
        <v>100</v>
      </c>
      <c r="K283" s="21">
        <f t="shared" si="163"/>
        <v>0</v>
      </c>
      <c r="L283" s="1">
        <f>LOOKUP(K283,{0,1,2,3,4,5,6,7,8,9,10},{0,1,2,3,4,5,6,7,8,9,10})</f>
        <v>0</v>
      </c>
      <c r="M283" s="21">
        <f t="shared" si="155"/>
        <v>100</v>
      </c>
      <c r="N283" s="15">
        <v>7.2</v>
      </c>
      <c r="O283" s="19">
        <f t="shared" si="164"/>
        <v>5.8</v>
      </c>
      <c r="P283" s="1">
        <f>LOOKUP(O283,{0,2.5,2.7,2.9,3.1,3.3,3.5,3.7,3.9,4.1,4.3,4.5,4.7,4.9,5.1,5.3,5.5,5.6,5.7,5.8,5.9},{0,10,20,30,40,50,60,62,64,66,68,70,72,74,76,78,80,85,90,95,100})</f>
        <v>95</v>
      </c>
      <c r="Q283" s="15">
        <v>3.51</v>
      </c>
      <c r="R283" s="15">
        <f t="shared" si="157"/>
        <v>6.49</v>
      </c>
      <c r="S283" s="1">
        <f>LOOKUP(R283,{0,3.75,3.95,4.55,4.75,4.95,5.55,5.6,5.65,5.7,5.75,5.8,5.85,5.9,5.95,6,6.45,6.53,6.6,6.65,6.7},{0,10,20,30,40,50,60,62,64,66,68,70,72,74,76,78,80,85,90,95,100})</f>
        <v>80</v>
      </c>
      <c r="T283" s="21"/>
      <c r="U283" s="21"/>
      <c r="V283" s="21">
        <f t="shared" si="158"/>
        <v>80</v>
      </c>
      <c r="W283" s="15"/>
      <c r="X283" s="21">
        <f t="shared" si="159"/>
        <v>65</v>
      </c>
      <c r="Y283" s="21">
        <f t="shared" si="165"/>
        <v>92.8571428571429</v>
      </c>
    </row>
    <row r="284" ht="15.6" hidden="1" outlineLevel="2" spans="1:25">
      <c r="A284" s="15">
        <v>110</v>
      </c>
      <c r="B284" s="15">
        <v>20</v>
      </c>
      <c r="C284" s="13" t="s">
        <v>480</v>
      </c>
      <c r="D284" s="14" t="s">
        <v>11</v>
      </c>
      <c r="E284" s="15">
        <v>20</v>
      </c>
      <c r="F284" s="1">
        <f>LOOKUP(E284,{0,-4,-3,-2,-1,0,1,2.4,3.8,5.2,6.6,8,9.4,10.8,12.2,13.6,15,17.2,19.4,21.5,23.6},{0,10,20,30,40,50,60,62,64,66,68,70,72,74,76,78,80,85,90,95,100})</f>
        <v>90</v>
      </c>
      <c r="G284" s="15">
        <v>251</v>
      </c>
      <c r="H284" s="1">
        <f>LOOKUP(G284,{0,170,175,180,185,190,195,199,203,207,211,215,219,223,227,231,235,243,250,255,260},{0,10,20,30,40,50,60,62,64,66,68,70,72,74,76,78,80,85,90,95,100})</f>
        <v>90</v>
      </c>
      <c r="I284" s="15">
        <v>22</v>
      </c>
      <c r="J284" s="1">
        <f>LOOKUP(I284,{0,2,3,4,5,6,7,8,9,10,11,12,13,14,15,16},{0,10,20,30,40,50,60,64,68,72,76,80,85,90,95,100})</f>
        <v>100</v>
      </c>
      <c r="K284" s="21">
        <f t="shared" si="163"/>
        <v>6</v>
      </c>
      <c r="L284" s="1">
        <f>LOOKUP(K284,{0,1,2,3,4,5,6,7,8,9,10},{0,1,2,3,4,5,6,7,8,9,10})</f>
        <v>6</v>
      </c>
      <c r="M284" s="21">
        <f t="shared" si="155"/>
        <v>106</v>
      </c>
      <c r="N284" s="15">
        <v>6.7</v>
      </c>
      <c r="O284" s="19">
        <f t="shared" si="164"/>
        <v>6.3</v>
      </c>
      <c r="P284" s="1">
        <f>LOOKUP(O284,{0,2.5,2.7,2.9,3.1,3.3,3.5,3.7,3.9,4.1,4.3,4.5,4.7,4.9,5.1,5.3,5.5,5.6,5.7,5.8,5.9},{0,10,20,30,40,50,60,62,64,66,68,70,72,74,76,78,80,85,90,95,100})</f>
        <v>100</v>
      </c>
      <c r="Q284" s="15">
        <v>3.3</v>
      </c>
      <c r="R284" s="15">
        <f t="shared" si="157"/>
        <v>6.7</v>
      </c>
      <c r="S284" s="1">
        <f>LOOKUP(R284,{0,3.75,3.95,4.55,4.75,4.95,5.55,5.6,5.65,5.7,5.75,5.8,5.85,5.9,5.95,6,6.45,6.53,6.6,6.65,6.7},{0,10,20,30,40,50,60,62,64,66,68,70,72,74,76,78,80,85,90,95,100})</f>
        <v>100</v>
      </c>
      <c r="T284" s="21">
        <f>3.3-Q284</f>
        <v>0</v>
      </c>
      <c r="U284" s="1">
        <f>LOOKUP(T284,{0,0.04,0.08,0.12,0.16,0.2,0.23,0.26,0.29,0.32,0.35},{0,1,2,3,4,5,6,7,8,9,10})</f>
        <v>0</v>
      </c>
      <c r="V284" s="21">
        <f t="shared" si="158"/>
        <v>100</v>
      </c>
      <c r="W284" s="15"/>
      <c r="X284" s="21">
        <f t="shared" si="159"/>
        <v>68</v>
      </c>
      <c r="Y284" s="21">
        <f t="shared" si="165"/>
        <v>103.142857142857</v>
      </c>
    </row>
    <row r="285" s="3" customFormat="1" ht="15.6" hidden="1" outlineLevel="2" spans="1:25">
      <c r="A285" s="15">
        <v>110</v>
      </c>
      <c r="B285" s="15">
        <v>22</v>
      </c>
      <c r="C285" s="14" t="s">
        <v>483</v>
      </c>
      <c r="D285" s="14" t="s">
        <v>11</v>
      </c>
      <c r="E285" s="15">
        <v>13.5</v>
      </c>
      <c r="F285" s="1">
        <f>LOOKUP(E285,{0,-4,-3,-2,-1,0,1,2.4,3.8,5.2,6.6,8,9.4,10.8,12.2,13.6,15,17.2,19.4,21.5,23.6},{0,10,20,30,40,50,60,62,64,66,68,70,72,74,76,78,80,85,90,95,100})</f>
        <v>76</v>
      </c>
      <c r="G285" s="15">
        <v>223</v>
      </c>
      <c r="H285" s="1">
        <f>LOOKUP(G285,{0,170,175,180,185,190,195,199,203,207,211,215,219,223,227,231,235,243,250,255,260},{0,10,20,30,40,50,60,62,64,66,68,70,72,74,76,78,80,85,90,95,100})</f>
        <v>74</v>
      </c>
      <c r="I285" s="15">
        <v>1</v>
      </c>
      <c r="J285" s="1">
        <f>LOOKUP(I285,{0,2,3,4,5,6,7,8,9,10,11,12,13,14,15,16},{0,10,20,30,40,50,60,64,68,72,76,80,85,90,95,100})</f>
        <v>0</v>
      </c>
      <c r="K285" s="21"/>
      <c r="L285" s="21"/>
      <c r="M285" s="21">
        <f t="shared" si="155"/>
        <v>0</v>
      </c>
      <c r="N285" s="15">
        <v>7.8</v>
      </c>
      <c r="O285" s="19">
        <f t="shared" si="164"/>
        <v>5.2</v>
      </c>
      <c r="P285" s="1">
        <f>LOOKUP(O285,{0,2.5,2.7,2.9,3.1,3.3,3.5,3.7,3.9,4.1,4.3,4.5,4.7,4.9,5.1,5.3,5.5,5.6,5.7,5.8,5.9},{0,10,20,30,40,50,60,62,64,66,68,70,72,74,76,78,80,85,90,95,100})</f>
        <v>76</v>
      </c>
      <c r="Q285" s="15">
        <v>3.53</v>
      </c>
      <c r="R285" s="15">
        <f t="shared" si="157"/>
        <v>6.47</v>
      </c>
      <c r="S285" s="1">
        <f>LOOKUP(R285,{0,3.75,3.95,4.55,4.75,4.95,5.55,5.6,5.65,5.7,5.75,5.8,5.85,5.9,5.95,6,6.45,6.53,6.6,6.65,6.7},{0,10,20,30,40,50,60,62,64,66,68,70,72,74,76,78,80,85,90,95,100})</f>
        <v>80</v>
      </c>
      <c r="T285" s="21"/>
      <c r="U285" s="21"/>
      <c r="V285" s="21">
        <f t="shared" si="158"/>
        <v>80</v>
      </c>
      <c r="W285" s="15"/>
      <c r="X285" s="21">
        <f t="shared" si="159"/>
        <v>46.2</v>
      </c>
      <c r="Y285" s="21">
        <f t="shared" si="165"/>
        <v>66</v>
      </c>
    </row>
    <row r="286" ht="15.6" hidden="1" outlineLevel="2" spans="1:25">
      <c r="A286" s="15">
        <v>110</v>
      </c>
      <c r="B286" s="15">
        <v>23</v>
      </c>
      <c r="C286" s="14" t="s">
        <v>484</v>
      </c>
      <c r="D286" s="14" t="s">
        <v>11</v>
      </c>
      <c r="E286" s="15">
        <v>2.5</v>
      </c>
      <c r="F286" s="1">
        <f>LOOKUP(E286,{0,-4,-3,-2,-1,0,1,2.4,3.8,5.2,6.6,8,9.4,10.8,12.2,13.6,15,17.2,19.4,21.5,23.6},{0,10,20,30,40,50,60,62,64,66,68,70,72,74,76,78,80,85,90,95,100})</f>
        <v>62</v>
      </c>
      <c r="G286" s="15">
        <v>201</v>
      </c>
      <c r="H286" s="1">
        <f>LOOKUP(G286,{0,170,175,180,185,190,195,199,203,207,211,215,219,223,227,231,235,243,250,255,260},{0,10,20,30,40,50,60,62,64,66,68,70,72,74,76,78,80,85,90,95,100})</f>
        <v>62</v>
      </c>
      <c r="I286" s="15">
        <v>1</v>
      </c>
      <c r="J286" s="1">
        <f>LOOKUP(I286,{0,2,3,4,5,6,7,8,9,10,11,12,13,14,15,16},{0,10,20,30,40,50,60,64,68,72,76,80,85,90,95,100})</f>
        <v>0</v>
      </c>
      <c r="K286" s="21"/>
      <c r="L286" s="21"/>
      <c r="M286" s="21">
        <f t="shared" si="155"/>
        <v>0</v>
      </c>
      <c r="N286" s="15">
        <v>7.9</v>
      </c>
      <c r="O286" s="19">
        <f t="shared" si="164"/>
        <v>5.1</v>
      </c>
      <c r="P286" s="1">
        <f>LOOKUP(O286,{0,2.5,2.7,2.9,3.1,3.3,3.5,3.7,3.9,4.1,4.3,4.5,4.7,4.9,5.1,5.3,5.5,5.6,5.7,5.8,5.9},{0,10,20,30,40,50,60,62,64,66,68,70,72,74,76,78,80,85,90,95,100})</f>
        <v>76</v>
      </c>
      <c r="Q286" s="15">
        <v>4.25</v>
      </c>
      <c r="R286" s="15">
        <f t="shared" si="157"/>
        <v>5.75</v>
      </c>
      <c r="S286" s="1">
        <f>LOOKUP(R286,{0,3.75,3.95,4.55,4.75,4.95,5.55,5.6,5.65,5.7,5.75,5.8,5.85,5.9,5.95,6,6.45,6.53,6.6,6.65,6.7},{0,10,20,30,40,50,60,62,64,66,68,70,72,74,76,78,80,85,90,95,100})</f>
        <v>68</v>
      </c>
      <c r="T286" s="21"/>
      <c r="U286" s="21"/>
      <c r="V286" s="21">
        <f t="shared" si="158"/>
        <v>68</v>
      </c>
      <c r="W286" s="15"/>
      <c r="X286" s="21">
        <f t="shared" si="159"/>
        <v>41.2</v>
      </c>
      <c r="Y286" s="21">
        <f t="shared" si="165"/>
        <v>58.8571428571429</v>
      </c>
    </row>
    <row r="287" ht="15.6" hidden="1" outlineLevel="2" spans="1:25">
      <c r="A287" s="15">
        <v>110</v>
      </c>
      <c r="B287" s="15">
        <v>24</v>
      </c>
      <c r="C287" s="14" t="s">
        <v>485</v>
      </c>
      <c r="D287" s="14" t="s">
        <v>11</v>
      </c>
      <c r="E287" s="15">
        <v>4</v>
      </c>
      <c r="F287" s="1">
        <f>LOOKUP(E287,{0,-4,-3,-2,-1,0,1,2.4,3.8,5.2,6.6,8,9.4,10.8,12.2,13.6,15,17.2,19.4,21.5,23.6},{0,10,20,30,40,50,60,62,64,66,68,70,72,74,76,78,80,85,90,95,100})</f>
        <v>64</v>
      </c>
      <c r="G287" s="15">
        <v>221</v>
      </c>
      <c r="H287" s="1">
        <f>LOOKUP(G287,{0,170,175,180,185,190,195,199,203,207,211,215,219,223,227,231,235,243,250,255,260},{0,10,20,30,40,50,60,62,64,66,68,70,72,74,76,78,80,85,90,95,100})</f>
        <v>72</v>
      </c>
      <c r="I287" s="15">
        <v>7</v>
      </c>
      <c r="J287" s="1">
        <f>LOOKUP(I287,{0,2,3,4,5,6,7,8,9,10,11,12,13,14,15,16},{0,10,20,30,40,50,60,64,68,72,76,80,85,90,95,100})</f>
        <v>60</v>
      </c>
      <c r="K287" s="21"/>
      <c r="L287" s="21"/>
      <c r="M287" s="21">
        <f t="shared" si="155"/>
        <v>60</v>
      </c>
      <c r="N287" s="15">
        <v>7.9</v>
      </c>
      <c r="O287" s="19">
        <f t="shared" si="164"/>
        <v>5.1</v>
      </c>
      <c r="P287" s="1">
        <f>LOOKUP(O287,{0,2.5,2.7,2.9,3.1,3.3,3.5,3.7,3.9,4.1,4.3,4.5,4.7,4.9,5.1,5.3,5.5,5.6,5.7,5.8,5.9},{0,10,20,30,40,50,60,62,64,66,68,70,72,74,76,78,80,85,90,95,100})</f>
        <v>76</v>
      </c>
      <c r="Q287" s="15">
        <v>4.43</v>
      </c>
      <c r="R287" s="15">
        <f t="shared" si="157"/>
        <v>5.57</v>
      </c>
      <c r="S287" s="1">
        <f>LOOKUP(R287,{0,3.75,3.95,4.55,4.75,4.95,5.55,5.6,5.65,5.7,5.75,5.8,5.85,5.9,5.95,6,6.45,6.53,6.6,6.65,6.7},{0,10,20,30,40,50,60,62,64,66,68,70,72,74,76,78,80,85,90,95,100})</f>
        <v>60</v>
      </c>
      <c r="T287" s="21"/>
      <c r="U287" s="21"/>
      <c r="V287" s="21">
        <f t="shared" si="158"/>
        <v>60</v>
      </c>
      <c r="W287" s="15"/>
      <c r="X287" s="21">
        <f t="shared" si="159"/>
        <v>46.8</v>
      </c>
      <c r="Y287" s="21">
        <f t="shared" si="165"/>
        <v>66.8571428571429</v>
      </c>
    </row>
    <row r="288" ht="15.6" hidden="1" outlineLevel="2" spans="1:25">
      <c r="A288" s="15">
        <v>110</v>
      </c>
      <c r="B288" s="15">
        <v>25</v>
      </c>
      <c r="C288" s="14" t="s">
        <v>486</v>
      </c>
      <c r="D288" s="14" t="s">
        <v>11</v>
      </c>
      <c r="E288" s="15">
        <v>13</v>
      </c>
      <c r="F288" s="1">
        <f>LOOKUP(E288,{0,-4,-3,-2,-1,0,1,2.4,3.8,5.2,6.6,8,9.4,10.8,12.2,13.6,15,17.2,19.4,21.5,23.6},{0,10,20,30,40,50,60,62,64,66,68,70,72,74,76,78,80,85,90,95,100})</f>
        <v>76</v>
      </c>
      <c r="G288" s="15">
        <v>225</v>
      </c>
      <c r="H288" s="1">
        <f>LOOKUP(G288,{0,170,175,180,185,190,195,199,203,207,211,215,219,223,227,231,235,243,250,255,260},{0,10,20,30,40,50,60,62,64,66,68,70,72,74,76,78,80,85,90,95,100})</f>
        <v>74</v>
      </c>
      <c r="I288" s="15">
        <v>0</v>
      </c>
      <c r="J288" s="1">
        <f>LOOKUP(I288,{0,2,3,4,5,6,7,8,9,10,11,12,13,14,15,16},{0,10,20,30,40,50,60,64,68,72,76,80,85,90,95,100})</f>
        <v>0</v>
      </c>
      <c r="K288" s="21"/>
      <c r="L288" s="21"/>
      <c r="M288" s="21">
        <f t="shared" si="155"/>
        <v>0</v>
      </c>
      <c r="N288" s="15">
        <v>8</v>
      </c>
      <c r="O288" s="19">
        <f t="shared" si="164"/>
        <v>5</v>
      </c>
      <c r="P288" s="1">
        <f>LOOKUP(O288,{0,2.5,2.7,2.9,3.1,3.3,3.5,3.7,3.9,4.1,4.3,4.5,4.7,4.9,5.1,5.3,5.5,5.6,5.7,5.8,5.9},{0,10,20,30,40,50,60,62,64,66,68,70,72,74,76,78,80,85,90,95,100})</f>
        <v>74</v>
      </c>
      <c r="Q288" s="15">
        <v>3.52</v>
      </c>
      <c r="R288" s="15">
        <f t="shared" si="157"/>
        <v>6.48</v>
      </c>
      <c r="S288" s="1">
        <f>LOOKUP(R288,{0,3.75,3.95,4.55,4.75,4.95,5.55,5.6,5.65,5.7,5.75,5.8,5.85,5.9,5.95,6,6.45,6.53,6.6,6.65,6.7},{0,10,20,30,40,50,60,62,64,66,68,70,72,74,76,78,80,85,90,95,100})</f>
        <v>80</v>
      </c>
      <c r="T288" s="21"/>
      <c r="U288" s="21"/>
      <c r="V288" s="21">
        <f t="shared" si="158"/>
        <v>80</v>
      </c>
      <c r="W288" s="15"/>
      <c r="X288" s="21">
        <f t="shared" si="159"/>
        <v>45.8</v>
      </c>
      <c r="Y288" s="21">
        <f t="shared" si="165"/>
        <v>65.4285714285714</v>
      </c>
    </row>
    <row r="289" ht="15.6" hidden="1" outlineLevel="2" spans="1:25">
      <c r="A289" s="15">
        <v>110</v>
      </c>
      <c r="B289" s="15">
        <v>26</v>
      </c>
      <c r="C289" s="14" t="s">
        <v>487</v>
      </c>
      <c r="D289" s="14" t="s">
        <v>11</v>
      </c>
      <c r="E289" s="15">
        <v>18</v>
      </c>
      <c r="F289" s="1">
        <f>LOOKUP(E289,{0,-4,-3,-2,-1,0,1,2.4,3.8,5.2,6.6,8,9.4,10.8,12.2,13.6,15,17.2,19.4,21.5,23.6},{0,10,20,30,40,50,60,62,64,66,68,70,72,74,76,78,80,85,90,95,100})</f>
        <v>85</v>
      </c>
      <c r="G289" s="15">
        <v>263</v>
      </c>
      <c r="H289" s="1">
        <f>LOOKUP(G289,{0,170,175,180,185,190,195,199,203,207,211,215,219,223,227,231,235,243,250,255,260},{0,10,20,30,40,50,60,62,64,66,68,70,72,74,76,78,80,85,90,95,100})</f>
        <v>100</v>
      </c>
      <c r="I289" s="15">
        <v>10</v>
      </c>
      <c r="J289" s="1">
        <f>LOOKUP(I289,{0,2,3,4,5,6,7,8,9,10,11,12,13,14,15,16},{0,10,20,30,40,50,60,64,68,72,76,80,85,90,95,100})</f>
        <v>72</v>
      </c>
      <c r="K289" s="21"/>
      <c r="L289" s="21"/>
      <c r="M289" s="21">
        <f t="shared" si="155"/>
        <v>72</v>
      </c>
      <c r="N289" s="15">
        <v>7.2</v>
      </c>
      <c r="O289" s="19">
        <f t="shared" si="164"/>
        <v>5.8</v>
      </c>
      <c r="P289" s="1">
        <f>LOOKUP(O289,{0,2.5,2.7,2.9,3.1,3.3,3.5,3.7,3.9,4.1,4.3,4.5,4.7,4.9,5.1,5.3,5.5,5.6,5.7,5.8,5.9},{0,10,20,30,40,50,60,62,64,66,68,70,72,74,76,78,80,85,90,95,100})</f>
        <v>95</v>
      </c>
      <c r="Q289" s="15">
        <v>3.56</v>
      </c>
      <c r="R289" s="15">
        <f t="shared" si="157"/>
        <v>6.44</v>
      </c>
      <c r="S289" s="1">
        <f>LOOKUP(R289,{0,3.75,3.95,4.55,4.75,4.95,5.55,5.6,5.65,5.7,5.75,5.8,5.85,5.9,5.95,6,6.45,6.53,6.6,6.65,6.7},{0,10,20,30,40,50,60,62,64,66,68,70,72,74,76,78,80,85,90,95,100})</f>
        <v>78</v>
      </c>
      <c r="T289" s="21"/>
      <c r="U289" s="21"/>
      <c r="V289" s="21">
        <f t="shared" si="158"/>
        <v>78</v>
      </c>
      <c r="W289" s="15"/>
      <c r="X289" s="21">
        <f t="shared" si="159"/>
        <v>60.3</v>
      </c>
      <c r="Y289" s="21">
        <f t="shared" si="165"/>
        <v>86.1428571428572</v>
      </c>
    </row>
    <row r="290" ht="15.6" hidden="1" outlineLevel="2" spans="1:25">
      <c r="A290" s="15">
        <v>110</v>
      </c>
      <c r="B290" s="15">
        <v>27</v>
      </c>
      <c r="C290" s="14" t="s">
        <v>488</v>
      </c>
      <c r="D290" s="14" t="s">
        <v>11</v>
      </c>
      <c r="E290" s="15">
        <v>14.5</v>
      </c>
      <c r="F290" s="1">
        <f>LOOKUP(E290,{0,-4,-3,-2,-1,0,1,2.4,3.8,5.2,6.6,8,9.4,10.8,12.2,13.6,15,17.2,19.4,21.5,23.6},{0,10,20,30,40,50,60,62,64,66,68,70,72,74,76,78,80,85,90,95,100})</f>
        <v>78</v>
      </c>
      <c r="G290" s="15">
        <v>245</v>
      </c>
      <c r="H290" s="1">
        <f>LOOKUP(G290,{0,170,175,180,185,190,195,199,203,207,211,215,219,223,227,231,235,243,250,255,260},{0,10,20,30,40,50,60,62,64,66,68,70,72,74,76,78,80,85,90,95,100})</f>
        <v>85</v>
      </c>
      <c r="I290" s="15">
        <v>27</v>
      </c>
      <c r="J290" s="1">
        <f>LOOKUP(I290,{0,2,3,4,5,6,7,8,9,10,11,12,13,14,15,16},{0,10,20,30,40,50,60,64,68,72,76,80,85,90,95,100})</f>
        <v>100</v>
      </c>
      <c r="K290" s="21">
        <f>I290-16</f>
        <v>11</v>
      </c>
      <c r="L290" s="1">
        <f>LOOKUP(K290,{0,1,2,3,4,5,6,7,8,9,10},{0,1,2,3,4,5,6,7,8,9,10})</f>
        <v>10</v>
      </c>
      <c r="M290" s="21">
        <f t="shared" si="155"/>
        <v>110</v>
      </c>
      <c r="N290" s="15">
        <v>6.8</v>
      </c>
      <c r="O290" s="19">
        <f t="shared" si="164"/>
        <v>6.2</v>
      </c>
      <c r="P290" s="1">
        <f>LOOKUP(O290,{0,2.5,2.7,2.9,3.1,3.3,3.5,3.7,3.9,4.1,4.3,4.5,4.7,4.9,5.1,5.3,5.5,5.6,5.7,5.8,5.9},{0,10,20,30,40,50,60,62,64,66,68,70,72,74,76,78,80,85,90,95,100})</f>
        <v>100</v>
      </c>
      <c r="Q290" s="15">
        <v>3.28</v>
      </c>
      <c r="R290" s="15">
        <f t="shared" si="157"/>
        <v>6.72</v>
      </c>
      <c r="S290" s="1">
        <f>LOOKUP(R290,{0,3.75,3.95,4.55,4.75,4.95,5.55,5.6,5.65,5.7,5.75,5.8,5.85,5.9,5.95,6,6.45,6.53,6.6,6.65,6.7},{0,10,20,30,40,50,60,62,64,66,68,70,72,74,76,78,80,85,90,95,100})</f>
        <v>100</v>
      </c>
      <c r="T290" s="21">
        <f>3.3-Q290</f>
        <v>0.02</v>
      </c>
      <c r="U290" s="1">
        <f>LOOKUP(T290,{0,0.04,0.08,0.12,0.16,0.2,0.23,0.26,0.29,0.32,0.35},{0,1,2,3,4,5,6,7,8,9,10})</f>
        <v>0</v>
      </c>
      <c r="V290" s="21">
        <f t="shared" si="158"/>
        <v>100</v>
      </c>
      <c r="W290" s="15"/>
      <c r="X290" s="21">
        <f t="shared" si="159"/>
        <v>66.3</v>
      </c>
      <c r="Y290" s="21">
        <f t="shared" si="165"/>
        <v>104.714285714286</v>
      </c>
    </row>
    <row r="291" ht="15.6" hidden="1" outlineLevel="2" spans="1:25">
      <c r="A291" s="15">
        <v>110</v>
      </c>
      <c r="B291" s="15">
        <v>28</v>
      </c>
      <c r="C291" s="14" t="s">
        <v>489</v>
      </c>
      <c r="D291" s="14" t="s">
        <v>11</v>
      </c>
      <c r="E291" s="15">
        <v>23.5</v>
      </c>
      <c r="F291" s="1">
        <f>LOOKUP(E291,{0,-4,-3,-2,-1,0,1,2.4,3.8,5.2,6.6,8,9.4,10.8,12.2,13.6,15,17.2,19.4,21.5,23.6},{0,10,20,30,40,50,60,62,64,66,68,70,72,74,76,78,80,85,90,95,100})</f>
        <v>95</v>
      </c>
      <c r="G291" s="15">
        <v>235</v>
      </c>
      <c r="H291" s="1">
        <f>LOOKUP(G291,{0,170,175,180,185,190,195,199,203,207,211,215,219,223,227,231,235,243,250,255,260},{0,10,20,30,40,50,60,62,64,66,68,70,72,74,76,78,80,85,90,95,100})</f>
        <v>80</v>
      </c>
      <c r="I291" s="15">
        <v>12</v>
      </c>
      <c r="J291" s="1">
        <f>LOOKUP(I291,{0,2,3,4,5,6,7,8,9,10,11,12,13,14,15,16},{0,10,20,30,40,50,60,64,68,72,76,80,85,90,95,100})</f>
        <v>80</v>
      </c>
      <c r="K291" s="21"/>
      <c r="L291" s="21"/>
      <c r="M291" s="21">
        <f t="shared" si="155"/>
        <v>80</v>
      </c>
      <c r="N291" s="15">
        <v>7.9</v>
      </c>
      <c r="O291" s="19">
        <f t="shared" si="164"/>
        <v>5.1</v>
      </c>
      <c r="P291" s="1">
        <f>LOOKUP(O291,{0,2.5,2.7,2.9,3.1,3.3,3.5,3.7,3.9,4.1,4.3,4.5,4.7,4.9,5.1,5.3,5.5,5.6,5.7,5.8,5.9},{0,10,20,30,40,50,60,62,64,66,68,70,72,74,76,78,80,85,90,95,100})</f>
        <v>76</v>
      </c>
      <c r="Q291" s="15">
        <v>3.47</v>
      </c>
      <c r="R291" s="15">
        <f t="shared" si="157"/>
        <v>6.53</v>
      </c>
      <c r="S291" s="1">
        <f>LOOKUP(R291,{0,3.75,3.95,4.55,4.75,4.95,5.55,5.6,5.65,5.7,5.75,5.8,5.85,5.9,5.95,6,6.45,6.53,6.6,6.65,6.7},{0,10,20,30,40,50,60,62,64,66,68,70,72,74,76,78,80,85,90,95,100})</f>
        <v>85</v>
      </c>
      <c r="T291" s="21"/>
      <c r="U291" s="21"/>
      <c r="V291" s="21">
        <f t="shared" si="158"/>
        <v>85</v>
      </c>
      <c r="W291" s="15"/>
      <c r="X291" s="21">
        <f t="shared" si="159"/>
        <v>57.7</v>
      </c>
      <c r="Y291" s="21">
        <f t="shared" si="165"/>
        <v>82.4285714285714</v>
      </c>
    </row>
    <row r="292" ht="15.6" outlineLevel="1" collapsed="1" spans="1:25">
      <c r="A292" s="16" t="s">
        <v>851</v>
      </c>
      <c r="B292" s="15"/>
      <c r="C292" s="14"/>
      <c r="D292" s="14"/>
      <c r="E292" s="15"/>
      <c r="F292" s="1">
        <f>SUBTOTAL(1,F265:F291)</f>
        <v>77.6296296296296</v>
      </c>
      <c r="G292" s="15"/>
      <c r="H292" s="1">
        <f>SUBTOTAL(1,H265:H291)</f>
        <v>82.2592592592593</v>
      </c>
      <c r="I292" s="15"/>
      <c r="J292" s="1">
        <f>SUBTOTAL(1,J265:J291)</f>
        <v>55.8518518518519</v>
      </c>
      <c r="K292" s="21"/>
      <c r="L292" s="21"/>
      <c r="M292" s="21">
        <f>SUBTOTAL(1,M265:M291)</f>
        <v>58.1481481481481</v>
      </c>
      <c r="N292" s="15"/>
      <c r="O292" s="19"/>
      <c r="P292" s="1">
        <f>SUBTOTAL(1,P265:P291)</f>
        <v>89.0384615384615</v>
      </c>
      <c r="Q292" s="15"/>
      <c r="R292" s="15"/>
      <c r="S292" s="1">
        <f>SUBTOTAL(1,S265:S291)</f>
        <v>81.1481481481482</v>
      </c>
      <c r="T292" s="21"/>
      <c r="U292" s="21"/>
      <c r="V292" s="21">
        <f>SUBTOTAL(1,V265:V291)</f>
        <v>81.1851851851852</v>
      </c>
      <c r="W292" s="15"/>
      <c r="X292" s="21">
        <f>SUBTOTAL(1,X265:X291)</f>
        <v>54.9518518518519</v>
      </c>
      <c r="Y292" s="21">
        <f>SUBTOTAL(1,Y265:Y291)</f>
        <v>80.8571428571429</v>
      </c>
    </row>
    <row r="293" ht="15.6" hidden="1" outlineLevel="2" spans="1:25">
      <c r="A293" s="15">
        <v>111</v>
      </c>
      <c r="B293" s="15">
        <v>1</v>
      </c>
      <c r="C293" s="13" t="s">
        <v>515</v>
      </c>
      <c r="D293" s="14" t="s">
        <v>11</v>
      </c>
      <c r="E293" s="15"/>
      <c r="F293" s="1"/>
      <c r="G293" s="15"/>
      <c r="H293" s="1"/>
      <c r="I293" s="15"/>
      <c r="J293" s="1"/>
      <c r="K293" s="21"/>
      <c r="L293" s="21"/>
      <c r="M293" s="21"/>
      <c r="N293" s="15"/>
      <c r="O293" s="19"/>
      <c r="P293" s="1"/>
      <c r="Q293" s="15"/>
      <c r="R293" s="15"/>
      <c r="S293" s="1"/>
      <c r="T293" s="21"/>
      <c r="U293" s="1"/>
      <c r="V293" s="21"/>
      <c r="W293" s="15" t="s">
        <v>84</v>
      </c>
      <c r="X293" s="21">
        <f t="shared" ref="X293:X317" si="166">F293*0.1+H293*0.1+J293*0.1+P293*0.2+S293*0.2</f>
        <v>0</v>
      </c>
      <c r="Y293" s="21">
        <v>50</v>
      </c>
    </row>
    <row r="294" ht="15.6" hidden="1" outlineLevel="2" spans="1:25">
      <c r="A294" s="15">
        <v>111</v>
      </c>
      <c r="B294" s="15">
        <v>2</v>
      </c>
      <c r="C294" s="14" t="s">
        <v>516</v>
      </c>
      <c r="D294" s="14" t="s">
        <v>11</v>
      </c>
      <c r="E294" s="15">
        <v>1.5</v>
      </c>
      <c r="F294" s="1">
        <f>LOOKUP(E294,{0,-4,-3,-2,-1,0,1,2.4,3.8,5.2,6.6,8,9.4,10.8,12.2,13.6,15,17.2,19.4,21.5,23.6},{0,10,20,30,40,50,60,62,64,66,68,70,72,74,76,78,80,85,90,95,100})</f>
        <v>60</v>
      </c>
      <c r="G294" s="15">
        <v>205</v>
      </c>
      <c r="H294" s="1">
        <f>LOOKUP(G294,{0,170,175,180,185,190,195,199,203,207,211,215,219,223,227,231,235,243,250,255,260},{0,10,20,30,40,50,60,62,64,66,68,70,72,74,76,78,80,85,90,95,100})</f>
        <v>64</v>
      </c>
      <c r="I294" s="15">
        <v>0</v>
      </c>
      <c r="J294" s="1">
        <f>LOOKUP(I294,{0,2,3,4,5,6,7,8,9,10,11,12,13,14,15,16},{0,10,20,30,40,50,60,64,68,72,76,80,85,90,95,100})</f>
        <v>0</v>
      </c>
      <c r="K294" s="21"/>
      <c r="L294" s="21"/>
      <c r="M294" s="21">
        <f t="shared" ref="M294:M298" si="167">J294+L294</f>
        <v>0</v>
      </c>
      <c r="N294" s="15">
        <v>7.7</v>
      </c>
      <c r="O294" s="19">
        <f t="shared" ref="O294:O298" si="168">13-N294</f>
        <v>5.3</v>
      </c>
      <c r="P294" s="1">
        <f>LOOKUP(O294,{0,2.5,2.7,2.9,3.1,3.3,3.5,3.7,3.9,4.1,4.3,4.5,4.7,4.9,5.1,5.3,5.5,5.6,5.7,5.8,5.9},{0,10,20,30,40,50,60,62,64,66,68,70,72,74,76,78,80,85,90,95,100})</f>
        <v>78</v>
      </c>
      <c r="Q294" s="15">
        <v>4.34</v>
      </c>
      <c r="R294" s="15">
        <f t="shared" ref="R294:R298" si="169">10-Q294</f>
        <v>5.66</v>
      </c>
      <c r="S294" s="1">
        <f>LOOKUP(R294,{0,3.75,3.95,4.55,4.75,4.95,5.55,5.6,5.65,5.7,5.75,5.8,5.85,5.9,5.95,6,6.45,6.53,6.6,6.65,6.7},{0,10,20,30,40,50,60,62,64,66,68,70,72,74,76,78,80,85,90,95,100})</f>
        <v>64</v>
      </c>
      <c r="T294" s="21"/>
      <c r="U294" s="21"/>
      <c r="V294" s="21">
        <f t="shared" ref="V294:V298" si="170">S294+U294</f>
        <v>64</v>
      </c>
      <c r="W294" s="15"/>
      <c r="X294" s="21">
        <f t="shared" si="166"/>
        <v>40.8</v>
      </c>
      <c r="Y294" s="21">
        <f t="shared" ref="Y294:Y298" si="171">X294/0.7+L294+U294</f>
        <v>58.2857142857143</v>
      </c>
    </row>
    <row r="295" ht="15.6" hidden="1" outlineLevel="2" spans="1:25">
      <c r="A295" s="15">
        <v>111</v>
      </c>
      <c r="B295" s="15">
        <v>3</v>
      </c>
      <c r="C295" s="14" t="s">
        <v>517</v>
      </c>
      <c r="D295" s="14" t="s">
        <v>11</v>
      </c>
      <c r="E295" s="15">
        <v>8.5</v>
      </c>
      <c r="F295" s="1">
        <f>LOOKUP(E295,{0,-4,-3,-2,-1,0,1,2.4,3.8,5.2,6.6,8,9.4,10.8,12.2,13.6,15,17.2,19.4,21.5,23.6},{0,10,20,30,40,50,60,62,64,66,68,70,72,74,76,78,80,85,90,95,100})</f>
        <v>70</v>
      </c>
      <c r="G295" s="15">
        <v>230</v>
      </c>
      <c r="H295" s="1">
        <f>LOOKUP(G295,{0,170,175,180,185,190,195,199,203,207,211,215,219,223,227,231,235,243,250,255,260},{0,10,20,30,40,50,60,62,64,66,68,70,72,74,76,78,80,85,90,95,100})</f>
        <v>76</v>
      </c>
      <c r="I295" s="15">
        <v>7</v>
      </c>
      <c r="J295" s="1">
        <f>LOOKUP(I295,{0,2,3,4,5,6,7,8,9,10,11,12,13,14,15,16},{0,10,20,30,40,50,60,64,68,72,76,80,85,90,95,100})</f>
        <v>60</v>
      </c>
      <c r="K295" s="21"/>
      <c r="L295" s="21"/>
      <c r="M295" s="21">
        <f t="shared" si="167"/>
        <v>60</v>
      </c>
      <c r="N295" s="15">
        <v>7.5</v>
      </c>
      <c r="O295" s="19">
        <f t="shared" si="168"/>
        <v>5.5</v>
      </c>
      <c r="P295" s="1">
        <f>LOOKUP(O295,{0,2.5,2.7,2.9,3.1,3.3,3.5,3.7,3.9,4.1,4.3,4.5,4.7,4.9,5.1,5.3,5.5,5.6,5.7,5.8,5.9},{0,10,20,30,40,50,60,62,64,66,68,70,72,74,76,78,80,85,90,95,100})</f>
        <v>80</v>
      </c>
      <c r="Q295" s="15">
        <v>3.55</v>
      </c>
      <c r="R295" s="15">
        <f t="shared" si="169"/>
        <v>6.45</v>
      </c>
      <c r="S295" s="1">
        <f>LOOKUP(R295,{0,3.75,3.95,4.55,4.75,4.95,5.55,5.6,5.65,5.7,5.75,5.8,5.85,5.9,5.95,6,6.45,6.53,6.6,6.65,6.7},{0,10,20,30,40,50,60,62,64,66,68,70,72,74,76,78,80,85,90,95,100})</f>
        <v>80</v>
      </c>
      <c r="T295" s="21"/>
      <c r="U295" s="21"/>
      <c r="V295" s="21">
        <f t="shared" si="170"/>
        <v>80</v>
      </c>
      <c r="W295" s="15"/>
      <c r="X295" s="21">
        <f t="shared" si="166"/>
        <v>52.6</v>
      </c>
      <c r="Y295" s="21">
        <f t="shared" si="171"/>
        <v>75.1428571428572</v>
      </c>
    </row>
    <row r="296" ht="15.6" hidden="1" outlineLevel="2" spans="1:25">
      <c r="A296" s="15">
        <v>111</v>
      </c>
      <c r="B296" s="15">
        <v>4</v>
      </c>
      <c r="C296" s="14" t="s">
        <v>518</v>
      </c>
      <c r="D296" s="14" t="s">
        <v>11</v>
      </c>
      <c r="E296" s="15">
        <v>4.6</v>
      </c>
      <c r="F296" s="1">
        <f>LOOKUP(E296,{0,-4,-3,-2,-1,0,1,2.4,3.8,5.2,6.6,8,9.4,10.8,12.2,13.6,15,17.2,19.4,21.5,23.6},{0,10,20,30,40,50,60,62,64,66,68,70,72,74,76,78,80,85,90,95,100})</f>
        <v>64</v>
      </c>
      <c r="G296" s="15">
        <v>228</v>
      </c>
      <c r="H296" s="1">
        <f>LOOKUP(G296,{0,170,175,180,185,190,195,199,203,207,211,215,219,223,227,231,235,243,250,255,260},{0,10,20,30,40,50,60,62,64,66,68,70,72,74,76,78,80,85,90,95,100})</f>
        <v>76</v>
      </c>
      <c r="I296" s="15">
        <v>5</v>
      </c>
      <c r="J296" s="1">
        <f>LOOKUP(I296,{0,2,3,4,5,6,7,8,9,10,11,12,13,14,15,16},{0,10,20,30,40,50,60,64,68,72,76,80,85,90,95,100})</f>
        <v>40</v>
      </c>
      <c r="K296" s="21"/>
      <c r="L296" s="21"/>
      <c r="M296" s="21">
        <f t="shared" si="167"/>
        <v>40</v>
      </c>
      <c r="N296" s="15">
        <v>7.4</v>
      </c>
      <c r="O296" s="19">
        <f t="shared" si="168"/>
        <v>5.6</v>
      </c>
      <c r="P296" s="1">
        <f>LOOKUP(O296,{0,2.5,2.7,2.9,3.1,3.3,3.5,3.7,3.9,4.1,4.3,4.5,4.7,4.9,5.1,5.3,5.5,5.6,5.7,5.8,5.9},{0,10,20,30,40,50,60,62,64,66,68,70,72,74,76,78,80,85,90,95,100})</f>
        <v>85</v>
      </c>
      <c r="Q296" s="15">
        <v>4</v>
      </c>
      <c r="R296" s="15">
        <f t="shared" si="169"/>
        <v>6</v>
      </c>
      <c r="S296" s="1">
        <f>LOOKUP(R296,{0,3.75,3.95,4.55,4.75,4.95,5.55,5.6,5.65,5.7,5.75,5.8,5.85,5.9,5.95,6,6.45,6.53,6.6,6.65,6.7},{0,10,20,30,40,50,60,62,64,66,68,70,72,74,76,78,80,85,90,95,100})</f>
        <v>78</v>
      </c>
      <c r="T296" s="21"/>
      <c r="U296" s="21"/>
      <c r="V296" s="21">
        <f t="shared" si="170"/>
        <v>78</v>
      </c>
      <c r="W296" s="15"/>
      <c r="X296" s="21">
        <f t="shared" si="166"/>
        <v>50.6</v>
      </c>
      <c r="Y296" s="21">
        <f t="shared" si="171"/>
        <v>72.2857142857143</v>
      </c>
    </row>
    <row r="297" ht="15.6" hidden="1" outlineLevel="2" spans="1:25">
      <c r="A297" s="15">
        <v>111</v>
      </c>
      <c r="B297" s="15">
        <v>5</v>
      </c>
      <c r="C297" s="14" t="s">
        <v>519</v>
      </c>
      <c r="D297" s="14" t="s">
        <v>11</v>
      </c>
      <c r="E297" s="15">
        <v>8.7</v>
      </c>
      <c r="F297" s="1">
        <f>LOOKUP(E297,{0,-4,-3,-2,-1,0,1,2.4,3.8,5.2,6.6,8,9.4,10.8,12.2,13.6,15,17.2,19.4,21.5,23.6},{0,10,20,30,40,50,60,62,64,66,68,70,72,74,76,78,80,85,90,95,100})</f>
        <v>70</v>
      </c>
      <c r="G297" s="15">
        <v>250</v>
      </c>
      <c r="H297" s="1">
        <f>LOOKUP(G297,{0,170,175,180,185,190,195,199,203,207,211,215,219,223,227,231,235,243,250,255,260},{0,10,20,30,40,50,60,62,64,66,68,70,72,74,76,78,80,85,90,95,100})</f>
        <v>90</v>
      </c>
      <c r="I297" s="15">
        <v>11</v>
      </c>
      <c r="J297" s="1">
        <f>LOOKUP(I297,{0,2,3,4,5,6,7,8,9,10,11,12,13,14,15,16},{0,10,20,30,40,50,60,64,68,72,76,80,85,90,95,100})</f>
        <v>76</v>
      </c>
      <c r="K297" s="21"/>
      <c r="L297" s="21"/>
      <c r="M297" s="21">
        <f t="shared" si="167"/>
        <v>76</v>
      </c>
      <c r="N297" s="15">
        <v>7.2</v>
      </c>
      <c r="O297" s="19">
        <f t="shared" si="168"/>
        <v>5.8</v>
      </c>
      <c r="P297" s="1">
        <f>LOOKUP(O297,{0,2.5,2.7,2.9,3.1,3.3,3.5,3.7,3.9,4.1,4.3,4.5,4.7,4.9,5.1,5.3,5.5,5.6,5.7,5.8,5.9},{0,10,20,30,40,50,60,62,64,66,68,70,72,74,76,78,80,85,90,95,100})</f>
        <v>95</v>
      </c>
      <c r="Q297" s="15">
        <v>3.45</v>
      </c>
      <c r="R297" s="15">
        <f t="shared" si="169"/>
        <v>6.55</v>
      </c>
      <c r="S297" s="1">
        <f>LOOKUP(R297,{0,3.75,3.95,4.55,4.75,4.95,5.55,5.6,5.65,5.7,5.75,5.8,5.85,5.9,5.95,6,6.45,6.53,6.6,6.65,6.7},{0,10,20,30,40,50,60,62,64,66,68,70,72,74,76,78,80,85,90,95,100})</f>
        <v>85</v>
      </c>
      <c r="T297" s="21"/>
      <c r="U297" s="21"/>
      <c r="V297" s="21">
        <f t="shared" si="170"/>
        <v>85</v>
      </c>
      <c r="W297" s="15"/>
      <c r="X297" s="21">
        <f t="shared" si="166"/>
        <v>59.6</v>
      </c>
      <c r="Y297" s="21">
        <f t="shared" si="171"/>
        <v>85.1428571428572</v>
      </c>
    </row>
    <row r="298" ht="15.6" hidden="1" outlineLevel="2" spans="1:25">
      <c r="A298" s="15">
        <v>111</v>
      </c>
      <c r="B298" s="15">
        <v>6</v>
      </c>
      <c r="C298" s="14" t="s">
        <v>520</v>
      </c>
      <c r="D298" s="14" t="s">
        <v>11</v>
      </c>
      <c r="E298" s="15">
        <v>6.7</v>
      </c>
      <c r="F298" s="1">
        <f>LOOKUP(E298,{0,-4,-3,-2,-1,0,1,2.4,3.8,5.2,6.6,8,9.4,10.8,12.2,13.6,15,17.2,19.4,21.5,23.6},{0,10,20,30,40,50,60,62,64,66,68,70,72,74,76,78,80,85,90,95,100})</f>
        <v>68</v>
      </c>
      <c r="G298" s="15">
        <v>245</v>
      </c>
      <c r="H298" s="1">
        <f>LOOKUP(G298,{0,170,175,180,185,190,195,199,203,207,211,215,219,223,227,231,235,243,250,255,260},{0,10,20,30,40,50,60,62,64,66,68,70,72,74,76,78,80,85,90,95,100})</f>
        <v>85</v>
      </c>
      <c r="I298" s="15">
        <v>14</v>
      </c>
      <c r="J298" s="1">
        <f>LOOKUP(I298,{0,2,3,4,5,6,7,8,9,10,11,12,13,14,15,16},{0,10,20,30,40,50,60,64,68,72,76,80,85,90,95,100})</f>
        <v>90</v>
      </c>
      <c r="K298" s="21"/>
      <c r="L298" s="21"/>
      <c r="M298" s="21">
        <f t="shared" si="167"/>
        <v>90</v>
      </c>
      <c r="N298" s="15">
        <v>7.1</v>
      </c>
      <c r="O298" s="19">
        <f t="shared" si="168"/>
        <v>5.9</v>
      </c>
      <c r="P298" s="1">
        <f>LOOKUP(O298,{0,2.5,2.7,2.9,3.1,3.3,3.5,3.7,3.9,4.1,4.3,4.5,4.7,4.9,5.1,5.3,5.5,5.6,5.7,5.8,5.9},{0,10,20,30,40,50,60,62,64,66,68,70,72,74,76,78,80,85,90,95,100})</f>
        <v>100</v>
      </c>
      <c r="Q298" s="15">
        <v>3.4</v>
      </c>
      <c r="R298" s="15">
        <f t="shared" si="169"/>
        <v>6.6</v>
      </c>
      <c r="S298" s="1">
        <f>LOOKUP(R298,{0,3.75,3.95,4.55,4.75,4.95,5.55,5.6,5.65,5.7,5.75,5.8,5.85,5.9,5.95,6,6.45,6.53,6.6,6.65,6.7},{0,10,20,30,40,50,60,62,64,66,68,70,72,74,76,78,80,85,90,95,100})</f>
        <v>90</v>
      </c>
      <c r="T298" s="21"/>
      <c r="U298" s="21"/>
      <c r="V298" s="21">
        <f t="shared" si="170"/>
        <v>90</v>
      </c>
      <c r="W298" s="15"/>
      <c r="X298" s="21">
        <f t="shared" si="166"/>
        <v>62.3</v>
      </c>
      <c r="Y298" s="21">
        <f t="shared" si="171"/>
        <v>89</v>
      </c>
    </row>
    <row r="299" ht="15.6" hidden="1" outlineLevel="2" spans="1:25">
      <c r="A299" s="15">
        <v>111</v>
      </c>
      <c r="B299" s="15">
        <v>7</v>
      </c>
      <c r="C299" s="14" t="s">
        <v>521</v>
      </c>
      <c r="D299" s="14" t="s">
        <v>11</v>
      </c>
      <c r="E299" s="15"/>
      <c r="F299" s="1"/>
      <c r="G299" s="15"/>
      <c r="H299" s="1"/>
      <c r="I299" s="15"/>
      <c r="J299" s="1"/>
      <c r="K299" s="21"/>
      <c r="L299" s="21"/>
      <c r="M299" s="21"/>
      <c r="N299" s="15"/>
      <c r="O299" s="19"/>
      <c r="P299" s="1"/>
      <c r="Q299" s="15"/>
      <c r="R299" s="15"/>
      <c r="S299" s="1"/>
      <c r="T299" s="21"/>
      <c r="U299" s="1"/>
      <c r="V299" s="21"/>
      <c r="W299" s="15" t="s">
        <v>84</v>
      </c>
      <c r="X299" s="21">
        <f t="shared" si="166"/>
        <v>0</v>
      </c>
      <c r="Y299" s="21">
        <v>50</v>
      </c>
    </row>
    <row r="300" ht="15.6" hidden="1" outlineLevel="2" spans="1:25">
      <c r="A300" s="15">
        <v>111</v>
      </c>
      <c r="B300" s="15">
        <v>8</v>
      </c>
      <c r="C300" s="14" t="s">
        <v>522</v>
      </c>
      <c r="D300" s="14" t="s">
        <v>11</v>
      </c>
      <c r="E300" s="15">
        <v>16.5</v>
      </c>
      <c r="F300" s="1">
        <f>LOOKUP(E300,{0,-4,-3,-2,-1,0,1,2.4,3.8,5.2,6.6,8,9.4,10.8,12.2,13.6,15,17.2,19.4,21.5,23.6},{0,10,20,30,40,50,60,62,64,66,68,70,72,74,76,78,80,85,90,95,100})</f>
        <v>80</v>
      </c>
      <c r="G300" s="15"/>
      <c r="H300" s="1"/>
      <c r="I300" s="15">
        <v>20</v>
      </c>
      <c r="J300" s="1">
        <f>LOOKUP(I300,{0,2,3,4,5,6,7,8,9,10,11,12,13,14,15,16},{0,10,20,30,40,50,60,64,68,72,76,80,85,90,95,100})</f>
        <v>100</v>
      </c>
      <c r="K300" s="21">
        <f t="shared" ref="K300:K303" si="172">I300-16</f>
        <v>4</v>
      </c>
      <c r="L300" s="1">
        <f>LOOKUP(K300,{0,1,2,3,4,5,6,7,8,9,10},{0,1,2,3,4,5,6,7,8,9,10})</f>
        <v>4</v>
      </c>
      <c r="M300" s="21">
        <f t="shared" ref="M300:M317" si="173">J300+L300</f>
        <v>104</v>
      </c>
      <c r="N300" s="15"/>
      <c r="O300" s="19"/>
      <c r="P300" s="1"/>
      <c r="Q300" s="15"/>
      <c r="R300" s="15"/>
      <c r="S300" s="1"/>
      <c r="T300" s="21"/>
      <c r="U300" s="1"/>
      <c r="V300" s="21"/>
      <c r="W300" s="15" t="s">
        <v>84</v>
      </c>
      <c r="X300" s="21">
        <f t="shared" si="166"/>
        <v>18</v>
      </c>
      <c r="Y300" s="21">
        <v>50</v>
      </c>
    </row>
    <row r="301" s="3" customFormat="1" ht="15.6" hidden="1" outlineLevel="2" spans="1:25">
      <c r="A301" s="15">
        <v>111</v>
      </c>
      <c r="B301" s="15">
        <v>9</v>
      </c>
      <c r="C301" s="14" t="s">
        <v>523</v>
      </c>
      <c r="D301" s="14" t="s">
        <v>11</v>
      </c>
      <c r="E301" s="15">
        <v>3.8</v>
      </c>
      <c r="F301" s="1">
        <f>LOOKUP(E301,{0,-4,-3,-2,-1,0,1,2.4,3.8,5.2,6.6,8,9.4,10.8,12.2,13.6,15,17.2,19.4,21.5,23.6},{0,10,20,30,40,50,60,62,64,66,68,70,72,74,76,78,80,85,90,95,100})</f>
        <v>64</v>
      </c>
      <c r="G301" s="15">
        <v>223</v>
      </c>
      <c r="H301" s="1">
        <f>LOOKUP(G301,{0,170,175,180,185,190,195,199,203,207,211,215,219,223,227,231,235,243,250,255,260},{0,10,20,30,40,50,60,62,64,66,68,70,72,74,76,78,80,85,90,95,100})</f>
        <v>74</v>
      </c>
      <c r="I301" s="15">
        <v>7</v>
      </c>
      <c r="J301" s="1">
        <f>LOOKUP(I301,{0,2,3,4,5,6,7,8,9,10,11,12,13,14,15,16},{0,10,20,30,40,50,60,64,68,72,76,80,85,90,95,100})</f>
        <v>60</v>
      </c>
      <c r="K301" s="21"/>
      <c r="L301" s="21"/>
      <c r="M301" s="21">
        <f t="shared" si="173"/>
        <v>60</v>
      </c>
      <c r="N301" s="15">
        <v>7.7</v>
      </c>
      <c r="O301" s="19">
        <f t="shared" ref="O301:O317" si="174">13-N301</f>
        <v>5.3</v>
      </c>
      <c r="P301" s="1">
        <f>LOOKUP(O301,{0,2.5,2.7,2.9,3.1,3.3,3.5,3.7,3.9,4.1,4.3,4.5,4.7,4.9,5.1,5.3,5.5,5.6,5.7,5.8,5.9},{0,10,20,30,40,50,60,62,64,66,68,70,72,74,76,78,80,85,90,95,100})</f>
        <v>78</v>
      </c>
      <c r="Q301" s="15">
        <v>4.23</v>
      </c>
      <c r="R301" s="15">
        <f t="shared" ref="R301:R317" si="175">10-Q301</f>
        <v>5.77</v>
      </c>
      <c r="S301" s="1">
        <f>LOOKUP(R301,{0,3.75,3.95,4.55,4.75,4.95,5.55,5.6,5.65,5.7,5.75,5.8,5.85,5.9,5.95,6,6.45,6.53,6.6,6.65,6.7},{0,10,20,30,40,50,60,62,64,66,68,70,72,74,76,78,80,85,90,95,100})</f>
        <v>68</v>
      </c>
      <c r="T301" s="21"/>
      <c r="U301" s="21"/>
      <c r="V301" s="21">
        <f t="shared" ref="V301:V317" si="176">S301+U301</f>
        <v>68</v>
      </c>
      <c r="W301" s="15"/>
      <c r="X301" s="21">
        <f t="shared" si="166"/>
        <v>49</v>
      </c>
      <c r="Y301" s="21">
        <f t="shared" ref="Y301:Y317" si="177">X301/0.7+L301+U301</f>
        <v>70</v>
      </c>
    </row>
    <row r="302" ht="15.6" hidden="1" outlineLevel="2" spans="1:25">
      <c r="A302" s="15">
        <v>111</v>
      </c>
      <c r="B302" s="15">
        <v>10</v>
      </c>
      <c r="C302" s="14" t="s">
        <v>524</v>
      </c>
      <c r="D302" s="14" t="s">
        <v>11</v>
      </c>
      <c r="E302" s="15">
        <v>3</v>
      </c>
      <c r="F302" s="1">
        <f>LOOKUP(E302,{0,-4,-3,-2,-1,0,1,2.4,3.8,5.2,6.6,8,9.4,10.8,12.2,13.6,15,17.2,19.4,21.5,23.6},{0,10,20,30,40,50,60,62,64,66,68,70,72,74,76,78,80,85,90,95,100})</f>
        <v>62</v>
      </c>
      <c r="G302" s="15">
        <v>220</v>
      </c>
      <c r="H302" s="1">
        <f>LOOKUP(G302,{0,170,175,180,185,190,195,199,203,207,211,215,219,223,227,231,235,243,250,255,260},{0,10,20,30,40,50,60,62,64,66,68,70,72,74,76,78,80,85,90,95,100})</f>
        <v>72</v>
      </c>
      <c r="I302" s="15">
        <v>21</v>
      </c>
      <c r="J302" s="1">
        <f>LOOKUP(I302,{0,2,3,4,5,6,7,8,9,10,11,12,13,14,15,16},{0,10,20,30,40,50,60,64,68,72,76,80,85,90,95,100})</f>
        <v>100</v>
      </c>
      <c r="K302" s="21">
        <f t="shared" si="172"/>
        <v>5</v>
      </c>
      <c r="L302" s="1">
        <f>LOOKUP(K302,{0,1,2,3,4,5,6,7,8,9,10},{0,1,2,3,4,5,6,7,8,9,10})</f>
        <v>5</v>
      </c>
      <c r="M302" s="21">
        <f t="shared" si="173"/>
        <v>105</v>
      </c>
      <c r="N302" s="15">
        <v>7.6</v>
      </c>
      <c r="O302" s="19">
        <f t="shared" si="174"/>
        <v>5.4</v>
      </c>
      <c r="P302" s="1">
        <f>LOOKUP(O302,{0,2.5,2.7,2.9,3.1,3.3,3.5,3.7,3.9,4.1,4.3,4.5,4.7,4.9,5.1,5.3,5.5,5.6,5.7,5.8,5.9},{0,10,20,30,40,50,60,62,64,66,68,70,72,74,76,78,80,85,90,95,100})</f>
        <v>78</v>
      </c>
      <c r="Q302" s="15">
        <v>3.27</v>
      </c>
      <c r="R302" s="15">
        <f t="shared" si="175"/>
        <v>6.73</v>
      </c>
      <c r="S302" s="1">
        <f>LOOKUP(R302,{0,3.75,3.95,4.55,4.75,4.95,5.55,5.6,5.65,5.7,5.75,5.8,5.85,5.9,5.95,6,6.45,6.53,6.6,6.65,6.7},{0,10,20,30,40,50,60,62,64,66,68,70,72,74,76,78,80,85,90,95,100})</f>
        <v>100</v>
      </c>
      <c r="T302" s="21">
        <f>3.3-Q302</f>
        <v>0.0299999999999998</v>
      </c>
      <c r="U302" s="1">
        <f>LOOKUP(T302,{0,0.04,0.08,0.12,0.16,0.2,0.23,0.26,0.29,0.32,0.35},{0,1,2,3,4,5,6,7,8,9,10})</f>
        <v>0</v>
      </c>
      <c r="V302" s="21">
        <f t="shared" si="176"/>
        <v>100</v>
      </c>
      <c r="W302" s="15"/>
      <c r="X302" s="21">
        <f t="shared" si="166"/>
        <v>59</v>
      </c>
      <c r="Y302" s="21">
        <f t="shared" si="177"/>
        <v>89.2857142857143</v>
      </c>
    </row>
    <row r="303" ht="15.6" hidden="1" outlineLevel="2" spans="1:25">
      <c r="A303" s="15">
        <v>111</v>
      </c>
      <c r="B303" s="15">
        <v>11</v>
      </c>
      <c r="C303" s="14" t="s">
        <v>525</v>
      </c>
      <c r="D303" s="14" t="s">
        <v>11</v>
      </c>
      <c r="E303" s="15">
        <v>12</v>
      </c>
      <c r="F303" s="1">
        <f>LOOKUP(E303,{0,-4,-3,-2,-1,0,1,2.4,3.8,5.2,6.6,8,9.4,10.8,12.2,13.6,15,17.2,19.4,21.5,23.6},{0,10,20,30,40,50,60,62,64,66,68,70,72,74,76,78,80,85,90,95,100})</f>
        <v>74</v>
      </c>
      <c r="G303" s="15">
        <v>245</v>
      </c>
      <c r="H303" s="1">
        <f>LOOKUP(G303,{0,170,175,180,185,190,195,199,203,207,211,215,219,223,227,231,235,243,250,255,260},{0,10,20,30,40,50,60,62,64,66,68,70,72,74,76,78,80,85,90,95,100})</f>
        <v>85</v>
      </c>
      <c r="I303" s="15">
        <v>26</v>
      </c>
      <c r="J303" s="1">
        <f>LOOKUP(I303,{0,2,3,4,5,6,7,8,9,10,11,12,13,14,15,16},{0,10,20,30,40,50,60,64,68,72,76,80,85,90,95,100})</f>
        <v>100</v>
      </c>
      <c r="K303" s="21">
        <f t="shared" si="172"/>
        <v>10</v>
      </c>
      <c r="L303" s="1">
        <f>LOOKUP(K303,{0,1,2,3,4,5,6,7,8,9,10},{0,1,2,3,4,5,6,7,8,9,10})</f>
        <v>10</v>
      </c>
      <c r="M303" s="21">
        <f t="shared" si="173"/>
        <v>110</v>
      </c>
      <c r="N303" s="15">
        <v>7.2</v>
      </c>
      <c r="O303" s="19">
        <f t="shared" si="174"/>
        <v>5.8</v>
      </c>
      <c r="P303" s="1">
        <f>LOOKUP(O303,{0,2.5,2.7,2.9,3.1,3.3,3.5,3.7,3.9,4.1,4.3,4.5,4.7,4.9,5.1,5.3,5.5,5.6,5.7,5.8,5.9},{0,10,20,30,40,50,60,62,64,66,68,70,72,74,76,78,80,85,90,95,100})</f>
        <v>95</v>
      </c>
      <c r="Q303" s="15">
        <v>3.54</v>
      </c>
      <c r="R303" s="15">
        <f t="shared" si="175"/>
        <v>6.46</v>
      </c>
      <c r="S303" s="1">
        <f>LOOKUP(R303,{0,3.75,3.95,4.55,4.75,4.95,5.55,5.6,5.65,5.7,5.75,5.8,5.85,5.9,5.95,6,6.45,6.53,6.6,6.65,6.7},{0,10,20,30,40,50,60,62,64,66,68,70,72,74,76,78,80,85,90,95,100})</f>
        <v>80</v>
      </c>
      <c r="T303" s="21"/>
      <c r="U303" s="21"/>
      <c r="V303" s="21">
        <f t="shared" si="176"/>
        <v>80</v>
      </c>
      <c r="W303" s="15"/>
      <c r="X303" s="21">
        <f t="shared" si="166"/>
        <v>60.9</v>
      </c>
      <c r="Y303" s="21">
        <f t="shared" si="177"/>
        <v>97</v>
      </c>
    </row>
    <row r="304" ht="15.6" hidden="1" outlineLevel="2" spans="1:25">
      <c r="A304" s="15">
        <v>111</v>
      </c>
      <c r="B304" s="15">
        <v>12</v>
      </c>
      <c r="C304" s="14" t="s">
        <v>526</v>
      </c>
      <c r="D304" s="14" t="s">
        <v>11</v>
      </c>
      <c r="E304" s="15">
        <v>21.5</v>
      </c>
      <c r="F304" s="1">
        <f>LOOKUP(E304,{0,-4,-3,-2,-1,0,1,2.4,3.8,5.2,6.6,8,9.4,10.8,12.2,13.6,15,17.2,19.4,21.5,23.6},{0,10,20,30,40,50,60,62,64,66,68,70,72,74,76,78,80,85,90,95,100})</f>
        <v>95</v>
      </c>
      <c r="G304" s="15">
        <v>228</v>
      </c>
      <c r="H304" s="1">
        <f>LOOKUP(G304,{0,170,175,180,185,190,195,199,203,207,211,215,219,223,227,231,235,243,250,255,260},{0,10,20,30,40,50,60,62,64,66,68,70,72,74,76,78,80,85,90,95,100})</f>
        <v>76</v>
      </c>
      <c r="I304" s="15">
        <v>3</v>
      </c>
      <c r="J304" s="1">
        <f>LOOKUP(I304,{0,2,3,4,5,6,7,8,9,10,11,12,13,14,15,16},{0,10,20,30,40,50,60,64,68,72,76,80,85,90,95,100})</f>
        <v>20</v>
      </c>
      <c r="K304" s="21"/>
      <c r="L304" s="21"/>
      <c r="M304" s="21">
        <f t="shared" si="173"/>
        <v>20</v>
      </c>
      <c r="N304" s="15">
        <v>7.1</v>
      </c>
      <c r="O304" s="19">
        <f t="shared" si="174"/>
        <v>5.9</v>
      </c>
      <c r="P304" s="1">
        <f>LOOKUP(O304,{0,2.5,2.7,2.9,3.1,3.3,3.5,3.7,3.9,4.1,4.3,4.5,4.7,4.9,5.1,5.3,5.5,5.6,5.7,5.8,5.9},{0,10,20,30,40,50,60,62,64,66,68,70,72,74,76,78,80,85,90,95,100})</f>
        <v>100</v>
      </c>
      <c r="Q304" s="15">
        <v>4.11</v>
      </c>
      <c r="R304" s="15">
        <f t="shared" si="175"/>
        <v>5.89</v>
      </c>
      <c r="S304" s="1">
        <f>LOOKUP(R304,{0,3.75,3.95,4.55,4.75,4.95,5.55,5.6,5.65,5.7,5.75,5.8,5.85,5.9,5.95,6,6.45,6.53,6.6,6.65,6.7},{0,10,20,30,40,50,60,62,64,66,68,70,72,74,76,78,80,85,90,95,100})</f>
        <v>72</v>
      </c>
      <c r="T304" s="21"/>
      <c r="U304" s="21"/>
      <c r="V304" s="21">
        <f t="shared" si="176"/>
        <v>72</v>
      </c>
      <c r="W304" s="15"/>
      <c r="X304" s="21">
        <f t="shared" si="166"/>
        <v>53.5</v>
      </c>
      <c r="Y304" s="21">
        <f t="shared" si="177"/>
        <v>76.4285714285714</v>
      </c>
    </row>
    <row r="305" ht="15.6" hidden="1" outlineLevel="2" spans="1:25">
      <c r="A305" s="15">
        <v>111</v>
      </c>
      <c r="B305" s="15">
        <v>13</v>
      </c>
      <c r="C305" s="14" t="s">
        <v>527</v>
      </c>
      <c r="D305" s="14" t="s">
        <v>11</v>
      </c>
      <c r="E305" s="15">
        <v>9.2</v>
      </c>
      <c r="F305" s="1">
        <f>LOOKUP(E305,{0,-4,-3,-2,-1,0,1,2.4,3.8,5.2,6.6,8,9.4,10.8,12.2,13.6,15,17.2,19.4,21.5,23.6},{0,10,20,30,40,50,60,62,64,66,68,70,72,74,76,78,80,85,90,95,100})</f>
        <v>70</v>
      </c>
      <c r="G305" s="15">
        <v>218</v>
      </c>
      <c r="H305" s="1">
        <f>LOOKUP(G305,{0,170,175,180,185,190,195,199,203,207,211,215,219,223,227,231,235,243,250,255,260},{0,10,20,30,40,50,60,62,64,66,68,70,72,74,76,78,80,85,90,95,100})</f>
        <v>70</v>
      </c>
      <c r="I305" s="15">
        <v>13</v>
      </c>
      <c r="J305" s="1">
        <f>LOOKUP(I305,{0,2,3,4,5,6,7,8,9,10,11,12,13,14,15,16},{0,10,20,30,40,50,60,64,68,72,76,80,85,90,95,100})</f>
        <v>85</v>
      </c>
      <c r="K305" s="21"/>
      <c r="L305" s="21"/>
      <c r="M305" s="21">
        <f t="shared" si="173"/>
        <v>85</v>
      </c>
      <c r="N305" s="15">
        <v>7.8</v>
      </c>
      <c r="O305" s="19">
        <f t="shared" si="174"/>
        <v>5.2</v>
      </c>
      <c r="P305" s="1">
        <f>LOOKUP(O305,{0,2.5,2.7,2.9,3.1,3.3,3.5,3.7,3.9,4.1,4.3,4.5,4.7,4.9,5.1,5.3,5.5,5.6,5.7,5.8,5.9},{0,10,20,30,40,50,60,62,64,66,68,70,72,74,76,78,80,85,90,95,100})</f>
        <v>76</v>
      </c>
      <c r="Q305" s="15">
        <v>3.52</v>
      </c>
      <c r="R305" s="15">
        <f t="shared" si="175"/>
        <v>6.48</v>
      </c>
      <c r="S305" s="1">
        <f>LOOKUP(R305,{0,3.75,3.95,4.55,4.75,4.95,5.55,5.6,5.65,5.7,5.75,5.8,5.85,5.9,5.95,6,6.45,6.53,6.6,6.65,6.7},{0,10,20,30,40,50,60,62,64,66,68,70,72,74,76,78,80,85,90,95,100})</f>
        <v>80</v>
      </c>
      <c r="T305" s="21"/>
      <c r="U305" s="21"/>
      <c r="V305" s="21">
        <f t="shared" si="176"/>
        <v>80</v>
      </c>
      <c r="W305" s="15"/>
      <c r="X305" s="21">
        <f t="shared" si="166"/>
        <v>53.7</v>
      </c>
      <c r="Y305" s="21">
        <f t="shared" si="177"/>
        <v>76.7142857142857</v>
      </c>
    </row>
    <row r="306" ht="15.6" hidden="1" outlineLevel="2" spans="1:25">
      <c r="A306" s="15">
        <v>111</v>
      </c>
      <c r="B306" s="15">
        <v>14</v>
      </c>
      <c r="C306" s="13" t="s">
        <v>529</v>
      </c>
      <c r="D306" s="14" t="s">
        <v>11</v>
      </c>
      <c r="E306" s="15">
        <v>11.3</v>
      </c>
      <c r="F306" s="1">
        <f>LOOKUP(E306,{0,-4,-3,-2,-1,0,1,2.4,3.8,5.2,6.6,8,9.4,10.8,12.2,13.6,15,17.2,19.4,21.5,23.6},{0,10,20,30,40,50,60,62,64,66,68,70,72,74,76,78,80,85,90,95,100})</f>
        <v>74</v>
      </c>
      <c r="G306" s="15">
        <v>262</v>
      </c>
      <c r="H306" s="1">
        <f>LOOKUP(G306,{0,170,175,180,185,190,195,199,203,207,211,215,219,223,227,231,235,243,250,255,260},{0,10,20,30,40,50,60,62,64,66,68,70,72,74,76,78,80,85,90,95,100})</f>
        <v>100</v>
      </c>
      <c r="I306" s="15">
        <v>20</v>
      </c>
      <c r="J306" s="1">
        <f>LOOKUP(I306,{0,2,3,4,5,6,7,8,9,10,11,12,13,14,15,16},{0,10,20,30,40,50,60,64,68,72,76,80,85,90,95,100})</f>
        <v>100</v>
      </c>
      <c r="K306" s="21">
        <f>I306-16</f>
        <v>4</v>
      </c>
      <c r="L306" s="1">
        <f>LOOKUP(K306,{0,1,2,3,4,5,6,7,8,9,10},{0,1,2,3,4,5,6,7,8,9,10})</f>
        <v>4</v>
      </c>
      <c r="M306" s="21">
        <f t="shared" si="173"/>
        <v>104</v>
      </c>
      <c r="N306" s="15">
        <v>6.5</v>
      </c>
      <c r="O306" s="19">
        <f t="shared" si="174"/>
        <v>6.5</v>
      </c>
      <c r="P306" s="1">
        <f>LOOKUP(O306,{0,2.5,2.7,2.9,3.1,3.3,3.5,3.7,3.9,4.1,4.3,4.5,4.7,4.9,5.1,5.3,5.5,5.6,5.7,5.8,5.9},{0,10,20,30,40,50,60,62,64,66,68,70,72,74,76,78,80,85,90,95,100})</f>
        <v>100</v>
      </c>
      <c r="Q306" s="15">
        <v>3.17</v>
      </c>
      <c r="R306" s="15">
        <f t="shared" si="175"/>
        <v>6.83</v>
      </c>
      <c r="S306" s="1">
        <f>LOOKUP(R306,{0,3.75,3.95,4.55,4.75,4.95,5.55,5.6,5.65,5.7,5.75,5.8,5.85,5.9,5.95,6,6.45,6.53,6.6,6.65,6.7},{0,10,20,30,40,50,60,62,64,66,68,70,72,74,76,78,80,85,90,95,100})</f>
        <v>100</v>
      </c>
      <c r="T306" s="21">
        <f t="shared" ref="T306:T311" si="178">3.3-Q306</f>
        <v>0.13</v>
      </c>
      <c r="U306" s="1">
        <f>LOOKUP(T306,{0,0.04,0.08,0.12,0.16,0.2,0.23,0.26,0.29,0.32,0.35},{0,1,2,3,4,5,6,7,8,9,10})</f>
        <v>3</v>
      </c>
      <c r="V306" s="21">
        <f t="shared" si="176"/>
        <v>103</v>
      </c>
      <c r="W306" s="15"/>
      <c r="X306" s="21">
        <f t="shared" si="166"/>
        <v>67.4</v>
      </c>
      <c r="Y306" s="21">
        <f t="shared" si="177"/>
        <v>103.285714285714</v>
      </c>
    </row>
    <row r="307" ht="15.6" hidden="1" outlineLevel="2" spans="1:25">
      <c r="A307" s="15">
        <v>111</v>
      </c>
      <c r="B307" s="15">
        <v>15</v>
      </c>
      <c r="C307" s="14" t="s">
        <v>530</v>
      </c>
      <c r="D307" s="14" t="s">
        <v>11</v>
      </c>
      <c r="E307" s="15">
        <v>1</v>
      </c>
      <c r="F307" s="1">
        <f>LOOKUP(E307,{0,-4,-3,-2,-1,0,1,2.4,3.8,5.2,6.6,8,9.4,10.8,12.2,13.6,15,17.2,19.4,21.5,23.6},{0,10,20,30,40,50,60,62,64,66,68,70,72,74,76,78,80,85,90,95,100})</f>
        <v>60</v>
      </c>
      <c r="G307" s="15">
        <v>210</v>
      </c>
      <c r="H307" s="1">
        <f>LOOKUP(G307,{0,170,175,180,185,190,195,199,203,207,211,215,219,223,227,231,235,243,250,255,260},{0,10,20,30,40,50,60,62,64,66,68,70,72,74,76,78,80,85,90,95,100})</f>
        <v>66</v>
      </c>
      <c r="I307" s="15">
        <v>0</v>
      </c>
      <c r="J307" s="1">
        <f>LOOKUP(I307,{0,2,3,4,5,6,7,8,9,10,11,12,13,14,15,16},{0,10,20,30,40,50,60,64,68,72,76,80,85,90,95,100})</f>
        <v>0</v>
      </c>
      <c r="K307" s="21"/>
      <c r="L307" s="21"/>
      <c r="M307" s="21">
        <f t="shared" si="173"/>
        <v>0</v>
      </c>
      <c r="N307" s="15">
        <v>7.3</v>
      </c>
      <c r="O307" s="19">
        <f t="shared" si="174"/>
        <v>5.7</v>
      </c>
      <c r="P307" s="1">
        <f>LOOKUP(O307,{0,2.5,2.7,2.9,3.1,3.3,3.5,3.7,3.9,4.1,4.3,4.5,4.7,4.9,5.1,5.3,5.5,5.6,5.7,5.8,5.9},{0,10,20,30,40,50,60,62,64,66,68,70,72,74,76,78,80,85,90,95,100})</f>
        <v>90</v>
      </c>
      <c r="Q307" s="15">
        <v>3.55</v>
      </c>
      <c r="R307" s="15">
        <f t="shared" si="175"/>
        <v>6.45</v>
      </c>
      <c r="S307" s="1">
        <f>LOOKUP(R307,{0,3.75,3.95,4.55,4.75,4.95,5.55,5.6,5.65,5.7,5.75,5.8,5.85,5.9,5.95,6,6.45,6.53,6.6,6.65,6.7},{0,10,20,30,40,50,60,62,64,66,68,70,72,74,76,78,80,85,90,95,100})</f>
        <v>80</v>
      </c>
      <c r="T307" s="21"/>
      <c r="U307" s="21"/>
      <c r="V307" s="21">
        <f t="shared" si="176"/>
        <v>80</v>
      </c>
      <c r="W307" s="15"/>
      <c r="X307" s="21">
        <f t="shared" si="166"/>
        <v>46.6</v>
      </c>
      <c r="Y307" s="21">
        <f t="shared" si="177"/>
        <v>66.5714285714286</v>
      </c>
    </row>
    <row r="308" ht="15.6" hidden="1" outlineLevel="2" spans="1:25">
      <c r="A308" s="15">
        <v>111</v>
      </c>
      <c r="B308" s="15">
        <v>16</v>
      </c>
      <c r="C308" s="14" t="s">
        <v>531</v>
      </c>
      <c r="D308" s="14" t="s">
        <v>11</v>
      </c>
      <c r="E308" s="15">
        <v>0.2</v>
      </c>
      <c r="F308" s="1">
        <f>LOOKUP(E308,{0,-4,-3,-2,-1,0,1,2.4,3.8,5.2,6.6,8,9.4,10.8,12.2,13.6,15,17.2,19.4,21.5,23.6},{0,10,20,30,40,50,60,62,64,66,68,70,72,74,76,78,80,85,90,95,100})</f>
        <v>50</v>
      </c>
      <c r="G308" s="15">
        <v>255</v>
      </c>
      <c r="H308" s="1">
        <f>LOOKUP(G308,{0,170,175,180,185,190,195,199,203,207,211,215,219,223,227,231,235,243,250,255,260},{0,10,20,30,40,50,60,62,64,66,68,70,72,74,76,78,80,85,90,95,100})</f>
        <v>95</v>
      </c>
      <c r="I308" s="15">
        <v>1</v>
      </c>
      <c r="J308" s="1">
        <f>LOOKUP(I308,{0,2,3,4,5,6,7,8,9,10,11,12,13,14,15,16},{0,10,20,30,40,50,60,64,68,72,76,80,85,90,95,100})</f>
        <v>0</v>
      </c>
      <c r="K308" s="21"/>
      <c r="L308" s="21"/>
      <c r="M308" s="21">
        <f t="shared" si="173"/>
        <v>0</v>
      </c>
      <c r="N308" s="15">
        <v>6.9</v>
      </c>
      <c r="O308" s="19">
        <f t="shared" si="174"/>
        <v>6.1</v>
      </c>
      <c r="P308" s="1">
        <f>LOOKUP(O308,{0,2.5,2.7,2.9,3.1,3.3,3.5,3.7,3.9,4.1,4.3,4.5,4.7,4.9,5.1,5.3,5.5,5.6,5.7,5.8,5.9},{0,10,20,30,40,50,60,62,64,66,68,70,72,74,76,78,80,85,90,95,100})</f>
        <v>100</v>
      </c>
      <c r="Q308" s="15">
        <v>3.4</v>
      </c>
      <c r="R308" s="15">
        <f t="shared" si="175"/>
        <v>6.6</v>
      </c>
      <c r="S308" s="1">
        <f>LOOKUP(R308,{0,3.75,3.95,4.55,4.75,4.95,5.55,5.6,5.65,5.7,5.75,5.8,5.85,5.9,5.95,6,6.45,6.53,6.6,6.65,6.7},{0,10,20,30,40,50,60,62,64,66,68,70,72,74,76,78,80,85,90,95,100})</f>
        <v>90</v>
      </c>
      <c r="T308" s="21"/>
      <c r="U308" s="21"/>
      <c r="V308" s="21">
        <f t="shared" si="176"/>
        <v>90</v>
      </c>
      <c r="W308" s="15"/>
      <c r="X308" s="21">
        <f t="shared" si="166"/>
        <v>52.5</v>
      </c>
      <c r="Y308" s="21">
        <f t="shared" si="177"/>
        <v>75</v>
      </c>
    </row>
    <row r="309" ht="15.6" hidden="1" outlineLevel="2" spans="1:25">
      <c r="A309" s="15">
        <v>111</v>
      </c>
      <c r="B309" s="15">
        <v>17</v>
      </c>
      <c r="C309" s="14" t="s">
        <v>532</v>
      </c>
      <c r="D309" s="14" t="s">
        <v>11</v>
      </c>
      <c r="E309" s="15">
        <v>2.2</v>
      </c>
      <c r="F309" s="1">
        <f>LOOKUP(E309,{0,-4,-3,-2,-1,0,1,2.4,3.8,5.2,6.6,8,9.4,10.8,12.2,13.6,15,17.2,19.4,21.5,23.6},{0,10,20,30,40,50,60,62,64,66,68,70,72,74,76,78,80,85,90,95,100})</f>
        <v>60</v>
      </c>
      <c r="G309" s="15">
        <v>210</v>
      </c>
      <c r="H309" s="1">
        <f>LOOKUP(G309,{0,170,175,180,185,190,195,199,203,207,211,215,219,223,227,231,235,243,250,255,260},{0,10,20,30,40,50,60,62,64,66,68,70,72,74,76,78,80,85,90,95,100})</f>
        <v>66</v>
      </c>
      <c r="I309" s="15">
        <v>6</v>
      </c>
      <c r="J309" s="1">
        <f>LOOKUP(I309,{0,2,3,4,5,6,7,8,9,10,11,12,13,14,15,16},{0,10,20,30,40,50,60,64,68,72,76,80,85,90,95,100})</f>
        <v>50</v>
      </c>
      <c r="K309" s="21"/>
      <c r="L309" s="21"/>
      <c r="M309" s="21">
        <f t="shared" si="173"/>
        <v>50</v>
      </c>
      <c r="N309" s="15">
        <v>7.3</v>
      </c>
      <c r="O309" s="19">
        <f t="shared" si="174"/>
        <v>5.7</v>
      </c>
      <c r="P309" s="1">
        <f>LOOKUP(O309,{0,2.5,2.7,2.9,3.1,3.3,3.5,3.7,3.9,4.1,4.3,4.5,4.7,4.9,5.1,5.3,5.5,5.6,5.7,5.8,5.9},{0,10,20,30,40,50,60,62,64,66,68,70,72,74,76,78,80,85,90,95,100})</f>
        <v>90</v>
      </c>
      <c r="Q309" s="15">
        <v>3.29</v>
      </c>
      <c r="R309" s="15">
        <f t="shared" si="175"/>
        <v>6.71</v>
      </c>
      <c r="S309" s="1">
        <f>LOOKUP(R309,{0,3.75,3.95,4.55,4.75,4.95,5.55,5.6,5.65,5.7,5.75,5.8,5.85,5.9,5.95,6,6.45,6.53,6.6,6.65,6.7},{0,10,20,30,40,50,60,62,64,66,68,70,72,74,76,78,80,85,90,95,100})</f>
        <v>100</v>
      </c>
      <c r="T309" s="21">
        <f t="shared" si="178"/>
        <v>0.00999999999999979</v>
      </c>
      <c r="U309" s="1">
        <f>LOOKUP(T309,{0,0.04,0.08,0.12,0.16,0.2,0.23,0.26,0.29,0.32,0.35},{0,1,2,3,4,5,6,7,8,9,10})</f>
        <v>0</v>
      </c>
      <c r="V309" s="21">
        <f t="shared" si="176"/>
        <v>100</v>
      </c>
      <c r="W309" s="15"/>
      <c r="X309" s="21">
        <f t="shared" si="166"/>
        <v>55.6</v>
      </c>
      <c r="Y309" s="21">
        <f t="shared" si="177"/>
        <v>79.4285714285714</v>
      </c>
    </row>
    <row r="310" ht="15.6" hidden="1" outlineLevel="2" spans="1:25">
      <c r="A310" s="15">
        <v>111</v>
      </c>
      <c r="B310" s="15">
        <v>18</v>
      </c>
      <c r="C310" s="14" t="s">
        <v>533</v>
      </c>
      <c r="D310" s="14" t="s">
        <v>11</v>
      </c>
      <c r="E310" s="15">
        <v>13.7</v>
      </c>
      <c r="F310" s="1">
        <f>LOOKUP(E310,{0,-4,-3,-2,-1,0,1,2.4,3.8,5.2,6.6,8,9.4,10.8,12.2,13.6,15,17.2,19.4,21.5,23.6},{0,10,20,30,40,50,60,62,64,66,68,70,72,74,76,78,80,85,90,95,100})</f>
        <v>78</v>
      </c>
      <c r="G310" s="15">
        <v>150</v>
      </c>
      <c r="H310" s="1">
        <f>LOOKUP(G310,{0,170,175,180,185,190,195,199,203,207,211,215,219,223,227,231,235,243,250,255,260},{0,10,20,30,40,50,60,62,64,66,68,70,72,74,76,78,80,85,90,95,100})</f>
        <v>0</v>
      </c>
      <c r="I310" s="15">
        <v>0</v>
      </c>
      <c r="J310" s="1">
        <f>LOOKUP(I310,{0,2,3,4,5,6,7,8,9,10,11,12,13,14,15,16},{0,10,20,30,40,50,60,64,68,72,76,80,85,90,95,100})</f>
        <v>0</v>
      </c>
      <c r="K310" s="21"/>
      <c r="L310" s="21"/>
      <c r="M310" s="21">
        <f t="shared" si="173"/>
        <v>0</v>
      </c>
      <c r="N310" s="15">
        <v>7.7</v>
      </c>
      <c r="O310" s="19">
        <f t="shared" si="174"/>
        <v>5.3</v>
      </c>
      <c r="P310" s="1">
        <f>LOOKUP(O310,{0,2.5,2.7,2.9,3.1,3.3,3.5,3.7,3.9,4.1,4.3,4.5,4.7,4.9,5.1,5.3,5.5,5.6,5.7,5.8,5.9},{0,10,20,30,40,50,60,62,64,66,68,70,72,74,76,78,80,85,90,95,100})</f>
        <v>78</v>
      </c>
      <c r="Q310" s="15">
        <v>3.5</v>
      </c>
      <c r="R310" s="15">
        <f t="shared" si="175"/>
        <v>6.5</v>
      </c>
      <c r="S310" s="1">
        <f>LOOKUP(R310,{0,3.75,3.95,4.55,4.75,4.95,5.55,5.6,5.65,5.7,5.75,5.8,5.85,5.9,5.95,6,6.45,6.53,6.6,6.65,6.7},{0,10,20,30,40,50,60,62,64,66,68,70,72,74,76,78,80,85,90,95,100})</f>
        <v>80</v>
      </c>
      <c r="T310" s="21"/>
      <c r="U310" s="21"/>
      <c r="V310" s="21">
        <f t="shared" si="176"/>
        <v>80</v>
      </c>
      <c r="W310" s="15"/>
      <c r="X310" s="21">
        <f t="shared" si="166"/>
        <v>39.4</v>
      </c>
      <c r="Y310" s="21">
        <f t="shared" si="177"/>
        <v>56.2857142857143</v>
      </c>
    </row>
    <row r="311" ht="15.6" hidden="1" outlineLevel="2" spans="1:25">
      <c r="A311" s="15">
        <v>111</v>
      </c>
      <c r="B311" s="15">
        <v>19</v>
      </c>
      <c r="C311" s="14" t="s">
        <v>534</v>
      </c>
      <c r="D311" s="14" t="s">
        <v>11</v>
      </c>
      <c r="E311" s="15">
        <v>26</v>
      </c>
      <c r="F311" s="1">
        <f>LOOKUP(E311,{0,-4,-3,-2,-1,0,1,2.4,3.8,5.2,6.6,8,9.4,10.8,12.2,13.6,15,17.2,19.4,21.5,23.6},{0,10,20,30,40,50,60,62,64,66,68,70,72,74,76,78,80,85,90,95,100})</f>
        <v>100</v>
      </c>
      <c r="G311" s="15">
        <v>216</v>
      </c>
      <c r="H311" s="1">
        <f>LOOKUP(G311,{0,170,175,180,185,190,195,199,203,207,211,215,219,223,227,231,235,243,250,255,260},{0,10,20,30,40,50,60,62,64,66,68,70,72,74,76,78,80,85,90,95,100})</f>
        <v>70</v>
      </c>
      <c r="I311" s="15">
        <v>14</v>
      </c>
      <c r="J311" s="1">
        <f>LOOKUP(I311,{0,2,3,4,5,6,7,8,9,10,11,12,13,14,15,16},{0,10,20,30,40,50,60,64,68,72,76,80,85,90,95,100})</f>
        <v>90</v>
      </c>
      <c r="K311" s="21"/>
      <c r="L311" s="21"/>
      <c r="M311" s="21">
        <f t="shared" si="173"/>
        <v>90</v>
      </c>
      <c r="N311" s="15">
        <v>6.5</v>
      </c>
      <c r="O311" s="19">
        <f t="shared" si="174"/>
        <v>6.5</v>
      </c>
      <c r="P311" s="1">
        <f>LOOKUP(O311,{0,2.5,2.7,2.9,3.1,3.3,3.5,3.7,3.9,4.1,4.3,4.5,4.7,4.9,5.1,5.3,5.5,5.6,5.7,5.8,5.9},{0,10,20,30,40,50,60,62,64,66,68,70,72,74,76,78,80,85,90,95,100})</f>
        <v>100</v>
      </c>
      <c r="Q311" s="15">
        <v>3.27</v>
      </c>
      <c r="R311" s="15">
        <f t="shared" si="175"/>
        <v>6.73</v>
      </c>
      <c r="S311" s="1">
        <f>LOOKUP(R311,{0,3.75,3.95,4.55,4.75,4.95,5.55,5.6,5.65,5.7,5.75,5.8,5.85,5.9,5.95,6,6.45,6.53,6.6,6.65,6.7},{0,10,20,30,40,50,60,62,64,66,68,70,72,74,76,78,80,85,90,95,100})</f>
        <v>100</v>
      </c>
      <c r="T311" s="21">
        <f t="shared" si="178"/>
        <v>0.0299999999999998</v>
      </c>
      <c r="U311" s="1">
        <f>LOOKUP(T311,{0,0.04,0.08,0.12,0.16,0.2,0.23,0.26,0.29,0.32,0.35},{0,1,2,3,4,5,6,7,8,9,10})</f>
        <v>0</v>
      </c>
      <c r="V311" s="21">
        <f t="shared" si="176"/>
        <v>100</v>
      </c>
      <c r="W311" s="15"/>
      <c r="X311" s="21">
        <f t="shared" si="166"/>
        <v>66</v>
      </c>
      <c r="Y311" s="21">
        <f t="shared" si="177"/>
        <v>94.2857142857143</v>
      </c>
    </row>
    <row r="312" s="35" customFormat="1" ht="15.6" hidden="1" outlineLevel="2" spans="1:25">
      <c r="A312" s="15">
        <v>111</v>
      </c>
      <c r="B312" s="15">
        <v>20</v>
      </c>
      <c r="C312" s="14" t="s">
        <v>535</v>
      </c>
      <c r="D312" s="14" t="s">
        <v>11</v>
      </c>
      <c r="E312" s="15">
        <v>10.2</v>
      </c>
      <c r="F312" s="1">
        <f>LOOKUP(E312,{0,-4,-3,-2,-1,0,1,2.4,3.8,5.2,6.6,8,9.4,10.8,12.2,13.6,15,17.2,19.4,21.5,23.6},{0,10,20,30,40,50,60,62,64,66,68,70,72,74,76,78,80,85,90,95,100})</f>
        <v>72</v>
      </c>
      <c r="G312" s="15">
        <v>236</v>
      </c>
      <c r="H312" s="1">
        <f>LOOKUP(G312,{0,170,175,180,185,190,195,199,203,207,211,215,219,223,227,231,235,243,250,255,260},{0,10,20,30,40,50,60,62,64,66,68,70,72,74,76,78,80,85,90,95,100})</f>
        <v>80</v>
      </c>
      <c r="I312" s="15">
        <v>2</v>
      </c>
      <c r="J312" s="1">
        <f>LOOKUP(I312,{0,2,3,4,5,6,7,8,9,10,11,12,13,14,15,16},{0,10,20,30,40,50,60,64,68,72,76,80,85,90,95,100})</f>
        <v>10</v>
      </c>
      <c r="K312" s="21"/>
      <c r="L312" s="21"/>
      <c r="M312" s="21">
        <f t="shared" si="173"/>
        <v>10</v>
      </c>
      <c r="N312" s="15">
        <v>7.6</v>
      </c>
      <c r="O312" s="19">
        <f t="shared" si="174"/>
        <v>5.4</v>
      </c>
      <c r="P312" s="1">
        <f>LOOKUP(O312,{0,2.5,2.7,2.9,3.1,3.3,3.5,3.7,3.9,4.1,4.3,4.5,4.7,4.9,5.1,5.3,5.5,5.6,5.7,5.8,5.9},{0,10,20,30,40,50,60,62,64,66,68,70,72,74,76,78,80,85,90,95,100})</f>
        <v>78</v>
      </c>
      <c r="Q312" s="15">
        <v>4.3</v>
      </c>
      <c r="R312" s="15">
        <f t="shared" si="175"/>
        <v>5.7</v>
      </c>
      <c r="S312" s="1">
        <f>LOOKUP(R312,{0,3.75,3.95,4.55,4.75,4.95,5.55,5.6,5.65,5.7,5.75,5.8,5.85,5.9,5.95,6,6.45,6.53,6.6,6.65,6.7},{0,10,20,30,40,50,60,62,64,66,68,70,72,74,76,78,80,85,90,95,100})</f>
        <v>66</v>
      </c>
      <c r="T312" s="21"/>
      <c r="U312" s="21"/>
      <c r="V312" s="21">
        <f t="shared" si="176"/>
        <v>66</v>
      </c>
      <c r="W312" s="15"/>
      <c r="X312" s="21">
        <f t="shared" si="166"/>
        <v>45</v>
      </c>
      <c r="Y312" s="21">
        <f t="shared" si="177"/>
        <v>64.2857142857143</v>
      </c>
    </row>
    <row r="313" s="3" customFormat="1" ht="15.6" hidden="1" outlineLevel="2" spans="1:25">
      <c r="A313" s="15">
        <v>111</v>
      </c>
      <c r="B313" s="15">
        <v>21</v>
      </c>
      <c r="C313" s="14" t="s">
        <v>536</v>
      </c>
      <c r="D313" s="14" t="s">
        <v>11</v>
      </c>
      <c r="E313" s="15">
        <v>2.1</v>
      </c>
      <c r="F313" s="1">
        <f>LOOKUP(E313,{0,-4,-3,-2,-1,0,1,2.4,3.8,5.2,6.6,8,9.4,10.8,12.2,13.6,15,17.2,19.4,21.5,23.6},{0,10,20,30,40,50,60,62,64,66,68,70,72,74,76,78,80,85,90,95,100})</f>
        <v>60</v>
      </c>
      <c r="G313" s="15">
        <v>253</v>
      </c>
      <c r="H313" s="1">
        <f>LOOKUP(G313,{0,170,175,180,185,190,195,199,203,207,211,215,219,223,227,231,235,243,250,255,260},{0,10,20,30,40,50,60,62,64,66,68,70,72,74,76,78,80,85,90,95,100})</f>
        <v>90</v>
      </c>
      <c r="I313" s="15">
        <v>15</v>
      </c>
      <c r="J313" s="1">
        <f>LOOKUP(I313,{0,2,3,4,5,6,7,8,9,10,11,12,13,14,15,16},{0,10,20,30,40,50,60,64,68,72,76,80,85,90,95,100})</f>
        <v>95</v>
      </c>
      <c r="K313" s="21"/>
      <c r="L313" s="21"/>
      <c r="M313" s="21">
        <f t="shared" si="173"/>
        <v>95</v>
      </c>
      <c r="N313" s="15">
        <v>7</v>
      </c>
      <c r="O313" s="19">
        <f t="shared" si="174"/>
        <v>6</v>
      </c>
      <c r="P313" s="1">
        <f>LOOKUP(O313,{0,2.5,2.7,2.9,3.1,3.3,3.5,3.7,3.9,4.1,4.3,4.5,4.7,4.9,5.1,5.3,5.5,5.6,5.7,5.8,5.9},{0,10,20,30,40,50,60,62,64,66,68,70,72,74,76,78,80,85,90,95,100})</f>
        <v>100</v>
      </c>
      <c r="Q313" s="15">
        <v>4.06</v>
      </c>
      <c r="R313" s="15">
        <f t="shared" si="175"/>
        <v>5.94</v>
      </c>
      <c r="S313" s="1">
        <f>LOOKUP(R313,{0,3.75,3.95,4.55,4.75,4.95,5.55,5.6,5.65,5.7,5.75,5.8,5.85,5.9,5.95,6,6.45,6.53,6.6,6.65,6.7},{0,10,20,30,40,50,60,62,64,66,68,70,72,74,76,78,80,85,90,95,100})</f>
        <v>74</v>
      </c>
      <c r="T313" s="21"/>
      <c r="U313" s="21"/>
      <c r="V313" s="21">
        <f t="shared" si="176"/>
        <v>74</v>
      </c>
      <c r="W313" s="15"/>
      <c r="X313" s="21">
        <f t="shared" si="166"/>
        <v>59.3</v>
      </c>
      <c r="Y313" s="21">
        <f t="shared" si="177"/>
        <v>84.7142857142857</v>
      </c>
    </row>
    <row r="314" ht="15.6" hidden="1" outlineLevel="2" spans="1:25">
      <c r="A314" s="15">
        <v>111</v>
      </c>
      <c r="B314" s="15">
        <v>22</v>
      </c>
      <c r="C314" s="14" t="s">
        <v>537</v>
      </c>
      <c r="D314" s="14" t="s">
        <v>11</v>
      </c>
      <c r="E314" s="15">
        <v>6.3</v>
      </c>
      <c r="F314" s="1">
        <f>LOOKUP(E314,{0,-4,-3,-2,-1,0,1,2.4,3.8,5.2,6.6,8,9.4,10.8,12.2,13.6,15,17.2,19.4,21.5,23.6},{0,10,20,30,40,50,60,62,64,66,68,70,72,74,76,78,80,85,90,95,100})</f>
        <v>66</v>
      </c>
      <c r="G314" s="15">
        <v>255</v>
      </c>
      <c r="H314" s="1">
        <f>LOOKUP(G314,{0,170,175,180,185,190,195,199,203,207,211,215,219,223,227,231,235,243,250,255,260},{0,10,20,30,40,50,60,62,64,66,68,70,72,74,76,78,80,85,90,95,100})</f>
        <v>95</v>
      </c>
      <c r="I314" s="15">
        <v>16</v>
      </c>
      <c r="J314" s="1">
        <f>LOOKUP(I314,{0,2,3,4,5,6,7,8,9,10,11,12,13,14,15,16},{0,10,20,30,40,50,60,64,68,72,76,80,85,90,95,100})</f>
        <v>100</v>
      </c>
      <c r="K314" s="21">
        <f t="shared" ref="K314:K317" si="179">I314-16</f>
        <v>0</v>
      </c>
      <c r="L314" s="1">
        <f>LOOKUP(K314,{0,1,2,3,4,5,6,7,8,9,10},{0,1,2,3,4,5,6,7,8,9,10})</f>
        <v>0</v>
      </c>
      <c r="M314" s="21">
        <f t="shared" si="173"/>
        <v>100</v>
      </c>
      <c r="N314" s="15">
        <v>7.3</v>
      </c>
      <c r="O314" s="19">
        <f t="shared" si="174"/>
        <v>5.7</v>
      </c>
      <c r="P314" s="1">
        <f>LOOKUP(O314,{0,2.5,2.7,2.9,3.1,3.3,3.5,3.7,3.9,4.1,4.3,4.5,4.7,4.9,5.1,5.3,5.5,5.6,5.7,5.8,5.9},{0,10,20,30,40,50,60,62,64,66,68,70,72,74,76,78,80,85,90,95,100})</f>
        <v>90</v>
      </c>
      <c r="Q314" s="15">
        <v>3.52</v>
      </c>
      <c r="R314" s="15">
        <f t="shared" si="175"/>
        <v>6.48</v>
      </c>
      <c r="S314" s="1">
        <f>LOOKUP(R314,{0,3.75,3.95,4.55,4.75,4.95,5.55,5.6,5.65,5.7,5.75,5.8,5.85,5.9,5.95,6,6.45,6.53,6.6,6.65,6.7},{0,10,20,30,40,50,60,62,64,66,68,70,72,74,76,78,80,85,90,95,100})</f>
        <v>80</v>
      </c>
      <c r="T314" s="21"/>
      <c r="U314" s="21"/>
      <c r="V314" s="21">
        <f t="shared" si="176"/>
        <v>80</v>
      </c>
      <c r="W314" s="15"/>
      <c r="X314" s="21">
        <f t="shared" si="166"/>
        <v>60.1</v>
      </c>
      <c r="Y314" s="21">
        <f t="shared" si="177"/>
        <v>85.8571428571429</v>
      </c>
    </row>
    <row r="315" ht="15.6" hidden="1" outlineLevel="2" spans="1:25">
      <c r="A315" s="15">
        <v>111</v>
      </c>
      <c r="B315" s="15">
        <v>23</v>
      </c>
      <c r="C315" s="14" t="s">
        <v>538</v>
      </c>
      <c r="D315" s="14" t="s">
        <v>11</v>
      </c>
      <c r="E315" s="15">
        <v>21</v>
      </c>
      <c r="F315" s="1">
        <f>LOOKUP(E315,{0,-4,-3,-2,-1,0,1,2.4,3.8,5.2,6.6,8,9.4,10.8,12.2,13.6,15,17.2,19.4,21.5,23.6},{0,10,20,30,40,50,60,62,64,66,68,70,72,74,76,78,80,85,90,95,100})</f>
        <v>90</v>
      </c>
      <c r="G315" s="15">
        <v>282</v>
      </c>
      <c r="H315" s="1">
        <f>LOOKUP(G315,{0,170,175,180,185,190,195,199,203,207,211,215,219,223,227,231,235,243,250,255,260},{0,10,20,30,40,50,60,62,64,66,68,70,72,74,76,78,80,85,90,95,100})</f>
        <v>100</v>
      </c>
      <c r="I315" s="15">
        <v>26</v>
      </c>
      <c r="J315" s="1">
        <f>LOOKUP(I315,{0,2,3,4,5,6,7,8,9,10,11,12,13,14,15,16},{0,10,20,30,40,50,60,64,68,72,76,80,85,90,95,100})</f>
        <v>100</v>
      </c>
      <c r="K315" s="21">
        <f t="shared" si="179"/>
        <v>10</v>
      </c>
      <c r="L315" s="1">
        <f>LOOKUP(K315,{0,1,2,3,4,5,6,7,8,9,10},{0,1,2,3,4,5,6,7,8,9,10})</f>
        <v>10</v>
      </c>
      <c r="M315" s="21">
        <f t="shared" si="173"/>
        <v>110</v>
      </c>
      <c r="N315" s="15">
        <v>6.6</v>
      </c>
      <c r="O315" s="19">
        <f t="shared" si="174"/>
        <v>6.4</v>
      </c>
      <c r="P315" s="1">
        <f>LOOKUP(O315,{0,2.5,2.7,2.9,3.1,3.3,3.5,3.7,3.9,4.1,4.3,4.5,4.7,4.9,5.1,5.3,5.5,5.6,5.7,5.8,5.9},{0,10,20,30,40,50,60,62,64,66,68,70,72,74,76,78,80,85,90,95,100})</f>
        <v>100</v>
      </c>
      <c r="Q315" s="15">
        <v>3.23</v>
      </c>
      <c r="R315" s="15">
        <f t="shared" si="175"/>
        <v>6.77</v>
      </c>
      <c r="S315" s="1">
        <f>LOOKUP(R315,{0,3.75,3.95,4.55,4.75,4.95,5.55,5.6,5.65,5.7,5.75,5.8,5.85,5.9,5.95,6,6.45,6.53,6.6,6.65,6.7},{0,10,20,30,40,50,60,62,64,66,68,70,72,74,76,78,80,85,90,95,100})</f>
        <v>100</v>
      </c>
      <c r="T315" s="21">
        <f>3.3-Q315</f>
        <v>0.0699999999999998</v>
      </c>
      <c r="U315" s="1">
        <f>LOOKUP(T315,{0,0.04,0.08,0.12,0.16,0.2,0.23,0.26,0.29,0.32,0.35},{0,1,2,3,4,5,6,7,8,9,10})</f>
        <v>1</v>
      </c>
      <c r="V315" s="21">
        <f t="shared" si="176"/>
        <v>101</v>
      </c>
      <c r="W315" s="15"/>
      <c r="X315" s="21">
        <f t="shared" si="166"/>
        <v>69</v>
      </c>
      <c r="Y315" s="21">
        <f t="shared" si="177"/>
        <v>109.571428571429</v>
      </c>
    </row>
    <row r="316" ht="15.6" hidden="1" outlineLevel="2" spans="1:25">
      <c r="A316" s="15">
        <v>111</v>
      </c>
      <c r="B316" s="15">
        <v>24</v>
      </c>
      <c r="C316" s="14" t="s">
        <v>539</v>
      </c>
      <c r="D316" s="14" t="s">
        <v>11</v>
      </c>
      <c r="E316" s="15">
        <v>-2.5</v>
      </c>
      <c r="F316" s="1">
        <f>LOOKUP(E316,{0,-4,-3,-2,-1,0,1,2.4,3.8,5.2,6.6,8,9.4,10.8,12.2,13.6,15,17.2,19.4,21.5,23.6},{0,10,20,30,40,50,60,62,64,66,68,70,72,74,76,78,80,85,90,95,100})</f>
        <v>20</v>
      </c>
      <c r="G316" s="15">
        <v>206</v>
      </c>
      <c r="H316" s="1">
        <f>LOOKUP(G316,{0,170,175,180,185,190,195,199,203,207,211,215,219,223,227,231,235,243,250,255,260},{0,10,20,30,40,50,60,62,64,66,68,70,72,74,76,78,80,85,90,95,100})</f>
        <v>64</v>
      </c>
      <c r="I316" s="15">
        <v>1</v>
      </c>
      <c r="J316" s="1">
        <f>LOOKUP(I316,{0,2,3,4,5,6,7,8,9,10,11,12,13,14,15,16},{0,10,20,30,40,50,60,64,68,72,76,80,85,90,95,100})</f>
        <v>0</v>
      </c>
      <c r="K316" s="21"/>
      <c r="L316" s="21"/>
      <c r="M316" s="21">
        <f t="shared" si="173"/>
        <v>0</v>
      </c>
      <c r="N316" s="15">
        <v>8</v>
      </c>
      <c r="O316" s="19">
        <f t="shared" si="174"/>
        <v>5</v>
      </c>
      <c r="P316" s="1">
        <f>LOOKUP(O316,{0,2.5,2.7,2.9,3.1,3.3,3.5,3.7,3.9,4.1,4.3,4.5,4.7,4.9,5.1,5.3,5.5,5.6,5.7,5.8,5.9},{0,10,20,30,40,50,60,62,64,66,68,70,72,74,76,78,80,85,90,95,100})</f>
        <v>74</v>
      </c>
      <c r="Q316" s="15">
        <v>4.02</v>
      </c>
      <c r="R316" s="15">
        <f t="shared" si="175"/>
        <v>5.98</v>
      </c>
      <c r="S316" s="1">
        <f>LOOKUP(R316,{0,3.75,3.95,4.55,4.75,4.95,5.55,5.6,5.65,5.7,5.75,5.8,5.85,5.9,5.95,6,6.45,6.53,6.6,6.65,6.7},{0,10,20,30,40,50,60,62,64,66,68,70,72,74,76,78,80,85,90,95,100})</f>
        <v>76</v>
      </c>
      <c r="T316" s="21"/>
      <c r="U316" s="21"/>
      <c r="V316" s="21">
        <f t="shared" si="176"/>
        <v>76</v>
      </c>
      <c r="W316" s="15"/>
      <c r="X316" s="21">
        <f t="shared" si="166"/>
        <v>38.4</v>
      </c>
      <c r="Y316" s="21">
        <f t="shared" si="177"/>
        <v>54.8571428571429</v>
      </c>
    </row>
    <row r="317" ht="15.6" hidden="1" outlineLevel="2" spans="1:25">
      <c r="A317" s="15">
        <v>111</v>
      </c>
      <c r="B317" s="15">
        <v>25</v>
      </c>
      <c r="C317" s="15" t="s">
        <v>540</v>
      </c>
      <c r="D317" s="8" t="s">
        <v>11</v>
      </c>
      <c r="E317" s="15">
        <v>10</v>
      </c>
      <c r="F317" s="1">
        <f>LOOKUP(E317,{0,-4,-3,-2,-1,0,1,2.4,3.8,5.2,6.6,8,9.4,10.8,12.2,13.6,15,17.2,19.4,21.5,23.6},{0,10,20,30,40,50,60,62,64,66,68,70,72,74,76,78,80,85,90,95,100})</f>
        <v>72</v>
      </c>
      <c r="G317" s="15">
        <v>241</v>
      </c>
      <c r="H317" s="1">
        <f>LOOKUP(G317,{0,170,175,180,185,190,195,199,203,207,211,215,219,223,227,231,235,243,250,255,260},{0,10,20,30,40,50,60,62,64,66,68,70,72,74,76,78,80,85,90,95,100})</f>
        <v>80</v>
      </c>
      <c r="I317" s="15">
        <v>16</v>
      </c>
      <c r="J317" s="1">
        <f>LOOKUP(I317,{0,2,3,4,5,6,7,8,9,10,11,12,13,14,15,16},{0,10,20,30,40,50,60,64,68,72,76,80,85,90,95,100})</f>
        <v>100</v>
      </c>
      <c r="K317" s="21">
        <f t="shared" si="179"/>
        <v>0</v>
      </c>
      <c r="L317" s="1">
        <f>LOOKUP(K317,{0,1,2,3,4,5,6,7,8,9,10},{0,1,2,3,4,5,6,7,8,9,10})</f>
        <v>0</v>
      </c>
      <c r="M317" s="21">
        <f t="shared" si="173"/>
        <v>100</v>
      </c>
      <c r="N317" s="15">
        <v>7</v>
      </c>
      <c r="O317" s="19">
        <f t="shared" si="174"/>
        <v>6</v>
      </c>
      <c r="P317" s="1">
        <f>LOOKUP(O317,{0,2.5,2.7,2.9,3.1,3.3,3.5,3.7,3.9,4.1,4.3,4.5,4.7,4.9,5.1,5.3,5.5,5.6,5.7,5.8,5.9},{0,10,20,30,40,50,60,62,64,66,68,70,72,74,76,78,80,85,90,95,100})</f>
        <v>100</v>
      </c>
      <c r="Q317" s="15">
        <v>4.1</v>
      </c>
      <c r="R317" s="15">
        <f t="shared" si="175"/>
        <v>5.9</v>
      </c>
      <c r="S317" s="1">
        <f>LOOKUP(R317,{0,3.75,3.95,4.55,4.75,4.95,5.55,5.6,5.65,5.7,5.75,5.8,5.85,5.9,5.95,6,6.45,6.53,6.6,6.65,6.7},{0,10,20,30,40,50,60,62,64,66,68,70,72,74,76,78,80,85,90,95,100})</f>
        <v>74</v>
      </c>
      <c r="T317" s="21"/>
      <c r="U317" s="21"/>
      <c r="V317" s="21">
        <f t="shared" si="176"/>
        <v>74</v>
      </c>
      <c r="W317" s="15"/>
      <c r="X317" s="21">
        <f t="shared" si="166"/>
        <v>60</v>
      </c>
      <c r="Y317" s="21">
        <f t="shared" si="177"/>
        <v>85.7142857142857</v>
      </c>
    </row>
    <row r="318" ht="15.6" outlineLevel="1" collapsed="1" spans="1:25">
      <c r="A318" s="16" t="s">
        <v>852</v>
      </c>
      <c r="B318" s="15"/>
      <c r="C318" s="15"/>
      <c r="D318" s="8"/>
      <c r="E318" s="15"/>
      <c r="F318" s="1">
        <f>SUBTOTAL(1,F293:F317)</f>
        <v>68.6521739130435</v>
      </c>
      <c r="G318" s="15"/>
      <c r="H318" s="1">
        <f>SUBTOTAL(1,H293:H317)</f>
        <v>76.0909090909091</v>
      </c>
      <c r="I318" s="15"/>
      <c r="J318" s="1">
        <f>SUBTOTAL(1,J293:J317)</f>
        <v>59.8260869565217</v>
      </c>
      <c r="K318" s="21"/>
      <c r="L318" s="1"/>
      <c r="M318" s="21">
        <f>SUBTOTAL(1,M293:M317)</f>
        <v>61.2608695652174</v>
      </c>
      <c r="N318" s="15"/>
      <c r="O318" s="19"/>
      <c r="P318" s="1">
        <f>SUBTOTAL(1,P293:P317)</f>
        <v>89.3181818181818</v>
      </c>
      <c r="Q318" s="15"/>
      <c r="R318" s="15"/>
      <c r="S318" s="1">
        <f>SUBTOTAL(1,S293:S317)</f>
        <v>82.5909090909091</v>
      </c>
      <c r="T318" s="21"/>
      <c r="U318" s="21"/>
      <c r="V318" s="21">
        <f>SUBTOTAL(1,V293:V317)</f>
        <v>82.7727272727273</v>
      </c>
      <c r="W318" s="15"/>
      <c r="X318" s="21">
        <f>SUBTOTAL(1,X293:X317)</f>
        <v>48.772</v>
      </c>
      <c r="Y318" s="21">
        <f>SUBTOTAL(1,Y293:Y317)</f>
        <v>75.9657142857143</v>
      </c>
    </row>
    <row r="319" ht="15.6" hidden="1" outlineLevel="2" spans="1:25">
      <c r="A319" s="15">
        <v>112</v>
      </c>
      <c r="B319" s="15">
        <v>1</v>
      </c>
      <c r="C319" s="13" t="s">
        <v>569</v>
      </c>
      <c r="D319" s="14" t="s">
        <v>11</v>
      </c>
      <c r="E319" s="15">
        <v>13</v>
      </c>
      <c r="F319" s="1">
        <f>LOOKUP(E319,{0,-4,-3,-2,-1,0,1,2.4,3.8,5.2,6.6,8,9.4,10.8,12.2,13.6,15,17.2,19.4,21.5,23.6},{0,10,20,30,40,50,60,62,64,66,68,70,72,74,76,78,80,85,90,95,100})</f>
        <v>76</v>
      </c>
      <c r="G319" s="15">
        <v>223</v>
      </c>
      <c r="H319" s="1">
        <f>LOOKUP(G319,{0,170,175,180,185,190,195,199,203,207,211,215,219,223,227,231,235,243,250,255,260},{0,10,20,30,40,50,60,62,64,66,68,70,72,74,76,78,80,85,90,95,100})</f>
        <v>74</v>
      </c>
      <c r="I319" s="15">
        <v>2</v>
      </c>
      <c r="J319" s="1">
        <f>LOOKUP(I319,{0,2,3,4,5,6,7,8,9,10,11,12,13,14,15,16},{0,10,20,30,40,50,60,64,68,72,76,80,85,90,95,100})</f>
        <v>10</v>
      </c>
      <c r="K319" s="21"/>
      <c r="L319" s="21"/>
      <c r="M319" s="21">
        <f t="shared" ref="M319:M321" si="180">J319+L319</f>
        <v>10</v>
      </c>
      <c r="N319" s="15">
        <v>7.6</v>
      </c>
      <c r="O319" s="19">
        <f t="shared" ref="O319:O321" si="181">13-N319</f>
        <v>5.4</v>
      </c>
      <c r="P319" s="1">
        <f>LOOKUP(O319,{0,2.5,2.7,2.9,3.1,3.3,3.5,3.7,3.9,4.1,4.3,4.5,4.7,4.9,5.1,5.3,5.5,5.6,5.7,5.8,5.9},{0,10,20,30,40,50,60,62,64,66,68,70,72,74,76,78,80,85,90,95,100})</f>
        <v>78</v>
      </c>
      <c r="Q319" s="15">
        <v>3.41</v>
      </c>
      <c r="R319" s="15">
        <f t="shared" ref="R319:R321" si="182">10-Q319</f>
        <v>6.59</v>
      </c>
      <c r="S319" s="1">
        <f>LOOKUP(R319,{0,3.75,3.95,4.55,4.75,4.95,5.55,5.6,5.65,5.7,5.75,5.8,5.85,5.9,5.95,6,6.45,6.53,6.6,6.65,6.7},{0,10,20,30,40,50,60,62,64,66,68,70,72,74,76,78,80,85,90,95,100})</f>
        <v>85</v>
      </c>
      <c r="T319" s="21"/>
      <c r="U319" s="21"/>
      <c r="V319" s="21">
        <f t="shared" ref="V319:V321" si="183">S319+U319</f>
        <v>85</v>
      </c>
      <c r="W319" s="15"/>
      <c r="X319" s="21">
        <f t="shared" ref="X319:X345" si="184">F319*0.1+H319*0.1+J319*0.1+P319*0.2+S319*0.2</f>
        <v>48.6</v>
      </c>
      <c r="Y319" s="21">
        <f t="shared" ref="Y319:Y321" si="185">X319/0.7+L319+U319</f>
        <v>69.4285714285714</v>
      </c>
    </row>
    <row r="320" ht="15.6" hidden="1" outlineLevel="2" spans="1:25">
      <c r="A320" s="15">
        <v>112</v>
      </c>
      <c r="B320" s="15">
        <v>2</v>
      </c>
      <c r="C320" s="14" t="s">
        <v>570</v>
      </c>
      <c r="D320" s="14" t="s">
        <v>11</v>
      </c>
      <c r="E320" s="15">
        <v>12.5</v>
      </c>
      <c r="F320" s="1">
        <f>LOOKUP(E320,{0,-4,-3,-2,-1,0,1,2.4,3.8,5.2,6.6,8,9.4,10.8,12.2,13.6,15,17.2,19.4,21.5,23.6},{0,10,20,30,40,50,60,62,64,66,68,70,72,74,76,78,80,85,90,95,100})</f>
        <v>76</v>
      </c>
      <c r="G320" s="15">
        <v>222</v>
      </c>
      <c r="H320" s="1">
        <f>LOOKUP(G320,{0,170,175,180,185,190,195,199,203,207,211,215,219,223,227,231,235,243,250,255,260},{0,10,20,30,40,50,60,62,64,66,68,70,72,74,76,78,80,85,90,95,100})</f>
        <v>72</v>
      </c>
      <c r="I320" s="15">
        <v>0</v>
      </c>
      <c r="J320" s="1">
        <f>LOOKUP(I320,{0,2,3,4,5,6,7,8,9,10,11,12,13,14,15,16},{0,10,20,30,40,50,60,64,68,72,76,80,85,90,95,100})</f>
        <v>0</v>
      </c>
      <c r="K320" s="21"/>
      <c r="L320" s="21"/>
      <c r="M320" s="21">
        <f t="shared" si="180"/>
        <v>0</v>
      </c>
      <c r="N320" s="15">
        <v>8.6</v>
      </c>
      <c r="O320" s="19">
        <f t="shared" si="181"/>
        <v>4.4</v>
      </c>
      <c r="P320" s="1">
        <f>LOOKUP(O320,{0,2.5,2.7,2.9,3.1,3.3,3.5,3.7,3.9,4.1,4.3,4.5,4.7,4.9,5.1,5.3,5.5,5.6,5.7,5.8,5.9},{0,10,20,30,40,50,60,62,64,66,68,70,72,74,76,78,80,85,90,95,100})</f>
        <v>68</v>
      </c>
      <c r="Q320" s="15">
        <v>4.48</v>
      </c>
      <c r="R320" s="15">
        <f t="shared" si="182"/>
        <v>5.52</v>
      </c>
      <c r="S320" s="1">
        <f>LOOKUP(R320,{0,3.75,3.95,4.55,4.75,4.95,5.55,5.6,5.65,5.7,5.75,5.8,5.85,5.9,5.95,6,6.45,6.53,6.6,6.65,6.7},{0,10,20,30,40,50,60,62,64,66,68,70,72,74,76,78,80,85,90,95,100})</f>
        <v>50</v>
      </c>
      <c r="T320" s="21"/>
      <c r="U320" s="21"/>
      <c r="V320" s="21">
        <f t="shared" si="183"/>
        <v>50</v>
      </c>
      <c r="W320" s="15"/>
      <c r="X320" s="21">
        <f t="shared" si="184"/>
        <v>38.4</v>
      </c>
      <c r="Y320" s="21">
        <f t="shared" si="185"/>
        <v>54.8571428571429</v>
      </c>
    </row>
    <row r="321" ht="15.6" hidden="1" outlineLevel="2" spans="1:25">
      <c r="A321" s="15">
        <v>112</v>
      </c>
      <c r="B321" s="15">
        <v>3</v>
      </c>
      <c r="C321" s="14" t="s">
        <v>571</v>
      </c>
      <c r="D321" s="14" t="s">
        <v>11</v>
      </c>
      <c r="E321" s="15">
        <v>13</v>
      </c>
      <c r="F321" s="1">
        <f>LOOKUP(E321,{0,-4,-3,-2,-1,0,1,2.4,3.8,5.2,6.6,8,9.4,10.8,12.2,13.6,15,17.2,19.4,21.5,23.6},{0,10,20,30,40,50,60,62,64,66,68,70,72,74,76,78,80,85,90,95,100})</f>
        <v>76</v>
      </c>
      <c r="G321" s="15">
        <v>232</v>
      </c>
      <c r="H321" s="1">
        <f>LOOKUP(G321,{0,170,175,180,185,190,195,199,203,207,211,215,219,223,227,231,235,243,250,255,260},{0,10,20,30,40,50,60,62,64,66,68,70,72,74,76,78,80,85,90,95,100})</f>
        <v>78</v>
      </c>
      <c r="I321" s="15">
        <v>7</v>
      </c>
      <c r="J321" s="1">
        <f>LOOKUP(I321,{0,2,3,4,5,6,7,8,9,10,11,12,13,14,15,16},{0,10,20,30,40,50,60,64,68,72,76,80,85,90,95,100})</f>
        <v>60</v>
      </c>
      <c r="K321" s="21"/>
      <c r="L321" s="21"/>
      <c r="M321" s="21">
        <f t="shared" si="180"/>
        <v>60</v>
      </c>
      <c r="N321" s="15">
        <v>8</v>
      </c>
      <c r="O321" s="19">
        <f t="shared" si="181"/>
        <v>5</v>
      </c>
      <c r="P321" s="1">
        <f>LOOKUP(O321,{0,2.5,2.7,2.9,3.1,3.3,3.5,3.7,3.9,4.1,4.3,4.5,4.7,4.9,5.1,5.3,5.5,5.6,5.7,5.8,5.9},{0,10,20,30,40,50,60,62,64,66,68,70,72,74,76,78,80,85,90,95,100})</f>
        <v>74</v>
      </c>
      <c r="Q321" s="15">
        <v>3.33</v>
      </c>
      <c r="R321" s="15">
        <f t="shared" si="182"/>
        <v>6.67</v>
      </c>
      <c r="S321" s="1">
        <f>LOOKUP(R321,{0,3.75,3.95,4.55,4.75,4.95,5.55,5.6,5.65,5.7,5.75,5.8,5.85,5.9,5.95,6,6.45,6.53,6.6,6.65,6.7},{0,10,20,30,40,50,60,62,64,66,68,70,72,74,76,78,80,85,90,95,100})</f>
        <v>95</v>
      </c>
      <c r="T321" s="21"/>
      <c r="U321" s="21"/>
      <c r="V321" s="21">
        <f t="shared" si="183"/>
        <v>95</v>
      </c>
      <c r="W321" s="15"/>
      <c r="X321" s="21">
        <f t="shared" si="184"/>
        <v>55.2</v>
      </c>
      <c r="Y321" s="21">
        <f t="shared" si="185"/>
        <v>78.8571428571429</v>
      </c>
    </row>
    <row r="322" ht="15.6" hidden="1" outlineLevel="2" spans="1:25">
      <c r="A322" s="15">
        <v>112</v>
      </c>
      <c r="B322" s="15">
        <v>4</v>
      </c>
      <c r="C322" s="14" t="s">
        <v>572</v>
      </c>
      <c r="D322" s="14" t="s">
        <v>11</v>
      </c>
      <c r="E322" s="15"/>
      <c r="F322" s="1"/>
      <c r="G322" s="15"/>
      <c r="H322" s="1"/>
      <c r="I322" s="15"/>
      <c r="J322" s="1"/>
      <c r="K322" s="21"/>
      <c r="L322" s="21"/>
      <c r="M322" s="21"/>
      <c r="N322" s="15"/>
      <c r="O322" s="19"/>
      <c r="P322" s="1"/>
      <c r="Q322" s="15"/>
      <c r="R322" s="15"/>
      <c r="S322" s="1"/>
      <c r="T322" s="21"/>
      <c r="U322" s="1"/>
      <c r="V322" s="21"/>
      <c r="W322" s="15" t="s">
        <v>513</v>
      </c>
      <c r="X322" s="21">
        <f t="shared" si="184"/>
        <v>0</v>
      </c>
      <c r="Y322" s="21">
        <v>50</v>
      </c>
    </row>
    <row r="323" ht="15.6" hidden="1" outlineLevel="2" spans="1:25">
      <c r="A323" s="15">
        <v>112</v>
      </c>
      <c r="B323" s="15">
        <v>5</v>
      </c>
      <c r="C323" s="14" t="s">
        <v>573</v>
      </c>
      <c r="D323" s="14" t="s">
        <v>11</v>
      </c>
      <c r="E323" s="15">
        <v>10</v>
      </c>
      <c r="F323" s="1">
        <f>LOOKUP(E323,{0,-4,-3,-2,-1,0,1,2.4,3.8,5.2,6.6,8,9.4,10.8,12.2,13.6,15,17.2,19.4,21.5,23.6},{0,10,20,30,40,50,60,62,64,66,68,70,72,74,76,78,80,85,90,95,100})</f>
        <v>72</v>
      </c>
      <c r="G323" s="15">
        <v>240</v>
      </c>
      <c r="H323" s="1">
        <f>LOOKUP(G323,{0,170,175,180,185,190,195,199,203,207,211,215,219,223,227,231,235,243,250,255,260},{0,10,20,30,40,50,60,62,64,66,68,70,72,74,76,78,80,85,90,95,100})</f>
        <v>80</v>
      </c>
      <c r="I323" s="15">
        <v>20</v>
      </c>
      <c r="J323" s="1">
        <f>LOOKUP(I323,{0,2,3,4,5,6,7,8,9,10,11,12,13,14,15,16},{0,10,20,30,40,50,60,64,68,72,76,80,85,90,95,100})</f>
        <v>100</v>
      </c>
      <c r="K323" s="21">
        <f>I323-16</f>
        <v>4</v>
      </c>
      <c r="L323" s="1">
        <f>LOOKUP(K323,{0,1,2,3,4,5,6,7,8,9,10},{0,1,2,3,4,5,6,7,8,9,10})</f>
        <v>4</v>
      </c>
      <c r="M323" s="21">
        <f t="shared" ref="M323:M329" si="186">J323+L323</f>
        <v>104</v>
      </c>
      <c r="N323" s="15">
        <v>7.4</v>
      </c>
      <c r="O323" s="19">
        <f t="shared" ref="O323:O329" si="187">13-N323</f>
        <v>5.6</v>
      </c>
      <c r="P323" s="1">
        <f>LOOKUP(O323,{0,2.5,2.7,2.9,3.1,3.3,3.5,3.7,3.9,4.1,4.3,4.5,4.7,4.9,5.1,5.3,5.5,5.6,5.7,5.8,5.9},{0,10,20,30,40,50,60,62,64,66,68,70,72,74,76,78,80,85,90,95,100})</f>
        <v>85</v>
      </c>
      <c r="Q323" s="15">
        <v>3.49</v>
      </c>
      <c r="R323" s="15">
        <f t="shared" ref="R323:R329" si="188">10-Q323</f>
        <v>6.51</v>
      </c>
      <c r="S323" s="1">
        <f>LOOKUP(R323,{0,3.75,3.95,4.55,4.75,4.95,5.55,5.6,5.65,5.7,5.75,5.8,5.85,5.9,5.95,6,6.45,6.53,6.6,6.65,6.7},{0,10,20,30,40,50,60,62,64,66,68,70,72,74,76,78,80,85,90,95,100})</f>
        <v>80</v>
      </c>
      <c r="T323" s="21"/>
      <c r="U323" s="21"/>
      <c r="V323" s="21">
        <f t="shared" ref="V323:V329" si="189">S323+U323</f>
        <v>80</v>
      </c>
      <c r="W323" s="15"/>
      <c r="X323" s="21">
        <f t="shared" si="184"/>
        <v>58.2</v>
      </c>
      <c r="Y323" s="21">
        <f t="shared" ref="Y323:Y329" si="190">X323/0.7+L323+U323</f>
        <v>87.1428571428572</v>
      </c>
    </row>
    <row r="324" ht="15.6" hidden="1" outlineLevel="2" spans="1:25">
      <c r="A324" s="15">
        <v>112</v>
      </c>
      <c r="B324" s="15">
        <v>6</v>
      </c>
      <c r="C324" s="14" t="s">
        <v>574</v>
      </c>
      <c r="D324" s="14" t="s">
        <v>11</v>
      </c>
      <c r="E324" s="15">
        <v>3.5</v>
      </c>
      <c r="F324" s="1">
        <f>LOOKUP(E324,{0,-4,-3,-2,-1,0,1,2.4,3.8,5.2,6.6,8,9.4,10.8,12.2,13.6,15,17.2,19.4,21.5,23.6},{0,10,20,30,40,50,60,62,64,66,68,70,72,74,76,78,80,85,90,95,100})</f>
        <v>62</v>
      </c>
      <c r="G324" s="15">
        <v>232</v>
      </c>
      <c r="H324" s="1">
        <f>LOOKUP(G324,{0,170,175,180,185,190,195,199,203,207,211,215,219,223,227,231,235,243,250,255,260},{0,10,20,30,40,50,60,62,64,66,68,70,72,74,76,78,80,85,90,95,100})</f>
        <v>78</v>
      </c>
      <c r="I324" s="15">
        <v>5</v>
      </c>
      <c r="J324" s="1">
        <f>LOOKUP(I324,{0,2,3,4,5,6,7,8,9,10,11,12,13,14,15,16},{0,10,20,30,40,50,60,64,68,72,76,80,85,90,95,100})</f>
        <v>40</v>
      </c>
      <c r="K324" s="21"/>
      <c r="L324" s="21"/>
      <c r="M324" s="21">
        <f t="shared" si="186"/>
        <v>40</v>
      </c>
      <c r="N324" s="15">
        <v>7.1</v>
      </c>
      <c r="O324" s="19">
        <f t="shared" si="187"/>
        <v>5.9</v>
      </c>
      <c r="P324" s="1">
        <f>LOOKUP(O324,{0,2.5,2.7,2.9,3.1,3.3,3.5,3.7,3.9,4.1,4.3,4.5,4.7,4.9,5.1,5.3,5.5,5.6,5.7,5.8,5.9},{0,10,20,30,40,50,60,62,64,66,68,70,72,74,76,78,80,85,90,95,100})</f>
        <v>100</v>
      </c>
      <c r="Q324" s="15">
        <v>3.46</v>
      </c>
      <c r="R324" s="15">
        <f t="shared" si="188"/>
        <v>6.54</v>
      </c>
      <c r="S324" s="1">
        <f>LOOKUP(R324,{0,3.75,3.95,4.55,4.75,4.95,5.55,5.6,5.65,5.7,5.75,5.8,5.85,5.9,5.95,6,6.45,6.53,6.6,6.65,6.7},{0,10,20,30,40,50,60,62,64,66,68,70,72,74,76,78,80,85,90,95,100})</f>
        <v>85</v>
      </c>
      <c r="T324" s="21"/>
      <c r="U324" s="21"/>
      <c r="V324" s="21">
        <f t="shared" si="189"/>
        <v>85</v>
      </c>
      <c r="W324" s="15"/>
      <c r="X324" s="21">
        <f t="shared" si="184"/>
        <v>55</v>
      </c>
      <c r="Y324" s="21">
        <f t="shared" si="190"/>
        <v>78.5714285714286</v>
      </c>
    </row>
    <row r="325" ht="15.6" hidden="1" outlineLevel="2" spans="1:25">
      <c r="A325" s="15">
        <v>112</v>
      </c>
      <c r="B325" s="15">
        <v>7</v>
      </c>
      <c r="C325" s="14" t="s">
        <v>575</v>
      </c>
      <c r="D325" s="14" t="s">
        <v>11</v>
      </c>
      <c r="E325" s="15">
        <v>8.5</v>
      </c>
      <c r="F325" s="1">
        <f>LOOKUP(E325,{0,-4,-3,-2,-1,0,1,2.4,3.8,5.2,6.6,8,9.4,10.8,12.2,13.6,15,17.2,19.4,21.5,23.6},{0,10,20,30,40,50,60,62,64,66,68,70,72,74,76,78,80,85,90,95,100})</f>
        <v>70</v>
      </c>
      <c r="G325" s="15">
        <v>232</v>
      </c>
      <c r="H325" s="1">
        <f>LOOKUP(G325,{0,170,175,180,185,190,195,199,203,207,211,215,219,223,227,231,235,243,250,255,260},{0,10,20,30,40,50,60,62,64,66,68,70,72,74,76,78,80,85,90,95,100})</f>
        <v>78</v>
      </c>
      <c r="I325" s="15">
        <v>20</v>
      </c>
      <c r="J325" s="1">
        <f>LOOKUP(I325,{0,2,3,4,5,6,7,8,9,10,11,12,13,14,15,16},{0,10,20,30,40,50,60,64,68,72,76,80,85,90,95,100})</f>
        <v>100</v>
      </c>
      <c r="K325" s="21">
        <f>I325-16</f>
        <v>4</v>
      </c>
      <c r="L325" s="1">
        <f>LOOKUP(K325,{0,1,2,3,4,5,6,7,8,9,10},{0,1,2,3,4,5,6,7,8,9,10})</f>
        <v>4</v>
      </c>
      <c r="M325" s="21">
        <f t="shared" si="186"/>
        <v>104</v>
      </c>
      <c r="N325" s="15">
        <v>7.6</v>
      </c>
      <c r="O325" s="19">
        <f t="shared" si="187"/>
        <v>5.4</v>
      </c>
      <c r="P325" s="1">
        <f>LOOKUP(O325,{0,2.5,2.7,2.9,3.1,3.3,3.5,3.7,3.9,4.1,4.3,4.5,4.7,4.9,5.1,5.3,5.5,5.6,5.7,5.8,5.9},{0,10,20,30,40,50,60,62,64,66,68,70,72,74,76,78,80,85,90,95,100})</f>
        <v>78</v>
      </c>
      <c r="Q325" s="15">
        <v>3.37</v>
      </c>
      <c r="R325" s="15">
        <f t="shared" si="188"/>
        <v>6.63</v>
      </c>
      <c r="S325" s="1">
        <f>LOOKUP(R325,{0,3.75,3.95,4.55,4.75,4.95,5.55,5.6,5.65,5.7,5.75,5.8,5.85,5.9,5.95,6,6.45,6.53,6.6,6.65,6.7},{0,10,20,30,40,50,60,62,64,66,68,70,72,74,76,78,80,85,90,95,100})</f>
        <v>90</v>
      </c>
      <c r="T325" s="21"/>
      <c r="U325" s="21"/>
      <c r="V325" s="21">
        <f t="shared" si="189"/>
        <v>90</v>
      </c>
      <c r="W325" s="15"/>
      <c r="X325" s="21">
        <f t="shared" si="184"/>
        <v>58.4</v>
      </c>
      <c r="Y325" s="21">
        <f t="shared" si="190"/>
        <v>87.4285714285714</v>
      </c>
    </row>
    <row r="326" s="3" customFormat="1" ht="15.6" hidden="1" outlineLevel="2" spans="1:25">
      <c r="A326" s="15">
        <v>112</v>
      </c>
      <c r="B326" s="15">
        <v>8</v>
      </c>
      <c r="C326" s="14" t="s">
        <v>576</v>
      </c>
      <c r="D326" s="14" t="s">
        <v>11</v>
      </c>
      <c r="E326" s="15">
        <v>20.5</v>
      </c>
      <c r="F326" s="1">
        <f>LOOKUP(E326,{0,-4,-3,-2,-1,0,1,2.4,3.8,5.2,6.6,8,9.4,10.8,12.2,13.6,15,17.2,19.4,21.5,23.6},{0,10,20,30,40,50,60,62,64,66,68,70,72,74,76,78,80,85,90,95,100})</f>
        <v>90</v>
      </c>
      <c r="G326" s="15">
        <v>230</v>
      </c>
      <c r="H326" s="1">
        <f>LOOKUP(G326,{0,170,175,180,185,190,195,199,203,207,211,215,219,223,227,231,235,243,250,255,260},{0,10,20,30,40,50,60,62,64,66,68,70,72,74,76,78,80,85,90,95,100})</f>
        <v>76</v>
      </c>
      <c r="I326" s="15">
        <v>6</v>
      </c>
      <c r="J326" s="1">
        <f>LOOKUP(I326,{0,2,3,4,5,6,7,8,9,10,11,12,13,14,15,16},{0,10,20,30,40,50,60,64,68,72,76,80,85,90,95,100})</f>
        <v>50</v>
      </c>
      <c r="K326" s="21"/>
      <c r="L326" s="21"/>
      <c r="M326" s="21">
        <f t="shared" si="186"/>
        <v>50</v>
      </c>
      <c r="N326" s="15">
        <v>7.4</v>
      </c>
      <c r="O326" s="19">
        <f t="shared" si="187"/>
        <v>5.6</v>
      </c>
      <c r="P326" s="1">
        <f>LOOKUP(O326,{0,2.5,2.7,2.9,3.1,3.3,3.5,3.7,3.9,4.1,4.3,4.5,4.7,4.9,5.1,5.3,5.5,5.6,5.7,5.8,5.9},{0,10,20,30,40,50,60,62,64,66,68,70,72,74,76,78,80,85,90,95,100})</f>
        <v>85</v>
      </c>
      <c r="Q326" s="15">
        <v>3.35</v>
      </c>
      <c r="R326" s="15">
        <f t="shared" si="188"/>
        <v>6.65</v>
      </c>
      <c r="S326" s="1">
        <f>LOOKUP(R326,{0,3.75,3.95,4.55,4.75,4.95,5.55,5.6,5.65,5.7,5.75,5.8,5.85,5.9,5.95,6,6.45,6.53,6.6,6.65,6.7},{0,10,20,30,40,50,60,62,64,66,68,70,72,74,76,78,80,85,90,95,100})</f>
        <v>95</v>
      </c>
      <c r="T326" s="21"/>
      <c r="U326" s="21"/>
      <c r="V326" s="21">
        <f t="shared" si="189"/>
        <v>95</v>
      </c>
      <c r="W326" s="15"/>
      <c r="X326" s="21">
        <f t="shared" si="184"/>
        <v>57.6</v>
      </c>
      <c r="Y326" s="21">
        <f t="shared" si="190"/>
        <v>82.2857142857143</v>
      </c>
    </row>
    <row r="327" ht="15.6" hidden="1" outlineLevel="2" spans="1:25">
      <c r="A327" s="15">
        <v>112</v>
      </c>
      <c r="B327" s="15">
        <v>9</v>
      </c>
      <c r="C327" s="14" t="s">
        <v>577</v>
      </c>
      <c r="D327" s="14" t="s">
        <v>11</v>
      </c>
      <c r="E327" s="15">
        <v>9</v>
      </c>
      <c r="F327" s="1">
        <f>LOOKUP(E327,{0,-4,-3,-2,-1,0,1,2.4,3.8,5.2,6.6,8,9.4,10.8,12.2,13.6,15,17.2,19.4,21.5,23.6},{0,10,20,30,40,50,60,62,64,66,68,70,72,74,76,78,80,85,90,95,100})</f>
        <v>70</v>
      </c>
      <c r="G327" s="15">
        <v>266</v>
      </c>
      <c r="H327" s="1">
        <f>LOOKUP(G327,{0,170,175,180,185,190,195,199,203,207,211,215,219,223,227,231,235,243,250,255,260},{0,10,20,30,40,50,60,62,64,66,68,70,72,74,76,78,80,85,90,95,100})</f>
        <v>100</v>
      </c>
      <c r="I327" s="15">
        <v>2</v>
      </c>
      <c r="J327" s="1">
        <f>LOOKUP(I327,{0,2,3,4,5,6,7,8,9,10,11,12,13,14,15,16},{0,10,20,30,40,50,60,64,68,72,76,80,85,90,95,100})</f>
        <v>10</v>
      </c>
      <c r="K327" s="21"/>
      <c r="L327" s="21"/>
      <c r="M327" s="21">
        <f t="shared" si="186"/>
        <v>10</v>
      </c>
      <c r="N327" s="15">
        <v>7</v>
      </c>
      <c r="O327" s="19">
        <f t="shared" si="187"/>
        <v>6</v>
      </c>
      <c r="P327" s="1">
        <f>LOOKUP(O327,{0,2.5,2.7,2.9,3.1,3.3,3.5,3.7,3.9,4.1,4.3,4.5,4.7,4.9,5.1,5.3,5.5,5.6,5.7,5.8,5.9},{0,10,20,30,40,50,60,62,64,66,68,70,72,74,76,78,80,85,90,95,100})</f>
        <v>100</v>
      </c>
      <c r="Q327" s="15">
        <v>3.27</v>
      </c>
      <c r="R327" s="15">
        <f t="shared" si="188"/>
        <v>6.73</v>
      </c>
      <c r="S327" s="1">
        <f>LOOKUP(R327,{0,3.75,3.95,4.55,4.75,4.95,5.55,5.6,5.65,5.7,5.75,5.8,5.85,5.9,5.95,6,6.45,6.53,6.6,6.65,6.7},{0,10,20,30,40,50,60,62,64,66,68,70,72,74,76,78,80,85,90,95,100})</f>
        <v>100</v>
      </c>
      <c r="T327" s="21">
        <f t="shared" ref="T327:T333" si="191">3.3-Q327</f>
        <v>0.0299999999999998</v>
      </c>
      <c r="U327" s="1">
        <f>LOOKUP(T327,{0,0.04,0.08,0.12,0.16,0.2,0.23,0.26,0.29,0.32,0.35},{0,1,2,3,4,5,6,7,8,9,10})</f>
        <v>0</v>
      </c>
      <c r="V327" s="21">
        <f t="shared" si="189"/>
        <v>100</v>
      </c>
      <c r="W327" s="15"/>
      <c r="X327" s="21">
        <f t="shared" si="184"/>
        <v>58</v>
      </c>
      <c r="Y327" s="21">
        <f t="shared" si="190"/>
        <v>82.8571428571429</v>
      </c>
    </row>
    <row r="328" ht="15.6" hidden="1" outlineLevel="2" spans="1:25">
      <c r="A328" s="15">
        <v>112</v>
      </c>
      <c r="B328" s="15">
        <v>10</v>
      </c>
      <c r="C328" s="13" t="s">
        <v>579</v>
      </c>
      <c r="D328" s="14" t="s">
        <v>11</v>
      </c>
      <c r="E328" s="15">
        <v>3</v>
      </c>
      <c r="F328" s="1">
        <f>LOOKUP(E328,{0,-4,-3,-2,-1,0,1,2.4,3.8,5.2,6.6,8,9.4,10.8,12.2,13.6,15,17.2,19.4,21.5,23.6},{0,10,20,30,40,50,60,62,64,66,68,70,72,74,76,78,80,85,90,95,100})</f>
        <v>62</v>
      </c>
      <c r="G328" s="15">
        <v>220</v>
      </c>
      <c r="H328" s="1">
        <f>LOOKUP(G328,{0,170,175,180,185,190,195,199,203,207,211,215,219,223,227,231,235,243,250,255,260},{0,10,20,30,40,50,60,62,64,66,68,70,72,74,76,78,80,85,90,95,100})</f>
        <v>72</v>
      </c>
      <c r="I328" s="15">
        <v>6</v>
      </c>
      <c r="J328" s="1">
        <f>LOOKUP(I328,{0,2,3,4,5,6,7,8,9,10,11,12,13,14,15,16},{0,10,20,30,40,50,60,64,68,72,76,80,85,90,95,100})</f>
        <v>50</v>
      </c>
      <c r="K328" s="21"/>
      <c r="L328" s="21"/>
      <c r="M328" s="21">
        <f t="shared" si="186"/>
        <v>50</v>
      </c>
      <c r="N328" s="15">
        <v>7.4</v>
      </c>
      <c r="O328" s="19">
        <f t="shared" si="187"/>
        <v>5.6</v>
      </c>
      <c r="P328" s="1">
        <f>LOOKUP(O328,{0,2.5,2.7,2.9,3.1,3.3,3.5,3.7,3.9,4.1,4.3,4.5,4.7,4.9,5.1,5.3,5.5,5.6,5.7,5.8,5.9},{0,10,20,30,40,50,60,62,64,66,68,70,72,74,76,78,80,85,90,95,100})</f>
        <v>85</v>
      </c>
      <c r="Q328" s="15">
        <v>3.4</v>
      </c>
      <c r="R328" s="15">
        <f t="shared" si="188"/>
        <v>6.6</v>
      </c>
      <c r="S328" s="1">
        <f>LOOKUP(R328,{0,3.75,3.95,4.55,4.75,4.95,5.55,5.6,5.65,5.7,5.75,5.8,5.85,5.9,5.95,6,6.45,6.53,6.6,6.65,6.7},{0,10,20,30,40,50,60,62,64,66,68,70,72,74,76,78,80,85,90,95,100})</f>
        <v>90</v>
      </c>
      <c r="T328" s="21"/>
      <c r="U328" s="21"/>
      <c r="V328" s="21">
        <f t="shared" si="189"/>
        <v>90</v>
      </c>
      <c r="W328" s="15"/>
      <c r="X328" s="21">
        <f t="shared" si="184"/>
        <v>53.4</v>
      </c>
      <c r="Y328" s="21">
        <f t="shared" si="190"/>
        <v>76.2857142857143</v>
      </c>
    </row>
    <row r="329" ht="15.6" hidden="1" outlineLevel="2" spans="1:25">
      <c r="A329" s="15">
        <v>112</v>
      </c>
      <c r="B329" s="15">
        <v>11</v>
      </c>
      <c r="C329" s="14" t="s">
        <v>580</v>
      </c>
      <c r="D329" s="14" t="s">
        <v>11</v>
      </c>
      <c r="E329" s="15">
        <v>4</v>
      </c>
      <c r="F329" s="1">
        <f>LOOKUP(E329,{0,-4,-3,-2,-1,0,1,2.4,3.8,5.2,6.6,8,9.4,10.8,12.2,13.6,15,17.2,19.4,21.5,23.6},{0,10,20,30,40,50,60,62,64,66,68,70,72,74,76,78,80,85,90,95,100})</f>
        <v>64</v>
      </c>
      <c r="G329" s="15">
        <v>245</v>
      </c>
      <c r="H329" s="1">
        <f>LOOKUP(G329,{0,170,175,180,185,190,195,199,203,207,211,215,219,223,227,231,235,243,250,255,260},{0,10,20,30,40,50,60,62,64,66,68,70,72,74,76,78,80,85,90,95,100})</f>
        <v>85</v>
      </c>
      <c r="I329" s="15">
        <v>28</v>
      </c>
      <c r="J329" s="1">
        <f>LOOKUP(I329,{0,2,3,4,5,6,7,8,9,10,11,12,13,14,15,16},{0,10,20,30,40,50,60,64,68,72,76,80,85,90,95,100})</f>
        <v>100</v>
      </c>
      <c r="K329" s="21">
        <f t="shared" ref="K329:K334" si="192">I329-16</f>
        <v>12</v>
      </c>
      <c r="L329" s="1">
        <f>LOOKUP(K329,{0,1,2,3,4,5,6,7,8,9,10},{0,1,2,3,4,5,6,7,8,9,10})</f>
        <v>10</v>
      </c>
      <c r="M329" s="21">
        <f t="shared" si="186"/>
        <v>110</v>
      </c>
      <c r="N329" s="15">
        <v>7</v>
      </c>
      <c r="O329" s="19">
        <f t="shared" si="187"/>
        <v>6</v>
      </c>
      <c r="P329" s="1">
        <f>LOOKUP(O329,{0,2.5,2.7,2.9,3.1,3.3,3.5,3.7,3.9,4.1,4.3,4.5,4.7,4.9,5.1,5.3,5.5,5.6,5.7,5.8,5.9},{0,10,20,30,40,50,60,62,64,66,68,70,72,74,76,78,80,85,90,95,100})</f>
        <v>100</v>
      </c>
      <c r="Q329" s="15">
        <v>3.28</v>
      </c>
      <c r="R329" s="15">
        <f t="shared" si="188"/>
        <v>6.72</v>
      </c>
      <c r="S329" s="1">
        <f>LOOKUP(R329,{0,3.75,3.95,4.55,4.75,4.95,5.55,5.6,5.65,5.7,5.75,5.8,5.85,5.9,5.95,6,6.45,6.53,6.6,6.65,6.7},{0,10,20,30,40,50,60,62,64,66,68,70,72,74,76,78,80,85,90,95,100})</f>
        <v>100</v>
      </c>
      <c r="T329" s="21">
        <f t="shared" si="191"/>
        <v>0.02</v>
      </c>
      <c r="U329" s="1">
        <f>LOOKUP(T329,{0,0.04,0.08,0.12,0.16,0.2,0.23,0.26,0.29,0.32,0.35},{0,1,2,3,4,5,6,7,8,9,10})</f>
        <v>0</v>
      </c>
      <c r="V329" s="21">
        <f t="shared" si="189"/>
        <v>100</v>
      </c>
      <c r="W329" s="15"/>
      <c r="X329" s="21">
        <f t="shared" si="184"/>
        <v>64.9</v>
      </c>
      <c r="Y329" s="21">
        <f t="shared" si="190"/>
        <v>102.714285714286</v>
      </c>
    </row>
    <row r="330" ht="15.6" hidden="1" outlineLevel="2" spans="1:25">
      <c r="A330" s="15">
        <v>112</v>
      </c>
      <c r="B330" s="15">
        <v>12</v>
      </c>
      <c r="C330" s="14" t="s">
        <v>581</v>
      </c>
      <c r="D330" s="14" t="s">
        <v>11</v>
      </c>
      <c r="E330" s="15"/>
      <c r="F330" s="1"/>
      <c r="G330" s="15"/>
      <c r="H330" s="1"/>
      <c r="I330" s="15"/>
      <c r="J330" s="1"/>
      <c r="K330" s="21"/>
      <c r="L330" s="21"/>
      <c r="M330" s="21"/>
      <c r="N330" s="15"/>
      <c r="O330" s="19"/>
      <c r="P330" s="1"/>
      <c r="Q330" s="15"/>
      <c r="R330" s="15"/>
      <c r="S330" s="1"/>
      <c r="T330" s="21"/>
      <c r="U330" s="1"/>
      <c r="V330" s="21"/>
      <c r="W330" s="15" t="s">
        <v>513</v>
      </c>
      <c r="X330" s="21">
        <f t="shared" si="184"/>
        <v>0</v>
      </c>
      <c r="Y330" s="21">
        <v>50</v>
      </c>
    </row>
    <row r="331" ht="15.6" hidden="1" outlineLevel="2" spans="1:25">
      <c r="A331" s="15">
        <v>112</v>
      </c>
      <c r="B331" s="15">
        <v>13</v>
      </c>
      <c r="C331" s="14" t="s">
        <v>582</v>
      </c>
      <c r="D331" s="14" t="s">
        <v>11</v>
      </c>
      <c r="E331" s="15">
        <v>16</v>
      </c>
      <c r="F331" s="1">
        <f>LOOKUP(E331,{0,-4,-3,-2,-1,0,1,2.4,3.8,5.2,6.6,8,9.4,10.8,12.2,13.6,15,17.2,19.4,21.5,23.6},{0,10,20,30,40,50,60,62,64,66,68,70,72,74,76,78,80,85,90,95,100})</f>
        <v>80</v>
      </c>
      <c r="G331" s="15">
        <v>235</v>
      </c>
      <c r="H331" s="1">
        <f>LOOKUP(G331,{0,170,175,180,185,190,195,199,203,207,211,215,219,223,227,231,235,243,250,255,260},{0,10,20,30,40,50,60,62,64,66,68,70,72,74,76,78,80,85,90,95,100})</f>
        <v>80</v>
      </c>
      <c r="I331" s="15">
        <v>10</v>
      </c>
      <c r="J331" s="1">
        <f>LOOKUP(I331,{0,2,3,4,5,6,7,8,9,10,11,12,13,14,15,16},{0,10,20,30,40,50,60,64,68,72,76,80,85,90,95,100})</f>
        <v>72</v>
      </c>
      <c r="K331" s="21"/>
      <c r="L331" s="21"/>
      <c r="M331" s="21">
        <f t="shared" ref="M331:M344" si="193">J331+L331</f>
        <v>72</v>
      </c>
      <c r="N331" s="15">
        <v>7.3</v>
      </c>
      <c r="O331" s="19">
        <f t="shared" ref="O331:O337" si="194">13-N331</f>
        <v>5.7</v>
      </c>
      <c r="P331" s="1">
        <f>LOOKUP(O331,{0,2.5,2.7,2.9,3.1,3.3,3.5,3.7,3.9,4.1,4.3,4.5,4.7,4.9,5.1,5.3,5.5,5.6,5.7,5.8,5.9},{0,10,20,30,40,50,60,62,64,66,68,70,72,74,76,78,80,85,90,95,100})</f>
        <v>90</v>
      </c>
      <c r="Q331" s="15">
        <v>4.16</v>
      </c>
      <c r="R331" s="15">
        <f t="shared" ref="R331:R344" si="195">10-Q331</f>
        <v>5.84</v>
      </c>
      <c r="S331" s="1">
        <f>LOOKUP(R331,{0,3.75,3.95,4.55,4.75,4.95,5.55,5.6,5.65,5.7,5.75,5.8,5.85,5.9,5.95,6,6.45,6.53,6.6,6.65,6.7},{0,10,20,30,40,50,60,62,64,66,68,70,72,74,76,78,80,85,90,95,100})</f>
        <v>70</v>
      </c>
      <c r="T331" s="21"/>
      <c r="U331" s="21"/>
      <c r="V331" s="21">
        <f t="shared" ref="V331:V344" si="196">S331+U331</f>
        <v>70</v>
      </c>
      <c r="W331" s="15"/>
      <c r="X331" s="21">
        <f t="shared" si="184"/>
        <v>55.2</v>
      </c>
      <c r="Y331" s="21">
        <f t="shared" ref="Y331:Y344" si="197">X331/0.7+L331+U331</f>
        <v>78.8571428571429</v>
      </c>
    </row>
    <row r="332" ht="15.6" hidden="1" outlineLevel="2" spans="1:25">
      <c r="A332" s="15">
        <v>112</v>
      </c>
      <c r="B332" s="15">
        <v>14</v>
      </c>
      <c r="C332" s="14" t="s">
        <v>583</v>
      </c>
      <c r="D332" s="14" t="s">
        <v>11</v>
      </c>
      <c r="E332" s="15">
        <v>13</v>
      </c>
      <c r="F332" s="1">
        <f>LOOKUP(E332,{0,-4,-3,-2,-1,0,1,2.4,3.8,5.2,6.6,8,9.4,10.8,12.2,13.6,15,17.2,19.4,21.5,23.6},{0,10,20,30,40,50,60,62,64,66,68,70,72,74,76,78,80,85,90,95,100})</f>
        <v>76</v>
      </c>
      <c r="G332" s="15">
        <v>252</v>
      </c>
      <c r="H332" s="1">
        <f>LOOKUP(G332,{0,170,175,180,185,190,195,199,203,207,211,215,219,223,227,231,235,243,250,255,260},{0,10,20,30,40,50,60,62,64,66,68,70,72,74,76,78,80,85,90,95,100})</f>
        <v>90</v>
      </c>
      <c r="I332" s="15">
        <v>11</v>
      </c>
      <c r="J332" s="1">
        <f>LOOKUP(I332,{0,2,3,4,5,6,7,8,9,10,11,12,13,14,15,16},{0,10,20,30,40,50,60,64,68,72,76,80,85,90,95,100})</f>
        <v>76</v>
      </c>
      <c r="K332" s="21"/>
      <c r="L332" s="21"/>
      <c r="M332" s="21">
        <f t="shared" si="193"/>
        <v>76</v>
      </c>
      <c r="N332" s="15">
        <v>7</v>
      </c>
      <c r="O332" s="19">
        <f t="shared" si="194"/>
        <v>6</v>
      </c>
      <c r="P332" s="1">
        <f>LOOKUP(O332,{0,2.5,2.7,2.9,3.1,3.3,3.5,3.7,3.9,4.1,4.3,4.5,4.7,4.9,5.1,5.3,5.5,5.6,5.7,5.8,5.9},{0,10,20,30,40,50,60,62,64,66,68,70,72,74,76,78,80,85,90,95,100})</f>
        <v>100</v>
      </c>
      <c r="Q332" s="15">
        <v>3.26</v>
      </c>
      <c r="R332" s="15">
        <f t="shared" si="195"/>
        <v>6.74</v>
      </c>
      <c r="S332" s="1">
        <f>LOOKUP(R332,{0,3.75,3.95,4.55,4.75,4.95,5.55,5.6,5.65,5.7,5.75,5.8,5.85,5.9,5.95,6,6.45,6.53,6.6,6.65,6.7},{0,10,20,30,40,50,60,62,64,66,68,70,72,74,76,78,80,85,90,95,100})</f>
        <v>100</v>
      </c>
      <c r="T332" s="21">
        <f t="shared" si="191"/>
        <v>0.04</v>
      </c>
      <c r="U332" s="1">
        <f>LOOKUP(T332,{0,0.04,0.08,0.12,0.16,0.2,0.23,0.26,0.29,0.32,0.35},{0,1,2,3,4,5,6,7,8,9,10})</f>
        <v>1</v>
      </c>
      <c r="V332" s="21">
        <f t="shared" si="196"/>
        <v>101</v>
      </c>
      <c r="W332" s="15"/>
      <c r="X332" s="21">
        <f t="shared" si="184"/>
        <v>64.2</v>
      </c>
      <c r="Y332" s="21">
        <f t="shared" si="197"/>
        <v>92.7142857142857</v>
      </c>
    </row>
    <row r="333" ht="15.6" hidden="1" outlineLevel="2" spans="1:25">
      <c r="A333" s="15">
        <v>112</v>
      </c>
      <c r="B333" s="15">
        <v>15</v>
      </c>
      <c r="C333" s="14" t="s">
        <v>584</v>
      </c>
      <c r="D333" s="14" t="s">
        <v>11</v>
      </c>
      <c r="E333" s="15">
        <v>16</v>
      </c>
      <c r="F333" s="1">
        <f>LOOKUP(E333,{0,-4,-3,-2,-1,0,1,2.4,3.8,5.2,6.6,8,9.4,10.8,12.2,13.6,15,17.2,19.4,21.5,23.6},{0,10,20,30,40,50,60,62,64,66,68,70,72,74,76,78,80,85,90,95,100})</f>
        <v>80</v>
      </c>
      <c r="G333" s="15">
        <v>265</v>
      </c>
      <c r="H333" s="1">
        <f>LOOKUP(G333,{0,170,175,180,185,190,195,199,203,207,211,215,219,223,227,231,235,243,250,255,260},{0,10,20,30,40,50,60,62,64,66,68,70,72,74,76,78,80,85,90,95,100})</f>
        <v>100</v>
      </c>
      <c r="I333" s="15">
        <v>26</v>
      </c>
      <c r="J333" s="1">
        <f>LOOKUP(I333,{0,2,3,4,5,6,7,8,9,10,11,12,13,14,15,16},{0,10,20,30,40,50,60,64,68,72,76,80,85,90,95,100})</f>
        <v>100</v>
      </c>
      <c r="K333" s="21">
        <f t="shared" si="192"/>
        <v>10</v>
      </c>
      <c r="L333" s="1">
        <f>LOOKUP(K333,{0,1,2,3,4,5,6,7,8,9,10},{0,1,2,3,4,5,6,7,8,9,10})</f>
        <v>10</v>
      </c>
      <c r="M333" s="21">
        <f t="shared" si="193"/>
        <v>110</v>
      </c>
      <c r="N333" s="15">
        <v>6.8</v>
      </c>
      <c r="O333" s="19">
        <f t="shared" si="194"/>
        <v>6.2</v>
      </c>
      <c r="P333" s="1">
        <f>LOOKUP(O333,{0,2.5,2.7,2.9,3.1,3.3,3.5,3.7,3.9,4.1,4.3,4.5,4.7,4.9,5.1,5.3,5.5,5.6,5.7,5.8,5.9},{0,10,20,30,40,50,60,62,64,66,68,70,72,74,76,78,80,85,90,95,100})</f>
        <v>100</v>
      </c>
      <c r="Q333" s="15">
        <v>3.21</v>
      </c>
      <c r="R333" s="15">
        <f t="shared" si="195"/>
        <v>6.79</v>
      </c>
      <c r="S333" s="1">
        <f>LOOKUP(R333,{0,3.75,3.95,4.55,4.75,4.95,5.55,5.6,5.65,5.7,5.75,5.8,5.85,5.9,5.95,6,6.45,6.53,6.6,6.65,6.7},{0,10,20,30,40,50,60,62,64,66,68,70,72,74,76,78,80,85,90,95,100})</f>
        <v>100</v>
      </c>
      <c r="T333" s="21">
        <f t="shared" si="191"/>
        <v>0.0899999999999999</v>
      </c>
      <c r="U333" s="1">
        <f>LOOKUP(T333,{0,0.04,0.08,0.12,0.16,0.2,0.23,0.26,0.29,0.32,0.35},{0,1,2,3,4,5,6,7,8,9,10})</f>
        <v>2</v>
      </c>
      <c r="V333" s="21">
        <f t="shared" si="196"/>
        <v>102</v>
      </c>
      <c r="W333" s="15"/>
      <c r="X333" s="21">
        <f t="shared" si="184"/>
        <v>68</v>
      </c>
      <c r="Y333" s="21">
        <f t="shared" si="197"/>
        <v>109.142857142857</v>
      </c>
    </row>
    <row r="334" ht="15.6" hidden="1" outlineLevel="2" spans="1:25">
      <c r="A334" s="15">
        <v>112</v>
      </c>
      <c r="B334" s="15">
        <v>16</v>
      </c>
      <c r="C334" s="14" t="s">
        <v>585</v>
      </c>
      <c r="D334" s="14" t="s">
        <v>11</v>
      </c>
      <c r="E334" s="15">
        <v>15</v>
      </c>
      <c r="F334" s="1">
        <f>LOOKUP(E334,{0,-4,-3,-2,-1,0,1,2.4,3.8,5.2,6.6,8,9.4,10.8,12.2,13.6,15,17.2,19.4,21.5,23.6},{0,10,20,30,40,50,60,62,64,66,68,70,72,74,76,78,80,85,90,95,100})</f>
        <v>80</v>
      </c>
      <c r="G334" s="15">
        <v>210</v>
      </c>
      <c r="H334" s="1">
        <f>LOOKUP(G334,{0,170,175,180,185,190,195,199,203,207,211,215,219,223,227,231,235,243,250,255,260},{0,10,20,30,40,50,60,62,64,66,68,70,72,74,76,78,80,85,90,95,100})</f>
        <v>66</v>
      </c>
      <c r="I334" s="15">
        <v>20</v>
      </c>
      <c r="J334" s="1">
        <f>LOOKUP(I334,{0,2,3,4,5,6,7,8,9,10,11,12,13,14,15,16},{0,10,20,30,40,50,60,64,68,72,76,80,85,90,95,100})</f>
        <v>100</v>
      </c>
      <c r="K334" s="21">
        <f t="shared" si="192"/>
        <v>4</v>
      </c>
      <c r="L334" s="1">
        <f>LOOKUP(K334,{0,1,2,3,4,5,6,7,8,9,10},{0,1,2,3,4,5,6,7,8,9,10})</f>
        <v>4</v>
      </c>
      <c r="M334" s="21">
        <f t="shared" si="193"/>
        <v>104</v>
      </c>
      <c r="N334" s="15">
        <v>7.4</v>
      </c>
      <c r="O334" s="19">
        <f t="shared" si="194"/>
        <v>5.6</v>
      </c>
      <c r="P334" s="1">
        <f>LOOKUP(O334,{0,2.5,2.7,2.9,3.1,3.3,3.5,3.7,3.9,4.1,4.3,4.5,4.7,4.9,5.1,5.3,5.5,5.6,5.7,5.8,5.9},{0,10,20,30,40,50,60,62,64,66,68,70,72,74,76,78,80,85,90,95,100})</f>
        <v>85</v>
      </c>
      <c r="Q334" s="15">
        <v>3.49</v>
      </c>
      <c r="R334" s="15">
        <f t="shared" si="195"/>
        <v>6.51</v>
      </c>
      <c r="S334" s="1">
        <f>LOOKUP(R334,{0,3.75,3.95,4.55,4.75,4.95,5.55,5.6,5.65,5.7,5.75,5.8,5.85,5.9,5.95,6,6.45,6.53,6.6,6.65,6.7},{0,10,20,30,40,50,60,62,64,66,68,70,72,74,76,78,80,85,90,95,100})</f>
        <v>80</v>
      </c>
      <c r="T334" s="21"/>
      <c r="U334" s="21"/>
      <c r="V334" s="21">
        <f t="shared" si="196"/>
        <v>80</v>
      </c>
      <c r="W334" s="15"/>
      <c r="X334" s="21">
        <f t="shared" si="184"/>
        <v>57.6</v>
      </c>
      <c r="Y334" s="21">
        <f t="shared" si="197"/>
        <v>86.2857142857143</v>
      </c>
    </row>
    <row r="335" ht="15.6" hidden="1" outlineLevel="2" spans="1:25">
      <c r="A335" s="15">
        <v>112</v>
      </c>
      <c r="B335" s="15">
        <v>17</v>
      </c>
      <c r="C335" s="14" t="s">
        <v>586</v>
      </c>
      <c r="D335" s="14" t="s">
        <v>11</v>
      </c>
      <c r="E335" s="15">
        <v>5.3</v>
      </c>
      <c r="F335" s="1">
        <f>LOOKUP(E335,{0,-4,-3,-2,-1,0,1,2.4,3.8,5.2,6.6,8,9.4,10.8,12.2,13.6,15,17.2,19.4,21.5,23.6},{0,10,20,30,40,50,60,62,64,66,68,70,72,74,76,78,80,85,90,95,100})</f>
        <v>66</v>
      </c>
      <c r="G335" s="15">
        <v>230</v>
      </c>
      <c r="H335" s="1">
        <f>LOOKUP(G335,{0,170,175,180,185,190,195,199,203,207,211,215,219,223,227,231,235,243,250,255,260},{0,10,20,30,40,50,60,62,64,66,68,70,72,74,76,78,80,85,90,95,100})</f>
        <v>76</v>
      </c>
      <c r="I335" s="15">
        <v>11</v>
      </c>
      <c r="J335" s="1">
        <f>LOOKUP(I335,{0,2,3,4,5,6,7,8,9,10,11,12,13,14,15,16},{0,10,20,30,40,50,60,64,68,72,76,80,85,90,95,100})</f>
        <v>76</v>
      </c>
      <c r="K335" s="21"/>
      <c r="L335" s="21"/>
      <c r="M335" s="21">
        <f t="shared" si="193"/>
        <v>76</v>
      </c>
      <c r="N335" s="15">
        <v>7.3</v>
      </c>
      <c r="O335" s="19">
        <f t="shared" si="194"/>
        <v>5.7</v>
      </c>
      <c r="P335" s="1">
        <f>LOOKUP(O335,{0,2.5,2.7,2.9,3.1,3.3,3.5,3.7,3.9,4.1,4.3,4.5,4.7,4.9,5.1,5.3,5.5,5.6,5.7,5.8,5.9},{0,10,20,30,40,50,60,62,64,66,68,70,72,74,76,78,80,85,90,95,100})</f>
        <v>90</v>
      </c>
      <c r="Q335" s="15">
        <v>3.25</v>
      </c>
      <c r="R335" s="15">
        <f t="shared" si="195"/>
        <v>6.75</v>
      </c>
      <c r="S335" s="1">
        <f>LOOKUP(R335,{0,3.75,3.95,4.55,4.75,4.95,5.55,5.6,5.65,5.7,5.75,5.8,5.85,5.9,5.95,6,6.45,6.53,6.6,6.65,6.7},{0,10,20,30,40,50,60,62,64,66,68,70,72,74,76,78,80,85,90,95,100})</f>
        <v>100</v>
      </c>
      <c r="T335" s="21">
        <f>3.3-Q335</f>
        <v>0.0499999999999998</v>
      </c>
      <c r="U335" s="1">
        <f>LOOKUP(T335,{0,0.04,0.08,0.12,0.16,0.2,0.23,0.26,0.29,0.32,0.35},{0,1,2,3,4,5,6,7,8,9,10})</f>
        <v>1</v>
      </c>
      <c r="V335" s="21">
        <f t="shared" si="196"/>
        <v>101</v>
      </c>
      <c r="W335" s="15"/>
      <c r="X335" s="21">
        <f t="shared" si="184"/>
        <v>59.8</v>
      </c>
      <c r="Y335" s="21">
        <f t="shared" si="197"/>
        <v>86.4285714285714</v>
      </c>
    </row>
    <row r="336" ht="15.6" hidden="1" outlineLevel="2" spans="1:25">
      <c r="A336" s="15">
        <v>112</v>
      </c>
      <c r="B336" s="15">
        <v>18</v>
      </c>
      <c r="C336" s="14" t="s">
        <v>587</v>
      </c>
      <c r="D336" s="14" t="s">
        <v>11</v>
      </c>
      <c r="E336" s="15">
        <v>21.2</v>
      </c>
      <c r="F336" s="1">
        <f>LOOKUP(E336,{0,-4,-3,-2,-1,0,1,2.4,3.8,5.2,6.6,8,9.4,10.8,12.2,13.6,15,17.2,19.4,21.5,23.6},{0,10,20,30,40,50,60,62,64,66,68,70,72,74,76,78,80,85,90,95,100})</f>
        <v>90</v>
      </c>
      <c r="G336" s="15">
        <v>249</v>
      </c>
      <c r="H336" s="1">
        <f>LOOKUP(G336,{0,170,175,180,185,190,195,199,203,207,211,215,219,223,227,231,235,243,250,255,260},{0,10,20,30,40,50,60,62,64,66,68,70,72,74,76,78,80,85,90,95,100})</f>
        <v>85</v>
      </c>
      <c r="I336" s="15">
        <v>8</v>
      </c>
      <c r="J336" s="1">
        <f>LOOKUP(I336,{0,2,3,4,5,6,7,8,9,10,11,12,13,14,15,16},{0,10,20,30,40,50,60,64,68,72,76,80,85,90,95,100})</f>
        <v>64</v>
      </c>
      <c r="K336" s="21"/>
      <c r="L336" s="21"/>
      <c r="M336" s="21">
        <f t="shared" si="193"/>
        <v>64</v>
      </c>
      <c r="N336" s="15">
        <v>6.9</v>
      </c>
      <c r="O336" s="19">
        <f t="shared" si="194"/>
        <v>6.1</v>
      </c>
      <c r="P336" s="1">
        <f>LOOKUP(O336,{0,2.5,2.7,2.9,3.1,3.3,3.5,3.7,3.9,4.1,4.3,4.5,4.7,4.9,5.1,5.3,5.5,5.6,5.7,5.8,5.9},{0,10,20,30,40,50,60,62,64,66,68,70,72,74,76,78,80,85,90,95,100})</f>
        <v>100</v>
      </c>
      <c r="Q336" s="15">
        <v>3.35</v>
      </c>
      <c r="R336" s="15">
        <f t="shared" si="195"/>
        <v>6.65</v>
      </c>
      <c r="S336" s="1">
        <f>LOOKUP(R336,{0,3.75,3.95,4.55,4.75,4.95,5.55,5.6,5.65,5.7,5.75,5.8,5.85,5.9,5.95,6,6.45,6.53,6.6,6.65,6.7},{0,10,20,30,40,50,60,62,64,66,68,70,72,74,76,78,80,85,90,95,100})</f>
        <v>95</v>
      </c>
      <c r="T336" s="21"/>
      <c r="U336" s="21"/>
      <c r="V336" s="21">
        <f t="shared" si="196"/>
        <v>95</v>
      </c>
      <c r="W336" s="15"/>
      <c r="X336" s="21">
        <f t="shared" si="184"/>
        <v>62.9</v>
      </c>
      <c r="Y336" s="21">
        <f t="shared" si="197"/>
        <v>89.8571428571429</v>
      </c>
    </row>
    <row r="337" ht="15.6" hidden="1" outlineLevel="2" spans="1:25">
      <c r="A337" s="15">
        <v>112</v>
      </c>
      <c r="B337" s="15">
        <v>19</v>
      </c>
      <c r="C337" s="13" t="s">
        <v>589</v>
      </c>
      <c r="D337" s="14" t="s">
        <v>11</v>
      </c>
      <c r="E337" s="15">
        <v>12.5</v>
      </c>
      <c r="F337" s="1">
        <f>LOOKUP(E337,{0,-4,-3,-2,-1,0,1,2.4,3.8,5.2,6.6,8,9.4,10.8,12.2,13.6,15,17.2,19.4,21.5,23.6},{0,10,20,30,40,50,60,62,64,66,68,70,72,74,76,78,80,85,90,95,100})</f>
        <v>76</v>
      </c>
      <c r="G337" s="15">
        <v>234</v>
      </c>
      <c r="H337" s="1">
        <f>LOOKUP(G337,{0,170,175,180,185,190,195,199,203,207,211,215,219,223,227,231,235,243,250,255,260},{0,10,20,30,40,50,60,62,64,66,68,70,72,74,76,78,80,85,90,95,100})</f>
        <v>78</v>
      </c>
      <c r="I337" s="15">
        <v>16</v>
      </c>
      <c r="J337" s="1">
        <f>LOOKUP(I337,{0,2,3,4,5,6,7,8,9,10,11,12,13,14,15,16},{0,10,20,30,40,50,60,64,68,72,76,80,85,90,95,100})</f>
        <v>100</v>
      </c>
      <c r="K337" s="21">
        <f t="shared" ref="K337:K340" si="198">I337-16</f>
        <v>0</v>
      </c>
      <c r="L337" s="1">
        <f>LOOKUP(K337,{0,1,2,3,4,5,6,7,8,9,10},{0,1,2,3,4,5,6,7,8,9,10})</f>
        <v>0</v>
      </c>
      <c r="M337" s="21">
        <f t="shared" si="193"/>
        <v>100</v>
      </c>
      <c r="N337" s="15">
        <v>7.6</v>
      </c>
      <c r="O337" s="19">
        <f t="shared" si="194"/>
        <v>5.4</v>
      </c>
      <c r="P337" s="1">
        <f>LOOKUP(O337,{0,2.5,2.7,2.9,3.1,3.3,3.5,3.7,3.9,4.1,4.3,4.5,4.7,4.9,5.1,5.3,5.5,5.6,5.7,5.8,5.9},{0,10,20,30,40,50,60,62,64,66,68,70,72,74,76,78,80,85,90,95,100})</f>
        <v>78</v>
      </c>
      <c r="Q337" s="15">
        <v>3.43</v>
      </c>
      <c r="R337" s="15">
        <f t="shared" si="195"/>
        <v>6.57</v>
      </c>
      <c r="S337" s="1">
        <f>LOOKUP(R337,{0,3.75,3.95,4.55,4.75,4.95,5.55,5.6,5.65,5.7,5.75,5.8,5.85,5.9,5.95,6,6.45,6.53,6.6,6.65,6.7},{0,10,20,30,40,50,60,62,64,66,68,70,72,74,76,78,80,85,90,95,100})</f>
        <v>85</v>
      </c>
      <c r="T337" s="21"/>
      <c r="U337" s="21"/>
      <c r="V337" s="21">
        <f t="shared" si="196"/>
        <v>85</v>
      </c>
      <c r="W337" s="15"/>
      <c r="X337" s="21">
        <f t="shared" si="184"/>
        <v>58</v>
      </c>
      <c r="Y337" s="21">
        <f t="shared" si="197"/>
        <v>82.8571428571429</v>
      </c>
    </row>
    <row r="338" s="3" customFormat="1" ht="15.6" hidden="1" outlineLevel="2" spans="1:25">
      <c r="A338" s="15">
        <v>112</v>
      </c>
      <c r="B338" s="15">
        <v>20</v>
      </c>
      <c r="C338" s="14" t="s">
        <v>590</v>
      </c>
      <c r="D338" s="14" t="s">
        <v>11</v>
      </c>
      <c r="E338" s="15">
        <v>17.4</v>
      </c>
      <c r="F338" s="1">
        <f>LOOKUP(E338,{0,-4,-3,-2,-1,0,1,2.4,3.8,5.2,6.6,8,9.4,10.8,12.2,13.6,15,17.2,19.4,21.5,23.6},{0,10,20,30,40,50,60,62,64,66,68,70,72,74,76,78,80,85,90,95,100})</f>
        <v>85</v>
      </c>
      <c r="G338" s="15">
        <v>220</v>
      </c>
      <c r="H338" s="1">
        <f>LOOKUP(G338,{0,170,175,180,185,190,195,199,203,207,211,215,219,223,227,231,235,243,250,255,260},{0,10,20,30,40,50,60,62,64,66,68,70,72,74,76,78,80,85,90,95,100})</f>
        <v>72</v>
      </c>
      <c r="I338" s="15">
        <v>26</v>
      </c>
      <c r="J338" s="1">
        <f>LOOKUP(I338,{0,2,3,4,5,6,7,8,9,10,11,12,13,14,15,16},{0,10,20,30,40,50,60,64,68,72,76,80,85,90,95,100})</f>
        <v>100</v>
      </c>
      <c r="K338" s="21">
        <f t="shared" si="198"/>
        <v>10</v>
      </c>
      <c r="L338" s="1">
        <f>LOOKUP(K338,{0,1,2,3,4,5,6,7,8,9,10},{0,1,2,3,4,5,6,7,8,9,10})</f>
        <v>10</v>
      </c>
      <c r="M338" s="21">
        <f t="shared" si="193"/>
        <v>110</v>
      </c>
      <c r="N338" s="15"/>
      <c r="O338" s="19"/>
      <c r="P338" s="1"/>
      <c r="Q338" s="15">
        <v>3.26</v>
      </c>
      <c r="R338" s="15">
        <f t="shared" si="195"/>
        <v>6.74</v>
      </c>
      <c r="S338" s="1">
        <f>LOOKUP(R338,{0,3.75,3.95,4.55,4.75,4.95,5.55,5.6,5.65,5.7,5.75,5.8,5.85,5.9,5.95,6,6.45,6.53,6.6,6.65,6.7},{0,10,20,30,40,50,60,62,64,66,68,70,72,74,76,78,80,85,90,95,100})</f>
        <v>100</v>
      </c>
      <c r="T338" s="21">
        <f>3.3-Q338</f>
        <v>0.04</v>
      </c>
      <c r="U338" s="1">
        <f>LOOKUP(T338,{0,0.04,0.08,0.12,0.16,0.2,0.23,0.26,0.29,0.32,0.35},{0,1,2,3,4,5,6,7,8,9,10})</f>
        <v>1</v>
      </c>
      <c r="V338" s="21">
        <f t="shared" si="196"/>
        <v>101</v>
      </c>
      <c r="W338" s="15"/>
      <c r="X338" s="21">
        <f t="shared" si="184"/>
        <v>45.7</v>
      </c>
      <c r="Y338" s="21">
        <f t="shared" si="197"/>
        <v>76.2857142857143</v>
      </c>
    </row>
    <row r="339" ht="15.6" hidden="1" outlineLevel="2" spans="1:25">
      <c r="A339" s="15">
        <v>112</v>
      </c>
      <c r="B339" s="15">
        <v>21</v>
      </c>
      <c r="C339" s="14" t="s">
        <v>591</v>
      </c>
      <c r="D339" s="14" t="s">
        <v>11</v>
      </c>
      <c r="E339" s="15">
        <v>20</v>
      </c>
      <c r="F339" s="1">
        <f>LOOKUP(E339,{0,-4,-3,-2,-1,0,1,2.4,3.8,5.2,6.6,8,9.4,10.8,12.2,13.6,15,17.2,19.4,21.5,23.6},{0,10,20,30,40,50,60,62,64,66,68,70,72,74,76,78,80,85,90,95,100})</f>
        <v>90</v>
      </c>
      <c r="G339" s="15">
        <v>247</v>
      </c>
      <c r="H339" s="1">
        <f>LOOKUP(G339,{0,170,175,180,185,190,195,199,203,207,211,215,219,223,227,231,235,243,250,255,260},{0,10,20,30,40,50,60,62,64,66,68,70,72,74,76,78,80,85,90,95,100})</f>
        <v>85</v>
      </c>
      <c r="I339" s="15">
        <v>26</v>
      </c>
      <c r="J339" s="1">
        <f>LOOKUP(I339,{0,2,3,4,5,6,7,8,9,10,11,12,13,14,15,16},{0,10,20,30,40,50,60,64,68,72,76,80,85,90,95,100})</f>
        <v>100</v>
      </c>
      <c r="K339" s="21">
        <f t="shared" si="198"/>
        <v>10</v>
      </c>
      <c r="L339" s="1">
        <f>LOOKUP(K339,{0,1,2,3,4,5,6,7,8,9,10},{0,1,2,3,4,5,6,7,8,9,10})</f>
        <v>10</v>
      </c>
      <c r="M339" s="21">
        <f t="shared" si="193"/>
        <v>110</v>
      </c>
      <c r="N339" s="15">
        <v>7.2</v>
      </c>
      <c r="O339" s="19">
        <f t="shared" ref="O339:O345" si="199">13-N339</f>
        <v>5.8</v>
      </c>
      <c r="P339" s="1">
        <f>LOOKUP(O339,{0,2.5,2.7,2.9,3.1,3.3,3.5,3.7,3.9,4.1,4.3,4.5,4.7,4.9,5.1,5.3,5.5,5.6,5.7,5.8,5.9},{0,10,20,30,40,50,60,62,64,66,68,70,72,74,76,78,80,85,90,95,100})</f>
        <v>95</v>
      </c>
      <c r="Q339" s="15">
        <v>3.31</v>
      </c>
      <c r="R339" s="15">
        <f t="shared" si="195"/>
        <v>6.69</v>
      </c>
      <c r="S339" s="1">
        <f>LOOKUP(R339,{0,3.75,3.95,4.55,4.75,4.95,5.55,5.6,5.65,5.7,5.75,5.8,5.85,5.9,5.95,6,6.45,6.53,6.6,6.65,6.7},{0,10,20,30,40,50,60,62,64,66,68,70,72,74,76,78,80,85,90,95,100})</f>
        <v>95</v>
      </c>
      <c r="T339" s="21"/>
      <c r="U339" s="21"/>
      <c r="V339" s="21">
        <f t="shared" si="196"/>
        <v>95</v>
      </c>
      <c r="W339" s="15"/>
      <c r="X339" s="21">
        <f t="shared" si="184"/>
        <v>65.5</v>
      </c>
      <c r="Y339" s="21">
        <f t="shared" si="197"/>
        <v>103.571428571429</v>
      </c>
    </row>
    <row r="340" ht="15.6" hidden="1" outlineLevel="2" spans="1:25">
      <c r="A340" s="15">
        <v>112</v>
      </c>
      <c r="B340" s="15">
        <v>22</v>
      </c>
      <c r="C340" s="14" t="s">
        <v>592</v>
      </c>
      <c r="D340" s="14" t="s">
        <v>11</v>
      </c>
      <c r="E340" s="15">
        <v>7.9</v>
      </c>
      <c r="F340" s="1">
        <f>LOOKUP(E340,{0,-4,-3,-2,-1,0,1,2.4,3.8,5.2,6.6,8,9.4,10.8,12.2,13.6,15,17.2,19.4,21.5,23.6},{0,10,20,30,40,50,60,62,64,66,68,70,72,74,76,78,80,85,90,95,100})</f>
        <v>68</v>
      </c>
      <c r="G340" s="15">
        <v>210</v>
      </c>
      <c r="H340" s="1">
        <f>LOOKUP(G340,{0,170,175,180,185,190,195,199,203,207,211,215,219,223,227,231,235,243,250,255,260},{0,10,20,30,40,50,60,62,64,66,68,70,72,74,76,78,80,85,90,95,100})</f>
        <v>66</v>
      </c>
      <c r="I340" s="15">
        <v>18</v>
      </c>
      <c r="J340" s="1">
        <f>LOOKUP(I340,{0,2,3,4,5,6,7,8,9,10,11,12,13,14,15,16},{0,10,20,30,40,50,60,64,68,72,76,80,85,90,95,100})</f>
        <v>100</v>
      </c>
      <c r="K340" s="21">
        <f t="shared" si="198"/>
        <v>2</v>
      </c>
      <c r="L340" s="1">
        <f>LOOKUP(K340,{0,1,2,3,4,5,6,7,8,9,10},{0,1,2,3,4,5,6,7,8,9,10})</f>
        <v>2</v>
      </c>
      <c r="M340" s="21">
        <f t="shared" si="193"/>
        <v>102</v>
      </c>
      <c r="N340" s="15">
        <v>7.5</v>
      </c>
      <c r="O340" s="19">
        <f t="shared" si="199"/>
        <v>5.5</v>
      </c>
      <c r="P340" s="1">
        <f>LOOKUP(O340,{0,2.5,2.7,2.9,3.1,3.3,3.5,3.7,3.9,4.1,4.3,4.5,4.7,4.9,5.1,5.3,5.5,5.6,5.7,5.8,5.9},{0,10,20,30,40,50,60,62,64,66,68,70,72,74,76,78,80,85,90,95,100})</f>
        <v>80</v>
      </c>
      <c r="Q340" s="15">
        <v>3.46</v>
      </c>
      <c r="R340" s="15">
        <f t="shared" si="195"/>
        <v>6.54</v>
      </c>
      <c r="S340" s="1">
        <f>LOOKUP(R340,{0,3.75,3.95,4.55,4.75,4.95,5.55,5.6,5.65,5.7,5.75,5.8,5.85,5.9,5.95,6,6.45,6.53,6.6,6.65,6.7},{0,10,20,30,40,50,60,62,64,66,68,70,72,74,76,78,80,85,90,95,100})</f>
        <v>85</v>
      </c>
      <c r="T340" s="21"/>
      <c r="U340" s="21"/>
      <c r="V340" s="21">
        <f t="shared" si="196"/>
        <v>85</v>
      </c>
      <c r="W340" s="15"/>
      <c r="X340" s="21">
        <f t="shared" si="184"/>
        <v>56.4</v>
      </c>
      <c r="Y340" s="21">
        <f t="shared" si="197"/>
        <v>82.5714285714286</v>
      </c>
    </row>
    <row r="341" ht="15.6" hidden="1" outlineLevel="2" spans="1:25">
      <c r="A341" s="15">
        <v>112</v>
      </c>
      <c r="B341" s="15">
        <v>23</v>
      </c>
      <c r="C341" s="14" t="s">
        <v>593</v>
      </c>
      <c r="D341" s="14" t="s">
        <v>11</v>
      </c>
      <c r="E341" s="15">
        <v>4</v>
      </c>
      <c r="F341" s="1">
        <f>LOOKUP(E341,{0,-4,-3,-2,-1,0,1,2.4,3.8,5.2,6.6,8,9.4,10.8,12.2,13.6,15,17.2,19.4,21.5,23.6},{0,10,20,30,40,50,60,62,64,66,68,70,72,74,76,78,80,85,90,95,100})</f>
        <v>64</v>
      </c>
      <c r="G341" s="15">
        <v>228</v>
      </c>
      <c r="H341" s="1">
        <f>LOOKUP(G341,{0,170,175,180,185,190,195,199,203,207,211,215,219,223,227,231,235,243,250,255,260},{0,10,20,30,40,50,60,62,64,66,68,70,72,74,76,78,80,85,90,95,100})</f>
        <v>76</v>
      </c>
      <c r="I341" s="15">
        <v>3</v>
      </c>
      <c r="J341" s="1">
        <f>LOOKUP(I341,{0,2,3,4,5,6,7,8,9,10,11,12,13,14,15,16},{0,10,20,30,40,50,60,64,68,72,76,80,85,90,95,100})</f>
        <v>20</v>
      </c>
      <c r="K341" s="21"/>
      <c r="L341" s="21"/>
      <c r="M341" s="21">
        <f t="shared" si="193"/>
        <v>20</v>
      </c>
      <c r="N341" s="15">
        <v>7.7</v>
      </c>
      <c r="O341" s="19">
        <f t="shared" si="199"/>
        <v>5.3</v>
      </c>
      <c r="P341" s="1">
        <f>LOOKUP(O341,{0,2.5,2.7,2.9,3.1,3.3,3.5,3.7,3.9,4.1,4.3,4.5,4.7,4.9,5.1,5.3,5.5,5.6,5.7,5.8,5.9},{0,10,20,30,40,50,60,62,64,66,68,70,72,74,76,78,80,85,90,95,100})</f>
        <v>78</v>
      </c>
      <c r="Q341" s="15">
        <v>3.52</v>
      </c>
      <c r="R341" s="15">
        <f t="shared" si="195"/>
        <v>6.48</v>
      </c>
      <c r="S341" s="1">
        <f>LOOKUP(R341,{0,3.75,3.95,4.55,4.75,4.95,5.55,5.6,5.65,5.7,5.75,5.8,5.85,5.9,5.95,6,6.45,6.53,6.6,6.65,6.7},{0,10,20,30,40,50,60,62,64,66,68,70,72,74,76,78,80,85,90,95,100})</f>
        <v>80</v>
      </c>
      <c r="T341" s="21"/>
      <c r="U341" s="21"/>
      <c r="V341" s="21">
        <f t="shared" si="196"/>
        <v>80</v>
      </c>
      <c r="W341" s="15"/>
      <c r="X341" s="21">
        <f t="shared" si="184"/>
        <v>47.6</v>
      </c>
      <c r="Y341" s="21">
        <f t="shared" si="197"/>
        <v>68</v>
      </c>
    </row>
    <row r="342" ht="15.6" hidden="1" outlineLevel="2" spans="1:25">
      <c r="A342" s="15">
        <v>112</v>
      </c>
      <c r="B342" s="15">
        <v>24</v>
      </c>
      <c r="C342" s="14" t="s">
        <v>594</v>
      </c>
      <c r="D342" s="14" t="s">
        <v>11</v>
      </c>
      <c r="E342" s="15">
        <v>18.3</v>
      </c>
      <c r="F342" s="1">
        <f>LOOKUP(E342,{0,-4,-3,-2,-1,0,1,2.4,3.8,5.2,6.6,8,9.4,10.8,12.2,13.6,15,17.2,19.4,21.5,23.6},{0,10,20,30,40,50,60,62,64,66,68,70,72,74,76,78,80,85,90,95,100})</f>
        <v>85</v>
      </c>
      <c r="G342" s="15">
        <v>240</v>
      </c>
      <c r="H342" s="1">
        <f>LOOKUP(G342,{0,170,175,180,185,190,195,199,203,207,211,215,219,223,227,231,235,243,250,255,260},{0,10,20,30,40,50,60,62,64,66,68,70,72,74,76,78,80,85,90,95,100})</f>
        <v>80</v>
      </c>
      <c r="I342" s="15">
        <v>11</v>
      </c>
      <c r="J342" s="1">
        <f>LOOKUP(I342,{0,2,3,4,5,6,7,8,9,10,11,12,13,14,15,16},{0,10,20,30,40,50,60,64,68,72,76,80,85,90,95,100})</f>
        <v>76</v>
      </c>
      <c r="K342" s="21"/>
      <c r="L342" s="21"/>
      <c r="M342" s="21">
        <f t="shared" si="193"/>
        <v>76</v>
      </c>
      <c r="N342" s="15">
        <v>7</v>
      </c>
      <c r="O342" s="19">
        <f t="shared" si="199"/>
        <v>6</v>
      </c>
      <c r="P342" s="1">
        <f>LOOKUP(O342,{0,2.5,2.7,2.9,3.1,3.3,3.5,3.7,3.9,4.1,4.3,4.5,4.7,4.9,5.1,5.3,5.5,5.6,5.7,5.8,5.9},{0,10,20,30,40,50,60,62,64,66,68,70,72,74,76,78,80,85,90,95,100})</f>
        <v>100</v>
      </c>
      <c r="Q342" s="15">
        <v>3.27</v>
      </c>
      <c r="R342" s="15">
        <f t="shared" si="195"/>
        <v>6.73</v>
      </c>
      <c r="S342" s="1">
        <f>LOOKUP(R342,{0,3.75,3.95,4.55,4.75,4.95,5.55,5.6,5.65,5.7,5.75,5.8,5.85,5.9,5.95,6,6.45,6.53,6.6,6.65,6.7},{0,10,20,30,40,50,60,62,64,66,68,70,72,74,76,78,80,85,90,95,100})</f>
        <v>100</v>
      </c>
      <c r="T342" s="21">
        <f>3.3-Q342</f>
        <v>0.0299999999999998</v>
      </c>
      <c r="U342" s="1">
        <f>LOOKUP(T342,{0,0.04,0.08,0.12,0.16,0.2,0.23,0.26,0.29,0.32,0.35},{0,1,2,3,4,5,6,7,8,9,10})</f>
        <v>0</v>
      </c>
      <c r="V342" s="21">
        <f t="shared" si="196"/>
        <v>100</v>
      </c>
      <c r="W342" s="15"/>
      <c r="X342" s="21">
        <f t="shared" si="184"/>
        <v>64.1</v>
      </c>
      <c r="Y342" s="21">
        <f t="shared" si="197"/>
        <v>91.5714285714286</v>
      </c>
    </row>
    <row r="343" ht="15.6" hidden="1" outlineLevel="2" spans="1:25">
      <c r="A343" s="15">
        <v>112</v>
      </c>
      <c r="B343" s="15">
        <v>25</v>
      </c>
      <c r="C343" s="8" t="s">
        <v>595</v>
      </c>
      <c r="D343" s="8" t="s">
        <v>11</v>
      </c>
      <c r="E343" s="15">
        <v>14.2</v>
      </c>
      <c r="F343" s="1">
        <f>LOOKUP(E343,{0,-4,-3,-2,-1,0,1,2.4,3.8,5.2,6.6,8,9.4,10.8,12.2,13.6,15,17.2,19.4,21.5,23.6},{0,10,20,30,40,50,60,62,64,66,68,70,72,74,76,78,80,85,90,95,100})</f>
        <v>78</v>
      </c>
      <c r="G343" s="15">
        <v>235</v>
      </c>
      <c r="H343" s="1">
        <f>LOOKUP(G343,{0,170,175,180,185,190,195,199,203,207,211,215,219,223,227,231,235,243,250,255,260},{0,10,20,30,40,50,60,62,64,66,68,70,72,74,76,78,80,85,90,95,100})</f>
        <v>80</v>
      </c>
      <c r="I343" s="15">
        <v>15</v>
      </c>
      <c r="J343" s="1">
        <f>LOOKUP(I343,{0,2,3,4,5,6,7,8,9,10,11,12,13,14,15,16},{0,10,20,30,40,50,60,64,68,72,76,80,85,90,95,100})</f>
        <v>95</v>
      </c>
      <c r="K343" s="21"/>
      <c r="L343" s="21"/>
      <c r="M343" s="21">
        <f t="shared" si="193"/>
        <v>95</v>
      </c>
      <c r="N343" s="15">
        <v>7.5</v>
      </c>
      <c r="O343" s="19">
        <f t="shared" si="199"/>
        <v>5.5</v>
      </c>
      <c r="P343" s="1">
        <f>LOOKUP(O343,{0,2.5,2.7,2.9,3.1,3.3,3.5,3.7,3.9,4.1,4.3,4.5,4.7,4.9,5.1,5.3,5.5,5.6,5.7,5.8,5.9},{0,10,20,30,40,50,60,62,64,66,68,70,72,74,76,78,80,85,90,95,100})</f>
        <v>80</v>
      </c>
      <c r="Q343" s="15">
        <v>3.41</v>
      </c>
      <c r="R343" s="15">
        <f t="shared" si="195"/>
        <v>6.59</v>
      </c>
      <c r="S343" s="1">
        <f>LOOKUP(R343,{0,3.75,3.95,4.55,4.75,4.95,5.55,5.6,5.65,5.7,5.75,5.8,5.85,5.9,5.95,6,6.45,6.53,6.6,6.65,6.7},{0,10,20,30,40,50,60,62,64,66,68,70,72,74,76,78,80,85,90,95,100})</f>
        <v>85</v>
      </c>
      <c r="T343" s="21"/>
      <c r="U343" s="21"/>
      <c r="V343" s="21">
        <f t="shared" si="196"/>
        <v>85</v>
      </c>
      <c r="W343" s="15"/>
      <c r="X343" s="21">
        <f t="shared" si="184"/>
        <v>58.3</v>
      </c>
      <c r="Y343" s="21">
        <f t="shared" si="197"/>
        <v>83.2857142857143</v>
      </c>
    </row>
    <row r="344" ht="15.6" hidden="1" outlineLevel="2" spans="1:25">
      <c r="A344" s="15">
        <v>112</v>
      </c>
      <c r="B344" s="15">
        <v>26</v>
      </c>
      <c r="C344" s="15" t="s">
        <v>596</v>
      </c>
      <c r="D344" s="8" t="s">
        <v>11</v>
      </c>
      <c r="E344" s="15">
        <v>11.2</v>
      </c>
      <c r="F344" s="1">
        <f>LOOKUP(E344,{0,-4,-3,-2,-1,0,1,2.4,3.8,5.2,6.6,8,9.4,10.8,12.2,13.6,15,17.2,19.4,21.5,23.6},{0,10,20,30,40,50,60,62,64,66,68,70,72,74,76,78,80,85,90,95,100})</f>
        <v>74</v>
      </c>
      <c r="G344" s="15">
        <v>210</v>
      </c>
      <c r="H344" s="1">
        <f>LOOKUP(G344,{0,170,175,180,185,190,195,199,203,207,211,215,219,223,227,231,235,243,250,255,260},{0,10,20,30,40,50,60,62,64,66,68,70,72,74,76,78,80,85,90,95,100})</f>
        <v>66</v>
      </c>
      <c r="I344" s="15">
        <v>6</v>
      </c>
      <c r="J344" s="1">
        <f>LOOKUP(I344,{0,2,3,4,5,6,7,8,9,10,11,12,13,14,15,16},{0,10,20,30,40,50,60,64,68,72,76,80,85,90,95,100})</f>
        <v>50</v>
      </c>
      <c r="K344" s="21"/>
      <c r="L344" s="21"/>
      <c r="M344" s="21">
        <f t="shared" si="193"/>
        <v>50</v>
      </c>
      <c r="N344" s="15">
        <v>7.9</v>
      </c>
      <c r="O344" s="19">
        <f t="shared" si="199"/>
        <v>5.1</v>
      </c>
      <c r="P344" s="1">
        <f>LOOKUP(O344,{0,2.5,2.7,2.9,3.1,3.3,3.5,3.7,3.9,4.1,4.3,4.5,4.7,4.9,5.1,5.3,5.5,5.6,5.7,5.8,5.9},{0,10,20,30,40,50,60,62,64,66,68,70,72,74,76,78,80,85,90,95,100})</f>
        <v>76</v>
      </c>
      <c r="Q344" s="15">
        <v>3.5</v>
      </c>
      <c r="R344" s="15">
        <f t="shared" si="195"/>
        <v>6.5</v>
      </c>
      <c r="S344" s="1">
        <f>LOOKUP(R344,{0,3.75,3.95,4.55,4.75,4.95,5.55,5.6,5.65,5.7,5.75,5.8,5.85,5.9,5.95,6,6.45,6.53,6.6,6.65,6.7},{0,10,20,30,40,50,60,62,64,66,68,70,72,74,76,78,80,85,90,95,100})</f>
        <v>80</v>
      </c>
      <c r="T344" s="21"/>
      <c r="U344" s="21"/>
      <c r="V344" s="21">
        <f t="shared" si="196"/>
        <v>80</v>
      </c>
      <c r="W344" s="15"/>
      <c r="X344" s="21">
        <f t="shared" si="184"/>
        <v>50.2</v>
      </c>
      <c r="Y344" s="21">
        <f t="shared" si="197"/>
        <v>71.7142857142857</v>
      </c>
    </row>
    <row r="345" ht="15.6" hidden="1" outlineLevel="2" spans="1:25">
      <c r="A345" s="15">
        <v>112</v>
      </c>
      <c r="B345" s="15">
        <v>27</v>
      </c>
      <c r="C345" s="8" t="s">
        <v>597</v>
      </c>
      <c r="D345" s="8" t="s">
        <v>11</v>
      </c>
      <c r="E345" s="15"/>
      <c r="F345" s="1"/>
      <c r="G345" s="15"/>
      <c r="H345" s="1"/>
      <c r="I345" s="15"/>
      <c r="J345" s="1"/>
      <c r="K345" s="21"/>
      <c r="L345" s="21"/>
      <c r="M345" s="21"/>
      <c r="N345" s="15">
        <v>7.5</v>
      </c>
      <c r="O345" s="19">
        <f t="shared" si="199"/>
        <v>5.5</v>
      </c>
      <c r="P345" s="1">
        <f>LOOKUP(O345,{0,2.5,2.7,2.9,3.1,3.3,3.5,3.7,3.9,4.1,4.3,4.5,4.7,4.9,5.1,5.3,5.5,5.6,5.7,5.8,5.9},{0,10,20,30,40,50,60,62,64,66,68,70,72,74,76,78,80,85,90,95,100})</f>
        <v>80</v>
      </c>
      <c r="Q345" s="15"/>
      <c r="R345" s="15"/>
      <c r="S345" s="1"/>
      <c r="T345" s="21"/>
      <c r="U345" s="1"/>
      <c r="V345" s="21"/>
      <c r="W345" s="15" t="s">
        <v>513</v>
      </c>
      <c r="X345" s="21">
        <f t="shared" si="184"/>
        <v>16</v>
      </c>
      <c r="Y345" s="21">
        <v>50</v>
      </c>
    </row>
    <row r="346" ht="15.6" outlineLevel="1" collapsed="1" spans="1:25">
      <c r="A346" s="16" t="s">
        <v>853</v>
      </c>
      <c r="B346" s="15"/>
      <c r="C346" s="8"/>
      <c r="D346" s="8"/>
      <c r="E346" s="15"/>
      <c r="F346" s="1">
        <f>SUBTOTAL(1,F319:F345)</f>
        <v>75.4166666666667</v>
      </c>
      <c r="G346" s="15"/>
      <c r="H346" s="1">
        <f>SUBTOTAL(1,H319:H345)</f>
        <v>78.875</v>
      </c>
      <c r="I346" s="15"/>
      <c r="J346" s="1">
        <f>SUBTOTAL(1,J319:J345)</f>
        <v>68.7083333333333</v>
      </c>
      <c r="K346" s="21"/>
      <c r="L346" s="21"/>
      <c r="M346" s="21">
        <f>SUBTOTAL(1,M319:M345)</f>
        <v>70.9583333333333</v>
      </c>
      <c r="N346" s="15"/>
      <c r="O346" s="19"/>
      <c r="P346" s="1">
        <f>SUBTOTAL(1,P319:P345)</f>
        <v>86.875</v>
      </c>
      <c r="Q346" s="15"/>
      <c r="R346" s="15"/>
      <c r="S346" s="1">
        <f>SUBTOTAL(1,S319:S345)</f>
        <v>88.5416666666667</v>
      </c>
      <c r="T346" s="21"/>
      <c r="U346" s="1"/>
      <c r="V346" s="21">
        <f>SUBTOTAL(1,V319:V345)</f>
        <v>88.75</v>
      </c>
      <c r="W346" s="15"/>
      <c r="X346" s="21">
        <f>SUBTOTAL(1,X319:X345)</f>
        <v>51.0074074074074</v>
      </c>
      <c r="Y346" s="21">
        <f>SUBTOTAL(1,Y319:Y345)</f>
        <v>79.7619047619048</v>
      </c>
    </row>
    <row r="347" ht="15.6" hidden="1" outlineLevel="2" spans="1:25">
      <c r="A347" s="15">
        <v>113</v>
      </c>
      <c r="B347" s="15">
        <v>1</v>
      </c>
      <c r="C347" s="13" t="s">
        <v>623</v>
      </c>
      <c r="D347" s="14" t="s">
        <v>11</v>
      </c>
      <c r="E347" s="15">
        <v>3.5</v>
      </c>
      <c r="F347" s="1">
        <f>LOOKUP(E347,{0,-4,-3,-2,-1,0,1,2.4,3.8,5.2,6.6,8,9.4,10.8,12.2,13.6,15,17.2,19.4,21.5,23.6},{0,10,20,30,40,50,60,62,64,66,68,70,72,74,76,78,80,85,90,95,100})</f>
        <v>62</v>
      </c>
      <c r="G347" s="15">
        <v>178</v>
      </c>
      <c r="H347" s="1">
        <f>LOOKUP(G347,{0,170,175,180,185,190,195,199,203,207,211,215,219,223,227,231,235,243,250,255,260},{0,10,20,30,40,50,60,62,64,66,68,70,72,74,76,78,80,85,90,95,100})</f>
        <v>20</v>
      </c>
      <c r="I347" s="15">
        <v>0</v>
      </c>
      <c r="J347" s="1">
        <f>LOOKUP(I347,{0,2,3,4,5,6,7,8,9,10,11,12,13,14,15,16},{0,10,20,30,40,50,60,64,68,72,76,80,85,90,95,100})</f>
        <v>0</v>
      </c>
      <c r="K347" s="21"/>
      <c r="L347" s="21"/>
      <c r="M347" s="21">
        <f t="shared" ref="M347:M371" si="200">J347+L347</f>
        <v>0</v>
      </c>
      <c r="N347" s="15">
        <v>8.4</v>
      </c>
      <c r="O347" s="19">
        <f t="shared" ref="O347:O371" si="201">13-N347</f>
        <v>4.6</v>
      </c>
      <c r="P347" s="1">
        <f>LOOKUP(O347,{0,2.5,2.7,2.9,3.1,3.3,3.5,3.7,3.9,4.1,4.3,4.5,4.7,4.9,5.1,5.3,5.5,5.6,5.7,5.8,5.9},{0,10,20,30,40,50,60,62,64,66,68,70,72,74,76,78,80,85,90,95,100})</f>
        <v>70</v>
      </c>
      <c r="Q347" s="15">
        <v>4.08</v>
      </c>
      <c r="R347" s="15">
        <f t="shared" ref="R347:R369" si="202">10-Q347</f>
        <v>5.92</v>
      </c>
      <c r="S347" s="1">
        <f>LOOKUP(R347,{0,3.75,3.95,4.55,4.75,4.95,5.55,5.6,5.65,5.7,5.75,5.8,5.85,5.9,5.95,6,6.45,6.53,6.6,6.65,6.7},{0,10,20,30,40,50,60,62,64,66,68,70,72,74,76,78,80,85,90,95,100})</f>
        <v>74</v>
      </c>
      <c r="T347" s="21"/>
      <c r="U347" s="21"/>
      <c r="V347" s="21">
        <f t="shared" ref="V347:V369" si="203">S347+U347</f>
        <v>74</v>
      </c>
      <c r="W347" s="15"/>
      <c r="X347" s="21">
        <f t="shared" ref="X347:X371" si="204">F347*0.1+H347*0.1+J347*0.1+P347*0.2+S347*0.2</f>
        <v>37</v>
      </c>
      <c r="Y347" s="21">
        <f t="shared" ref="Y347:Y371" si="205">X347/0.7+L347+U347</f>
        <v>52.8571428571429</v>
      </c>
    </row>
    <row r="348" ht="15.6" hidden="1" outlineLevel="2" spans="1:25">
      <c r="A348" s="15">
        <v>113</v>
      </c>
      <c r="B348" s="15">
        <v>2</v>
      </c>
      <c r="C348" s="14" t="s">
        <v>624</v>
      </c>
      <c r="D348" s="14" t="s">
        <v>11</v>
      </c>
      <c r="E348" s="15">
        <v>9.5</v>
      </c>
      <c r="F348" s="1">
        <f>LOOKUP(E348,{0,-4,-3,-2,-1,0,1,2.4,3.8,5.2,6.6,8,9.4,10.8,12.2,13.6,15,17.2,19.4,21.5,23.6},{0,10,20,30,40,50,60,62,64,66,68,70,72,74,76,78,80,85,90,95,100})</f>
        <v>72</v>
      </c>
      <c r="G348" s="15">
        <v>235</v>
      </c>
      <c r="H348" s="1">
        <f>LOOKUP(G348,{0,170,175,180,185,190,195,199,203,207,211,215,219,223,227,231,235,243,250,255,260},{0,10,20,30,40,50,60,62,64,66,68,70,72,74,76,78,80,85,90,95,100})</f>
        <v>80</v>
      </c>
      <c r="I348" s="15">
        <v>0</v>
      </c>
      <c r="J348" s="1">
        <f>LOOKUP(I348,{0,2,3,4,5,6,7,8,9,10,11,12,13,14,15,16},{0,10,20,30,40,50,60,64,68,72,76,80,85,90,95,100})</f>
        <v>0</v>
      </c>
      <c r="K348" s="21"/>
      <c r="L348" s="21"/>
      <c r="M348" s="21">
        <f t="shared" si="200"/>
        <v>0</v>
      </c>
      <c r="N348" s="15">
        <v>7.1</v>
      </c>
      <c r="O348" s="19">
        <f t="shared" si="201"/>
        <v>5.9</v>
      </c>
      <c r="P348" s="1">
        <f>LOOKUP(O348,{0,2.5,2.7,2.9,3.1,3.3,3.5,3.7,3.9,4.1,4.3,4.5,4.7,4.9,5.1,5.3,5.5,5.6,5.7,5.8,5.9},{0,10,20,30,40,50,60,62,64,66,68,70,72,74,76,78,80,85,90,95,100})</f>
        <v>100</v>
      </c>
      <c r="Q348" s="15">
        <v>3.44</v>
      </c>
      <c r="R348" s="15">
        <f t="shared" si="202"/>
        <v>6.56</v>
      </c>
      <c r="S348" s="1">
        <f>LOOKUP(R348,{0,3.75,3.95,4.55,4.75,4.95,5.55,5.6,5.65,5.7,5.75,5.8,5.85,5.9,5.95,6,6.45,6.53,6.6,6.65,6.7},{0,10,20,30,40,50,60,62,64,66,68,70,72,74,76,78,80,85,90,95,100})</f>
        <v>85</v>
      </c>
      <c r="T348" s="21"/>
      <c r="U348" s="21"/>
      <c r="V348" s="21">
        <f t="shared" si="203"/>
        <v>85</v>
      </c>
      <c r="W348" s="15"/>
      <c r="X348" s="21">
        <f t="shared" si="204"/>
        <v>52.2</v>
      </c>
      <c r="Y348" s="21">
        <f t="shared" si="205"/>
        <v>74.5714285714286</v>
      </c>
    </row>
    <row r="349" s="3" customFormat="1" ht="15.6" hidden="1" outlineLevel="2" spans="1:25">
      <c r="A349" s="15">
        <v>113</v>
      </c>
      <c r="B349" s="15">
        <v>3</v>
      </c>
      <c r="C349" s="14" t="s">
        <v>625</v>
      </c>
      <c r="D349" s="14" t="s">
        <v>11</v>
      </c>
      <c r="E349" s="15">
        <v>10</v>
      </c>
      <c r="F349" s="1">
        <f>LOOKUP(E349,{0,-4,-3,-2,-1,0,1,2.4,3.8,5.2,6.6,8,9.4,10.8,12.2,13.6,15,17.2,19.4,21.5,23.6},{0,10,20,30,40,50,60,62,64,66,68,70,72,74,76,78,80,85,90,95,100})</f>
        <v>72</v>
      </c>
      <c r="G349" s="15">
        <v>263</v>
      </c>
      <c r="H349" s="1">
        <f>LOOKUP(G349,{0,170,175,180,185,190,195,199,203,207,211,215,219,223,227,231,235,243,250,255,260},{0,10,20,30,40,50,60,62,64,66,68,70,72,74,76,78,80,85,90,95,100})</f>
        <v>100</v>
      </c>
      <c r="I349" s="15">
        <v>20</v>
      </c>
      <c r="J349" s="1">
        <f>LOOKUP(I349,{0,2,3,4,5,6,7,8,9,10,11,12,13,14,15,16},{0,10,20,30,40,50,60,64,68,72,76,80,85,90,95,100})</f>
        <v>100</v>
      </c>
      <c r="K349" s="21">
        <f>I349-16</f>
        <v>4</v>
      </c>
      <c r="L349" s="1">
        <f>LOOKUP(K349,{0,1,2,3,4,5,6,7,8,9,10},{0,1,2,3,4,5,6,7,8,9,10})</f>
        <v>4</v>
      </c>
      <c r="M349" s="21">
        <f t="shared" si="200"/>
        <v>104</v>
      </c>
      <c r="N349" s="15">
        <v>6.8</v>
      </c>
      <c r="O349" s="19">
        <f t="shared" si="201"/>
        <v>6.2</v>
      </c>
      <c r="P349" s="1">
        <f>LOOKUP(O349,{0,2.5,2.7,2.9,3.1,3.3,3.5,3.7,3.9,4.1,4.3,4.5,4.7,4.9,5.1,5.3,5.5,5.6,5.7,5.8,5.9},{0,10,20,30,40,50,60,62,64,66,68,70,72,74,76,78,80,85,90,95,100})</f>
        <v>100</v>
      </c>
      <c r="Q349" s="15">
        <v>3.35</v>
      </c>
      <c r="R349" s="15">
        <f t="shared" si="202"/>
        <v>6.65</v>
      </c>
      <c r="S349" s="1">
        <f>LOOKUP(R349,{0,3.75,3.95,4.55,4.75,4.95,5.55,5.6,5.65,5.7,5.75,5.8,5.85,5.9,5.95,6,6.45,6.53,6.6,6.65,6.7},{0,10,20,30,40,50,60,62,64,66,68,70,72,74,76,78,80,85,90,95,100})</f>
        <v>95</v>
      </c>
      <c r="T349" s="21"/>
      <c r="U349" s="21"/>
      <c r="V349" s="21">
        <f t="shared" si="203"/>
        <v>95</v>
      </c>
      <c r="W349" s="15"/>
      <c r="X349" s="21">
        <f t="shared" si="204"/>
        <v>66.2</v>
      </c>
      <c r="Y349" s="21">
        <f t="shared" si="205"/>
        <v>98.5714285714286</v>
      </c>
    </row>
    <row r="350" ht="15.6" hidden="1" outlineLevel="2" spans="1:25">
      <c r="A350" s="15">
        <v>113</v>
      </c>
      <c r="B350" s="15">
        <v>4</v>
      </c>
      <c r="C350" s="14" t="s">
        <v>626</v>
      </c>
      <c r="D350" s="14" t="s">
        <v>11</v>
      </c>
      <c r="E350" s="15">
        <v>14.5</v>
      </c>
      <c r="F350" s="1">
        <f>LOOKUP(E350,{0,-4,-3,-2,-1,0,1,2.4,3.8,5.2,6.6,8,9.4,10.8,12.2,13.6,15,17.2,19.4,21.5,23.6},{0,10,20,30,40,50,60,62,64,66,68,70,72,74,76,78,80,85,90,95,100})</f>
        <v>78</v>
      </c>
      <c r="G350" s="15">
        <v>213</v>
      </c>
      <c r="H350" s="1">
        <f>LOOKUP(G350,{0,170,175,180,185,190,195,199,203,207,211,215,219,223,227,231,235,243,250,255,260},{0,10,20,30,40,50,60,62,64,66,68,70,72,74,76,78,80,85,90,95,100})</f>
        <v>68</v>
      </c>
      <c r="I350" s="15">
        <v>1</v>
      </c>
      <c r="J350" s="1">
        <f>LOOKUP(I350,{0,2,3,4,5,6,7,8,9,10,11,12,13,14,15,16},{0,10,20,30,40,50,60,64,68,72,76,80,85,90,95,100})</f>
        <v>0</v>
      </c>
      <c r="K350" s="21"/>
      <c r="L350" s="21"/>
      <c r="M350" s="21">
        <f t="shared" si="200"/>
        <v>0</v>
      </c>
      <c r="N350" s="15">
        <v>7.9</v>
      </c>
      <c r="O350" s="19">
        <f t="shared" si="201"/>
        <v>5.1</v>
      </c>
      <c r="P350" s="1">
        <f>LOOKUP(O350,{0,2.5,2.7,2.9,3.1,3.3,3.5,3.7,3.9,4.1,4.3,4.5,4.7,4.9,5.1,5.3,5.5,5.6,5.7,5.8,5.9},{0,10,20,30,40,50,60,62,64,66,68,70,72,74,76,78,80,85,90,95,100})</f>
        <v>76</v>
      </c>
      <c r="Q350" s="15">
        <v>3.54</v>
      </c>
      <c r="R350" s="15">
        <f t="shared" si="202"/>
        <v>6.46</v>
      </c>
      <c r="S350" s="1">
        <f>LOOKUP(R350,{0,3.75,3.95,4.55,4.75,4.95,5.55,5.6,5.65,5.7,5.75,5.8,5.85,5.9,5.95,6,6.45,6.53,6.6,6.65,6.7},{0,10,20,30,40,50,60,62,64,66,68,70,72,74,76,78,80,85,90,95,100})</f>
        <v>80</v>
      </c>
      <c r="T350" s="21"/>
      <c r="U350" s="21"/>
      <c r="V350" s="21">
        <f t="shared" si="203"/>
        <v>80</v>
      </c>
      <c r="W350" s="15"/>
      <c r="X350" s="21">
        <f t="shared" si="204"/>
        <v>45.8</v>
      </c>
      <c r="Y350" s="21">
        <f t="shared" si="205"/>
        <v>65.4285714285714</v>
      </c>
    </row>
    <row r="351" ht="15.6" hidden="1" outlineLevel="2" spans="1:25">
      <c r="A351" s="15">
        <v>113</v>
      </c>
      <c r="B351" s="15">
        <v>5</v>
      </c>
      <c r="C351" s="14" t="s">
        <v>627</v>
      </c>
      <c r="D351" s="14" t="s">
        <v>11</v>
      </c>
      <c r="E351" s="15">
        <v>10.1</v>
      </c>
      <c r="F351" s="1">
        <f>LOOKUP(E351,{0,-4,-3,-2,-1,0,1,2.4,3.8,5.2,6.6,8,9.4,10.8,12.2,13.6,15,17.2,19.4,21.5,23.6},{0,10,20,30,40,50,60,62,64,66,68,70,72,74,76,78,80,85,90,95,100})</f>
        <v>72</v>
      </c>
      <c r="G351" s="15">
        <v>245</v>
      </c>
      <c r="H351" s="1">
        <f>LOOKUP(G351,{0,170,175,180,185,190,195,199,203,207,211,215,219,223,227,231,235,243,250,255,260},{0,10,20,30,40,50,60,62,64,66,68,70,72,74,76,78,80,85,90,95,100})</f>
        <v>85</v>
      </c>
      <c r="I351" s="15">
        <v>18</v>
      </c>
      <c r="J351" s="1">
        <f>LOOKUP(I351,{0,2,3,4,5,6,7,8,9,10,11,12,13,14,15,16},{0,10,20,30,40,50,60,64,68,72,76,80,85,90,95,100})</f>
        <v>100</v>
      </c>
      <c r="K351" s="21">
        <f>I351-16</f>
        <v>2</v>
      </c>
      <c r="L351" s="1">
        <f>LOOKUP(K351,{0,1,2,3,4,5,6,7,8,9,10},{0,1,2,3,4,5,6,7,8,9,10})</f>
        <v>2</v>
      </c>
      <c r="M351" s="21">
        <f t="shared" si="200"/>
        <v>102</v>
      </c>
      <c r="N351" s="15">
        <v>7</v>
      </c>
      <c r="O351" s="19">
        <f t="shared" si="201"/>
        <v>6</v>
      </c>
      <c r="P351" s="1">
        <f>LOOKUP(O351,{0,2.5,2.7,2.9,3.1,3.3,3.5,3.7,3.9,4.1,4.3,4.5,4.7,4.9,5.1,5.3,5.5,5.6,5.7,5.8,5.9},{0,10,20,30,40,50,60,62,64,66,68,70,72,74,76,78,80,85,90,95,100})</f>
        <v>100</v>
      </c>
      <c r="Q351" s="15">
        <v>3.02</v>
      </c>
      <c r="R351" s="15">
        <f t="shared" si="202"/>
        <v>6.98</v>
      </c>
      <c r="S351" s="1">
        <f>LOOKUP(R351,{0,3.75,3.95,4.55,4.75,4.95,5.55,5.6,5.65,5.7,5.75,5.8,5.85,5.9,5.95,6,6.45,6.53,6.6,6.65,6.7},{0,10,20,30,40,50,60,62,64,66,68,70,72,74,76,78,80,85,90,95,100})</f>
        <v>100</v>
      </c>
      <c r="T351" s="21">
        <f>3.3-Q351</f>
        <v>0.28</v>
      </c>
      <c r="U351" s="1">
        <f>LOOKUP(T351,{0,0.04,0.08,0.12,0.16,0.2,0.23,0.26,0.29,0.32,0.35},{0,1,2,3,4,5,6,7,8,9,10})</f>
        <v>7</v>
      </c>
      <c r="V351" s="21">
        <f t="shared" si="203"/>
        <v>107</v>
      </c>
      <c r="W351" s="15"/>
      <c r="X351" s="21">
        <f t="shared" si="204"/>
        <v>65.7</v>
      </c>
      <c r="Y351" s="21">
        <f t="shared" si="205"/>
        <v>102.857142857143</v>
      </c>
    </row>
    <row r="352" ht="15.6" hidden="1" outlineLevel="2" spans="1:25">
      <c r="A352" s="25">
        <v>113</v>
      </c>
      <c r="B352" s="25">
        <v>6</v>
      </c>
      <c r="C352" s="14" t="s">
        <v>628</v>
      </c>
      <c r="D352" s="14" t="s">
        <v>11</v>
      </c>
      <c r="E352" s="25">
        <v>9.5</v>
      </c>
      <c r="F352" s="1">
        <f>LOOKUP(E352,{0,-4,-3,-2,-1,0,1,2.4,3.8,5.2,6.6,8,9.4,10.8,12.2,13.6,15,17.2,19.4,21.5,23.6},{0,10,20,30,40,50,60,62,64,66,68,70,72,74,76,78,80,85,90,95,100})</f>
        <v>72</v>
      </c>
      <c r="G352" s="25">
        <v>221</v>
      </c>
      <c r="H352" s="1">
        <f>LOOKUP(G352,{0,170,175,180,185,190,195,199,203,207,211,215,219,223,227,231,235,243,250,255,260},{0,10,20,30,40,50,60,62,64,66,68,70,72,74,76,78,80,85,90,95,100})</f>
        <v>72</v>
      </c>
      <c r="I352" s="25">
        <v>9</v>
      </c>
      <c r="J352" s="1">
        <f>LOOKUP(I352,{0,2,3,4,5,6,7,8,9,10,11,12,13,14,15,16},{0,10,20,30,40,50,60,64,68,72,76,80,85,90,95,100})</f>
        <v>68</v>
      </c>
      <c r="K352" s="36"/>
      <c r="L352" s="36"/>
      <c r="M352" s="21">
        <f t="shared" si="200"/>
        <v>68</v>
      </c>
      <c r="N352" s="25">
        <v>7.1</v>
      </c>
      <c r="O352" s="19">
        <f t="shared" si="201"/>
        <v>5.9</v>
      </c>
      <c r="P352" s="1">
        <f>LOOKUP(O352,{0,2.5,2.7,2.9,3.1,3.3,3.5,3.7,3.9,4.1,4.3,4.5,4.7,4.9,5.1,5.3,5.5,5.6,5.7,5.8,5.9},{0,10,20,30,40,50,60,62,64,66,68,70,72,74,76,78,80,85,90,95,100})</f>
        <v>100</v>
      </c>
      <c r="Q352" s="25">
        <v>3.24</v>
      </c>
      <c r="R352" s="15">
        <f t="shared" si="202"/>
        <v>6.76</v>
      </c>
      <c r="S352" s="1">
        <f>LOOKUP(R352,{0,3.75,3.95,4.55,4.75,4.95,5.55,5.6,5.65,5.7,5.75,5.8,5.85,5.9,5.95,6,6.45,6.53,6.6,6.65,6.7},{0,10,20,30,40,50,60,62,64,66,68,70,72,74,76,78,80,85,90,95,100})</f>
        <v>100</v>
      </c>
      <c r="T352" s="21">
        <f>3.3-Q352</f>
        <v>0.0599999999999996</v>
      </c>
      <c r="U352" s="1">
        <f>LOOKUP(T352,{0,0.04,0.08,0.12,0.16,0.2,0.23,0.26,0.29,0.32,0.35},{0,1,2,3,4,5,6,7,8,9,10})</f>
        <v>1</v>
      </c>
      <c r="V352" s="21">
        <f t="shared" si="203"/>
        <v>101</v>
      </c>
      <c r="W352" s="25"/>
      <c r="X352" s="21">
        <f t="shared" si="204"/>
        <v>61.2</v>
      </c>
      <c r="Y352" s="21">
        <f t="shared" si="205"/>
        <v>88.4285714285714</v>
      </c>
    </row>
    <row r="353" ht="15.6" hidden="1" outlineLevel="2" spans="1:25">
      <c r="A353" s="15">
        <v>113</v>
      </c>
      <c r="B353" s="15">
        <v>7</v>
      </c>
      <c r="C353" s="14" t="s">
        <v>629</v>
      </c>
      <c r="D353" s="14" t="s">
        <v>11</v>
      </c>
      <c r="E353" s="15">
        <v>4.5</v>
      </c>
      <c r="F353" s="1">
        <f>LOOKUP(E353,{0,-4,-3,-2,-1,0,1,2.4,3.8,5.2,6.6,8,9.4,10.8,12.2,13.6,15,17.2,19.4,21.5,23.6},{0,10,20,30,40,50,60,62,64,66,68,70,72,74,76,78,80,85,90,95,100})</f>
        <v>64</v>
      </c>
      <c r="G353" s="15">
        <v>223</v>
      </c>
      <c r="H353" s="1">
        <f>LOOKUP(G353,{0,170,175,180,185,190,195,199,203,207,211,215,219,223,227,231,235,243,250,255,260},{0,10,20,30,40,50,60,62,64,66,68,70,72,74,76,78,80,85,90,95,100})</f>
        <v>74</v>
      </c>
      <c r="I353" s="15">
        <v>1</v>
      </c>
      <c r="J353" s="1">
        <f>LOOKUP(I353,{0,2,3,4,5,6,7,8,9,10,11,12,13,14,15,16},{0,10,20,30,40,50,60,64,68,72,76,80,85,90,95,100})</f>
        <v>0</v>
      </c>
      <c r="K353" s="21"/>
      <c r="L353" s="21"/>
      <c r="M353" s="21">
        <f t="shared" si="200"/>
        <v>0</v>
      </c>
      <c r="N353" s="15">
        <v>7.9</v>
      </c>
      <c r="O353" s="19">
        <f t="shared" si="201"/>
        <v>5.1</v>
      </c>
      <c r="P353" s="1">
        <f>LOOKUP(O353,{0,2.5,2.7,2.9,3.1,3.3,3.5,3.7,3.9,4.1,4.3,4.5,4.7,4.9,5.1,5.3,5.5,5.6,5.7,5.8,5.9},{0,10,20,30,40,50,60,62,64,66,68,70,72,74,76,78,80,85,90,95,100})</f>
        <v>76</v>
      </c>
      <c r="Q353" s="15">
        <v>3.55</v>
      </c>
      <c r="R353" s="15">
        <f t="shared" si="202"/>
        <v>6.45</v>
      </c>
      <c r="S353" s="1">
        <f>LOOKUP(R353,{0,3.75,3.95,4.55,4.75,4.95,5.55,5.6,5.65,5.7,5.75,5.8,5.85,5.9,5.95,6,6.45,6.53,6.6,6.65,6.7},{0,10,20,30,40,50,60,62,64,66,68,70,72,74,76,78,80,85,90,95,100})</f>
        <v>80</v>
      </c>
      <c r="T353" s="21"/>
      <c r="U353" s="21"/>
      <c r="V353" s="21">
        <f t="shared" si="203"/>
        <v>80</v>
      </c>
      <c r="W353" s="15"/>
      <c r="X353" s="21">
        <f t="shared" si="204"/>
        <v>45</v>
      </c>
      <c r="Y353" s="21">
        <f t="shared" si="205"/>
        <v>64.2857142857143</v>
      </c>
    </row>
    <row r="354" ht="15.6" hidden="1" outlineLevel="2" spans="1:25">
      <c r="A354" s="15">
        <v>113</v>
      </c>
      <c r="B354" s="15">
        <v>8</v>
      </c>
      <c r="C354" s="14" t="s">
        <v>630</v>
      </c>
      <c r="D354" s="14" t="s">
        <v>11</v>
      </c>
      <c r="E354" s="15">
        <v>-9.5</v>
      </c>
      <c r="F354" s="1">
        <v>0</v>
      </c>
      <c r="G354" s="15">
        <v>214</v>
      </c>
      <c r="H354" s="1">
        <f>LOOKUP(G354,{0,170,175,180,185,190,195,199,203,207,211,215,219,223,227,231,235,243,250,255,260},{0,10,20,30,40,50,60,62,64,66,68,70,72,74,76,78,80,85,90,95,100})</f>
        <v>68</v>
      </c>
      <c r="I354" s="15">
        <v>13</v>
      </c>
      <c r="J354" s="1">
        <f>LOOKUP(I354,{0,2,3,4,5,6,7,8,9,10,11,12,13,14,15,16},{0,10,20,30,40,50,60,64,68,72,76,80,85,90,95,100})</f>
        <v>85</v>
      </c>
      <c r="K354" s="21"/>
      <c r="L354" s="21"/>
      <c r="M354" s="21">
        <f t="shared" si="200"/>
        <v>85</v>
      </c>
      <c r="N354" s="15">
        <v>7.6</v>
      </c>
      <c r="O354" s="19">
        <f t="shared" si="201"/>
        <v>5.4</v>
      </c>
      <c r="P354" s="1">
        <f>LOOKUP(O354,{0,2.5,2.7,2.9,3.1,3.3,3.5,3.7,3.9,4.1,4.3,4.5,4.7,4.9,5.1,5.3,5.5,5.6,5.7,5.8,5.9},{0,10,20,30,40,50,60,62,64,66,68,70,72,74,76,78,80,85,90,95,100})</f>
        <v>78</v>
      </c>
      <c r="Q354" s="15">
        <v>3.33</v>
      </c>
      <c r="R354" s="15">
        <f t="shared" si="202"/>
        <v>6.67</v>
      </c>
      <c r="S354" s="1">
        <f>LOOKUP(R354,{0,3.75,3.95,4.55,4.75,4.95,5.55,5.6,5.65,5.7,5.75,5.8,5.85,5.9,5.95,6,6.45,6.53,6.6,6.65,6.7},{0,10,20,30,40,50,60,62,64,66,68,70,72,74,76,78,80,85,90,95,100})</f>
        <v>95</v>
      </c>
      <c r="T354" s="21"/>
      <c r="U354" s="21"/>
      <c r="V354" s="21">
        <f t="shared" si="203"/>
        <v>95</v>
      </c>
      <c r="W354" s="15"/>
      <c r="X354" s="21">
        <f t="shared" si="204"/>
        <v>49.9</v>
      </c>
      <c r="Y354" s="21">
        <f t="shared" si="205"/>
        <v>71.2857142857143</v>
      </c>
    </row>
    <row r="355" ht="15.6" hidden="1" outlineLevel="2" spans="1:25">
      <c r="A355" s="15">
        <v>113</v>
      </c>
      <c r="B355" s="15">
        <v>9</v>
      </c>
      <c r="C355" s="14" t="s">
        <v>631</v>
      </c>
      <c r="D355" s="14" t="s">
        <v>11</v>
      </c>
      <c r="E355" s="15">
        <v>15.7</v>
      </c>
      <c r="F355" s="1">
        <f>LOOKUP(E355,{0,-4,-3,-2,-1,0,1,2.4,3.8,5.2,6.6,8,9.4,10.8,12.2,13.6,15,17.2,19.4,21.5,23.6},{0,10,20,30,40,50,60,62,64,66,68,70,72,74,76,78,80,85,90,95,100})</f>
        <v>80</v>
      </c>
      <c r="G355" s="15">
        <v>207</v>
      </c>
      <c r="H355" s="1">
        <f>LOOKUP(G355,{0,170,175,180,185,190,195,199,203,207,211,215,219,223,227,231,235,243,250,255,260},{0,10,20,30,40,50,60,62,64,66,68,70,72,74,76,78,80,85,90,95,100})</f>
        <v>66</v>
      </c>
      <c r="I355" s="15">
        <v>0</v>
      </c>
      <c r="J355" s="1">
        <f>LOOKUP(I355,{0,2,3,4,5,6,7,8,9,10,11,12,13,14,15,16},{0,10,20,30,40,50,60,64,68,72,76,80,85,90,95,100})</f>
        <v>0</v>
      </c>
      <c r="K355" s="21"/>
      <c r="L355" s="21"/>
      <c r="M355" s="21">
        <f t="shared" si="200"/>
        <v>0</v>
      </c>
      <c r="N355" s="15">
        <v>7.8</v>
      </c>
      <c r="O355" s="19">
        <f t="shared" si="201"/>
        <v>5.2</v>
      </c>
      <c r="P355" s="1">
        <f>LOOKUP(O355,{0,2.5,2.7,2.9,3.1,3.3,3.5,3.7,3.9,4.1,4.3,4.5,4.7,4.9,5.1,5.3,5.5,5.6,5.7,5.8,5.9},{0,10,20,30,40,50,60,62,64,66,68,70,72,74,76,78,80,85,90,95,100})</f>
        <v>76</v>
      </c>
      <c r="Q355" s="15">
        <v>3.57</v>
      </c>
      <c r="R355" s="15">
        <f t="shared" si="202"/>
        <v>6.43</v>
      </c>
      <c r="S355" s="1">
        <f>LOOKUP(R355,{0,3.75,3.95,4.55,4.75,4.95,5.55,5.6,5.65,5.7,5.75,5.8,5.85,5.9,5.95,6,6.45,6.53,6.6,6.65,6.7},{0,10,20,30,40,50,60,62,64,66,68,70,72,74,76,78,80,85,90,95,100})</f>
        <v>78</v>
      </c>
      <c r="T355" s="21"/>
      <c r="U355" s="21"/>
      <c r="V355" s="21">
        <f t="shared" si="203"/>
        <v>78</v>
      </c>
      <c r="W355" s="15"/>
      <c r="X355" s="21">
        <f t="shared" si="204"/>
        <v>45.4</v>
      </c>
      <c r="Y355" s="21">
        <f t="shared" si="205"/>
        <v>64.8571428571429</v>
      </c>
    </row>
    <row r="356" ht="15.6" hidden="1" outlineLevel="2" spans="1:25">
      <c r="A356" s="15">
        <v>113</v>
      </c>
      <c r="B356" s="15">
        <v>10</v>
      </c>
      <c r="C356" s="14" t="s">
        <v>632</v>
      </c>
      <c r="D356" s="14" t="s">
        <v>11</v>
      </c>
      <c r="E356" s="15">
        <v>0.2</v>
      </c>
      <c r="F356" s="1">
        <f>LOOKUP(E356,{0,-4,-3,-2,-1,0,1,2.4,3.8,5.2,6.6,8,9.4,10.8,12.2,13.6,15,17.2,19.4,21.5,23.6},{0,10,20,30,40,50,60,62,64,66,68,70,72,74,76,78,80,85,90,95,100})</f>
        <v>50</v>
      </c>
      <c r="G356" s="15">
        <v>223</v>
      </c>
      <c r="H356" s="1">
        <f>LOOKUP(G356,{0,170,175,180,185,190,195,199,203,207,211,215,219,223,227,231,235,243,250,255,260},{0,10,20,30,40,50,60,62,64,66,68,70,72,74,76,78,80,85,90,95,100})</f>
        <v>74</v>
      </c>
      <c r="I356" s="15">
        <v>15</v>
      </c>
      <c r="J356" s="1">
        <f>LOOKUP(I356,{0,2,3,4,5,6,7,8,9,10,11,12,13,14,15,16},{0,10,20,30,40,50,60,64,68,72,76,80,85,90,95,100})</f>
        <v>95</v>
      </c>
      <c r="K356" s="21"/>
      <c r="L356" s="21"/>
      <c r="M356" s="21">
        <f t="shared" si="200"/>
        <v>95</v>
      </c>
      <c r="N356" s="15">
        <v>7.1</v>
      </c>
      <c r="O356" s="19">
        <f t="shared" si="201"/>
        <v>5.9</v>
      </c>
      <c r="P356" s="1">
        <f>LOOKUP(O356,{0,2.5,2.7,2.9,3.1,3.3,3.5,3.7,3.9,4.1,4.3,4.5,4.7,4.9,5.1,5.3,5.5,5.6,5.7,5.8,5.9},{0,10,20,30,40,50,60,62,64,66,68,70,72,74,76,78,80,85,90,95,100})</f>
        <v>100</v>
      </c>
      <c r="Q356" s="15">
        <v>3.37</v>
      </c>
      <c r="R356" s="15">
        <f t="shared" si="202"/>
        <v>6.63</v>
      </c>
      <c r="S356" s="1">
        <f>LOOKUP(R356,{0,3.75,3.95,4.55,4.75,4.95,5.55,5.6,5.65,5.7,5.75,5.8,5.85,5.9,5.95,6,6.45,6.53,6.6,6.65,6.7},{0,10,20,30,40,50,60,62,64,66,68,70,72,74,76,78,80,85,90,95,100})</f>
        <v>90</v>
      </c>
      <c r="T356" s="21"/>
      <c r="U356" s="21"/>
      <c r="V356" s="21">
        <f t="shared" si="203"/>
        <v>90</v>
      </c>
      <c r="W356" s="15"/>
      <c r="X356" s="21">
        <f t="shared" si="204"/>
        <v>59.9</v>
      </c>
      <c r="Y356" s="21">
        <f t="shared" si="205"/>
        <v>85.5714285714286</v>
      </c>
    </row>
    <row r="357" ht="15.6" hidden="1" outlineLevel="2" spans="1:25">
      <c r="A357" s="15">
        <v>113</v>
      </c>
      <c r="B357" s="15">
        <v>11</v>
      </c>
      <c r="C357" s="14" t="s">
        <v>633</v>
      </c>
      <c r="D357" s="14" t="s">
        <v>11</v>
      </c>
      <c r="E357" s="15">
        <v>7</v>
      </c>
      <c r="F357" s="1">
        <f>LOOKUP(E357,{0,-4,-3,-2,-1,0,1,2.4,3.8,5.2,6.6,8,9.4,10.8,12.2,13.6,15,17.2,19.4,21.5,23.6},{0,10,20,30,40,50,60,62,64,66,68,70,72,74,76,78,80,85,90,95,100})</f>
        <v>68</v>
      </c>
      <c r="G357" s="15">
        <v>258</v>
      </c>
      <c r="H357" s="1">
        <f>LOOKUP(G357,{0,170,175,180,185,190,195,199,203,207,211,215,219,223,227,231,235,243,250,255,260},{0,10,20,30,40,50,60,62,64,66,68,70,72,74,76,78,80,85,90,95,100})</f>
        <v>95</v>
      </c>
      <c r="I357" s="15">
        <v>0</v>
      </c>
      <c r="J357" s="1">
        <f>LOOKUP(I357,{0,2,3,4,5,6,7,8,9,10,11,12,13,14,15,16},{0,10,20,30,40,50,60,64,68,72,76,80,85,90,95,100})</f>
        <v>0</v>
      </c>
      <c r="K357" s="21"/>
      <c r="L357" s="21"/>
      <c r="M357" s="21">
        <f t="shared" si="200"/>
        <v>0</v>
      </c>
      <c r="N357" s="15">
        <v>7.1</v>
      </c>
      <c r="O357" s="19">
        <f t="shared" si="201"/>
        <v>5.9</v>
      </c>
      <c r="P357" s="1">
        <f>LOOKUP(O357,{0,2.5,2.7,2.9,3.1,3.3,3.5,3.7,3.9,4.1,4.3,4.5,4.7,4.9,5.1,5.3,5.5,5.6,5.7,5.8,5.9},{0,10,20,30,40,50,60,62,64,66,68,70,72,74,76,78,80,85,90,95,100})</f>
        <v>100</v>
      </c>
      <c r="Q357" s="15">
        <v>3.41</v>
      </c>
      <c r="R357" s="15">
        <f t="shared" si="202"/>
        <v>6.59</v>
      </c>
      <c r="S357" s="1">
        <f>LOOKUP(R357,{0,3.75,3.95,4.55,4.75,4.95,5.55,5.6,5.65,5.7,5.75,5.8,5.85,5.9,5.95,6,6.45,6.53,6.6,6.65,6.7},{0,10,20,30,40,50,60,62,64,66,68,70,72,74,76,78,80,85,90,95,100})</f>
        <v>85</v>
      </c>
      <c r="T357" s="21"/>
      <c r="U357" s="21"/>
      <c r="V357" s="21">
        <f t="shared" si="203"/>
        <v>85</v>
      </c>
      <c r="W357" s="15"/>
      <c r="X357" s="21">
        <f t="shared" si="204"/>
        <v>53.3</v>
      </c>
      <c r="Y357" s="21">
        <f t="shared" si="205"/>
        <v>76.1428571428571</v>
      </c>
    </row>
    <row r="358" ht="15.6" hidden="1" outlineLevel="2" spans="1:25">
      <c r="A358" s="15">
        <v>113</v>
      </c>
      <c r="B358" s="15">
        <v>12</v>
      </c>
      <c r="C358" s="14" t="s">
        <v>634</v>
      </c>
      <c r="D358" s="14" t="s">
        <v>11</v>
      </c>
      <c r="E358" s="15">
        <v>7.5</v>
      </c>
      <c r="F358" s="1">
        <f>LOOKUP(E358,{0,-4,-3,-2,-1,0,1,2.4,3.8,5.2,6.6,8,9.4,10.8,12.2,13.6,15,17.2,19.4,21.5,23.6},{0,10,20,30,40,50,60,62,64,66,68,70,72,74,76,78,80,85,90,95,100})</f>
        <v>68</v>
      </c>
      <c r="G358" s="15">
        <v>218</v>
      </c>
      <c r="H358" s="1">
        <f>LOOKUP(G358,{0,170,175,180,185,190,195,199,203,207,211,215,219,223,227,231,235,243,250,255,260},{0,10,20,30,40,50,60,62,64,66,68,70,72,74,76,78,80,85,90,95,100})</f>
        <v>70</v>
      </c>
      <c r="I358" s="15">
        <v>0</v>
      </c>
      <c r="J358" s="1">
        <f>LOOKUP(I358,{0,2,3,4,5,6,7,8,9,10,11,12,13,14,15,16},{0,10,20,30,40,50,60,64,68,72,76,80,85,90,95,100})</f>
        <v>0</v>
      </c>
      <c r="K358" s="21"/>
      <c r="L358" s="21"/>
      <c r="M358" s="21">
        <f t="shared" si="200"/>
        <v>0</v>
      </c>
      <c r="N358" s="15">
        <v>7.3</v>
      </c>
      <c r="O358" s="19">
        <f t="shared" si="201"/>
        <v>5.7</v>
      </c>
      <c r="P358" s="1">
        <f>LOOKUP(O358,{0,2.5,2.7,2.9,3.1,3.3,3.5,3.7,3.9,4.1,4.3,4.5,4.7,4.9,5.1,5.3,5.5,5.6,5.7,5.8,5.9},{0,10,20,30,40,50,60,62,64,66,68,70,72,74,76,78,80,85,90,95,100})</f>
        <v>90</v>
      </c>
      <c r="Q358" s="15">
        <v>3.57</v>
      </c>
      <c r="R358" s="15">
        <f t="shared" si="202"/>
        <v>6.43</v>
      </c>
      <c r="S358" s="1">
        <f>LOOKUP(R358,{0,3.75,3.95,4.55,4.75,4.95,5.55,5.6,5.65,5.7,5.75,5.8,5.85,5.9,5.95,6,6.45,6.53,6.6,6.65,6.7},{0,10,20,30,40,50,60,62,64,66,68,70,72,74,76,78,80,85,90,95,100})</f>
        <v>78</v>
      </c>
      <c r="T358" s="21"/>
      <c r="U358" s="21"/>
      <c r="V358" s="21">
        <f t="shared" si="203"/>
        <v>78</v>
      </c>
      <c r="W358" s="15"/>
      <c r="X358" s="21">
        <f t="shared" si="204"/>
        <v>47.4</v>
      </c>
      <c r="Y358" s="21">
        <f t="shared" si="205"/>
        <v>67.7142857142857</v>
      </c>
    </row>
    <row r="359" ht="15.6" hidden="1" outlineLevel="2" spans="1:25">
      <c r="A359" s="15">
        <v>113</v>
      </c>
      <c r="B359" s="15">
        <v>13</v>
      </c>
      <c r="C359" s="13" t="s">
        <v>636</v>
      </c>
      <c r="D359" s="14" t="s">
        <v>11</v>
      </c>
      <c r="E359" s="15">
        <v>17</v>
      </c>
      <c r="F359" s="1">
        <f>LOOKUP(E359,{0,-4,-3,-2,-1,0,1,2.4,3.8,5.2,6.6,8,9.4,10.8,12.2,13.6,15,17.2,19.4,21.5,23.6},{0,10,20,30,40,50,60,62,64,66,68,70,72,74,76,78,80,85,90,95,100})</f>
        <v>80</v>
      </c>
      <c r="G359" s="15">
        <v>250</v>
      </c>
      <c r="H359" s="1">
        <f>LOOKUP(G359,{0,170,175,180,185,190,195,199,203,207,211,215,219,223,227,231,235,243,250,255,260},{0,10,20,30,40,50,60,62,64,66,68,70,72,74,76,78,80,85,90,95,100})</f>
        <v>90</v>
      </c>
      <c r="I359" s="15">
        <v>16</v>
      </c>
      <c r="J359" s="1">
        <f>LOOKUP(I359,{0,2,3,4,5,6,7,8,9,10,11,12,13,14,15,16},{0,10,20,30,40,50,60,64,68,72,76,80,85,90,95,100})</f>
        <v>100</v>
      </c>
      <c r="K359" s="21">
        <f t="shared" ref="K359:K364" si="206">I359-16</f>
        <v>0</v>
      </c>
      <c r="L359" s="1">
        <f>LOOKUP(K359,{0,1,2,3,4,5,6,7,8,9,10},{0,1,2,3,4,5,6,7,8,9,10})</f>
        <v>0</v>
      </c>
      <c r="M359" s="21">
        <f t="shared" si="200"/>
        <v>100</v>
      </c>
      <c r="N359" s="15">
        <v>7.1</v>
      </c>
      <c r="O359" s="19">
        <f t="shared" si="201"/>
        <v>5.9</v>
      </c>
      <c r="P359" s="1">
        <f>LOOKUP(O359,{0,2.5,2.7,2.9,3.1,3.3,3.5,3.7,3.9,4.1,4.3,4.5,4.7,4.9,5.1,5.3,5.5,5.6,5.7,5.8,5.9},{0,10,20,30,40,50,60,62,64,66,68,70,72,74,76,78,80,85,90,95,100})</f>
        <v>100</v>
      </c>
      <c r="Q359" s="15">
        <v>3.38</v>
      </c>
      <c r="R359" s="15">
        <f t="shared" si="202"/>
        <v>6.62</v>
      </c>
      <c r="S359" s="1">
        <f>LOOKUP(R359,{0,3.75,3.95,4.55,4.75,4.95,5.55,5.6,5.65,5.7,5.75,5.8,5.85,5.9,5.95,6,6.45,6.53,6.6,6.65,6.7},{0,10,20,30,40,50,60,62,64,66,68,70,72,74,76,78,80,85,90,95,100})</f>
        <v>90</v>
      </c>
      <c r="T359" s="21"/>
      <c r="U359" s="21"/>
      <c r="V359" s="21">
        <f t="shared" si="203"/>
        <v>90</v>
      </c>
      <c r="W359" s="15"/>
      <c r="X359" s="21">
        <f t="shared" si="204"/>
        <v>65</v>
      </c>
      <c r="Y359" s="21">
        <f t="shared" si="205"/>
        <v>92.8571428571429</v>
      </c>
    </row>
    <row r="360" ht="15.6" hidden="1" outlineLevel="2" spans="1:25">
      <c r="A360" s="15">
        <v>113</v>
      </c>
      <c r="B360" s="15">
        <v>14</v>
      </c>
      <c r="C360" s="14" t="s">
        <v>637</v>
      </c>
      <c r="D360" s="14" t="s">
        <v>11</v>
      </c>
      <c r="E360" s="15">
        <v>14</v>
      </c>
      <c r="F360" s="1">
        <f>LOOKUP(E360,{0,-4,-3,-2,-1,0,1,2.4,3.8,5.2,6.6,8,9.4,10.8,12.2,13.6,15,17.2,19.4,21.5,23.6},{0,10,20,30,40,50,60,62,64,66,68,70,72,74,76,78,80,85,90,95,100})</f>
        <v>78</v>
      </c>
      <c r="G360" s="15">
        <v>240</v>
      </c>
      <c r="H360" s="1">
        <f>LOOKUP(G360,{0,170,175,180,185,190,195,199,203,207,211,215,219,223,227,231,235,243,250,255,260},{0,10,20,30,40,50,60,62,64,66,68,70,72,74,76,78,80,85,90,95,100})</f>
        <v>80</v>
      </c>
      <c r="I360" s="15">
        <v>25</v>
      </c>
      <c r="J360" s="1">
        <f>LOOKUP(I360,{0,2,3,4,5,6,7,8,9,10,11,12,13,14,15,16},{0,10,20,30,40,50,60,64,68,72,76,80,85,90,95,100})</f>
        <v>100</v>
      </c>
      <c r="K360" s="21">
        <f t="shared" si="206"/>
        <v>9</v>
      </c>
      <c r="L360" s="1">
        <f>LOOKUP(K360,{0,1,2,3,4,5,6,7,8,9,10},{0,1,2,3,4,5,6,7,8,9,10})</f>
        <v>9</v>
      </c>
      <c r="M360" s="21">
        <f t="shared" si="200"/>
        <v>109</v>
      </c>
      <c r="N360" s="15">
        <v>7.6</v>
      </c>
      <c r="O360" s="19">
        <f t="shared" si="201"/>
        <v>5.4</v>
      </c>
      <c r="P360" s="1">
        <f>LOOKUP(O360,{0,2.5,2.7,2.9,3.1,3.3,3.5,3.7,3.9,4.1,4.3,4.5,4.7,4.9,5.1,5.3,5.5,5.6,5.7,5.8,5.9},{0,10,20,30,40,50,60,62,64,66,68,70,72,74,76,78,80,85,90,95,100})</f>
        <v>78</v>
      </c>
      <c r="Q360" s="15">
        <v>3.53</v>
      </c>
      <c r="R360" s="15">
        <f t="shared" si="202"/>
        <v>6.47</v>
      </c>
      <c r="S360" s="1">
        <f>LOOKUP(R360,{0,3.75,3.95,4.55,4.75,4.95,5.55,5.6,5.65,5.7,5.75,5.8,5.85,5.9,5.95,6,6.45,6.53,6.6,6.65,6.7},{0,10,20,30,40,50,60,62,64,66,68,70,72,74,76,78,80,85,90,95,100})</f>
        <v>80</v>
      </c>
      <c r="T360" s="21"/>
      <c r="U360" s="21"/>
      <c r="V360" s="21">
        <f t="shared" si="203"/>
        <v>80</v>
      </c>
      <c r="W360" s="15"/>
      <c r="X360" s="21">
        <f t="shared" si="204"/>
        <v>57.4</v>
      </c>
      <c r="Y360" s="21">
        <f t="shared" si="205"/>
        <v>91</v>
      </c>
    </row>
    <row r="361" s="3" customFormat="1" ht="15.6" hidden="1" outlineLevel="2" spans="1:25">
      <c r="A361" s="15">
        <v>113</v>
      </c>
      <c r="B361" s="15">
        <v>15</v>
      </c>
      <c r="C361" s="14" t="s">
        <v>638</v>
      </c>
      <c r="D361" s="14" t="s">
        <v>11</v>
      </c>
      <c r="E361" s="15">
        <v>14</v>
      </c>
      <c r="F361" s="1">
        <f>LOOKUP(E361,{0,-4,-3,-2,-1,0,1,2.4,3.8,5.2,6.6,8,9.4,10.8,12.2,13.6,15,17.2,19.4,21.5,23.6},{0,10,20,30,40,50,60,62,64,66,68,70,72,74,76,78,80,85,90,95,100})</f>
        <v>78</v>
      </c>
      <c r="G361" s="15">
        <v>245</v>
      </c>
      <c r="H361" s="1">
        <f>LOOKUP(G361,{0,170,175,180,185,190,195,199,203,207,211,215,219,223,227,231,235,243,250,255,260},{0,10,20,30,40,50,60,62,64,66,68,70,72,74,76,78,80,85,90,95,100})</f>
        <v>85</v>
      </c>
      <c r="I361" s="15">
        <v>0</v>
      </c>
      <c r="J361" s="1">
        <f>LOOKUP(I361,{0,2,3,4,5,6,7,8,9,10,11,12,13,14,15,16},{0,10,20,30,40,50,60,64,68,72,76,80,85,90,95,100})</f>
        <v>0</v>
      </c>
      <c r="K361" s="21"/>
      <c r="L361" s="21"/>
      <c r="M361" s="21">
        <f t="shared" si="200"/>
        <v>0</v>
      </c>
      <c r="N361" s="15">
        <v>7.9</v>
      </c>
      <c r="O361" s="19">
        <f t="shared" si="201"/>
        <v>5.1</v>
      </c>
      <c r="P361" s="1">
        <f>LOOKUP(O361,{0,2.5,2.7,2.9,3.1,3.3,3.5,3.7,3.9,4.1,4.3,4.5,4.7,4.9,5.1,5.3,5.5,5.6,5.7,5.8,5.9},{0,10,20,30,40,50,60,62,64,66,68,70,72,74,76,78,80,85,90,95,100})</f>
        <v>76</v>
      </c>
      <c r="Q361" s="15">
        <v>3.52</v>
      </c>
      <c r="R361" s="15">
        <f t="shared" si="202"/>
        <v>6.48</v>
      </c>
      <c r="S361" s="1">
        <f>LOOKUP(R361,{0,3.75,3.95,4.55,4.75,4.95,5.55,5.6,5.65,5.7,5.75,5.8,5.85,5.9,5.95,6,6.45,6.53,6.6,6.65,6.7},{0,10,20,30,40,50,60,62,64,66,68,70,72,74,76,78,80,85,90,95,100})</f>
        <v>80</v>
      </c>
      <c r="T361" s="21"/>
      <c r="U361" s="21"/>
      <c r="V361" s="21">
        <f t="shared" si="203"/>
        <v>80</v>
      </c>
      <c r="W361" s="15"/>
      <c r="X361" s="21">
        <f t="shared" si="204"/>
        <v>47.5</v>
      </c>
      <c r="Y361" s="21">
        <f t="shared" si="205"/>
        <v>67.8571428571429</v>
      </c>
    </row>
    <row r="362" ht="15.6" hidden="1" outlineLevel="2" spans="1:25">
      <c r="A362" s="15">
        <v>113</v>
      </c>
      <c r="B362" s="15">
        <v>16</v>
      </c>
      <c r="C362" s="14" t="s">
        <v>639</v>
      </c>
      <c r="D362" s="14" t="s">
        <v>11</v>
      </c>
      <c r="E362" s="15">
        <v>7</v>
      </c>
      <c r="F362" s="1">
        <f>LOOKUP(E362,{0,-4,-3,-2,-1,0,1,2.4,3.8,5.2,6.6,8,9.4,10.8,12.2,13.6,15,17.2,19.4,21.5,23.6},{0,10,20,30,40,50,60,62,64,66,68,70,72,74,76,78,80,85,90,95,100})</f>
        <v>68</v>
      </c>
      <c r="G362" s="15">
        <v>260</v>
      </c>
      <c r="H362" s="1">
        <f>LOOKUP(G362,{0,170,175,180,185,190,195,199,203,207,211,215,219,223,227,231,235,243,250,255,260},{0,10,20,30,40,50,60,62,64,66,68,70,72,74,76,78,80,85,90,95,100})</f>
        <v>100</v>
      </c>
      <c r="I362" s="15">
        <v>18</v>
      </c>
      <c r="J362" s="1">
        <f>LOOKUP(I362,{0,2,3,4,5,6,7,8,9,10,11,12,13,14,15,16},{0,10,20,30,40,50,60,64,68,72,76,80,85,90,95,100})</f>
        <v>100</v>
      </c>
      <c r="K362" s="21">
        <f t="shared" si="206"/>
        <v>2</v>
      </c>
      <c r="L362" s="1">
        <f>LOOKUP(K362,{0,1,2,3,4,5,6,7,8,9,10},{0,1,2,3,4,5,6,7,8,9,10})</f>
        <v>2</v>
      </c>
      <c r="M362" s="21">
        <f t="shared" si="200"/>
        <v>102</v>
      </c>
      <c r="N362" s="15">
        <v>7.5</v>
      </c>
      <c r="O362" s="19">
        <f t="shared" si="201"/>
        <v>5.5</v>
      </c>
      <c r="P362" s="1">
        <f>LOOKUP(O362,{0,2.5,2.7,2.9,3.1,3.3,3.5,3.7,3.9,4.1,4.3,4.5,4.7,4.9,5.1,5.3,5.5,5.6,5.7,5.8,5.9},{0,10,20,30,40,50,60,62,64,66,68,70,72,74,76,78,80,85,90,95,100})</f>
        <v>80</v>
      </c>
      <c r="Q362" s="15">
        <v>3.41</v>
      </c>
      <c r="R362" s="15">
        <f t="shared" si="202"/>
        <v>6.59</v>
      </c>
      <c r="S362" s="1">
        <f>LOOKUP(R362,{0,3.75,3.95,4.55,4.75,4.95,5.55,5.6,5.65,5.7,5.75,5.8,5.85,5.9,5.95,6,6.45,6.53,6.6,6.65,6.7},{0,10,20,30,40,50,60,62,64,66,68,70,72,74,76,78,80,85,90,95,100})</f>
        <v>85</v>
      </c>
      <c r="T362" s="21"/>
      <c r="U362" s="21"/>
      <c r="V362" s="21">
        <f t="shared" si="203"/>
        <v>85</v>
      </c>
      <c r="W362" s="15"/>
      <c r="X362" s="21">
        <f t="shared" si="204"/>
        <v>59.8</v>
      </c>
      <c r="Y362" s="21">
        <f t="shared" si="205"/>
        <v>87.4285714285714</v>
      </c>
    </row>
    <row r="363" ht="15.6" hidden="1" outlineLevel="2" spans="1:25">
      <c r="A363" s="15">
        <v>113</v>
      </c>
      <c r="B363" s="15">
        <v>17</v>
      </c>
      <c r="C363" s="14" t="s">
        <v>640</v>
      </c>
      <c r="D363" s="14" t="s">
        <v>11</v>
      </c>
      <c r="E363" s="15">
        <v>15</v>
      </c>
      <c r="F363" s="1">
        <f>LOOKUP(E363,{0,-4,-3,-2,-1,0,1,2.4,3.8,5.2,6.6,8,9.4,10.8,12.2,13.6,15,17.2,19.4,21.5,23.6},{0,10,20,30,40,50,60,62,64,66,68,70,72,74,76,78,80,85,90,95,100})</f>
        <v>80</v>
      </c>
      <c r="G363" s="15">
        <v>210</v>
      </c>
      <c r="H363" s="1">
        <f>LOOKUP(G363,{0,170,175,180,185,190,195,199,203,207,211,215,219,223,227,231,235,243,250,255,260},{0,10,20,30,40,50,60,62,64,66,68,70,72,74,76,78,80,85,90,95,100})</f>
        <v>66</v>
      </c>
      <c r="I363" s="15">
        <v>21</v>
      </c>
      <c r="J363" s="1">
        <f>LOOKUP(I363,{0,2,3,4,5,6,7,8,9,10,11,12,13,14,15,16},{0,10,20,30,40,50,60,64,68,72,76,80,85,90,95,100})</f>
        <v>100</v>
      </c>
      <c r="K363" s="21">
        <f t="shared" si="206"/>
        <v>5</v>
      </c>
      <c r="L363" s="1">
        <f>LOOKUP(K363,{0,1,2,3,4,5,6,7,8,9,10},{0,1,2,3,4,5,6,7,8,9,10})</f>
        <v>5</v>
      </c>
      <c r="M363" s="21">
        <f t="shared" si="200"/>
        <v>105</v>
      </c>
      <c r="N363" s="15">
        <v>7.2</v>
      </c>
      <c r="O363" s="19">
        <f t="shared" si="201"/>
        <v>5.8</v>
      </c>
      <c r="P363" s="1">
        <f>LOOKUP(O363,{0,2.5,2.7,2.9,3.1,3.3,3.5,3.7,3.9,4.1,4.3,4.5,4.7,4.9,5.1,5.3,5.5,5.6,5.7,5.8,5.9},{0,10,20,30,40,50,60,62,64,66,68,70,72,74,76,78,80,85,90,95,100})</f>
        <v>95</v>
      </c>
      <c r="Q363" s="15">
        <v>3.39</v>
      </c>
      <c r="R363" s="15">
        <f t="shared" si="202"/>
        <v>6.61</v>
      </c>
      <c r="S363" s="1">
        <f>LOOKUP(R363,{0,3.75,3.95,4.55,4.75,4.95,5.55,5.6,5.65,5.7,5.75,5.8,5.85,5.9,5.95,6,6.45,6.53,6.6,6.65,6.7},{0,10,20,30,40,50,60,62,64,66,68,70,72,74,76,78,80,85,90,95,100})</f>
        <v>90</v>
      </c>
      <c r="T363" s="21"/>
      <c r="U363" s="21"/>
      <c r="V363" s="21">
        <f t="shared" si="203"/>
        <v>90</v>
      </c>
      <c r="W363" s="15"/>
      <c r="X363" s="21">
        <f t="shared" si="204"/>
        <v>61.6</v>
      </c>
      <c r="Y363" s="21">
        <f t="shared" si="205"/>
        <v>93</v>
      </c>
    </row>
    <row r="364" ht="15.6" hidden="1" outlineLevel="2" spans="1:25">
      <c r="A364" s="15">
        <v>113</v>
      </c>
      <c r="B364" s="15">
        <v>18</v>
      </c>
      <c r="C364" s="14" t="s">
        <v>641</v>
      </c>
      <c r="D364" s="14" t="s">
        <v>11</v>
      </c>
      <c r="E364" s="15">
        <v>16</v>
      </c>
      <c r="F364" s="1">
        <f>LOOKUP(E364,{0,-4,-3,-2,-1,0,1,2.4,3.8,5.2,6.6,8,9.4,10.8,12.2,13.6,15,17.2,19.4,21.5,23.6},{0,10,20,30,40,50,60,62,64,66,68,70,72,74,76,78,80,85,90,95,100})</f>
        <v>80</v>
      </c>
      <c r="G364" s="15">
        <v>270</v>
      </c>
      <c r="H364" s="1">
        <f>LOOKUP(G364,{0,170,175,180,185,190,195,199,203,207,211,215,219,223,227,231,235,243,250,255,260},{0,10,20,30,40,50,60,62,64,66,68,70,72,74,76,78,80,85,90,95,100})</f>
        <v>100</v>
      </c>
      <c r="I364" s="15">
        <v>25</v>
      </c>
      <c r="J364" s="1">
        <f>LOOKUP(I364,{0,2,3,4,5,6,7,8,9,10,11,12,13,14,15,16},{0,10,20,30,40,50,60,64,68,72,76,80,85,90,95,100})</f>
        <v>100</v>
      </c>
      <c r="K364" s="21">
        <f t="shared" si="206"/>
        <v>9</v>
      </c>
      <c r="L364" s="1">
        <f>LOOKUP(K364,{0,1,2,3,4,5,6,7,8,9,10},{0,1,2,3,4,5,6,7,8,9,10})</f>
        <v>9</v>
      </c>
      <c r="M364" s="21">
        <f t="shared" si="200"/>
        <v>109</v>
      </c>
      <c r="N364" s="15">
        <v>6.3</v>
      </c>
      <c r="O364" s="19">
        <f t="shared" si="201"/>
        <v>6.7</v>
      </c>
      <c r="P364" s="1">
        <f>LOOKUP(O364,{0,2.5,2.7,2.9,3.1,3.3,3.5,3.7,3.9,4.1,4.3,4.5,4.7,4.9,5.1,5.3,5.5,5.6,5.7,5.8,5.9},{0,10,20,30,40,50,60,62,64,66,68,70,72,74,76,78,80,85,90,95,100})</f>
        <v>100</v>
      </c>
      <c r="Q364" s="15">
        <v>3.05</v>
      </c>
      <c r="R364" s="15">
        <f t="shared" si="202"/>
        <v>6.95</v>
      </c>
      <c r="S364" s="1">
        <f>LOOKUP(R364,{0,3.75,3.95,4.55,4.75,4.95,5.55,5.6,5.65,5.7,5.75,5.8,5.85,5.9,5.95,6,6.45,6.53,6.6,6.65,6.7},{0,10,20,30,40,50,60,62,64,66,68,70,72,74,76,78,80,85,90,95,100})</f>
        <v>100</v>
      </c>
      <c r="T364" s="21">
        <f>3.3-Q364</f>
        <v>0.25</v>
      </c>
      <c r="U364" s="1">
        <f>LOOKUP(T364,{0,0.04,0.08,0.12,0.16,0.2,0.23,0.26,0.29,0.32,0.35},{0,1,2,3,4,5,6,7,8,9,10})</f>
        <v>6</v>
      </c>
      <c r="V364" s="21">
        <f t="shared" si="203"/>
        <v>106</v>
      </c>
      <c r="W364" s="15"/>
      <c r="X364" s="21">
        <f t="shared" si="204"/>
        <v>68</v>
      </c>
      <c r="Y364" s="21">
        <f t="shared" si="205"/>
        <v>112.142857142857</v>
      </c>
    </row>
    <row r="365" ht="15.6" hidden="1" outlineLevel="2" spans="1:25">
      <c r="A365" s="15">
        <v>113</v>
      </c>
      <c r="B365" s="15">
        <v>19</v>
      </c>
      <c r="C365" s="14" t="s">
        <v>642</v>
      </c>
      <c r="D365" s="14" t="s">
        <v>11</v>
      </c>
      <c r="E365" s="15">
        <v>3</v>
      </c>
      <c r="F365" s="1">
        <f>LOOKUP(E365,{0,-4,-3,-2,-1,0,1,2.4,3.8,5.2,6.6,8,9.4,10.8,12.2,13.6,15,17.2,19.4,21.5,23.6},{0,10,20,30,40,50,60,62,64,66,68,70,72,74,76,78,80,85,90,95,100})</f>
        <v>62</v>
      </c>
      <c r="G365" s="15">
        <v>247</v>
      </c>
      <c r="H365" s="1">
        <f>LOOKUP(G365,{0,170,175,180,185,190,195,199,203,207,211,215,219,223,227,231,235,243,250,255,260},{0,10,20,30,40,50,60,62,64,66,68,70,72,74,76,78,80,85,90,95,100})</f>
        <v>85</v>
      </c>
      <c r="I365" s="15">
        <v>11</v>
      </c>
      <c r="J365" s="1">
        <f>LOOKUP(I365,{0,2,3,4,5,6,7,8,9,10,11,12,13,14,15,16},{0,10,20,30,40,50,60,64,68,72,76,80,85,90,95,100})</f>
        <v>76</v>
      </c>
      <c r="K365" s="21"/>
      <c r="L365" s="21"/>
      <c r="M365" s="21">
        <f t="shared" si="200"/>
        <v>76</v>
      </c>
      <c r="N365" s="15">
        <v>7</v>
      </c>
      <c r="O365" s="19">
        <f t="shared" si="201"/>
        <v>6</v>
      </c>
      <c r="P365" s="1">
        <f>LOOKUP(O365,{0,2.5,2.7,2.9,3.1,3.3,3.5,3.7,3.9,4.1,4.3,4.5,4.7,4.9,5.1,5.3,5.5,5.6,5.7,5.8,5.9},{0,10,20,30,40,50,60,62,64,66,68,70,72,74,76,78,80,85,90,95,100})</f>
        <v>100</v>
      </c>
      <c r="Q365" s="15">
        <v>3.4</v>
      </c>
      <c r="R365" s="15">
        <f t="shared" si="202"/>
        <v>6.6</v>
      </c>
      <c r="S365" s="1">
        <f>LOOKUP(R365,{0,3.75,3.95,4.55,4.75,4.95,5.55,5.6,5.65,5.7,5.75,5.8,5.85,5.9,5.95,6,6.45,6.53,6.6,6.65,6.7},{0,10,20,30,40,50,60,62,64,66,68,70,72,74,76,78,80,85,90,95,100})</f>
        <v>90</v>
      </c>
      <c r="T365" s="21"/>
      <c r="U365" s="21"/>
      <c r="V365" s="21">
        <f t="shared" si="203"/>
        <v>90</v>
      </c>
      <c r="W365" s="15"/>
      <c r="X365" s="21">
        <f t="shared" si="204"/>
        <v>60.3</v>
      </c>
      <c r="Y365" s="21">
        <f t="shared" si="205"/>
        <v>86.1428571428571</v>
      </c>
    </row>
    <row r="366" ht="15.6" hidden="1" outlineLevel="2" spans="1:25">
      <c r="A366" s="15">
        <v>113</v>
      </c>
      <c r="B366" s="15">
        <v>20</v>
      </c>
      <c r="C366" s="14" t="s">
        <v>643</v>
      </c>
      <c r="D366" s="14" t="s">
        <v>11</v>
      </c>
      <c r="E366" s="15">
        <v>8.5</v>
      </c>
      <c r="F366" s="1">
        <f>LOOKUP(E366,{0,-4,-3,-2,-1,0,1,2.4,3.8,5.2,6.6,8,9.4,10.8,12.2,13.6,15,17.2,19.4,21.5,23.6},{0,10,20,30,40,50,60,62,64,66,68,70,72,74,76,78,80,85,90,95,100})</f>
        <v>70</v>
      </c>
      <c r="G366" s="15">
        <v>200</v>
      </c>
      <c r="H366" s="1">
        <f>LOOKUP(G366,{0,170,175,180,185,190,195,199,203,207,211,215,219,223,227,231,235,243,250,255,260},{0,10,20,30,40,50,60,62,64,66,68,70,72,74,76,78,80,85,90,95,100})</f>
        <v>62</v>
      </c>
      <c r="I366" s="15">
        <v>13</v>
      </c>
      <c r="J366" s="1">
        <f>LOOKUP(I366,{0,2,3,4,5,6,7,8,9,10,11,12,13,14,15,16},{0,10,20,30,40,50,60,64,68,72,76,80,85,90,95,100})</f>
        <v>85</v>
      </c>
      <c r="K366" s="21"/>
      <c r="L366" s="21"/>
      <c r="M366" s="21">
        <f t="shared" si="200"/>
        <v>85</v>
      </c>
      <c r="N366" s="15">
        <v>7.4</v>
      </c>
      <c r="O366" s="19">
        <f t="shared" si="201"/>
        <v>5.6</v>
      </c>
      <c r="P366" s="1">
        <f>LOOKUP(O366,{0,2.5,2.7,2.9,3.1,3.3,3.5,3.7,3.9,4.1,4.3,4.5,4.7,4.9,5.1,5.3,5.5,5.6,5.7,5.8,5.9},{0,10,20,30,40,50,60,62,64,66,68,70,72,74,76,78,80,85,90,95,100})</f>
        <v>85</v>
      </c>
      <c r="Q366" s="15">
        <v>3.49</v>
      </c>
      <c r="R366" s="15">
        <f t="shared" si="202"/>
        <v>6.51</v>
      </c>
      <c r="S366" s="1">
        <f>LOOKUP(R366,{0,3.75,3.95,4.55,4.75,4.95,5.55,5.6,5.65,5.7,5.75,5.8,5.85,5.9,5.95,6,6.45,6.53,6.6,6.65,6.7},{0,10,20,30,40,50,60,62,64,66,68,70,72,74,76,78,80,85,90,95,100})</f>
        <v>80</v>
      </c>
      <c r="T366" s="21"/>
      <c r="U366" s="21"/>
      <c r="V366" s="21">
        <f t="shared" si="203"/>
        <v>80</v>
      </c>
      <c r="W366" s="15"/>
      <c r="X366" s="21">
        <f t="shared" si="204"/>
        <v>54.7</v>
      </c>
      <c r="Y366" s="21">
        <f t="shared" si="205"/>
        <v>78.1428571428572</v>
      </c>
    </row>
    <row r="367" ht="15.6" hidden="1" outlineLevel="2" spans="1:25">
      <c r="A367" s="15">
        <v>113</v>
      </c>
      <c r="B367" s="15">
        <v>21</v>
      </c>
      <c r="C367" s="14" t="s">
        <v>644</v>
      </c>
      <c r="D367" s="14" t="s">
        <v>11</v>
      </c>
      <c r="E367" s="15">
        <v>19.5</v>
      </c>
      <c r="F367" s="1">
        <f>LOOKUP(E367,{0,-4,-3,-2,-1,0,1,2.4,3.8,5.2,6.6,8,9.4,10.8,12.2,13.6,15,17.2,19.4,21.5,23.6},{0,10,20,30,40,50,60,62,64,66,68,70,72,74,76,78,80,85,90,95,100})</f>
        <v>90</v>
      </c>
      <c r="G367" s="15">
        <v>220</v>
      </c>
      <c r="H367" s="1">
        <f>LOOKUP(G367,{0,170,175,180,185,190,195,199,203,207,211,215,219,223,227,231,235,243,250,255,260},{0,10,20,30,40,50,60,62,64,66,68,70,72,74,76,78,80,85,90,95,100})</f>
        <v>72</v>
      </c>
      <c r="I367" s="15">
        <v>5</v>
      </c>
      <c r="J367" s="1">
        <f>LOOKUP(I367,{0,2,3,4,5,6,7,8,9,10,11,12,13,14,15,16},{0,10,20,30,40,50,60,64,68,72,76,80,85,90,95,100})</f>
        <v>40</v>
      </c>
      <c r="K367" s="21"/>
      <c r="L367" s="21"/>
      <c r="M367" s="21">
        <f t="shared" si="200"/>
        <v>40</v>
      </c>
      <c r="N367" s="15">
        <v>7.6</v>
      </c>
      <c r="O367" s="19">
        <f t="shared" si="201"/>
        <v>5.4</v>
      </c>
      <c r="P367" s="1">
        <f>LOOKUP(O367,{0,2.5,2.7,2.9,3.1,3.3,3.5,3.7,3.9,4.1,4.3,4.5,4.7,4.9,5.1,5.3,5.5,5.6,5.7,5.8,5.9},{0,10,20,30,40,50,60,62,64,66,68,70,72,74,76,78,80,85,90,95,100})</f>
        <v>78</v>
      </c>
      <c r="Q367" s="15">
        <v>3.51</v>
      </c>
      <c r="R367" s="15">
        <f t="shared" si="202"/>
        <v>6.49</v>
      </c>
      <c r="S367" s="1">
        <f>LOOKUP(R367,{0,3.75,3.95,4.55,4.75,4.95,5.55,5.6,5.65,5.7,5.75,5.8,5.85,5.9,5.95,6,6.45,6.53,6.6,6.65,6.7},{0,10,20,30,40,50,60,62,64,66,68,70,72,74,76,78,80,85,90,95,100})</f>
        <v>80</v>
      </c>
      <c r="T367" s="21"/>
      <c r="U367" s="21"/>
      <c r="V367" s="21">
        <f t="shared" si="203"/>
        <v>80</v>
      </c>
      <c r="W367" s="15"/>
      <c r="X367" s="21">
        <f t="shared" si="204"/>
        <v>51.8</v>
      </c>
      <c r="Y367" s="21">
        <f t="shared" si="205"/>
        <v>74</v>
      </c>
    </row>
    <row r="368" ht="15.6" hidden="1" outlineLevel="2" spans="1:25">
      <c r="A368" s="15">
        <v>113</v>
      </c>
      <c r="B368" s="15">
        <v>22</v>
      </c>
      <c r="C368" s="14" t="s">
        <v>645</v>
      </c>
      <c r="D368" s="14" t="s">
        <v>11</v>
      </c>
      <c r="E368" s="15">
        <v>16</v>
      </c>
      <c r="F368" s="1">
        <f>LOOKUP(E368,{0,-4,-3,-2,-1,0,1,2.4,3.8,5.2,6.6,8,9.4,10.8,12.2,13.6,15,17.2,19.4,21.5,23.6},{0,10,20,30,40,50,60,62,64,66,68,70,72,74,76,78,80,85,90,95,100})</f>
        <v>80</v>
      </c>
      <c r="G368" s="15">
        <v>195</v>
      </c>
      <c r="H368" s="1">
        <f>LOOKUP(G368,{0,170,175,180,185,190,195,199,203,207,211,215,219,223,227,231,235,243,250,255,260},{0,10,20,30,40,50,60,62,64,66,68,70,72,74,76,78,80,85,90,95,100})</f>
        <v>60</v>
      </c>
      <c r="I368" s="15">
        <v>1</v>
      </c>
      <c r="J368" s="1">
        <f>LOOKUP(I368,{0,2,3,4,5,6,7,8,9,10,11,12,13,14,15,16},{0,10,20,30,40,50,60,64,68,72,76,80,85,90,95,100})</f>
        <v>0</v>
      </c>
      <c r="K368" s="21"/>
      <c r="L368" s="21"/>
      <c r="M368" s="21">
        <f t="shared" si="200"/>
        <v>0</v>
      </c>
      <c r="N368" s="15">
        <v>8.2</v>
      </c>
      <c r="O368" s="19">
        <f t="shared" si="201"/>
        <v>4.8</v>
      </c>
      <c r="P368" s="1">
        <f>LOOKUP(O368,{0,2.5,2.7,2.9,3.1,3.3,3.5,3.7,3.9,4.1,4.3,4.5,4.7,4.9,5.1,5.3,5.5,5.6,5.7,5.8,5.9},{0,10,20,30,40,50,60,62,64,66,68,70,72,74,76,78,80,85,90,95,100})</f>
        <v>72</v>
      </c>
      <c r="Q368" s="15">
        <v>4.14</v>
      </c>
      <c r="R368" s="15">
        <f t="shared" si="202"/>
        <v>5.86</v>
      </c>
      <c r="S368" s="1">
        <f>LOOKUP(R368,{0,3.75,3.95,4.55,4.75,4.95,5.55,5.6,5.65,5.7,5.75,5.8,5.85,5.9,5.95,6,6.45,6.53,6.6,6.65,6.7},{0,10,20,30,40,50,60,62,64,66,68,70,72,74,76,78,80,85,90,95,100})</f>
        <v>72</v>
      </c>
      <c r="T368" s="21"/>
      <c r="U368" s="21"/>
      <c r="V368" s="21">
        <f t="shared" si="203"/>
        <v>72</v>
      </c>
      <c r="W368" s="15"/>
      <c r="X368" s="21">
        <f t="shared" si="204"/>
        <v>42.8</v>
      </c>
      <c r="Y368" s="21">
        <f t="shared" si="205"/>
        <v>61.1428571428571</v>
      </c>
    </row>
    <row r="369" ht="15.6" hidden="1" outlineLevel="2" spans="1:25">
      <c r="A369" s="15">
        <v>113</v>
      </c>
      <c r="B369" s="15">
        <v>23</v>
      </c>
      <c r="C369" s="14" t="s">
        <v>646</v>
      </c>
      <c r="D369" s="14" t="s">
        <v>11</v>
      </c>
      <c r="E369" s="15">
        <v>11</v>
      </c>
      <c r="F369" s="1">
        <f>LOOKUP(E369,{0,-4,-3,-2,-1,0,1,2.4,3.8,5.2,6.6,8,9.4,10.8,12.2,13.6,15,17.2,19.4,21.5,23.6},{0,10,20,30,40,50,60,62,64,66,68,70,72,74,76,78,80,85,90,95,100})</f>
        <v>74</v>
      </c>
      <c r="G369" s="15">
        <v>245</v>
      </c>
      <c r="H369" s="1">
        <f>LOOKUP(G369,{0,170,175,180,185,190,195,199,203,207,211,215,219,223,227,231,235,243,250,255,260},{0,10,20,30,40,50,60,62,64,66,68,70,72,74,76,78,80,85,90,95,100})</f>
        <v>85</v>
      </c>
      <c r="I369" s="15">
        <v>3</v>
      </c>
      <c r="J369" s="1">
        <f>LOOKUP(I369,{0,2,3,4,5,6,7,8,9,10,11,12,13,14,15,16},{0,10,20,30,40,50,60,64,68,72,76,80,85,90,95,100})</f>
        <v>20</v>
      </c>
      <c r="K369" s="21"/>
      <c r="L369" s="21"/>
      <c r="M369" s="21">
        <f t="shared" si="200"/>
        <v>20</v>
      </c>
      <c r="N369" s="15">
        <v>7.9</v>
      </c>
      <c r="O369" s="19">
        <f t="shared" si="201"/>
        <v>5.1</v>
      </c>
      <c r="P369" s="1">
        <f>LOOKUP(O369,{0,2.5,2.7,2.9,3.1,3.3,3.5,3.7,3.9,4.1,4.3,4.5,4.7,4.9,5.1,5.3,5.5,5.6,5.7,5.8,5.9},{0,10,20,30,40,50,60,62,64,66,68,70,72,74,76,78,80,85,90,95,100})</f>
        <v>76</v>
      </c>
      <c r="Q369" s="15">
        <v>4.05</v>
      </c>
      <c r="R369" s="15">
        <f t="shared" si="202"/>
        <v>5.95</v>
      </c>
      <c r="S369" s="1">
        <f>LOOKUP(R369,{0,3.75,3.95,4.55,4.75,4.95,5.55,5.6,5.65,5.7,5.75,5.8,5.85,5.9,5.95,6,6.45,6.53,6.6,6.65,6.7},{0,10,20,30,40,50,60,62,64,66,68,70,72,74,76,78,80,85,90,95,100})</f>
        <v>76</v>
      </c>
      <c r="T369" s="21"/>
      <c r="U369" s="21"/>
      <c r="V369" s="21">
        <f t="shared" si="203"/>
        <v>76</v>
      </c>
      <c r="W369" s="15"/>
      <c r="X369" s="21">
        <f t="shared" si="204"/>
        <v>48.3</v>
      </c>
      <c r="Y369" s="21">
        <f t="shared" si="205"/>
        <v>69</v>
      </c>
    </row>
    <row r="370" ht="15.6" hidden="1" outlineLevel="2" spans="1:25">
      <c r="A370" s="15">
        <v>113</v>
      </c>
      <c r="B370" s="15">
        <v>24</v>
      </c>
      <c r="C370" s="14" t="s">
        <v>647</v>
      </c>
      <c r="D370" s="14" t="s">
        <v>11</v>
      </c>
      <c r="E370" s="15">
        <v>15</v>
      </c>
      <c r="F370" s="1">
        <f>LOOKUP(E370,{0,-4,-3,-2,-1,0,1,2.4,3.8,5.2,6.6,8,9.4,10.8,12.2,13.6,15,17.2,19.4,21.5,23.6},{0,10,20,30,40,50,60,62,64,66,68,70,72,74,76,78,80,85,90,95,100})</f>
        <v>80</v>
      </c>
      <c r="G370" s="15">
        <v>245</v>
      </c>
      <c r="H370" s="1">
        <f>LOOKUP(G370,{0,170,175,180,185,190,195,199,203,207,211,215,219,223,227,231,235,243,250,255,260},{0,10,20,30,40,50,60,62,64,66,68,70,72,74,76,78,80,85,90,95,100})</f>
        <v>85</v>
      </c>
      <c r="I370" s="15">
        <v>16</v>
      </c>
      <c r="J370" s="1">
        <f>LOOKUP(I370,{0,2,3,4,5,6,7,8,9,10,11,12,13,14,15,16},{0,10,20,30,40,50,60,64,68,72,76,80,85,90,95,100})</f>
        <v>100</v>
      </c>
      <c r="K370" s="21">
        <f>I370-16</f>
        <v>0</v>
      </c>
      <c r="L370" s="1">
        <f>LOOKUP(K370,{0,1,2,3,4,5,6,7,8,9,10},{0,1,2,3,4,5,6,7,8,9,10})</f>
        <v>0</v>
      </c>
      <c r="M370" s="21">
        <f t="shared" si="200"/>
        <v>100</v>
      </c>
      <c r="N370" s="15">
        <v>7.1</v>
      </c>
      <c r="O370" s="19">
        <f t="shared" si="201"/>
        <v>5.9</v>
      </c>
      <c r="P370" s="1">
        <f>LOOKUP(O370,{0,2.5,2.7,2.9,3.1,3.3,3.5,3.7,3.9,4.1,4.3,4.5,4.7,4.9,5.1,5.3,5.5,5.6,5.7,5.8,5.9},{0,10,20,30,40,50,60,62,64,66,68,70,72,74,76,78,80,85,90,95,100})</f>
        <v>100</v>
      </c>
      <c r="Q370" s="15"/>
      <c r="R370" s="15"/>
      <c r="S370" s="1"/>
      <c r="T370" s="21"/>
      <c r="U370" s="1"/>
      <c r="V370" s="21"/>
      <c r="W370" s="15"/>
      <c r="X370" s="21">
        <f t="shared" si="204"/>
        <v>46.5</v>
      </c>
      <c r="Y370" s="21">
        <f t="shared" si="205"/>
        <v>66.4285714285714</v>
      </c>
    </row>
    <row r="371" ht="15.6" hidden="1" outlineLevel="2" spans="1:25">
      <c r="A371" s="15">
        <v>113</v>
      </c>
      <c r="B371" s="15">
        <v>25</v>
      </c>
      <c r="C371" s="8" t="s">
        <v>648</v>
      </c>
      <c r="D371" s="8" t="s">
        <v>11</v>
      </c>
      <c r="E371" s="15">
        <v>20</v>
      </c>
      <c r="F371" s="1">
        <f>LOOKUP(E371,{0,-4,-3,-2,-1,0,1,2.4,3.8,5.2,6.6,8,9.4,10.8,12.2,13.6,15,17.2,19.4,21.5,23.6},{0,10,20,30,40,50,60,62,64,66,68,70,72,74,76,78,80,85,90,95,100})</f>
        <v>90</v>
      </c>
      <c r="G371" s="15">
        <v>271</v>
      </c>
      <c r="H371" s="1">
        <f>LOOKUP(G371,{0,170,175,180,185,190,195,199,203,207,211,215,219,223,227,231,235,243,250,255,260},{0,10,20,30,40,50,60,62,64,66,68,70,72,74,76,78,80,85,90,95,100})</f>
        <v>100</v>
      </c>
      <c r="I371" s="15">
        <v>5</v>
      </c>
      <c r="J371" s="1">
        <f>LOOKUP(I371,{0,2,3,4,5,6,7,8,9,10,11,12,13,14,15,16},{0,10,20,30,40,50,60,64,68,72,76,80,85,90,95,100})</f>
        <v>40</v>
      </c>
      <c r="K371" s="21"/>
      <c r="L371" s="21"/>
      <c r="M371" s="21">
        <f t="shared" si="200"/>
        <v>40</v>
      </c>
      <c r="N371" s="15">
        <v>6.8</v>
      </c>
      <c r="O371" s="19">
        <f t="shared" si="201"/>
        <v>6.2</v>
      </c>
      <c r="P371" s="1">
        <f>LOOKUP(O371,{0,2.5,2.7,2.9,3.1,3.3,3.5,3.7,3.9,4.1,4.3,4.5,4.7,4.9,5.1,5.3,5.5,5.6,5.7,5.8,5.9},{0,10,20,30,40,50,60,62,64,66,68,70,72,74,76,78,80,85,90,95,100})</f>
        <v>100</v>
      </c>
      <c r="Q371" s="15">
        <v>3.18</v>
      </c>
      <c r="R371" s="15">
        <f>10-Q371</f>
        <v>6.82</v>
      </c>
      <c r="S371" s="1">
        <f>LOOKUP(R371,{0,3.75,3.95,4.55,4.75,4.95,5.55,5.6,5.65,5.7,5.75,5.8,5.85,5.9,5.95,6,6.45,6.53,6.6,6.65,6.7},{0,10,20,30,40,50,60,62,64,66,68,70,72,74,76,78,80,85,90,95,100})</f>
        <v>100</v>
      </c>
      <c r="T371" s="21">
        <f>3.3-Q371</f>
        <v>0.12</v>
      </c>
      <c r="U371" s="1">
        <f>LOOKUP(T371,{0,0.04,0.08,0.12,0.16,0.2,0.23,0.26,0.29,0.32,0.35},{0,1,2,3,4,5,6,7,8,9,10})</f>
        <v>2</v>
      </c>
      <c r="V371" s="21">
        <f>S371+U371</f>
        <v>102</v>
      </c>
      <c r="W371" s="15"/>
      <c r="X371" s="21">
        <f t="shared" si="204"/>
        <v>63</v>
      </c>
      <c r="Y371" s="21">
        <f t="shared" si="205"/>
        <v>92</v>
      </c>
    </row>
    <row r="372" ht="15.6" outlineLevel="1" collapsed="1" spans="1:25">
      <c r="A372" s="16" t="s">
        <v>854</v>
      </c>
      <c r="B372" s="15"/>
      <c r="C372" s="8"/>
      <c r="D372" s="8"/>
      <c r="E372" s="15"/>
      <c r="F372" s="1">
        <f>SUBTOTAL(1,F347:F371)</f>
        <v>70.72</v>
      </c>
      <c r="G372" s="15"/>
      <c r="H372" s="1">
        <f>SUBTOTAL(1,H347:H371)</f>
        <v>77.68</v>
      </c>
      <c r="I372" s="15"/>
      <c r="J372" s="1">
        <f>SUBTOTAL(1,J347:J371)</f>
        <v>52.36</v>
      </c>
      <c r="K372" s="21"/>
      <c r="L372" s="21"/>
      <c r="M372" s="21">
        <f>SUBTOTAL(1,M347:M371)</f>
        <v>53.6</v>
      </c>
      <c r="N372" s="15"/>
      <c r="O372" s="19"/>
      <c r="P372" s="1">
        <f>SUBTOTAL(1,P347:P371)</f>
        <v>88.24</v>
      </c>
      <c r="Q372" s="15"/>
      <c r="R372" s="15"/>
      <c r="S372" s="1">
        <f>SUBTOTAL(1,S347:S371)</f>
        <v>85.9583333333333</v>
      </c>
      <c r="T372" s="21"/>
      <c r="U372" s="1"/>
      <c r="V372" s="21">
        <f>SUBTOTAL(1,V347:V371)</f>
        <v>86.625</v>
      </c>
      <c r="W372" s="15"/>
      <c r="X372" s="21">
        <f>SUBTOTAL(1,X347:X371)</f>
        <v>54.228</v>
      </c>
      <c r="Y372" s="21">
        <f>SUBTOTAL(1,Y347:Y371)</f>
        <v>79.3485714285714</v>
      </c>
    </row>
    <row r="373" s="34" customFormat="1" ht="15.6" hidden="1" outlineLevel="2" spans="1:25">
      <c r="A373" s="15">
        <v>114</v>
      </c>
      <c r="B373" s="15">
        <v>1</v>
      </c>
      <c r="C373" s="13" t="s">
        <v>677</v>
      </c>
      <c r="D373" s="14" t="s">
        <v>11</v>
      </c>
      <c r="E373" s="15">
        <v>14.5</v>
      </c>
      <c r="F373" s="1">
        <f>LOOKUP(E373,{0,-4,-3,-2,-1,0,1,2.4,3.8,5.2,6.6,8,9.4,10.8,12.2,13.6,15,17.2,19.4,21.5,23.6},{0,10,20,30,40,50,60,62,64,66,68,70,72,74,76,78,80,85,90,95,100})</f>
        <v>78</v>
      </c>
      <c r="G373" s="15">
        <v>250</v>
      </c>
      <c r="H373" s="1">
        <f>LOOKUP(G373,{0,170,175,180,185,190,195,199,203,207,211,215,219,223,227,231,235,243,250,255,260},{0,10,20,30,40,50,60,62,64,66,68,70,72,74,76,78,80,85,90,95,100})</f>
        <v>90</v>
      </c>
      <c r="I373" s="15">
        <v>5</v>
      </c>
      <c r="J373" s="1">
        <f>LOOKUP(I373,{0,2,3,4,5,6,7,8,9,10,11,12,13,14,15,16},{0,10,20,30,40,50,60,64,68,72,76,80,85,90,95,100})</f>
        <v>40</v>
      </c>
      <c r="K373" s="21"/>
      <c r="L373" s="21"/>
      <c r="M373" s="21">
        <f t="shared" ref="M373:M397" si="207">J373+L373</f>
        <v>40</v>
      </c>
      <c r="N373" s="15">
        <v>6.9</v>
      </c>
      <c r="O373" s="19">
        <f t="shared" ref="O373:O397" si="208">13-N373</f>
        <v>6.1</v>
      </c>
      <c r="P373" s="1">
        <f>LOOKUP(O373,{0,2.5,2.7,2.9,3.1,3.3,3.5,3.7,3.9,4.1,4.3,4.5,4.7,4.9,5.1,5.3,5.5,5.6,5.7,5.8,5.9},{0,10,20,30,40,50,60,62,64,66,68,70,72,74,76,78,80,85,90,95,100})</f>
        <v>100</v>
      </c>
      <c r="Q373" s="15">
        <v>3.32</v>
      </c>
      <c r="R373" s="15">
        <f t="shared" ref="R373:R397" si="209">10-Q373</f>
        <v>6.68</v>
      </c>
      <c r="S373" s="1">
        <f>LOOKUP(R373,{0,3.75,3.95,4.55,4.75,4.95,5.55,5.6,5.65,5.7,5.75,5.8,5.85,5.9,5.95,6,6.45,6.53,6.6,6.65,6.7},{0,10,20,30,40,50,60,62,64,66,68,70,72,74,76,78,80,85,90,95,100})</f>
        <v>95</v>
      </c>
      <c r="T373" s="21"/>
      <c r="U373" s="21"/>
      <c r="V373" s="21">
        <f t="shared" ref="V373:V397" si="210">S373+U373</f>
        <v>95</v>
      </c>
      <c r="W373" s="15"/>
      <c r="X373" s="21">
        <f t="shared" ref="X373:X397" si="211">F373*0.1+H373*0.1+J373*0.1+P373*0.2+S373*0.2</f>
        <v>59.8</v>
      </c>
      <c r="Y373" s="21">
        <f t="shared" ref="Y373:Y397" si="212">X373/0.7+L373+U373</f>
        <v>85.4285714285714</v>
      </c>
    </row>
    <row r="374" ht="15.6" hidden="1" outlineLevel="2" spans="1:25">
      <c r="A374" s="15">
        <v>114</v>
      </c>
      <c r="B374" s="15">
        <v>2</v>
      </c>
      <c r="C374" s="14" t="s">
        <v>678</v>
      </c>
      <c r="D374" s="14" t="s">
        <v>11</v>
      </c>
      <c r="E374" s="15">
        <v>2.5</v>
      </c>
      <c r="F374" s="1">
        <f>LOOKUP(E374,{0,-4,-3,-2,-1,0,1,2.4,3.8,5.2,6.6,8,9.4,10.8,12.2,13.6,15,17.2,19.4,21.5,23.6},{0,10,20,30,40,50,60,62,64,66,68,70,72,74,76,78,80,85,90,95,100})</f>
        <v>62</v>
      </c>
      <c r="G374" s="15">
        <v>215</v>
      </c>
      <c r="H374" s="1">
        <f>LOOKUP(G374,{0,170,175,180,185,190,195,199,203,207,211,215,219,223,227,231,235,243,250,255,260},{0,10,20,30,40,50,60,62,64,66,68,70,72,74,76,78,80,85,90,95,100})</f>
        <v>70</v>
      </c>
      <c r="I374" s="15">
        <v>6</v>
      </c>
      <c r="J374" s="1">
        <f>LOOKUP(I374,{0,2,3,4,5,6,7,8,9,10,11,12,13,14,15,16},{0,10,20,30,40,50,60,64,68,72,76,80,85,90,95,100})</f>
        <v>50</v>
      </c>
      <c r="K374" s="21"/>
      <c r="L374" s="21"/>
      <c r="M374" s="21">
        <f t="shared" si="207"/>
        <v>50</v>
      </c>
      <c r="N374" s="15">
        <v>7.8</v>
      </c>
      <c r="O374" s="19">
        <f t="shared" si="208"/>
        <v>5.2</v>
      </c>
      <c r="P374" s="1">
        <f>LOOKUP(O374,{0,2.5,2.7,2.9,3.1,3.3,3.5,3.7,3.9,4.1,4.3,4.5,4.7,4.9,5.1,5.3,5.5,5.6,5.7,5.8,5.9},{0,10,20,30,40,50,60,62,64,66,68,70,72,74,76,78,80,85,90,95,100})</f>
        <v>76</v>
      </c>
      <c r="Q374" s="15">
        <v>5.2</v>
      </c>
      <c r="R374" s="15">
        <f t="shared" si="209"/>
        <v>4.8</v>
      </c>
      <c r="S374" s="1">
        <f>LOOKUP(R374,{0,3.75,3.95,4.55,4.75,4.95,5.55,5.6,5.65,5.7,5.75,5.8,5.85,5.9,5.95,6,6.45,6.53,6.6,6.65,6.7},{0,10,20,30,40,50,60,62,64,66,68,70,72,74,76,78,80,85,90,95,100})</f>
        <v>40</v>
      </c>
      <c r="T374" s="21"/>
      <c r="U374" s="21"/>
      <c r="V374" s="21">
        <f t="shared" si="210"/>
        <v>40</v>
      </c>
      <c r="W374" s="15"/>
      <c r="X374" s="21">
        <f t="shared" si="211"/>
        <v>41.4</v>
      </c>
      <c r="Y374" s="21">
        <f t="shared" si="212"/>
        <v>59.1428571428571</v>
      </c>
    </row>
    <row r="375" ht="15.6" hidden="1" outlineLevel="2" spans="1:25">
      <c r="A375" s="25">
        <v>114</v>
      </c>
      <c r="B375" s="25">
        <v>3</v>
      </c>
      <c r="C375" s="14" t="s">
        <v>679</v>
      </c>
      <c r="D375" s="14" t="s">
        <v>11</v>
      </c>
      <c r="E375" s="25">
        <v>7</v>
      </c>
      <c r="F375" s="1">
        <f>LOOKUP(E375,{0,-4,-3,-2,-1,0,1,2.4,3.8,5.2,6.6,8,9.4,10.8,12.2,13.6,15,17.2,19.4,21.5,23.6},{0,10,20,30,40,50,60,62,64,66,68,70,72,74,76,78,80,85,90,95,100})</f>
        <v>68</v>
      </c>
      <c r="G375" s="25">
        <v>250</v>
      </c>
      <c r="H375" s="1">
        <f>LOOKUP(G375,{0,170,175,180,185,190,195,199,203,207,211,215,219,223,227,231,235,243,250,255,260},{0,10,20,30,40,50,60,62,64,66,68,70,72,74,76,78,80,85,90,95,100})</f>
        <v>90</v>
      </c>
      <c r="I375" s="25">
        <v>11</v>
      </c>
      <c r="J375" s="1">
        <f>LOOKUP(I375,{0,2,3,4,5,6,7,8,9,10,11,12,13,14,15,16},{0,10,20,30,40,50,60,64,68,72,76,80,85,90,95,100})</f>
        <v>76</v>
      </c>
      <c r="K375" s="36"/>
      <c r="L375" s="36"/>
      <c r="M375" s="21">
        <f t="shared" si="207"/>
        <v>76</v>
      </c>
      <c r="N375" s="25">
        <v>7</v>
      </c>
      <c r="O375" s="19">
        <f t="shared" si="208"/>
        <v>6</v>
      </c>
      <c r="P375" s="1">
        <f>LOOKUP(O375,{0,2.5,2.7,2.9,3.1,3.3,3.5,3.7,3.9,4.1,4.3,4.5,4.7,4.9,5.1,5.3,5.5,5.6,5.7,5.8,5.9},{0,10,20,30,40,50,60,62,64,66,68,70,72,74,76,78,80,85,90,95,100})</f>
        <v>100</v>
      </c>
      <c r="Q375" s="25">
        <v>3.59</v>
      </c>
      <c r="R375" s="15">
        <f t="shared" si="209"/>
        <v>6.41</v>
      </c>
      <c r="S375" s="1">
        <f>LOOKUP(R375,{0,3.75,3.95,4.55,4.75,4.95,5.55,5.6,5.65,5.7,5.75,5.8,5.85,5.9,5.95,6,6.45,6.53,6.6,6.65,6.7},{0,10,20,30,40,50,60,62,64,66,68,70,72,74,76,78,80,85,90,95,100})</f>
        <v>78</v>
      </c>
      <c r="T375" s="36"/>
      <c r="U375" s="36"/>
      <c r="V375" s="21">
        <f t="shared" si="210"/>
        <v>78</v>
      </c>
      <c r="W375" s="25"/>
      <c r="X375" s="21">
        <f t="shared" si="211"/>
        <v>59</v>
      </c>
      <c r="Y375" s="21">
        <f t="shared" si="212"/>
        <v>84.2857142857143</v>
      </c>
    </row>
    <row r="376" ht="15.6" hidden="1" outlineLevel="2" spans="1:25">
      <c r="A376" s="15">
        <v>114</v>
      </c>
      <c r="B376" s="15">
        <v>4</v>
      </c>
      <c r="C376" s="14" t="s">
        <v>680</v>
      </c>
      <c r="D376" s="14" t="s">
        <v>11</v>
      </c>
      <c r="E376" s="15">
        <v>18</v>
      </c>
      <c r="F376" s="1">
        <f>LOOKUP(E376,{0,-4,-3,-2,-1,0,1,2.4,3.8,5.2,6.6,8,9.4,10.8,12.2,13.6,15,17.2,19.4,21.5,23.6},{0,10,20,30,40,50,60,62,64,66,68,70,72,74,76,78,80,85,90,95,100})</f>
        <v>85</v>
      </c>
      <c r="G376" s="15">
        <v>275</v>
      </c>
      <c r="H376" s="1">
        <f>LOOKUP(G376,{0,170,175,180,185,190,195,199,203,207,211,215,219,223,227,231,235,243,250,255,260},{0,10,20,30,40,50,60,62,64,66,68,70,72,74,76,78,80,85,90,95,100})</f>
        <v>100</v>
      </c>
      <c r="I376" s="15">
        <v>19</v>
      </c>
      <c r="J376" s="1">
        <f>LOOKUP(I376,{0,2,3,4,5,6,7,8,9,10,11,12,13,14,15,16},{0,10,20,30,40,50,60,64,68,72,76,80,85,90,95,100})</f>
        <v>100</v>
      </c>
      <c r="K376" s="21">
        <f>I376-16</f>
        <v>3</v>
      </c>
      <c r="L376" s="1">
        <f>LOOKUP(K376,{0,1,2,3,4,5,6,7,8,9,10},{0,1,2,3,4,5,6,7,8,9,10})</f>
        <v>3</v>
      </c>
      <c r="M376" s="21">
        <f t="shared" si="207"/>
        <v>103</v>
      </c>
      <c r="N376" s="15">
        <v>6.8</v>
      </c>
      <c r="O376" s="19">
        <f t="shared" si="208"/>
        <v>6.2</v>
      </c>
      <c r="P376" s="1">
        <f>LOOKUP(O376,{0,2.5,2.7,2.9,3.1,3.3,3.5,3.7,3.9,4.1,4.3,4.5,4.7,4.9,5.1,5.3,5.5,5.6,5.7,5.8,5.9},{0,10,20,30,40,50,60,62,64,66,68,70,72,74,76,78,80,85,90,95,100})</f>
        <v>100</v>
      </c>
      <c r="Q376" s="15">
        <v>3.34</v>
      </c>
      <c r="R376" s="15">
        <f t="shared" si="209"/>
        <v>6.66</v>
      </c>
      <c r="S376" s="1">
        <f>LOOKUP(R376,{0,3.75,3.95,4.55,4.75,4.95,5.55,5.6,5.65,5.7,5.75,5.8,5.85,5.9,5.95,6,6.45,6.53,6.6,6.65,6.7},{0,10,20,30,40,50,60,62,64,66,68,70,72,74,76,78,80,85,90,95,100})</f>
        <v>95</v>
      </c>
      <c r="T376" s="21"/>
      <c r="U376" s="21"/>
      <c r="V376" s="21">
        <f t="shared" si="210"/>
        <v>95</v>
      </c>
      <c r="W376" s="15"/>
      <c r="X376" s="21">
        <f t="shared" si="211"/>
        <v>67.5</v>
      </c>
      <c r="Y376" s="21">
        <f t="shared" si="212"/>
        <v>99.4285714285714</v>
      </c>
    </row>
    <row r="377" ht="15.6" hidden="1" outlineLevel="2" spans="1:25">
      <c r="A377" s="15">
        <v>114</v>
      </c>
      <c r="B377" s="15">
        <v>5</v>
      </c>
      <c r="C377" s="14" t="s">
        <v>681</v>
      </c>
      <c r="D377" s="14" t="s">
        <v>11</v>
      </c>
      <c r="E377" s="15">
        <v>-2</v>
      </c>
      <c r="F377" s="1">
        <f>LOOKUP(E377,{0,-4,-3,-2,-1,0,1,2.4,3.8,5.2,6.6,8,9.4,10.8,12.2,13.6,15,17.2,19.4,21.5,23.6},{0,10,20,30,40,50,60,62,64,66,68,70,72,74,76,78,80,85,90,95,100})</f>
        <v>30</v>
      </c>
      <c r="G377" s="15">
        <v>210</v>
      </c>
      <c r="H377" s="1">
        <f>LOOKUP(G377,{0,170,175,180,185,190,195,199,203,207,211,215,219,223,227,231,235,243,250,255,260},{0,10,20,30,40,50,60,62,64,66,68,70,72,74,76,78,80,85,90,95,100})</f>
        <v>66</v>
      </c>
      <c r="I377" s="15">
        <v>0</v>
      </c>
      <c r="J377" s="1">
        <f>LOOKUP(I377,{0,2,3,4,5,6,7,8,9,10,11,12,13,14,15,16},{0,10,20,30,40,50,60,64,68,72,76,80,85,90,95,100})</f>
        <v>0</v>
      </c>
      <c r="K377" s="21"/>
      <c r="L377" s="21"/>
      <c r="M377" s="21">
        <f t="shared" si="207"/>
        <v>0</v>
      </c>
      <c r="N377" s="15">
        <v>7.4</v>
      </c>
      <c r="O377" s="19">
        <f t="shared" si="208"/>
        <v>5.6</v>
      </c>
      <c r="P377" s="1">
        <f>LOOKUP(O377,{0,2.5,2.7,2.9,3.1,3.3,3.5,3.7,3.9,4.1,4.3,4.5,4.7,4.9,5.1,5.3,5.5,5.6,5.7,5.8,5.9},{0,10,20,30,40,50,60,62,64,66,68,70,72,74,76,78,80,85,90,95,100})</f>
        <v>85</v>
      </c>
      <c r="Q377" s="15">
        <v>3.44</v>
      </c>
      <c r="R377" s="15">
        <f t="shared" si="209"/>
        <v>6.56</v>
      </c>
      <c r="S377" s="1">
        <f>LOOKUP(R377,{0,3.75,3.95,4.55,4.75,4.95,5.55,5.6,5.65,5.7,5.75,5.8,5.85,5.9,5.95,6,6.45,6.53,6.6,6.65,6.7},{0,10,20,30,40,50,60,62,64,66,68,70,72,74,76,78,80,85,90,95,100})</f>
        <v>85</v>
      </c>
      <c r="T377" s="21"/>
      <c r="U377" s="21"/>
      <c r="V377" s="21">
        <f t="shared" si="210"/>
        <v>85</v>
      </c>
      <c r="W377" s="15"/>
      <c r="X377" s="21">
        <f t="shared" si="211"/>
        <v>43.6</v>
      </c>
      <c r="Y377" s="21">
        <f t="shared" si="212"/>
        <v>62.2857142857143</v>
      </c>
    </row>
    <row r="378" ht="15.6" hidden="1" outlineLevel="2" spans="1:25">
      <c r="A378" s="15">
        <v>114</v>
      </c>
      <c r="B378" s="15">
        <v>6</v>
      </c>
      <c r="C378" s="14" t="s">
        <v>682</v>
      </c>
      <c r="D378" s="14" t="s">
        <v>11</v>
      </c>
      <c r="E378" s="15">
        <v>6</v>
      </c>
      <c r="F378" s="1">
        <f>LOOKUP(E378,{0,-4,-3,-2,-1,0,1,2.4,3.8,5.2,6.6,8,9.4,10.8,12.2,13.6,15,17.2,19.4,21.5,23.6},{0,10,20,30,40,50,60,62,64,66,68,70,72,74,76,78,80,85,90,95,100})</f>
        <v>66</v>
      </c>
      <c r="G378" s="15">
        <v>220</v>
      </c>
      <c r="H378" s="1">
        <f>LOOKUP(G378,{0,170,175,180,185,190,195,199,203,207,211,215,219,223,227,231,235,243,250,255,260},{0,10,20,30,40,50,60,62,64,66,68,70,72,74,76,78,80,85,90,95,100})</f>
        <v>72</v>
      </c>
      <c r="I378" s="15">
        <v>3</v>
      </c>
      <c r="J378" s="1">
        <f>LOOKUP(I378,{0,2,3,4,5,6,7,8,9,10,11,12,13,14,15,16},{0,10,20,30,40,50,60,64,68,72,76,80,85,90,95,100})</f>
        <v>20</v>
      </c>
      <c r="K378" s="21"/>
      <c r="L378" s="21"/>
      <c r="M378" s="21">
        <f t="shared" si="207"/>
        <v>20</v>
      </c>
      <c r="N378" s="15">
        <v>7.4</v>
      </c>
      <c r="O378" s="19">
        <f t="shared" si="208"/>
        <v>5.6</v>
      </c>
      <c r="P378" s="1">
        <f>LOOKUP(O378,{0,2.5,2.7,2.9,3.1,3.3,3.5,3.7,3.9,4.1,4.3,4.5,4.7,4.9,5.1,5.3,5.5,5.6,5.7,5.8,5.9},{0,10,20,30,40,50,60,62,64,66,68,70,72,74,76,78,80,85,90,95,100})</f>
        <v>85</v>
      </c>
      <c r="Q378" s="15">
        <v>3.4</v>
      </c>
      <c r="R378" s="15">
        <f t="shared" si="209"/>
        <v>6.6</v>
      </c>
      <c r="S378" s="1">
        <f>LOOKUP(R378,{0,3.75,3.95,4.55,4.75,4.95,5.55,5.6,5.65,5.7,5.75,5.8,5.85,5.9,5.95,6,6.45,6.53,6.6,6.65,6.7},{0,10,20,30,40,50,60,62,64,66,68,70,72,74,76,78,80,85,90,95,100})</f>
        <v>90</v>
      </c>
      <c r="T378" s="21"/>
      <c r="U378" s="21"/>
      <c r="V378" s="21">
        <f t="shared" si="210"/>
        <v>90</v>
      </c>
      <c r="W378" s="15"/>
      <c r="X378" s="21">
        <f t="shared" si="211"/>
        <v>50.8</v>
      </c>
      <c r="Y378" s="21">
        <f t="shared" si="212"/>
        <v>72.5714285714286</v>
      </c>
    </row>
    <row r="379" ht="15.6" hidden="1" outlineLevel="2" spans="1:25">
      <c r="A379" s="15">
        <v>114</v>
      </c>
      <c r="B379" s="15">
        <v>7</v>
      </c>
      <c r="C379" s="14" t="s">
        <v>683</v>
      </c>
      <c r="D379" s="14" t="s">
        <v>11</v>
      </c>
      <c r="E379" s="15">
        <v>7</v>
      </c>
      <c r="F379" s="1">
        <f>LOOKUP(E379,{0,-4,-3,-2,-1,0,1,2.4,3.8,5.2,6.6,8,9.4,10.8,12.2,13.6,15,17.2,19.4,21.5,23.6},{0,10,20,30,40,50,60,62,64,66,68,70,72,74,76,78,80,85,90,95,100})</f>
        <v>68</v>
      </c>
      <c r="G379" s="15">
        <v>240</v>
      </c>
      <c r="H379" s="1">
        <f>LOOKUP(G379,{0,170,175,180,185,190,195,199,203,207,211,215,219,223,227,231,235,243,250,255,260},{0,10,20,30,40,50,60,62,64,66,68,70,72,74,76,78,80,85,90,95,100})</f>
        <v>80</v>
      </c>
      <c r="I379" s="15">
        <v>10</v>
      </c>
      <c r="J379" s="1">
        <f>LOOKUP(I379,{0,2,3,4,5,6,7,8,9,10,11,12,13,14,15,16},{0,10,20,30,40,50,60,64,68,72,76,80,85,90,95,100})</f>
        <v>72</v>
      </c>
      <c r="K379" s="21"/>
      <c r="L379" s="21"/>
      <c r="M379" s="21">
        <f t="shared" si="207"/>
        <v>72</v>
      </c>
      <c r="N379" s="15">
        <v>7.4</v>
      </c>
      <c r="O379" s="19">
        <f t="shared" si="208"/>
        <v>5.6</v>
      </c>
      <c r="P379" s="1">
        <f>LOOKUP(O379,{0,2.5,2.7,2.9,3.1,3.3,3.5,3.7,3.9,4.1,4.3,4.5,4.7,4.9,5.1,5.3,5.5,5.6,5.7,5.8,5.9},{0,10,20,30,40,50,60,62,64,66,68,70,72,74,76,78,80,85,90,95,100})</f>
        <v>85</v>
      </c>
      <c r="Q379" s="15">
        <v>4.15</v>
      </c>
      <c r="R379" s="15">
        <f t="shared" si="209"/>
        <v>5.85</v>
      </c>
      <c r="S379" s="1">
        <f>LOOKUP(R379,{0,3.75,3.95,4.55,4.75,4.95,5.55,5.6,5.65,5.7,5.75,5.8,5.85,5.9,5.95,6,6.45,6.53,6.6,6.65,6.7},{0,10,20,30,40,50,60,62,64,66,68,70,72,74,76,78,80,85,90,95,100})</f>
        <v>72</v>
      </c>
      <c r="T379" s="21"/>
      <c r="U379" s="21"/>
      <c r="V379" s="21">
        <f t="shared" si="210"/>
        <v>72</v>
      </c>
      <c r="W379" s="15"/>
      <c r="X379" s="21">
        <f t="shared" si="211"/>
        <v>53.4</v>
      </c>
      <c r="Y379" s="21">
        <f t="shared" si="212"/>
        <v>76.2857142857143</v>
      </c>
    </row>
    <row r="380" ht="15.6" hidden="1" outlineLevel="2" spans="1:25">
      <c r="A380" s="15">
        <v>114</v>
      </c>
      <c r="B380" s="15">
        <v>8</v>
      </c>
      <c r="C380" s="14" t="s">
        <v>684</v>
      </c>
      <c r="D380" s="14" t="s">
        <v>11</v>
      </c>
      <c r="E380" s="15">
        <v>13</v>
      </c>
      <c r="F380" s="1">
        <f>LOOKUP(E380,{0,-4,-3,-2,-1,0,1,2.4,3.8,5.2,6.6,8,9.4,10.8,12.2,13.6,15,17.2,19.4,21.5,23.6},{0,10,20,30,40,50,60,62,64,66,68,70,72,74,76,78,80,85,90,95,100})</f>
        <v>76</v>
      </c>
      <c r="G380" s="15">
        <v>275</v>
      </c>
      <c r="H380" s="1">
        <f>LOOKUP(G380,{0,170,175,180,185,190,195,199,203,207,211,215,219,223,227,231,235,243,250,255,260},{0,10,20,30,40,50,60,62,64,66,68,70,72,74,76,78,80,85,90,95,100})</f>
        <v>100</v>
      </c>
      <c r="I380" s="15">
        <v>8</v>
      </c>
      <c r="J380" s="1">
        <f>LOOKUP(I380,{0,2,3,4,5,6,7,8,9,10,11,12,13,14,15,16},{0,10,20,30,40,50,60,64,68,72,76,80,85,90,95,100})</f>
        <v>64</v>
      </c>
      <c r="K380" s="21"/>
      <c r="L380" s="21"/>
      <c r="M380" s="21">
        <f t="shared" si="207"/>
        <v>64</v>
      </c>
      <c r="N380" s="15">
        <v>6.8</v>
      </c>
      <c r="O380" s="19">
        <f t="shared" si="208"/>
        <v>6.2</v>
      </c>
      <c r="P380" s="1">
        <f>LOOKUP(O380,{0,2.5,2.7,2.9,3.1,3.3,3.5,3.7,3.9,4.1,4.3,4.5,4.7,4.9,5.1,5.3,5.5,5.6,5.7,5.8,5.9},{0,10,20,30,40,50,60,62,64,66,68,70,72,74,76,78,80,85,90,95,100})</f>
        <v>100</v>
      </c>
      <c r="Q380" s="15">
        <v>3.07</v>
      </c>
      <c r="R380" s="15">
        <f t="shared" si="209"/>
        <v>6.93</v>
      </c>
      <c r="S380" s="1">
        <f>LOOKUP(R380,{0,3.75,3.95,4.55,4.75,4.95,5.55,5.6,5.65,5.7,5.75,5.8,5.85,5.9,5.95,6,6.45,6.53,6.6,6.65,6.7},{0,10,20,30,40,50,60,62,64,66,68,70,72,74,76,78,80,85,90,95,100})</f>
        <v>100</v>
      </c>
      <c r="T380" s="21">
        <f t="shared" ref="T380:T385" si="213">3.3-Q380</f>
        <v>0.23</v>
      </c>
      <c r="U380" s="1">
        <f>LOOKUP(T380,{0,0.04,0.08,0.12,0.16,0.2,0.23,0.26,0.29,0.32,0.35},{0,1,2,3,4,5,6,7,8,9,10})</f>
        <v>6</v>
      </c>
      <c r="V380" s="21">
        <f t="shared" si="210"/>
        <v>106</v>
      </c>
      <c r="W380" s="15"/>
      <c r="X380" s="21">
        <f t="shared" si="211"/>
        <v>64</v>
      </c>
      <c r="Y380" s="21">
        <f t="shared" si="212"/>
        <v>97.4285714285714</v>
      </c>
    </row>
    <row r="381" ht="15.6" hidden="1" outlineLevel="2" spans="1:25">
      <c r="A381" s="15">
        <v>114</v>
      </c>
      <c r="B381" s="15">
        <v>9</v>
      </c>
      <c r="C381" s="14" t="s">
        <v>685</v>
      </c>
      <c r="D381" s="14" t="s">
        <v>11</v>
      </c>
      <c r="E381" s="15">
        <v>13.5</v>
      </c>
      <c r="F381" s="1">
        <f>LOOKUP(E381,{0,-4,-3,-2,-1,0,1,2.4,3.8,5.2,6.6,8,9.4,10.8,12.2,13.6,15,17.2,19.4,21.5,23.6},{0,10,20,30,40,50,60,62,64,66,68,70,72,74,76,78,80,85,90,95,100})</f>
        <v>76</v>
      </c>
      <c r="G381" s="15">
        <v>240</v>
      </c>
      <c r="H381" s="1">
        <f>LOOKUP(G381,{0,170,175,180,185,190,195,199,203,207,211,215,219,223,227,231,235,243,250,255,260},{0,10,20,30,40,50,60,62,64,66,68,70,72,74,76,78,80,85,90,95,100})</f>
        <v>80</v>
      </c>
      <c r="I381" s="15">
        <v>13</v>
      </c>
      <c r="J381" s="1">
        <f>LOOKUP(I381,{0,2,3,4,5,6,7,8,9,10,11,12,13,14,15,16},{0,10,20,30,40,50,60,64,68,72,76,80,85,90,95,100})</f>
        <v>85</v>
      </c>
      <c r="K381" s="21"/>
      <c r="L381" s="21"/>
      <c r="M381" s="21">
        <f t="shared" si="207"/>
        <v>85</v>
      </c>
      <c r="N381" s="15">
        <v>7.2</v>
      </c>
      <c r="O381" s="19">
        <f t="shared" si="208"/>
        <v>5.8</v>
      </c>
      <c r="P381" s="1">
        <f>LOOKUP(O381,{0,2.5,2.7,2.9,3.1,3.3,3.5,3.7,3.9,4.1,4.3,4.5,4.7,4.9,5.1,5.3,5.5,5.6,5.7,5.8,5.9},{0,10,20,30,40,50,60,62,64,66,68,70,72,74,76,78,80,85,90,95,100})</f>
        <v>95</v>
      </c>
      <c r="Q381" s="15">
        <v>4.06</v>
      </c>
      <c r="R381" s="15">
        <f t="shared" si="209"/>
        <v>5.94</v>
      </c>
      <c r="S381" s="1">
        <f>LOOKUP(R381,{0,3.75,3.95,4.55,4.75,4.95,5.55,5.6,5.65,5.7,5.75,5.8,5.85,5.9,5.95,6,6.45,6.53,6.6,6.65,6.7},{0,10,20,30,40,50,60,62,64,66,68,70,72,74,76,78,80,85,90,95,100})</f>
        <v>74</v>
      </c>
      <c r="T381" s="21"/>
      <c r="U381" s="21"/>
      <c r="V381" s="21">
        <f t="shared" si="210"/>
        <v>74</v>
      </c>
      <c r="W381" s="15"/>
      <c r="X381" s="21">
        <f t="shared" si="211"/>
        <v>57.9</v>
      </c>
      <c r="Y381" s="21">
        <f t="shared" si="212"/>
        <v>82.7142857142857</v>
      </c>
    </row>
    <row r="382" ht="15.6" hidden="1" outlineLevel="2" spans="1:25">
      <c r="A382" s="15">
        <v>114</v>
      </c>
      <c r="B382" s="15">
        <v>10</v>
      </c>
      <c r="C382" s="14" t="s">
        <v>686</v>
      </c>
      <c r="D382" s="14" t="s">
        <v>11</v>
      </c>
      <c r="E382" s="15">
        <v>7</v>
      </c>
      <c r="F382" s="1">
        <f>LOOKUP(E382,{0,-4,-3,-2,-1,0,1,2.4,3.8,5.2,6.6,8,9.4,10.8,12.2,13.6,15,17.2,19.4,21.5,23.6},{0,10,20,30,40,50,60,62,64,66,68,70,72,74,76,78,80,85,90,95,100})</f>
        <v>68</v>
      </c>
      <c r="G382" s="15">
        <v>220</v>
      </c>
      <c r="H382" s="1">
        <f>LOOKUP(G382,{0,170,175,180,185,190,195,199,203,207,211,215,219,223,227,231,235,243,250,255,260},{0,10,20,30,40,50,60,62,64,66,68,70,72,74,76,78,80,85,90,95,100})</f>
        <v>72</v>
      </c>
      <c r="I382" s="15">
        <v>19</v>
      </c>
      <c r="J382" s="1">
        <f>LOOKUP(I382,{0,2,3,4,5,6,7,8,9,10,11,12,13,14,15,16},{0,10,20,30,40,50,60,64,68,72,76,80,85,90,95,100})</f>
        <v>100</v>
      </c>
      <c r="K382" s="21">
        <f>I382-16</f>
        <v>3</v>
      </c>
      <c r="L382" s="1">
        <f>LOOKUP(K382,{0,1,2,3,4,5,6,7,8,9,10},{0,1,2,3,4,5,6,7,8,9,10})</f>
        <v>3</v>
      </c>
      <c r="M382" s="21">
        <f t="shared" si="207"/>
        <v>103</v>
      </c>
      <c r="N382" s="15">
        <v>7.4</v>
      </c>
      <c r="O382" s="19">
        <f t="shared" si="208"/>
        <v>5.6</v>
      </c>
      <c r="P382" s="1">
        <f>LOOKUP(O382,{0,2.5,2.7,2.9,3.1,3.3,3.5,3.7,3.9,4.1,4.3,4.5,4.7,4.9,5.1,5.3,5.5,5.6,5.7,5.8,5.9},{0,10,20,30,40,50,60,62,64,66,68,70,72,74,76,78,80,85,90,95,100})</f>
        <v>85</v>
      </c>
      <c r="Q382" s="15">
        <v>3.59</v>
      </c>
      <c r="R382" s="15">
        <f t="shared" si="209"/>
        <v>6.41</v>
      </c>
      <c r="S382" s="1">
        <f>LOOKUP(R382,{0,3.75,3.95,4.55,4.75,4.95,5.55,5.6,5.65,5.7,5.75,5.8,5.85,5.9,5.95,6,6.45,6.53,6.6,6.65,6.7},{0,10,20,30,40,50,60,62,64,66,68,70,72,74,76,78,80,85,90,95,100})</f>
        <v>78</v>
      </c>
      <c r="T382" s="21"/>
      <c r="U382" s="21"/>
      <c r="V382" s="21">
        <f t="shared" si="210"/>
        <v>78</v>
      </c>
      <c r="W382" s="15"/>
      <c r="X382" s="21">
        <f t="shared" si="211"/>
        <v>56.6</v>
      </c>
      <c r="Y382" s="21">
        <f t="shared" si="212"/>
        <v>83.8571428571429</v>
      </c>
    </row>
    <row r="383" ht="15.6" hidden="1" outlineLevel="2" spans="1:25">
      <c r="A383" s="15">
        <v>114</v>
      </c>
      <c r="B383" s="15">
        <v>11</v>
      </c>
      <c r="C383" s="14" t="s">
        <v>687</v>
      </c>
      <c r="D383" s="14" t="s">
        <v>11</v>
      </c>
      <c r="E383" s="15">
        <v>15</v>
      </c>
      <c r="F383" s="1">
        <f>LOOKUP(E383,{0,-4,-3,-2,-1,0,1,2.4,3.8,5.2,6.6,8,9.4,10.8,12.2,13.6,15,17.2,19.4,21.5,23.6},{0,10,20,30,40,50,60,62,64,66,68,70,72,74,76,78,80,85,90,95,100})</f>
        <v>80</v>
      </c>
      <c r="G383" s="15">
        <v>234</v>
      </c>
      <c r="H383" s="1">
        <f>LOOKUP(G383,{0,170,175,180,185,190,195,199,203,207,211,215,219,223,227,231,235,243,250,255,260},{0,10,20,30,40,50,60,62,64,66,68,70,72,74,76,78,80,85,90,95,100})</f>
        <v>78</v>
      </c>
      <c r="I383" s="15">
        <v>4</v>
      </c>
      <c r="J383" s="1">
        <f>LOOKUP(I383,{0,2,3,4,5,6,7,8,9,10,11,12,13,14,15,16},{0,10,20,30,40,50,60,64,68,72,76,80,85,90,95,100})</f>
        <v>30</v>
      </c>
      <c r="K383" s="21"/>
      <c r="L383" s="21"/>
      <c r="M383" s="21">
        <f t="shared" si="207"/>
        <v>30</v>
      </c>
      <c r="N383" s="15">
        <v>7</v>
      </c>
      <c r="O383" s="19">
        <f t="shared" si="208"/>
        <v>6</v>
      </c>
      <c r="P383" s="1">
        <f>LOOKUP(O383,{0,2.5,2.7,2.9,3.1,3.3,3.5,3.7,3.9,4.1,4.3,4.5,4.7,4.9,5.1,5.3,5.5,5.6,5.7,5.8,5.9},{0,10,20,30,40,50,60,62,64,66,68,70,72,74,76,78,80,85,90,95,100})</f>
        <v>100</v>
      </c>
      <c r="Q383" s="15">
        <v>3.17</v>
      </c>
      <c r="R383" s="15">
        <f t="shared" si="209"/>
        <v>6.83</v>
      </c>
      <c r="S383" s="1">
        <f>LOOKUP(R383,{0,3.75,3.95,4.55,4.75,4.95,5.55,5.6,5.65,5.7,5.75,5.8,5.85,5.9,5.95,6,6.45,6.53,6.6,6.65,6.7},{0,10,20,30,40,50,60,62,64,66,68,70,72,74,76,78,80,85,90,95,100})</f>
        <v>100</v>
      </c>
      <c r="T383" s="21">
        <f t="shared" si="213"/>
        <v>0.13</v>
      </c>
      <c r="U383" s="1">
        <f>LOOKUP(T383,{0,0.04,0.08,0.12,0.16,0.2,0.23,0.26,0.29,0.32,0.35},{0,1,2,3,4,5,6,7,8,9,10})</f>
        <v>3</v>
      </c>
      <c r="V383" s="21">
        <f t="shared" si="210"/>
        <v>103</v>
      </c>
      <c r="W383" s="15"/>
      <c r="X383" s="21">
        <f t="shared" si="211"/>
        <v>58.8</v>
      </c>
      <c r="Y383" s="21">
        <f t="shared" si="212"/>
        <v>87</v>
      </c>
    </row>
    <row r="384" ht="15.6" hidden="1" outlineLevel="2" spans="1:25">
      <c r="A384" s="15">
        <v>114</v>
      </c>
      <c r="B384" s="15">
        <v>12</v>
      </c>
      <c r="C384" s="14" t="s">
        <v>688</v>
      </c>
      <c r="D384" s="14" t="s">
        <v>11</v>
      </c>
      <c r="E384" s="15">
        <v>10</v>
      </c>
      <c r="F384" s="1">
        <f>LOOKUP(E384,{0,-4,-3,-2,-1,0,1,2.4,3.8,5.2,6.6,8,9.4,10.8,12.2,13.6,15,17.2,19.4,21.5,23.6},{0,10,20,30,40,50,60,62,64,66,68,70,72,74,76,78,80,85,90,95,100})</f>
        <v>72</v>
      </c>
      <c r="G384" s="15">
        <v>259</v>
      </c>
      <c r="H384" s="1">
        <f>LOOKUP(G384,{0,170,175,180,185,190,195,199,203,207,211,215,219,223,227,231,235,243,250,255,260},{0,10,20,30,40,50,60,62,64,66,68,70,72,74,76,78,80,85,90,95,100})</f>
        <v>95</v>
      </c>
      <c r="I384" s="15">
        <v>17</v>
      </c>
      <c r="J384" s="1">
        <f>LOOKUP(I384,{0,2,3,4,5,6,7,8,9,10,11,12,13,14,15,16},{0,10,20,30,40,50,60,64,68,72,76,80,85,90,95,100})</f>
        <v>100</v>
      </c>
      <c r="K384" s="21">
        <f>I384-16</f>
        <v>1</v>
      </c>
      <c r="L384" s="1">
        <f>LOOKUP(K384,{0,1,2,3,4,5,6,7,8,9,10},{0,1,2,3,4,5,6,7,8,9,10})</f>
        <v>1</v>
      </c>
      <c r="M384" s="21">
        <f t="shared" si="207"/>
        <v>101</v>
      </c>
      <c r="N384" s="15">
        <v>7.1</v>
      </c>
      <c r="O384" s="19">
        <f t="shared" si="208"/>
        <v>5.9</v>
      </c>
      <c r="P384" s="1">
        <f>LOOKUP(O384,{0,2.5,2.7,2.9,3.1,3.3,3.5,3.7,3.9,4.1,4.3,4.5,4.7,4.9,5.1,5.3,5.5,5.6,5.7,5.8,5.9},{0,10,20,30,40,50,60,62,64,66,68,70,72,74,76,78,80,85,90,95,100})</f>
        <v>100</v>
      </c>
      <c r="Q384" s="15">
        <v>4</v>
      </c>
      <c r="R384" s="15">
        <f t="shared" si="209"/>
        <v>6</v>
      </c>
      <c r="S384" s="1">
        <f>LOOKUP(R384,{0,3.75,3.95,4.55,4.75,4.95,5.55,5.6,5.65,5.7,5.75,5.8,5.85,5.9,5.95,6,6.45,6.53,6.6,6.65,6.7},{0,10,20,30,40,50,60,62,64,66,68,70,72,74,76,78,80,85,90,95,100})</f>
        <v>78</v>
      </c>
      <c r="T384" s="21"/>
      <c r="U384" s="21"/>
      <c r="V384" s="21">
        <f t="shared" si="210"/>
        <v>78</v>
      </c>
      <c r="W384" s="15"/>
      <c r="X384" s="21">
        <f t="shared" si="211"/>
        <v>62.3</v>
      </c>
      <c r="Y384" s="21">
        <f t="shared" si="212"/>
        <v>90</v>
      </c>
    </row>
    <row r="385" ht="15.6" hidden="1" outlineLevel="2" spans="1:25">
      <c r="A385" s="15">
        <v>114</v>
      </c>
      <c r="B385" s="15">
        <v>13</v>
      </c>
      <c r="C385" s="13" t="s">
        <v>690</v>
      </c>
      <c r="D385" s="14" t="s">
        <v>11</v>
      </c>
      <c r="E385" s="15">
        <v>2.4</v>
      </c>
      <c r="F385" s="1">
        <f>LOOKUP(E385,{0,-4,-3,-2,-1,0,1,2.4,3.8,5.2,6.6,8,9.4,10.8,12.2,13.6,15,17.2,19.4,21.5,23.6},{0,10,20,30,40,50,60,62,64,66,68,70,72,74,76,78,80,85,90,95,100})</f>
        <v>62</v>
      </c>
      <c r="G385" s="15">
        <v>258</v>
      </c>
      <c r="H385" s="1">
        <f>LOOKUP(G385,{0,170,175,180,185,190,195,199,203,207,211,215,219,223,227,231,235,243,250,255,260},{0,10,20,30,40,50,60,62,64,66,68,70,72,74,76,78,80,85,90,95,100})</f>
        <v>95</v>
      </c>
      <c r="I385" s="15">
        <v>11</v>
      </c>
      <c r="J385" s="1">
        <f>LOOKUP(I385,{0,2,3,4,5,6,7,8,9,10,11,12,13,14,15,16},{0,10,20,30,40,50,60,64,68,72,76,80,85,90,95,100})</f>
        <v>76</v>
      </c>
      <c r="K385" s="21"/>
      <c r="L385" s="21"/>
      <c r="M385" s="21">
        <f t="shared" si="207"/>
        <v>76</v>
      </c>
      <c r="N385" s="15">
        <v>7</v>
      </c>
      <c r="O385" s="19">
        <f t="shared" si="208"/>
        <v>6</v>
      </c>
      <c r="P385" s="1">
        <f>LOOKUP(O385,{0,2.5,2.7,2.9,3.1,3.3,3.5,3.7,3.9,4.1,4.3,4.5,4.7,4.9,5.1,5.3,5.5,5.6,5.7,5.8,5.9},{0,10,20,30,40,50,60,62,64,66,68,70,72,74,76,78,80,85,90,95,100})</f>
        <v>100</v>
      </c>
      <c r="Q385" s="15">
        <v>3.25</v>
      </c>
      <c r="R385" s="15">
        <f t="shared" si="209"/>
        <v>6.75</v>
      </c>
      <c r="S385" s="1">
        <f>LOOKUP(R385,{0,3.75,3.95,4.55,4.75,4.95,5.55,5.6,5.65,5.7,5.75,5.8,5.85,5.9,5.95,6,6.45,6.53,6.6,6.65,6.7},{0,10,20,30,40,50,60,62,64,66,68,70,72,74,76,78,80,85,90,95,100})</f>
        <v>100</v>
      </c>
      <c r="T385" s="21">
        <f t="shared" si="213"/>
        <v>0.0499999999999998</v>
      </c>
      <c r="U385" s="1">
        <f>LOOKUP(T385,{0,0.04,0.08,0.12,0.16,0.2,0.23,0.26,0.29,0.32,0.35},{0,1,2,3,4,5,6,7,8,9,10})</f>
        <v>1</v>
      </c>
      <c r="V385" s="21">
        <f t="shared" si="210"/>
        <v>101</v>
      </c>
      <c r="W385" s="15"/>
      <c r="X385" s="21">
        <f t="shared" si="211"/>
        <v>63.3</v>
      </c>
      <c r="Y385" s="21">
        <f t="shared" si="212"/>
        <v>91.4285714285714</v>
      </c>
    </row>
    <row r="386" ht="15.6" hidden="1" outlineLevel="2" spans="1:25">
      <c r="A386" s="15">
        <v>114</v>
      </c>
      <c r="B386" s="15">
        <v>14</v>
      </c>
      <c r="C386" s="14" t="s">
        <v>691</v>
      </c>
      <c r="D386" s="14" t="s">
        <v>11</v>
      </c>
      <c r="E386" s="15">
        <v>8.5</v>
      </c>
      <c r="F386" s="1">
        <f>LOOKUP(E386,{0,-4,-3,-2,-1,0,1,2.4,3.8,5.2,6.6,8,9.4,10.8,12.2,13.6,15,17.2,19.4,21.5,23.6},{0,10,20,30,40,50,60,62,64,66,68,70,72,74,76,78,80,85,90,95,100})</f>
        <v>70</v>
      </c>
      <c r="G386" s="15">
        <v>228</v>
      </c>
      <c r="H386" s="1">
        <f>LOOKUP(G386,{0,170,175,180,185,190,195,199,203,207,211,215,219,223,227,231,235,243,250,255,260},{0,10,20,30,40,50,60,62,64,66,68,70,72,74,76,78,80,85,90,95,100})</f>
        <v>76</v>
      </c>
      <c r="I386" s="15">
        <v>6</v>
      </c>
      <c r="J386" s="1">
        <f>LOOKUP(I386,{0,2,3,4,5,6,7,8,9,10,11,12,13,14,15,16},{0,10,20,30,40,50,60,64,68,72,76,80,85,90,95,100})</f>
        <v>50</v>
      </c>
      <c r="K386" s="21"/>
      <c r="L386" s="21"/>
      <c r="M386" s="21">
        <f t="shared" si="207"/>
        <v>50</v>
      </c>
      <c r="N386" s="15">
        <v>7.5</v>
      </c>
      <c r="O386" s="19">
        <f t="shared" si="208"/>
        <v>5.5</v>
      </c>
      <c r="P386" s="1">
        <f>LOOKUP(O386,{0,2.5,2.7,2.9,3.1,3.3,3.5,3.7,3.9,4.1,4.3,4.5,4.7,4.9,5.1,5.3,5.5,5.6,5.7,5.8,5.9},{0,10,20,30,40,50,60,62,64,66,68,70,72,74,76,78,80,85,90,95,100})</f>
        <v>80</v>
      </c>
      <c r="Q386" s="15">
        <v>3.55</v>
      </c>
      <c r="R386" s="15">
        <f t="shared" si="209"/>
        <v>6.45</v>
      </c>
      <c r="S386" s="1">
        <f>LOOKUP(R386,{0,3.75,3.95,4.55,4.75,4.95,5.55,5.6,5.65,5.7,5.75,5.8,5.85,5.9,5.95,6,6.45,6.53,6.6,6.65,6.7},{0,10,20,30,40,50,60,62,64,66,68,70,72,74,76,78,80,85,90,95,100})</f>
        <v>80</v>
      </c>
      <c r="T386" s="21"/>
      <c r="U386" s="21"/>
      <c r="V386" s="21">
        <f t="shared" si="210"/>
        <v>80</v>
      </c>
      <c r="W386" s="15"/>
      <c r="X386" s="21">
        <f t="shared" si="211"/>
        <v>51.6</v>
      </c>
      <c r="Y386" s="21">
        <f t="shared" si="212"/>
        <v>73.7142857142857</v>
      </c>
    </row>
    <row r="387" ht="15.6" hidden="1" outlineLevel="2" spans="1:25">
      <c r="A387" s="15">
        <v>114</v>
      </c>
      <c r="B387" s="15">
        <v>15</v>
      </c>
      <c r="C387" s="14" t="s">
        <v>692</v>
      </c>
      <c r="D387" s="14" t="s">
        <v>11</v>
      </c>
      <c r="E387" s="15">
        <v>6.5</v>
      </c>
      <c r="F387" s="1">
        <f>LOOKUP(E387,{0,-4,-3,-2,-1,0,1,2.4,3.8,5.2,6.6,8,9.4,10.8,12.2,13.6,15,17.2,19.4,21.5,23.6},{0,10,20,30,40,50,60,62,64,66,68,70,72,74,76,78,80,85,90,95,100})</f>
        <v>66</v>
      </c>
      <c r="G387" s="15">
        <v>198</v>
      </c>
      <c r="H387" s="1">
        <f>LOOKUP(G387,{0,170,175,180,185,190,195,199,203,207,211,215,219,223,227,231,235,243,250,255,260},{0,10,20,30,40,50,60,62,64,66,68,70,72,74,76,78,80,85,90,95,100})</f>
        <v>60</v>
      </c>
      <c r="I387" s="15">
        <v>8</v>
      </c>
      <c r="J387" s="1">
        <f>LOOKUP(I387,{0,2,3,4,5,6,7,8,9,10,11,12,13,14,15,16},{0,10,20,30,40,50,60,64,68,72,76,80,85,90,95,100})</f>
        <v>64</v>
      </c>
      <c r="K387" s="21"/>
      <c r="L387" s="21"/>
      <c r="M387" s="21">
        <f t="shared" si="207"/>
        <v>64</v>
      </c>
      <c r="N387" s="15">
        <v>7.6</v>
      </c>
      <c r="O387" s="19">
        <f t="shared" si="208"/>
        <v>5.4</v>
      </c>
      <c r="P387" s="1">
        <f>LOOKUP(O387,{0,2.5,2.7,2.9,3.1,3.3,3.5,3.7,3.9,4.1,4.3,4.5,4.7,4.9,5.1,5.3,5.5,5.6,5.7,5.8,5.9},{0,10,20,30,40,50,60,62,64,66,68,70,72,74,76,78,80,85,90,95,100})</f>
        <v>78</v>
      </c>
      <c r="Q387" s="15">
        <v>3.43</v>
      </c>
      <c r="R387" s="15">
        <f t="shared" si="209"/>
        <v>6.57</v>
      </c>
      <c r="S387" s="1">
        <f>LOOKUP(R387,{0,3.75,3.95,4.55,4.75,4.95,5.55,5.6,5.65,5.7,5.75,5.8,5.85,5.9,5.95,6,6.45,6.53,6.6,6.65,6.7},{0,10,20,30,40,50,60,62,64,66,68,70,72,74,76,78,80,85,90,95,100})</f>
        <v>85</v>
      </c>
      <c r="T387" s="21"/>
      <c r="U387" s="21"/>
      <c r="V387" s="21">
        <f t="shared" si="210"/>
        <v>85</v>
      </c>
      <c r="W387" s="15"/>
      <c r="X387" s="21">
        <f t="shared" si="211"/>
        <v>51.6</v>
      </c>
      <c r="Y387" s="21">
        <f t="shared" si="212"/>
        <v>73.7142857142857</v>
      </c>
    </row>
    <row r="388" ht="15.6" hidden="1" outlineLevel="2" spans="1:25">
      <c r="A388" s="15">
        <v>114</v>
      </c>
      <c r="B388" s="15">
        <v>16</v>
      </c>
      <c r="C388" s="14" t="s">
        <v>693</v>
      </c>
      <c r="D388" s="14" t="s">
        <v>11</v>
      </c>
      <c r="E388" s="15">
        <v>7.5</v>
      </c>
      <c r="F388" s="1">
        <f>LOOKUP(E388,{0,-4,-3,-2,-1,0,1,2.4,3.8,5.2,6.6,8,9.4,10.8,12.2,13.6,15,17.2,19.4,21.5,23.6},{0,10,20,30,40,50,60,62,64,66,68,70,72,74,76,78,80,85,90,95,100})</f>
        <v>68</v>
      </c>
      <c r="G388" s="15">
        <v>266</v>
      </c>
      <c r="H388" s="1">
        <f>LOOKUP(G388,{0,170,175,180,185,190,195,199,203,207,211,215,219,223,227,231,235,243,250,255,260},{0,10,20,30,40,50,60,62,64,66,68,70,72,74,76,78,80,85,90,95,100})</f>
        <v>100</v>
      </c>
      <c r="I388" s="15">
        <v>26</v>
      </c>
      <c r="J388" s="1">
        <f>LOOKUP(I388,{0,2,3,4,5,6,7,8,9,10,11,12,13,14,15,16},{0,10,20,30,40,50,60,64,68,72,76,80,85,90,95,100})</f>
        <v>100</v>
      </c>
      <c r="K388" s="21">
        <f>I388-16</f>
        <v>10</v>
      </c>
      <c r="L388" s="1">
        <f>LOOKUP(K388,{0,1,2,3,4,5,6,7,8,9,10},{0,1,2,3,4,5,6,7,8,9,10})</f>
        <v>10</v>
      </c>
      <c r="M388" s="21">
        <f t="shared" si="207"/>
        <v>110</v>
      </c>
      <c r="N388" s="15">
        <v>7.2</v>
      </c>
      <c r="O388" s="19">
        <f t="shared" si="208"/>
        <v>5.8</v>
      </c>
      <c r="P388" s="1">
        <f>LOOKUP(O388,{0,2.5,2.7,2.9,3.1,3.3,3.5,3.7,3.9,4.1,4.3,4.5,4.7,4.9,5.1,5.3,5.5,5.6,5.7,5.8,5.9},{0,10,20,30,40,50,60,62,64,66,68,70,72,74,76,78,80,85,90,95,100})</f>
        <v>95</v>
      </c>
      <c r="Q388" s="15">
        <v>3.46</v>
      </c>
      <c r="R388" s="15">
        <f t="shared" si="209"/>
        <v>6.54</v>
      </c>
      <c r="S388" s="1">
        <f>LOOKUP(R388,{0,3.75,3.95,4.55,4.75,4.95,5.55,5.6,5.65,5.7,5.75,5.8,5.85,5.9,5.95,6,6.45,6.53,6.6,6.65,6.7},{0,10,20,30,40,50,60,62,64,66,68,70,72,74,76,78,80,85,90,95,100})</f>
        <v>85</v>
      </c>
      <c r="T388" s="21"/>
      <c r="U388" s="21"/>
      <c r="V388" s="21">
        <f t="shared" si="210"/>
        <v>85</v>
      </c>
      <c r="W388" s="15"/>
      <c r="X388" s="21">
        <f t="shared" si="211"/>
        <v>62.8</v>
      </c>
      <c r="Y388" s="21">
        <f t="shared" si="212"/>
        <v>99.7142857142857</v>
      </c>
    </row>
    <row r="389" ht="15.6" hidden="1" outlineLevel="2" spans="1:25">
      <c r="A389" s="15">
        <v>114</v>
      </c>
      <c r="B389" s="15">
        <v>17</v>
      </c>
      <c r="C389" s="14" t="s">
        <v>694</v>
      </c>
      <c r="D389" s="14" t="s">
        <v>11</v>
      </c>
      <c r="E389" s="15">
        <v>14</v>
      </c>
      <c r="F389" s="1">
        <f>LOOKUP(E389,{0,-4,-3,-2,-1,0,1,2.4,3.8,5.2,6.6,8,9.4,10.8,12.2,13.6,15,17.2,19.4,21.5,23.6},{0,10,20,30,40,50,60,62,64,66,68,70,72,74,76,78,80,85,90,95,100})</f>
        <v>78</v>
      </c>
      <c r="G389" s="15">
        <v>223</v>
      </c>
      <c r="H389" s="1">
        <f>LOOKUP(G389,{0,170,175,180,185,190,195,199,203,207,211,215,219,223,227,231,235,243,250,255,260},{0,10,20,30,40,50,60,62,64,66,68,70,72,74,76,78,80,85,90,95,100})</f>
        <v>74</v>
      </c>
      <c r="I389" s="15">
        <v>12</v>
      </c>
      <c r="J389" s="1">
        <f>LOOKUP(I389,{0,2,3,4,5,6,7,8,9,10,11,12,13,14,15,16},{0,10,20,30,40,50,60,64,68,72,76,80,85,90,95,100})</f>
        <v>80</v>
      </c>
      <c r="K389" s="21"/>
      <c r="L389" s="21"/>
      <c r="M389" s="21">
        <f t="shared" si="207"/>
        <v>80</v>
      </c>
      <c r="N389" s="15">
        <v>7.2</v>
      </c>
      <c r="O389" s="19">
        <f t="shared" si="208"/>
        <v>5.8</v>
      </c>
      <c r="P389" s="1">
        <f>LOOKUP(O389,{0,2.5,2.7,2.9,3.1,3.3,3.5,3.7,3.9,4.1,4.3,4.5,4.7,4.9,5.1,5.3,5.5,5.6,5.7,5.8,5.9},{0,10,20,30,40,50,60,62,64,66,68,70,72,74,76,78,80,85,90,95,100})</f>
        <v>95</v>
      </c>
      <c r="Q389" s="15">
        <v>3.47</v>
      </c>
      <c r="R389" s="15">
        <f t="shared" si="209"/>
        <v>6.53</v>
      </c>
      <c r="S389" s="1">
        <f>LOOKUP(R389,{0,3.75,3.95,4.55,4.75,4.95,5.55,5.6,5.65,5.7,5.75,5.8,5.85,5.9,5.95,6,6.45,6.53,6.6,6.65,6.7},{0,10,20,30,40,50,60,62,64,66,68,70,72,74,76,78,80,85,90,95,100})</f>
        <v>85</v>
      </c>
      <c r="T389" s="21"/>
      <c r="U389" s="21"/>
      <c r="V389" s="21">
        <f t="shared" si="210"/>
        <v>85</v>
      </c>
      <c r="W389" s="15"/>
      <c r="X389" s="21">
        <f t="shared" si="211"/>
        <v>59.2</v>
      </c>
      <c r="Y389" s="21">
        <f t="shared" si="212"/>
        <v>84.5714285714286</v>
      </c>
    </row>
    <row r="390" ht="15.6" hidden="1" outlineLevel="2" spans="1:25">
      <c r="A390" s="15">
        <v>114</v>
      </c>
      <c r="B390" s="15">
        <v>18</v>
      </c>
      <c r="C390" s="14" t="s">
        <v>695</v>
      </c>
      <c r="D390" s="14" t="s">
        <v>11</v>
      </c>
      <c r="E390" s="15">
        <v>1.5</v>
      </c>
      <c r="F390" s="1">
        <f>LOOKUP(E390,{0,-4,-3,-2,-1,0,1,2.4,3.8,5.2,6.6,8,9.4,10.8,12.2,13.6,15,17.2,19.4,21.5,23.6},{0,10,20,30,40,50,60,62,64,66,68,70,72,74,76,78,80,85,90,95,100})</f>
        <v>60</v>
      </c>
      <c r="G390" s="15">
        <v>226</v>
      </c>
      <c r="H390" s="1">
        <f>LOOKUP(G390,{0,170,175,180,185,190,195,199,203,207,211,215,219,223,227,231,235,243,250,255,260},{0,10,20,30,40,50,60,62,64,66,68,70,72,74,76,78,80,85,90,95,100})</f>
        <v>74</v>
      </c>
      <c r="I390" s="15">
        <v>17</v>
      </c>
      <c r="J390" s="1">
        <f>LOOKUP(I390,{0,2,3,4,5,6,7,8,9,10,11,12,13,14,15,16},{0,10,20,30,40,50,60,64,68,72,76,80,85,90,95,100})</f>
        <v>100</v>
      </c>
      <c r="K390" s="21">
        <f>I390-16</f>
        <v>1</v>
      </c>
      <c r="L390" s="1">
        <f>LOOKUP(K390,{0,1,2,3,4,5,6,7,8,9,10},{0,1,2,3,4,5,6,7,8,9,10})</f>
        <v>1</v>
      </c>
      <c r="M390" s="21">
        <f t="shared" si="207"/>
        <v>101</v>
      </c>
      <c r="N390" s="15">
        <v>7.7</v>
      </c>
      <c r="O390" s="19">
        <f t="shared" si="208"/>
        <v>5.3</v>
      </c>
      <c r="P390" s="1">
        <f>LOOKUP(O390,{0,2.5,2.7,2.9,3.1,3.3,3.5,3.7,3.9,4.1,4.3,4.5,4.7,4.9,5.1,5.3,5.5,5.6,5.7,5.8,5.9},{0,10,20,30,40,50,60,62,64,66,68,70,72,74,76,78,80,85,90,95,100})</f>
        <v>78</v>
      </c>
      <c r="Q390" s="15">
        <v>3.13</v>
      </c>
      <c r="R390" s="15">
        <f t="shared" si="209"/>
        <v>6.87</v>
      </c>
      <c r="S390" s="1">
        <f>LOOKUP(R390,{0,3.75,3.95,4.55,4.75,4.95,5.55,5.6,5.65,5.7,5.75,5.8,5.85,5.9,5.95,6,6.45,6.53,6.6,6.65,6.7},{0,10,20,30,40,50,60,62,64,66,68,70,72,74,76,78,80,85,90,95,100})</f>
        <v>100</v>
      </c>
      <c r="T390" s="21">
        <f t="shared" ref="T390:T395" si="214">3.3-Q390</f>
        <v>0.17</v>
      </c>
      <c r="U390" s="1">
        <f>LOOKUP(T390,{0,0.04,0.08,0.12,0.16,0.2,0.23,0.26,0.29,0.32,0.35},{0,1,2,3,4,5,6,7,8,9,10})</f>
        <v>4</v>
      </c>
      <c r="V390" s="21">
        <f t="shared" si="210"/>
        <v>104</v>
      </c>
      <c r="W390" s="15"/>
      <c r="X390" s="21">
        <f t="shared" si="211"/>
        <v>59</v>
      </c>
      <c r="Y390" s="21">
        <f t="shared" si="212"/>
        <v>89.2857142857143</v>
      </c>
    </row>
    <row r="391" ht="15.6" hidden="1" outlineLevel="2" spans="1:25">
      <c r="A391" s="15">
        <v>114</v>
      </c>
      <c r="B391" s="15">
        <v>19</v>
      </c>
      <c r="C391" s="14" t="s">
        <v>696</v>
      </c>
      <c r="D391" s="14" t="s">
        <v>11</v>
      </c>
      <c r="E391" s="15">
        <v>10</v>
      </c>
      <c r="F391" s="1">
        <f>LOOKUP(E391,{0,-4,-3,-2,-1,0,1,2.4,3.8,5.2,6.6,8,9.4,10.8,12.2,13.6,15,17.2,19.4,21.5,23.6},{0,10,20,30,40,50,60,62,64,66,68,70,72,74,76,78,80,85,90,95,100})</f>
        <v>72</v>
      </c>
      <c r="G391" s="15">
        <v>252</v>
      </c>
      <c r="H391" s="1">
        <f>LOOKUP(G391,{0,170,175,180,185,190,195,199,203,207,211,215,219,223,227,231,235,243,250,255,260},{0,10,20,30,40,50,60,62,64,66,68,70,72,74,76,78,80,85,90,95,100})</f>
        <v>90</v>
      </c>
      <c r="I391" s="15">
        <v>5</v>
      </c>
      <c r="J391" s="1">
        <f>LOOKUP(I391,{0,2,3,4,5,6,7,8,9,10,11,12,13,14,15,16},{0,10,20,30,40,50,60,64,68,72,76,80,85,90,95,100})</f>
        <v>40</v>
      </c>
      <c r="K391" s="21"/>
      <c r="L391" s="21"/>
      <c r="M391" s="21">
        <f t="shared" si="207"/>
        <v>40</v>
      </c>
      <c r="N391" s="15">
        <v>6.9</v>
      </c>
      <c r="O391" s="19">
        <f t="shared" si="208"/>
        <v>6.1</v>
      </c>
      <c r="P391" s="1">
        <f>LOOKUP(O391,{0,2.5,2.7,2.9,3.1,3.3,3.5,3.7,3.9,4.1,4.3,4.5,4.7,4.9,5.1,5.3,5.5,5.6,5.7,5.8,5.9},{0,10,20,30,40,50,60,62,64,66,68,70,72,74,76,78,80,85,90,95,100})</f>
        <v>100</v>
      </c>
      <c r="Q391" s="15">
        <v>3.27</v>
      </c>
      <c r="R391" s="15">
        <f t="shared" si="209"/>
        <v>6.73</v>
      </c>
      <c r="S391" s="1">
        <f>LOOKUP(R391,{0,3.75,3.95,4.55,4.75,4.95,5.55,5.6,5.65,5.7,5.75,5.8,5.85,5.9,5.95,6,6.45,6.53,6.6,6.65,6.7},{0,10,20,30,40,50,60,62,64,66,68,70,72,74,76,78,80,85,90,95,100})</f>
        <v>100</v>
      </c>
      <c r="T391" s="21">
        <f t="shared" si="214"/>
        <v>0.0299999999999998</v>
      </c>
      <c r="U391" s="1">
        <f>LOOKUP(T391,{0,0.04,0.08,0.12,0.16,0.2,0.23,0.26,0.29,0.32,0.35},{0,1,2,3,4,5,6,7,8,9,10})</f>
        <v>0</v>
      </c>
      <c r="V391" s="21">
        <f t="shared" si="210"/>
        <v>100</v>
      </c>
      <c r="W391" s="15"/>
      <c r="X391" s="21">
        <f t="shared" si="211"/>
        <v>60.2</v>
      </c>
      <c r="Y391" s="21">
        <f t="shared" si="212"/>
        <v>86</v>
      </c>
    </row>
    <row r="392" ht="15.6" hidden="1" outlineLevel="2" spans="1:25">
      <c r="A392" s="15">
        <v>114</v>
      </c>
      <c r="B392" s="15">
        <v>20</v>
      </c>
      <c r="C392" s="14" t="s">
        <v>697</v>
      </c>
      <c r="D392" s="14" t="s">
        <v>11</v>
      </c>
      <c r="E392" s="15">
        <v>3.5</v>
      </c>
      <c r="F392" s="1">
        <f>LOOKUP(E392,{0,-4,-3,-2,-1,0,1,2.4,3.8,5.2,6.6,8,9.4,10.8,12.2,13.6,15,17.2,19.4,21.5,23.6},{0,10,20,30,40,50,60,62,64,66,68,70,72,74,76,78,80,85,90,95,100})</f>
        <v>62</v>
      </c>
      <c r="G392" s="15">
        <v>237</v>
      </c>
      <c r="H392" s="1">
        <f>LOOKUP(G392,{0,170,175,180,185,190,195,199,203,207,211,215,219,223,227,231,235,243,250,255,260},{0,10,20,30,40,50,60,62,64,66,68,70,72,74,76,78,80,85,90,95,100})</f>
        <v>80</v>
      </c>
      <c r="I392" s="15">
        <v>2</v>
      </c>
      <c r="J392" s="1">
        <f>LOOKUP(I392,{0,2,3,4,5,6,7,8,9,10,11,12,13,14,15,16},{0,10,20,30,40,50,60,64,68,72,76,80,85,90,95,100})</f>
        <v>10</v>
      </c>
      <c r="K392" s="21"/>
      <c r="L392" s="21"/>
      <c r="M392" s="21">
        <f t="shared" si="207"/>
        <v>10</v>
      </c>
      <c r="N392" s="15">
        <v>7.3</v>
      </c>
      <c r="O392" s="19">
        <f t="shared" si="208"/>
        <v>5.7</v>
      </c>
      <c r="P392" s="1">
        <f>LOOKUP(O392,{0,2.5,2.7,2.9,3.1,3.3,3.5,3.7,3.9,4.1,4.3,4.5,4.7,4.9,5.1,5.3,5.5,5.6,5.7,5.8,5.9},{0,10,20,30,40,50,60,62,64,66,68,70,72,74,76,78,80,85,90,95,100})</f>
        <v>90</v>
      </c>
      <c r="Q392" s="15">
        <v>3.35</v>
      </c>
      <c r="R392" s="15">
        <f t="shared" si="209"/>
        <v>6.65</v>
      </c>
      <c r="S392" s="1">
        <f>LOOKUP(R392,{0,3.75,3.95,4.55,4.75,4.95,5.55,5.6,5.65,5.7,5.75,5.8,5.85,5.9,5.95,6,6.45,6.53,6.6,6.65,6.7},{0,10,20,30,40,50,60,62,64,66,68,70,72,74,76,78,80,85,90,95,100})</f>
        <v>95</v>
      </c>
      <c r="T392" s="21"/>
      <c r="U392" s="21"/>
      <c r="V392" s="21">
        <f t="shared" si="210"/>
        <v>95</v>
      </c>
      <c r="W392" s="15"/>
      <c r="X392" s="21">
        <f t="shared" si="211"/>
        <v>52.2</v>
      </c>
      <c r="Y392" s="21">
        <f t="shared" si="212"/>
        <v>74.5714285714286</v>
      </c>
    </row>
    <row r="393" s="3" customFormat="1" ht="15.6" hidden="1" outlineLevel="2" spans="1:25">
      <c r="A393" s="15">
        <v>114</v>
      </c>
      <c r="B393" s="15">
        <v>21</v>
      </c>
      <c r="C393" s="14" t="s">
        <v>698</v>
      </c>
      <c r="D393" s="14" t="s">
        <v>11</v>
      </c>
      <c r="E393" s="15">
        <v>12.9</v>
      </c>
      <c r="F393" s="1">
        <f>LOOKUP(E393,{0,-4,-3,-2,-1,0,1,2.4,3.8,5.2,6.6,8,9.4,10.8,12.2,13.6,15,17.2,19.4,21.5,23.6},{0,10,20,30,40,50,60,62,64,66,68,70,72,74,76,78,80,85,90,95,100})</f>
        <v>76</v>
      </c>
      <c r="G393" s="15">
        <v>223</v>
      </c>
      <c r="H393" s="1">
        <f>LOOKUP(G393,{0,170,175,180,185,190,195,199,203,207,211,215,219,223,227,231,235,243,250,255,260},{0,10,20,30,40,50,60,62,64,66,68,70,72,74,76,78,80,85,90,95,100})</f>
        <v>74</v>
      </c>
      <c r="I393" s="15">
        <v>10</v>
      </c>
      <c r="J393" s="1">
        <f>LOOKUP(I393,{0,2,3,4,5,6,7,8,9,10,11,12,13,14,15,16},{0,10,20,30,40,50,60,64,68,72,76,80,85,90,95,100})</f>
        <v>72</v>
      </c>
      <c r="K393" s="21"/>
      <c r="L393" s="21"/>
      <c r="M393" s="21">
        <f t="shared" si="207"/>
        <v>72</v>
      </c>
      <c r="N393" s="15">
        <v>8</v>
      </c>
      <c r="O393" s="19">
        <f t="shared" si="208"/>
        <v>5</v>
      </c>
      <c r="P393" s="1">
        <f>LOOKUP(O393,{0,2.5,2.7,2.9,3.1,3.3,3.5,3.7,3.9,4.1,4.3,4.5,4.7,4.9,5.1,5.3,5.5,5.6,5.7,5.8,5.9},{0,10,20,30,40,50,60,62,64,66,68,70,72,74,76,78,80,85,90,95,100})</f>
        <v>74</v>
      </c>
      <c r="Q393" s="15">
        <v>4.18</v>
      </c>
      <c r="R393" s="15">
        <f t="shared" si="209"/>
        <v>5.82</v>
      </c>
      <c r="S393" s="1">
        <f>LOOKUP(R393,{0,3.75,3.95,4.55,4.75,4.95,5.55,5.6,5.65,5.7,5.75,5.8,5.85,5.9,5.95,6,6.45,6.53,6.6,6.65,6.7},{0,10,20,30,40,50,60,62,64,66,68,70,72,74,76,78,80,85,90,95,100})</f>
        <v>70</v>
      </c>
      <c r="T393" s="21"/>
      <c r="U393" s="21"/>
      <c r="V393" s="21">
        <f t="shared" si="210"/>
        <v>70</v>
      </c>
      <c r="W393" s="15"/>
      <c r="X393" s="21">
        <f t="shared" si="211"/>
        <v>51</v>
      </c>
      <c r="Y393" s="21">
        <f t="shared" si="212"/>
        <v>72.8571428571429</v>
      </c>
    </row>
    <row r="394" ht="15.6" hidden="1" outlineLevel="2" spans="1:25">
      <c r="A394" s="15">
        <v>114</v>
      </c>
      <c r="B394" s="15">
        <v>22</v>
      </c>
      <c r="C394" s="14" t="s">
        <v>699</v>
      </c>
      <c r="D394" s="14" t="s">
        <v>11</v>
      </c>
      <c r="E394" s="15">
        <v>-1.8</v>
      </c>
      <c r="F394" s="1">
        <f>LOOKUP(E394,{0,-4,-3,-2,-1,0,1,2.4,3.8,5.2,6.6,8,9.4,10.8,12.2,13.6,15,17.2,19.4,21.5,23.6},{0,10,20,30,40,50,60,62,64,66,68,70,72,74,76,78,80,85,90,95,100})</f>
        <v>30</v>
      </c>
      <c r="G394" s="15">
        <v>218</v>
      </c>
      <c r="H394" s="1">
        <f>LOOKUP(G394,{0,170,175,180,185,190,195,199,203,207,211,215,219,223,227,231,235,243,250,255,260},{0,10,20,30,40,50,60,62,64,66,68,70,72,74,76,78,80,85,90,95,100})</f>
        <v>70</v>
      </c>
      <c r="I394" s="15">
        <v>0</v>
      </c>
      <c r="J394" s="1">
        <f>LOOKUP(I394,{0,2,3,4,5,6,7,8,9,10,11,12,13,14,15,16},{0,10,20,30,40,50,60,64,68,72,76,80,85,90,95,100})</f>
        <v>0</v>
      </c>
      <c r="K394" s="21"/>
      <c r="L394" s="21"/>
      <c r="M394" s="21">
        <f t="shared" si="207"/>
        <v>0</v>
      </c>
      <c r="N394" s="15">
        <v>7.4</v>
      </c>
      <c r="O394" s="19">
        <f t="shared" si="208"/>
        <v>5.6</v>
      </c>
      <c r="P394" s="1">
        <f>LOOKUP(O394,{0,2.5,2.7,2.9,3.1,3.3,3.5,3.7,3.9,4.1,4.3,4.5,4.7,4.9,5.1,5.3,5.5,5.6,5.7,5.8,5.9},{0,10,20,30,40,50,60,62,64,66,68,70,72,74,76,78,80,85,90,95,100})</f>
        <v>85</v>
      </c>
      <c r="Q394" s="15">
        <v>3.48</v>
      </c>
      <c r="R394" s="15">
        <f t="shared" si="209"/>
        <v>6.52</v>
      </c>
      <c r="S394" s="1">
        <f>LOOKUP(R394,{0,3.75,3.95,4.55,4.75,4.95,5.55,5.6,5.65,5.7,5.75,5.8,5.85,5.9,5.95,6,6.45,6.53,6.6,6.65,6.7},{0,10,20,30,40,50,60,62,64,66,68,70,72,74,76,78,80,85,90,95,100})</f>
        <v>80</v>
      </c>
      <c r="T394" s="21"/>
      <c r="U394" s="21"/>
      <c r="V394" s="21">
        <f t="shared" si="210"/>
        <v>80</v>
      </c>
      <c r="W394" s="15"/>
      <c r="X394" s="21">
        <f t="shared" si="211"/>
        <v>43</v>
      </c>
      <c r="Y394" s="21">
        <f t="shared" si="212"/>
        <v>61.4285714285714</v>
      </c>
    </row>
    <row r="395" ht="15.6" hidden="1" outlineLevel="2" spans="1:25">
      <c r="A395" s="15">
        <v>114</v>
      </c>
      <c r="B395" s="15">
        <v>23</v>
      </c>
      <c r="C395" s="14" t="s">
        <v>700</v>
      </c>
      <c r="D395" s="14" t="s">
        <v>11</v>
      </c>
      <c r="E395" s="15">
        <v>13.5</v>
      </c>
      <c r="F395" s="1">
        <f>LOOKUP(E395,{0,-4,-3,-2,-1,0,1,2.4,3.8,5.2,6.6,8,9.4,10.8,12.2,13.6,15,17.2,19.4,21.5,23.6},{0,10,20,30,40,50,60,62,64,66,68,70,72,74,76,78,80,85,90,95,100})</f>
        <v>76</v>
      </c>
      <c r="G395" s="15">
        <v>253</v>
      </c>
      <c r="H395" s="1">
        <f>LOOKUP(G395,{0,170,175,180,185,190,195,199,203,207,211,215,219,223,227,231,235,243,250,255,260},{0,10,20,30,40,50,60,62,64,66,68,70,72,74,76,78,80,85,90,95,100})</f>
        <v>90</v>
      </c>
      <c r="I395" s="15">
        <v>26</v>
      </c>
      <c r="J395" s="1">
        <f>LOOKUP(I395,{0,2,3,4,5,6,7,8,9,10,11,12,13,14,15,16},{0,10,20,30,40,50,60,64,68,72,76,80,85,90,95,100})</f>
        <v>100</v>
      </c>
      <c r="K395" s="21">
        <f>I395-16</f>
        <v>10</v>
      </c>
      <c r="L395" s="1">
        <f>LOOKUP(K395,{0,1,2,3,4,5,6,7,8,9,10},{0,1,2,3,4,5,6,7,8,9,10})</f>
        <v>10</v>
      </c>
      <c r="M395" s="21">
        <f t="shared" si="207"/>
        <v>110</v>
      </c>
      <c r="N395" s="15">
        <v>6.9</v>
      </c>
      <c r="O395" s="19">
        <f t="shared" si="208"/>
        <v>6.1</v>
      </c>
      <c r="P395" s="1">
        <f>LOOKUP(O395,{0,2.5,2.7,2.9,3.1,3.3,3.5,3.7,3.9,4.1,4.3,4.5,4.7,4.9,5.1,5.3,5.5,5.6,5.7,5.8,5.9},{0,10,20,30,40,50,60,62,64,66,68,70,72,74,76,78,80,85,90,95,100})</f>
        <v>100</v>
      </c>
      <c r="Q395" s="15">
        <v>3.14</v>
      </c>
      <c r="R395" s="15">
        <f t="shared" si="209"/>
        <v>6.86</v>
      </c>
      <c r="S395" s="1">
        <f>LOOKUP(R395,{0,3.75,3.95,4.55,4.75,4.95,5.55,5.6,5.65,5.7,5.75,5.8,5.85,5.9,5.95,6,6.45,6.53,6.6,6.65,6.7},{0,10,20,30,40,50,60,62,64,66,68,70,72,74,76,78,80,85,90,95,100})</f>
        <v>100</v>
      </c>
      <c r="T395" s="21">
        <f t="shared" si="214"/>
        <v>0.16</v>
      </c>
      <c r="U395" s="1">
        <f>LOOKUP(T395,{0,0.04,0.08,0.12,0.16,0.2,0.23,0.26,0.29,0.32,0.35},{0,1,2,3,4,5,6,7,8,9,10})</f>
        <v>3</v>
      </c>
      <c r="V395" s="21">
        <f t="shared" si="210"/>
        <v>103</v>
      </c>
      <c r="W395" s="15"/>
      <c r="X395" s="21">
        <f t="shared" si="211"/>
        <v>66.6</v>
      </c>
      <c r="Y395" s="21">
        <f t="shared" si="212"/>
        <v>108.142857142857</v>
      </c>
    </row>
    <row r="396" ht="15.6" hidden="1" outlineLevel="2" spans="1:25">
      <c r="A396" s="15">
        <v>114</v>
      </c>
      <c r="B396" s="15">
        <v>24</v>
      </c>
      <c r="C396" s="14" t="s">
        <v>701</v>
      </c>
      <c r="D396" s="14" t="s">
        <v>11</v>
      </c>
      <c r="E396" s="15">
        <v>-4</v>
      </c>
      <c r="F396" s="1">
        <f>LOOKUP(E396,{0,-4,-3,-2,-1,0,1,2.4,3.8,5.2,6.6,8,9.4,10.8,12.2,13.6,15,17.2,19.4,21.5,23.6},{0,10,20,30,40,50,60,62,64,66,68,70,72,74,76,78,80,85,90,95,100})</f>
        <v>10</v>
      </c>
      <c r="G396" s="15">
        <v>237</v>
      </c>
      <c r="H396" s="1">
        <f>LOOKUP(G396,{0,170,175,180,185,190,195,199,203,207,211,215,219,223,227,231,235,243,250,255,260},{0,10,20,30,40,50,60,62,64,66,68,70,72,74,76,78,80,85,90,95,100})</f>
        <v>80</v>
      </c>
      <c r="I396" s="15">
        <v>3</v>
      </c>
      <c r="J396" s="1">
        <f>LOOKUP(I396,{0,2,3,4,5,6,7,8,9,10,11,12,13,14,15,16},{0,10,20,30,40,50,60,64,68,72,76,80,85,90,95,100})</f>
        <v>20</v>
      </c>
      <c r="K396" s="21"/>
      <c r="L396" s="21"/>
      <c r="M396" s="21">
        <f t="shared" si="207"/>
        <v>20</v>
      </c>
      <c r="N396" s="15">
        <v>7.2</v>
      </c>
      <c r="O396" s="19">
        <f t="shared" si="208"/>
        <v>5.8</v>
      </c>
      <c r="P396" s="1">
        <f>LOOKUP(O396,{0,2.5,2.7,2.9,3.1,3.3,3.5,3.7,3.9,4.1,4.3,4.5,4.7,4.9,5.1,5.3,5.5,5.6,5.7,5.8,5.9},{0,10,20,30,40,50,60,62,64,66,68,70,72,74,76,78,80,85,90,95,100})</f>
        <v>95</v>
      </c>
      <c r="Q396" s="15">
        <v>3.53</v>
      </c>
      <c r="R396" s="15">
        <f t="shared" si="209"/>
        <v>6.47</v>
      </c>
      <c r="S396" s="1">
        <f>LOOKUP(R396,{0,3.75,3.95,4.55,4.75,4.95,5.55,5.6,5.65,5.7,5.75,5.8,5.85,5.9,5.95,6,6.45,6.53,6.6,6.65,6.7},{0,10,20,30,40,50,60,62,64,66,68,70,72,74,76,78,80,85,90,95,100})</f>
        <v>80</v>
      </c>
      <c r="T396" s="21"/>
      <c r="U396" s="21"/>
      <c r="V396" s="21">
        <f t="shared" si="210"/>
        <v>80</v>
      </c>
      <c r="W396" s="15"/>
      <c r="X396" s="21">
        <f t="shared" si="211"/>
        <v>46</v>
      </c>
      <c r="Y396" s="21">
        <f t="shared" si="212"/>
        <v>65.7142857142857</v>
      </c>
    </row>
    <row r="397" ht="15.6" hidden="1" outlineLevel="2" spans="1:25">
      <c r="A397" s="15">
        <v>114</v>
      </c>
      <c r="B397" s="15">
        <v>25</v>
      </c>
      <c r="C397" s="15" t="s">
        <v>702</v>
      </c>
      <c r="D397" s="8" t="s">
        <v>11</v>
      </c>
      <c r="E397" s="15">
        <v>3</v>
      </c>
      <c r="F397" s="1">
        <f>LOOKUP(E397,{0,-4,-3,-2,-1,0,1,2.4,3.8,5.2,6.6,8,9.4,10.8,12.2,13.6,15,17.2,19.4,21.5,23.6},{0,10,20,30,40,50,60,62,64,66,68,70,72,74,76,78,80,85,90,95,100})</f>
        <v>62</v>
      </c>
      <c r="G397" s="15"/>
      <c r="H397" s="1"/>
      <c r="I397" s="15">
        <v>2</v>
      </c>
      <c r="J397" s="1">
        <f>LOOKUP(I397,{0,2,3,4,5,6,7,8,9,10,11,12,13,14,15,16},{0,10,20,30,40,50,60,64,68,72,76,80,85,90,95,100})</f>
        <v>10</v>
      </c>
      <c r="K397" s="21"/>
      <c r="L397" s="21"/>
      <c r="M397" s="21">
        <f t="shared" si="207"/>
        <v>10</v>
      </c>
      <c r="N397" s="15">
        <v>7.4</v>
      </c>
      <c r="O397" s="19">
        <f t="shared" si="208"/>
        <v>5.6</v>
      </c>
      <c r="P397" s="1">
        <f>LOOKUP(O397,{0,2.5,2.7,2.9,3.1,3.3,3.5,3.7,3.9,4.1,4.3,4.5,4.7,4.9,5.1,5.3,5.5,5.6,5.7,5.8,5.9},{0,10,20,30,40,50,60,62,64,66,68,70,72,74,76,78,80,85,90,95,100})</f>
        <v>85</v>
      </c>
      <c r="Q397" s="15">
        <v>3.54</v>
      </c>
      <c r="R397" s="15">
        <f t="shared" si="209"/>
        <v>6.46</v>
      </c>
      <c r="S397" s="1">
        <f>LOOKUP(R397,{0,3.75,3.95,4.55,4.75,4.95,5.55,5.6,5.65,5.7,5.75,5.8,5.85,5.9,5.95,6,6.45,6.53,6.6,6.65,6.7},{0,10,20,30,40,50,60,62,64,66,68,70,72,74,76,78,80,85,90,95,100})</f>
        <v>80</v>
      </c>
      <c r="T397" s="21"/>
      <c r="U397" s="21"/>
      <c r="V397" s="21">
        <f t="shared" si="210"/>
        <v>80</v>
      </c>
      <c r="W397" s="15"/>
      <c r="X397" s="21">
        <f t="shared" si="211"/>
        <v>40.2</v>
      </c>
      <c r="Y397" s="21">
        <f t="shared" si="212"/>
        <v>57.4285714285714</v>
      </c>
    </row>
    <row r="398" ht="15.6" outlineLevel="1" collapsed="1" spans="1:25">
      <c r="A398" s="16" t="s">
        <v>855</v>
      </c>
      <c r="B398" s="15"/>
      <c r="C398" s="15"/>
      <c r="D398" s="8"/>
      <c r="E398" s="15"/>
      <c r="F398" s="1">
        <f>SUBTOTAL(1,F373:F397)</f>
        <v>64.84</v>
      </c>
      <c r="G398" s="15"/>
      <c r="H398" s="1">
        <f>SUBTOTAL(1,H373:H397)</f>
        <v>81.5</v>
      </c>
      <c r="I398" s="15"/>
      <c r="J398" s="1">
        <f>SUBTOTAL(1,J373:J397)</f>
        <v>58.36</v>
      </c>
      <c r="K398" s="21"/>
      <c r="L398" s="21"/>
      <c r="M398" s="21">
        <f>SUBTOTAL(1,M373:M397)</f>
        <v>59.48</v>
      </c>
      <c r="N398" s="15"/>
      <c r="O398" s="19"/>
      <c r="P398" s="1">
        <f>SUBTOTAL(1,P373:P397)</f>
        <v>90.64</v>
      </c>
      <c r="Q398" s="15"/>
      <c r="R398" s="15"/>
      <c r="S398" s="1">
        <f>SUBTOTAL(1,S373:S397)</f>
        <v>85</v>
      </c>
      <c r="T398" s="21"/>
      <c r="U398" s="21"/>
      <c r="V398" s="21">
        <f>SUBTOTAL(1,V373:V397)</f>
        <v>85.68</v>
      </c>
      <c r="W398" s="15"/>
      <c r="X398" s="21">
        <f>SUBTOTAL(1,X373:X397)</f>
        <v>55.272</v>
      </c>
      <c r="Y398" s="21">
        <f>SUBTOTAL(1,Y373:Y397)</f>
        <v>80.76</v>
      </c>
    </row>
    <row r="399" ht="15.6" hidden="1" outlineLevel="2" spans="1:25">
      <c r="A399" s="15">
        <v>115</v>
      </c>
      <c r="B399" s="15">
        <v>1</v>
      </c>
      <c r="C399" s="13" t="s">
        <v>729</v>
      </c>
      <c r="D399" s="14" t="s">
        <v>11</v>
      </c>
      <c r="E399" s="15">
        <v>20.9</v>
      </c>
      <c r="F399" s="1">
        <f>LOOKUP(E399,{0,-4,-3,-2,-1,0,1,2.4,3.8,5.2,6.6,8,9.4,10.8,12.2,13.6,15,17.2,19.4,21.5,23.6},{0,10,20,30,40,50,60,62,64,66,68,70,72,74,76,78,80,85,90,95,100})</f>
        <v>90</v>
      </c>
      <c r="G399" s="15">
        <v>256</v>
      </c>
      <c r="H399" s="1">
        <f>LOOKUP(G399,{0,170,175,180,185,190,195,199,203,207,211,215,219,223,227,231,235,243,250,255,260},{0,10,20,30,40,50,60,62,64,66,68,70,72,74,76,78,80,85,90,95,100})</f>
        <v>95</v>
      </c>
      <c r="I399" s="15">
        <v>26</v>
      </c>
      <c r="J399" s="1">
        <f>LOOKUP(I399,{0,2,3,4,5,6,7,8,9,10,11,12,13,14,15,16},{0,10,20,30,40,50,60,64,68,72,76,80,85,90,95,100})</f>
        <v>100</v>
      </c>
      <c r="K399" s="21">
        <f>I399-16</f>
        <v>10</v>
      </c>
      <c r="L399" s="1">
        <f>LOOKUP(K399,{0,1,2,3,4,5,6,7,8,9,10},{0,1,2,3,4,5,6,7,8,9,10})</f>
        <v>10</v>
      </c>
      <c r="M399" s="21">
        <f t="shared" ref="M399:M422" si="215">J399+L399</f>
        <v>110</v>
      </c>
      <c r="N399" s="15">
        <v>7.1</v>
      </c>
      <c r="O399" s="19">
        <f t="shared" ref="O399:O422" si="216">13-N399</f>
        <v>5.9</v>
      </c>
      <c r="P399" s="1">
        <f>LOOKUP(O399,{0,2.5,2.7,2.9,3.1,3.3,3.5,3.7,3.9,4.1,4.3,4.5,4.7,4.9,5.1,5.3,5.5,5.6,5.7,5.8,5.9},{0,10,20,30,40,50,60,62,64,66,68,70,72,74,76,78,80,85,90,95,100})</f>
        <v>100</v>
      </c>
      <c r="Q399" s="15">
        <v>3.1</v>
      </c>
      <c r="R399" s="15">
        <f t="shared" ref="R399:R422" si="217">10-Q399</f>
        <v>6.9</v>
      </c>
      <c r="S399" s="1">
        <f>LOOKUP(R399,{0,3.75,3.95,4.55,4.75,4.95,5.55,5.6,5.65,5.7,5.75,5.8,5.85,5.9,5.95,6,6.45,6.53,6.6,6.65,6.7},{0,10,20,30,40,50,60,62,64,66,68,70,72,74,76,78,80,85,90,95,100})</f>
        <v>100</v>
      </c>
      <c r="T399" s="21">
        <f t="shared" ref="T399:T401" si="218">3.3-Q399</f>
        <v>0.2</v>
      </c>
      <c r="U399" s="1">
        <f>LOOKUP(T399,{0,0.04,0.08,0.12,0.16,0.2,0.23,0.26,0.29,0.32,0.35},{0,1,2,3,4,5,6,7,8,9,10})</f>
        <v>4</v>
      </c>
      <c r="V399" s="21">
        <f t="shared" ref="V399:V422" si="219">S399+U399</f>
        <v>104</v>
      </c>
      <c r="W399" s="15"/>
      <c r="X399" s="21">
        <f t="shared" ref="X399:X422" si="220">F399*0.1+H399*0.1+J399*0.1+P399*0.2+S399*0.2</f>
        <v>68.5</v>
      </c>
      <c r="Y399" s="21">
        <f t="shared" ref="Y399:Y422" si="221">X399/0.7+L399+U399</f>
        <v>111.857142857143</v>
      </c>
    </row>
    <row r="400" ht="15.6" hidden="1" outlineLevel="2" spans="1:25">
      <c r="A400" s="15">
        <v>115</v>
      </c>
      <c r="B400" s="15">
        <v>2</v>
      </c>
      <c r="C400" s="14" t="s">
        <v>730</v>
      </c>
      <c r="D400" s="14" t="s">
        <v>11</v>
      </c>
      <c r="E400" s="15">
        <v>7.5</v>
      </c>
      <c r="F400" s="1">
        <f>LOOKUP(E400,{0,-4,-3,-2,-1,0,1,2.4,3.8,5.2,6.6,8,9.4,10.8,12.2,13.6,15,17.2,19.4,21.5,23.6},{0,10,20,30,40,50,60,62,64,66,68,70,72,74,76,78,80,85,90,95,100})</f>
        <v>68</v>
      </c>
      <c r="G400" s="15">
        <v>235</v>
      </c>
      <c r="H400" s="1">
        <f>LOOKUP(G400,{0,170,175,180,185,190,195,199,203,207,211,215,219,223,227,231,235,243,250,255,260},{0,10,20,30,40,50,60,62,64,66,68,70,72,74,76,78,80,85,90,95,100})</f>
        <v>80</v>
      </c>
      <c r="I400" s="15">
        <v>18</v>
      </c>
      <c r="J400" s="1">
        <f>LOOKUP(I400,{0,2,3,4,5,6,7,8,9,10,11,12,13,14,15,16},{0,10,20,30,40,50,60,64,68,72,76,80,85,90,95,100})</f>
        <v>100</v>
      </c>
      <c r="K400" s="21">
        <f>I400-16</f>
        <v>2</v>
      </c>
      <c r="L400" s="1">
        <f>LOOKUP(K400,{0,1,2,3,4,5,6,7,8,9,10},{0,1,2,3,4,5,6,7,8,9,10})</f>
        <v>2</v>
      </c>
      <c r="M400" s="21">
        <f t="shared" si="215"/>
        <v>102</v>
      </c>
      <c r="N400" s="15">
        <v>6.9</v>
      </c>
      <c r="O400" s="19">
        <f t="shared" si="216"/>
        <v>6.1</v>
      </c>
      <c r="P400" s="1">
        <f>LOOKUP(O400,{0,2.5,2.7,2.9,3.1,3.3,3.5,3.7,3.9,4.1,4.3,4.5,4.7,4.9,5.1,5.3,5.5,5.6,5.7,5.8,5.9},{0,10,20,30,40,50,60,62,64,66,68,70,72,74,76,78,80,85,90,95,100})</f>
        <v>100</v>
      </c>
      <c r="Q400" s="15">
        <v>3.24</v>
      </c>
      <c r="R400" s="15">
        <f t="shared" si="217"/>
        <v>6.76</v>
      </c>
      <c r="S400" s="1">
        <f>LOOKUP(R400,{0,3.75,3.95,4.55,4.75,4.95,5.55,5.6,5.65,5.7,5.75,5.8,5.85,5.9,5.95,6,6.45,6.53,6.6,6.65,6.7},{0,10,20,30,40,50,60,62,64,66,68,70,72,74,76,78,80,85,90,95,100})</f>
        <v>100</v>
      </c>
      <c r="T400" s="21">
        <f t="shared" si="218"/>
        <v>0.0599999999999996</v>
      </c>
      <c r="U400" s="1">
        <f>LOOKUP(T400,{0,0.04,0.08,0.12,0.16,0.2,0.23,0.26,0.29,0.32,0.35},{0,1,2,3,4,5,6,7,8,9,10})</f>
        <v>1</v>
      </c>
      <c r="V400" s="21">
        <f t="shared" si="219"/>
        <v>101</v>
      </c>
      <c r="W400" s="15"/>
      <c r="X400" s="21">
        <f t="shared" si="220"/>
        <v>64.8</v>
      </c>
      <c r="Y400" s="21">
        <f t="shared" si="221"/>
        <v>95.5714285714286</v>
      </c>
    </row>
    <row r="401" ht="15.6" hidden="1" outlineLevel="2" spans="1:25">
      <c r="A401" s="15">
        <v>115</v>
      </c>
      <c r="B401" s="15">
        <v>3</v>
      </c>
      <c r="C401" s="14" t="s">
        <v>731</v>
      </c>
      <c r="D401" s="14" t="s">
        <v>11</v>
      </c>
      <c r="E401" s="15">
        <v>4.3</v>
      </c>
      <c r="F401" s="1">
        <f>LOOKUP(E401,{0,-4,-3,-2,-1,0,1,2.4,3.8,5.2,6.6,8,9.4,10.8,12.2,13.6,15,17.2,19.4,21.5,23.6},{0,10,20,30,40,50,60,62,64,66,68,70,72,74,76,78,80,85,90,95,100})</f>
        <v>64</v>
      </c>
      <c r="G401" s="15">
        <v>234</v>
      </c>
      <c r="H401" s="1">
        <f>LOOKUP(G401,{0,170,175,180,185,190,195,199,203,207,211,215,219,223,227,231,235,243,250,255,260},{0,10,20,30,40,50,60,62,64,66,68,70,72,74,76,78,80,85,90,95,100})</f>
        <v>78</v>
      </c>
      <c r="I401" s="15">
        <v>15</v>
      </c>
      <c r="J401" s="1">
        <f>LOOKUP(I401,{0,2,3,4,5,6,7,8,9,10,11,12,13,14,15,16},{0,10,20,30,40,50,60,64,68,72,76,80,85,90,95,100})</f>
        <v>95</v>
      </c>
      <c r="K401" s="21"/>
      <c r="L401" s="21"/>
      <c r="M401" s="21">
        <f t="shared" si="215"/>
        <v>95</v>
      </c>
      <c r="N401" s="15">
        <v>7</v>
      </c>
      <c r="O401" s="19">
        <f t="shared" si="216"/>
        <v>6</v>
      </c>
      <c r="P401" s="1">
        <f>LOOKUP(O401,{0,2.5,2.7,2.9,3.1,3.3,3.5,3.7,3.9,4.1,4.3,4.5,4.7,4.9,5.1,5.3,5.5,5.6,5.7,5.8,5.9},{0,10,20,30,40,50,60,62,64,66,68,70,72,74,76,78,80,85,90,95,100})</f>
        <v>100</v>
      </c>
      <c r="Q401" s="15">
        <v>3.15</v>
      </c>
      <c r="R401" s="15">
        <f t="shared" si="217"/>
        <v>6.85</v>
      </c>
      <c r="S401" s="1">
        <f>LOOKUP(R401,{0,3.75,3.95,4.55,4.75,4.95,5.55,5.6,5.65,5.7,5.75,5.8,5.85,5.9,5.95,6,6.45,6.53,6.6,6.65,6.7},{0,10,20,30,40,50,60,62,64,66,68,70,72,74,76,78,80,85,90,95,100})</f>
        <v>100</v>
      </c>
      <c r="T401" s="21">
        <f t="shared" si="218"/>
        <v>0.15</v>
      </c>
      <c r="U401" s="1">
        <f>LOOKUP(T401,{0,0.04,0.08,0.12,0.16,0.2,0.23,0.26,0.29,0.32,0.35},{0,1,2,3,4,5,6,7,8,9,10})</f>
        <v>3</v>
      </c>
      <c r="V401" s="21">
        <f t="shared" si="219"/>
        <v>103</v>
      </c>
      <c r="W401" s="15"/>
      <c r="X401" s="21">
        <f t="shared" si="220"/>
        <v>63.7</v>
      </c>
      <c r="Y401" s="21">
        <f t="shared" si="221"/>
        <v>94</v>
      </c>
    </row>
    <row r="402" ht="15.6" hidden="1" outlineLevel="2" spans="1:25">
      <c r="A402" s="15">
        <v>115</v>
      </c>
      <c r="B402" s="15">
        <v>4</v>
      </c>
      <c r="C402" s="14" t="s">
        <v>732</v>
      </c>
      <c r="D402" s="14" t="s">
        <v>11</v>
      </c>
      <c r="E402" s="15">
        <v>21.4</v>
      </c>
      <c r="F402" s="1">
        <f>LOOKUP(E402,{0,-4,-3,-2,-1,0,1,2.4,3.8,5.2,6.6,8,9.4,10.8,12.2,13.6,15,17.2,19.4,21.5,23.6},{0,10,20,30,40,50,60,62,64,66,68,70,72,74,76,78,80,85,90,95,100})</f>
        <v>90</v>
      </c>
      <c r="G402" s="15">
        <v>205</v>
      </c>
      <c r="H402" s="1">
        <f>LOOKUP(G402,{0,170,175,180,185,190,195,199,203,207,211,215,219,223,227,231,235,243,250,255,260},{0,10,20,30,40,50,60,62,64,66,68,70,72,74,76,78,80,85,90,95,100})</f>
        <v>64</v>
      </c>
      <c r="I402" s="15">
        <v>3</v>
      </c>
      <c r="J402" s="1">
        <f>LOOKUP(I402,{0,2,3,4,5,6,7,8,9,10,11,12,13,14,15,16},{0,10,20,30,40,50,60,64,68,72,76,80,85,90,95,100})</f>
        <v>20</v>
      </c>
      <c r="K402" s="21"/>
      <c r="L402" s="21"/>
      <c r="M402" s="21">
        <f t="shared" si="215"/>
        <v>20</v>
      </c>
      <c r="N402" s="15">
        <v>8.1</v>
      </c>
      <c r="O402" s="19">
        <f t="shared" si="216"/>
        <v>4.9</v>
      </c>
      <c r="P402" s="1">
        <f>LOOKUP(O402,{0,2.5,2.7,2.9,3.1,3.3,3.5,3.7,3.9,4.1,4.3,4.5,4.7,4.9,5.1,5.3,5.5,5.6,5.7,5.8,5.9},{0,10,20,30,40,50,60,62,64,66,68,70,72,74,76,78,80,85,90,95,100})</f>
        <v>74</v>
      </c>
      <c r="Q402" s="15">
        <v>3.57</v>
      </c>
      <c r="R402" s="15">
        <f t="shared" si="217"/>
        <v>6.43</v>
      </c>
      <c r="S402" s="1">
        <f>LOOKUP(R402,{0,3.75,3.95,4.55,4.75,4.95,5.55,5.6,5.65,5.7,5.75,5.8,5.85,5.9,5.95,6,6.45,6.53,6.6,6.65,6.7},{0,10,20,30,40,50,60,62,64,66,68,70,72,74,76,78,80,85,90,95,100})</f>
        <v>78</v>
      </c>
      <c r="T402" s="21"/>
      <c r="U402" s="21"/>
      <c r="V402" s="21">
        <f t="shared" si="219"/>
        <v>78</v>
      </c>
      <c r="W402" s="15"/>
      <c r="X402" s="21">
        <f t="shared" si="220"/>
        <v>47.8</v>
      </c>
      <c r="Y402" s="21">
        <f t="shared" si="221"/>
        <v>68.2857142857143</v>
      </c>
    </row>
    <row r="403" ht="15.6" hidden="1" outlineLevel="2" spans="1:25">
      <c r="A403" s="15">
        <v>115</v>
      </c>
      <c r="B403" s="15">
        <v>5</v>
      </c>
      <c r="C403" s="14" t="s">
        <v>733</v>
      </c>
      <c r="D403" s="14" t="s">
        <v>11</v>
      </c>
      <c r="E403" s="15">
        <v>26.6</v>
      </c>
      <c r="F403" s="1">
        <f>LOOKUP(E403,{0,-4,-3,-2,-1,0,1,2.4,3.8,5.2,6.6,8,9.4,10.8,12.2,13.6,15,17.2,19.4,21.5,23.6},{0,10,20,30,40,50,60,62,64,66,68,70,72,74,76,78,80,85,90,95,100})</f>
        <v>100</v>
      </c>
      <c r="G403" s="15">
        <v>184</v>
      </c>
      <c r="H403" s="1">
        <f>LOOKUP(G403,{0,170,175,180,185,190,195,199,203,207,211,215,219,223,227,231,235,243,250,255,260},{0,10,20,30,40,50,60,62,64,66,68,70,72,74,76,78,80,85,90,95,100})</f>
        <v>30</v>
      </c>
      <c r="I403" s="15">
        <v>13</v>
      </c>
      <c r="J403" s="1">
        <f>LOOKUP(I403,{0,2,3,4,5,6,7,8,9,10,11,12,13,14,15,16},{0,10,20,30,40,50,60,64,68,72,76,80,85,90,95,100})</f>
        <v>85</v>
      </c>
      <c r="K403" s="21"/>
      <c r="L403" s="21"/>
      <c r="M403" s="21">
        <f t="shared" si="215"/>
        <v>85</v>
      </c>
      <c r="N403" s="15">
        <v>7.7</v>
      </c>
      <c r="O403" s="19">
        <f t="shared" si="216"/>
        <v>5.3</v>
      </c>
      <c r="P403" s="1">
        <f>LOOKUP(O403,{0,2.5,2.7,2.9,3.1,3.3,3.5,3.7,3.9,4.1,4.3,4.5,4.7,4.9,5.1,5.3,5.5,5.6,5.7,5.8,5.9},{0,10,20,30,40,50,60,62,64,66,68,70,72,74,76,78,80,85,90,95,100})</f>
        <v>78</v>
      </c>
      <c r="Q403" s="15">
        <v>3.37</v>
      </c>
      <c r="R403" s="15">
        <f t="shared" si="217"/>
        <v>6.63</v>
      </c>
      <c r="S403" s="1">
        <f>LOOKUP(R403,{0,3.75,3.95,4.55,4.75,4.95,5.55,5.6,5.65,5.7,5.75,5.8,5.85,5.9,5.95,6,6.45,6.53,6.6,6.65,6.7},{0,10,20,30,40,50,60,62,64,66,68,70,72,74,76,78,80,85,90,95,100})</f>
        <v>90</v>
      </c>
      <c r="T403" s="21"/>
      <c r="U403" s="21"/>
      <c r="V403" s="21">
        <f t="shared" si="219"/>
        <v>90</v>
      </c>
      <c r="W403" s="15"/>
      <c r="X403" s="21">
        <f t="shared" si="220"/>
        <v>55.1</v>
      </c>
      <c r="Y403" s="21">
        <f t="shared" si="221"/>
        <v>78.7142857142857</v>
      </c>
    </row>
    <row r="404" ht="15.6" hidden="1" outlineLevel="2" spans="1:25">
      <c r="A404" s="15">
        <v>115</v>
      </c>
      <c r="B404" s="15">
        <v>6</v>
      </c>
      <c r="C404" s="14" t="s">
        <v>734</v>
      </c>
      <c r="D404" s="14" t="s">
        <v>11</v>
      </c>
      <c r="E404" s="15">
        <v>9.4</v>
      </c>
      <c r="F404" s="1">
        <f>LOOKUP(E404,{0,-4,-3,-2,-1,0,1,2.4,3.8,5.2,6.6,8,9.4,10.8,12.2,13.6,15,17.2,19.4,21.5,23.6},{0,10,20,30,40,50,60,62,64,66,68,70,72,74,76,78,80,85,90,95,100})</f>
        <v>72</v>
      </c>
      <c r="G404" s="15">
        <v>221</v>
      </c>
      <c r="H404" s="1">
        <f>LOOKUP(G404,{0,170,175,180,185,190,195,199,203,207,211,215,219,223,227,231,235,243,250,255,260},{0,10,20,30,40,50,60,62,64,66,68,70,72,74,76,78,80,85,90,95,100})</f>
        <v>72</v>
      </c>
      <c r="I404" s="15">
        <v>3</v>
      </c>
      <c r="J404" s="1">
        <f>LOOKUP(I404,{0,2,3,4,5,6,7,8,9,10,11,12,13,14,15,16},{0,10,20,30,40,50,60,64,68,72,76,80,85,90,95,100})</f>
        <v>20</v>
      </c>
      <c r="K404" s="21"/>
      <c r="L404" s="21"/>
      <c r="M404" s="21">
        <f t="shared" si="215"/>
        <v>20</v>
      </c>
      <c r="N404" s="15">
        <v>7.4</v>
      </c>
      <c r="O404" s="19">
        <f t="shared" si="216"/>
        <v>5.6</v>
      </c>
      <c r="P404" s="1">
        <f>LOOKUP(O404,{0,2.5,2.7,2.9,3.1,3.3,3.5,3.7,3.9,4.1,4.3,4.5,4.7,4.9,5.1,5.3,5.5,5.6,5.7,5.8,5.9},{0,10,20,30,40,50,60,62,64,66,68,70,72,74,76,78,80,85,90,95,100})</f>
        <v>85</v>
      </c>
      <c r="Q404" s="15">
        <v>3.5</v>
      </c>
      <c r="R404" s="15">
        <f t="shared" si="217"/>
        <v>6.5</v>
      </c>
      <c r="S404" s="1">
        <f>LOOKUP(R404,{0,3.75,3.95,4.55,4.75,4.95,5.55,5.6,5.65,5.7,5.75,5.8,5.85,5.9,5.95,6,6.45,6.53,6.6,6.65,6.7},{0,10,20,30,40,50,60,62,64,66,68,70,72,74,76,78,80,85,90,95,100})</f>
        <v>80</v>
      </c>
      <c r="T404" s="21"/>
      <c r="U404" s="21"/>
      <c r="V404" s="21">
        <f t="shared" si="219"/>
        <v>80</v>
      </c>
      <c r="W404" s="15"/>
      <c r="X404" s="21">
        <f t="shared" si="220"/>
        <v>49.4</v>
      </c>
      <c r="Y404" s="21">
        <f t="shared" si="221"/>
        <v>70.5714285714286</v>
      </c>
    </row>
    <row r="405" ht="15.6" hidden="1" outlineLevel="2" spans="1:25">
      <c r="A405" s="15">
        <v>115</v>
      </c>
      <c r="B405" s="15">
        <v>7</v>
      </c>
      <c r="C405" s="14" t="s">
        <v>735</v>
      </c>
      <c r="D405" s="14" t="s">
        <v>11</v>
      </c>
      <c r="E405" s="15">
        <v>14</v>
      </c>
      <c r="F405" s="1">
        <f>LOOKUP(E405,{0,-4,-3,-2,-1,0,1,2.4,3.8,5.2,6.6,8,9.4,10.8,12.2,13.6,15,17.2,19.4,21.5,23.6},{0,10,20,30,40,50,60,62,64,66,68,70,72,74,76,78,80,85,90,95,100})</f>
        <v>78</v>
      </c>
      <c r="G405" s="15">
        <v>220</v>
      </c>
      <c r="H405" s="1">
        <f>LOOKUP(G405,{0,170,175,180,185,190,195,199,203,207,211,215,219,223,227,231,235,243,250,255,260},{0,10,20,30,40,50,60,62,64,66,68,70,72,74,76,78,80,85,90,95,100})</f>
        <v>72</v>
      </c>
      <c r="I405" s="15">
        <v>13</v>
      </c>
      <c r="J405" s="1">
        <f>LOOKUP(I405,{0,2,3,4,5,6,7,8,9,10,11,12,13,14,15,16},{0,10,20,30,40,50,60,64,68,72,76,80,85,90,95,100})</f>
        <v>85</v>
      </c>
      <c r="K405" s="21"/>
      <c r="L405" s="21"/>
      <c r="M405" s="21">
        <f t="shared" si="215"/>
        <v>85</v>
      </c>
      <c r="N405" s="15">
        <v>6.9</v>
      </c>
      <c r="O405" s="19">
        <f t="shared" si="216"/>
        <v>6.1</v>
      </c>
      <c r="P405" s="1">
        <f>LOOKUP(O405,{0,2.5,2.7,2.9,3.1,3.3,3.5,3.7,3.9,4.1,4.3,4.5,4.7,4.9,5.1,5.3,5.5,5.6,5.7,5.8,5.9},{0,10,20,30,40,50,60,62,64,66,68,70,72,74,76,78,80,85,90,95,100})</f>
        <v>100</v>
      </c>
      <c r="Q405" s="15">
        <v>3.16</v>
      </c>
      <c r="R405" s="15">
        <f t="shared" si="217"/>
        <v>6.84</v>
      </c>
      <c r="S405" s="1">
        <f>LOOKUP(R405,{0,3.75,3.95,4.55,4.75,4.95,5.55,5.6,5.65,5.7,5.75,5.8,5.85,5.9,5.95,6,6.45,6.53,6.6,6.65,6.7},{0,10,20,30,40,50,60,62,64,66,68,70,72,74,76,78,80,85,90,95,100})</f>
        <v>100</v>
      </c>
      <c r="T405" s="21">
        <f t="shared" ref="T405:T408" si="222">3.3-Q405</f>
        <v>0.14</v>
      </c>
      <c r="U405" s="1">
        <f>LOOKUP(T405,{0,0.04,0.08,0.12,0.16,0.2,0.23,0.26,0.29,0.32,0.35},{0,1,2,3,4,5,6,7,8,9,10})</f>
        <v>3</v>
      </c>
      <c r="V405" s="21">
        <f t="shared" si="219"/>
        <v>103</v>
      </c>
      <c r="W405" s="15"/>
      <c r="X405" s="21">
        <f t="shared" si="220"/>
        <v>63.5</v>
      </c>
      <c r="Y405" s="21">
        <f t="shared" si="221"/>
        <v>93.7142857142857</v>
      </c>
    </row>
    <row r="406" ht="15.6" hidden="1" outlineLevel="2" spans="1:25">
      <c r="A406" s="15">
        <v>115</v>
      </c>
      <c r="B406" s="15">
        <v>8</v>
      </c>
      <c r="C406" s="14" t="s">
        <v>736</v>
      </c>
      <c r="D406" s="14" t="s">
        <v>11</v>
      </c>
      <c r="E406" s="15">
        <v>15.5</v>
      </c>
      <c r="F406" s="1">
        <f>LOOKUP(E406,{0,-4,-3,-2,-1,0,1,2.4,3.8,5.2,6.6,8,9.4,10.8,12.2,13.6,15,17.2,19.4,21.5,23.6},{0,10,20,30,40,50,60,62,64,66,68,70,72,74,76,78,80,85,90,95,100})</f>
        <v>80</v>
      </c>
      <c r="G406" s="15">
        <v>192</v>
      </c>
      <c r="H406" s="1">
        <f>LOOKUP(G406,{0,170,175,180,185,190,195,199,203,207,211,215,219,223,227,231,235,243,250,255,260},{0,10,20,30,40,50,60,62,64,66,68,70,72,74,76,78,80,85,90,95,100})</f>
        <v>50</v>
      </c>
      <c r="I406" s="15">
        <v>1</v>
      </c>
      <c r="J406" s="1">
        <f>LOOKUP(I406,{0,2,3,4,5,6,7,8,9,10,11,12,13,14,15,16},{0,10,20,30,40,50,60,64,68,72,76,80,85,90,95,100})</f>
        <v>0</v>
      </c>
      <c r="K406" s="21"/>
      <c r="L406" s="21"/>
      <c r="M406" s="21">
        <f t="shared" si="215"/>
        <v>0</v>
      </c>
      <c r="N406" s="15">
        <v>7.9</v>
      </c>
      <c r="O406" s="19">
        <f t="shared" si="216"/>
        <v>5.1</v>
      </c>
      <c r="P406" s="1">
        <f>LOOKUP(O406,{0,2.5,2.7,2.9,3.1,3.3,3.5,3.7,3.9,4.1,4.3,4.5,4.7,4.9,5.1,5.3,5.5,5.6,5.7,5.8,5.9},{0,10,20,30,40,50,60,62,64,66,68,70,72,74,76,78,80,85,90,95,100})</f>
        <v>76</v>
      </c>
      <c r="Q406" s="15">
        <v>3.55</v>
      </c>
      <c r="R406" s="15">
        <f t="shared" si="217"/>
        <v>6.45</v>
      </c>
      <c r="S406" s="1">
        <f>LOOKUP(R406,{0,3.75,3.95,4.55,4.75,4.95,5.55,5.6,5.65,5.7,5.75,5.8,5.85,5.9,5.95,6,6.45,6.53,6.6,6.65,6.7},{0,10,20,30,40,50,60,62,64,66,68,70,72,74,76,78,80,85,90,95,100})</f>
        <v>80</v>
      </c>
      <c r="T406" s="21"/>
      <c r="U406" s="21"/>
      <c r="V406" s="21">
        <f t="shared" si="219"/>
        <v>80</v>
      </c>
      <c r="W406" s="15"/>
      <c r="X406" s="21">
        <f t="shared" si="220"/>
        <v>44.2</v>
      </c>
      <c r="Y406" s="21">
        <f t="shared" si="221"/>
        <v>63.1428571428572</v>
      </c>
    </row>
    <row r="407" ht="15.6" hidden="1" outlineLevel="2" spans="1:25">
      <c r="A407" s="15">
        <v>115</v>
      </c>
      <c r="B407" s="15">
        <v>9</v>
      </c>
      <c r="C407" s="14" t="s">
        <v>737</v>
      </c>
      <c r="D407" s="14" t="s">
        <v>11</v>
      </c>
      <c r="E407" s="15">
        <v>9.9</v>
      </c>
      <c r="F407" s="1">
        <f>LOOKUP(E407,{0,-4,-3,-2,-1,0,1,2.4,3.8,5.2,6.6,8,9.4,10.8,12.2,13.6,15,17.2,19.4,21.5,23.6},{0,10,20,30,40,50,60,62,64,66,68,70,72,74,76,78,80,85,90,95,100})</f>
        <v>72</v>
      </c>
      <c r="G407" s="15">
        <v>193</v>
      </c>
      <c r="H407" s="1">
        <f>LOOKUP(G407,{0,170,175,180,185,190,195,199,203,207,211,215,219,223,227,231,235,243,250,255,260},{0,10,20,30,40,50,60,62,64,66,68,70,72,74,76,78,80,85,90,95,100})</f>
        <v>50</v>
      </c>
      <c r="I407" s="15">
        <v>11</v>
      </c>
      <c r="J407" s="1">
        <f>LOOKUP(I407,{0,2,3,4,5,6,7,8,9,10,11,12,13,14,15,16},{0,10,20,30,40,50,60,64,68,72,76,80,85,90,95,100})</f>
        <v>76</v>
      </c>
      <c r="K407" s="21"/>
      <c r="L407" s="21"/>
      <c r="M407" s="21">
        <f t="shared" si="215"/>
        <v>76</v>
      </c>
      <c r="N407" s="15">
        <v>7.7</v>
      </c>
      <c r="O407" s="19">
        <f t="shared" si="216"/>
        <v>5.3</v>
      </c>
      <c r="P407" s="1">
        <f>LOOKUP(O407,{0,2.5,2.7,2.9,3.1,3.3,3.5,3.7,3.9,4.1,4.3,4.5,4.7,4.9,5.1,5.3,5.5,5.6,5.7,5.8,5.9},{0,10,20,30,40,50,60,62,64,66,68,70,72,74,76,78,80,85,90,95,100})</f>
        <v>78</v>
      </c>
      <c r="Q407" s="15">
        <v>3.27</v>
      </c>
      <c r="R407" s="15">
        <f t="shared" si="217"/>
        <v>6.73</v>
      </c>
      <c r="S407" s="1">
        <f>LOOKUP(R407,{0,3.75,3.95,4.55,4.75,4.95,5.55,5.6,5.65,5.7,5.75,5.8,5.85,5.9,5.95,6,6.45,6.53,6.6,6.65,6.7},{0,10,20,30,40,50,60,62,64,66,68,70,72,74,76,78,80,85,90,95,100})</f>
        <v>100</v>
      </c>
      <c r="T407" s="21">
        <f t="shared" si="222"/>
        <v>0.0299999999999998</v>
      </c>
      <c r="U407" s="1">
        <f>LOOKUP(T407,{0,0.04,0.08,0.12,0.16,0.2,0.23,0.26,0.29,0.32,0.35},{0,1,2,3,4,5,6,7,8,9,10})</f>
        <v>0</v>
      </c>
      <c r="V407" s="21">
        <f t="shared" si="219"/>
        <v>100</v>
      </c>
      <c r="W407" s="15"/>
      <c r="X407" s="21">
        <f t="shared" si="220"/>
        <v>55.4</v>
      </c>
      <c r="Y407" s="21">
        <f t="shared" si="221"/>
        <v>79.1428571428572</v>
      </c>
    </row>
    <row r="408" ht="15.6" hidden="1" outlineLevel="2" spans="1:25">
      <c r="A408" s="15">
        <v>115</v>
      </c>
      <c r="B408" s="15">
        <v>10</v>
      </c>
      <c r="C408" s="14" t="s">
        <v>738</v>
      </c>
      <c r="D408" s="14" t="s">
        <v>11</v>
      </c>
      <c r="E408" s="15">
        <v>12</v>
      </c>
      <c r="F408" s="1">
        <f>LOOKUP(E408,{0,-4,-3,-2,-1,0,1,2.4,3.8,5.2,6.6,8,9.4,10.8,12.2,13.6,15,17.2,19.4,21.5,23.6},{0,10,20,30,40,50,60,62,64,66,68,70,72,74,76,78,80,85,90,95,100})</f>
        <v>74</v>
      </c>
      <c r="G408" s="15">
        <v>262</v>
      </c>
      <c r="H408" s="1">
        <f>LOOKUP(G408,{0,170,175,180,185,190,195,199,203,207,211,215,219,223,227,231,235,243,250,255,260},{0,10,20,30,40,50,60,62,64,66,68,70,72,74,76,78,80,85,90,95,100})</f>
        <v>100</v>
      </c>
      <c r="I408" s="15">
        <v>19</v>
      </c>
      <c r="J408" s="1">
        <f>LOOKUP(I408,{0,2,3,4,5,6,7,8,9,10,11,12,13,14,15,16},{0,10,20,30,40,50,60,64,68,72,76,80,85,90,95,100})</f>
        <v>100</v>
      </c>
      <c r="K408" s="21">
        <f>I408-16</f>
        <v>3</v>
      </c>
      <c r="L408" s="1">
        <f>LOOKUP(K408,{0,1,2,3,4,5,6,7,8,9,10},{0,1,2,3,4,5,6,7,8,9,10})</f>
        <v>3</v>
      </c>
      <c r="M408" s="21">
        <f t="shared" si="215"/>
        <v>103</v>
      </c>
      <c r="N408" s="15">
        <v>7</v>
      </c>
      <c r="O408" s="19">
        <f t="shared" si="216"/>
        <v>6</v>
      </c>
      <c r="P408" s="1">
        <f>LOOKUP(O408,{0,2.5,2.7,2.9,3.1,3.3,3.5,3.7,3.9,4.1,4.3,4.5,4.7,4.9,5.1,5.3,5.5,5.6,5.7,5.8,5.9},{0,10,20,30,40,50,60,62,64,66,68,70,72,74,76,78,80,85,90,95,100})</f>
        <v>100</v>
      </c>
      <c r="Q408" s="15">
        <v>3.15</v>
      </c>
      <c r="R408" s="15">
        <f t="shared" si="217"/>
        <v>6.85</v>
      </c>
      <c r="S408" s="1">
        <f>LOOKUP(R408,{0,3.75,3.95,4.55,4.75,4.95,5.55,5.6,5.65,5.7,5.75,5.8,5.85,5.9,5.95,6,6.45,6.53,6.6,6.65,6.7},{0,10,20,30,40,50,60,62,64,66,68,70,72,74,76,78,80,85,90,95,100})</f>
        <v>100</v>
      </c>
      <c r="T408" s="21">
        <f t="shared" si="222"/>
        <v>0.15</v>
      </c>
      <c r="U408" s="1">
        <f>LOOKUP(T408,{0,0.04,0.08,0.12,0.16,0.2,0.23,0.26,0.29,0.32,0.35},{0,1,2,3,4,5,6,7,8,9,10})</f>
        <v>3</v>
      </c>
      <c r="V408" s="21">
        <f t="shared" si="219"/>
        <v>103</v>
      </c>
      <c r="W408" s="15"/>
      <c r="X408" s="21">
        <f t="shared" si="220"/>
        <v>67.4</v>
      </c>
      <c r="Y408" s="21">
        <f t="shared" si="221"/>
        <v>102.285714285714</v>
      </c>
    </row>
    <row r="409" s="3" customFormat="1" ht="15.6" hidden="1" outlineLevel="2" spans="1:25">
      <c r="A409" s="15">
        <v>115</v>
      </c>
      <c r="B409" s="15">
        <v>11</v>
      </c>
      <c r="C409" s="14" t="s">
        <v>739</v>
      </c>
      <c r="D409" s="14" t="s">
        <v>11</v>
      </c>
      <c r="E409" s="15">
        <v>24</v>
      </c>
      <c r="F409" s="1">
        <f>LOOKUP(E409,{0,-4,-3,-2,-1,0,1,2.4,3.8,5.2,6.6,8,9.4,10.8,12.2,13.6,15,17.2,19.4,21.5,23.6},{0,10,20,30,40,50,60,62,64,66,68,70,72,74,76,78,80,85,90,95,100})</f>
        <v>100</v>
      </c>
      <c r="G409" s="15">
        <v>263</v>
      </c>
      <c r="H409" s="1">
        <f>LOOKUP(G409,{0,170,175,180,185,190,195,199,203,207,211,215,219,223,227,231,235,243,250,255,260},{0,10,20,30,40,50,60,62,64,66,68,70,72,74,76,78,80,85,90,95,100})</f>
        <v>100</v>
      </c>
      <c r="I409" s="15">
        <v>9</v>
      </c>
      <c r="J409" s="1">
        <f>LOOKUP(I409,{0,2,3,4,5,6,7,8,9,10,11,12,13,14,15,16},{0,10,20,30,40,50,60,64,68,72,76,80,85,90,95,100})</f>
        <v>68</v>
      </c>
      <c r="K409" s="21"/>
      <c r="L409" s="21"/>
      <c r="M409" s="21">
        <f t="shared" si="215"/>
        <v>68</v>
      </c>
      <c r="N409" s="15">
        <v>7.6</v>
      </c>
      <c r="O409" s="19">
        <f t="shared" si="216"/>
        <v>5.4</v>
      </c>
      <c r="P409" s="1">
        <f>LOOKUP(O409,{0,2.5,2.7,2.9,3.1,3.3,3.5,3.7,3.9,4.1,4.3,4.5,4.7,4.9,5.1,5.3,5.5,5.6,5.7,5.8,5.9},{0,10,20,30,40,50,60,62,64,66,68,70,72,74,76,78,80,85,90,95,100})</f>
        <v>78</v>
      </c>
      <c r="Q409" s="15">
        <v>3.52</v>
      </c>
      <c r="R409" s="15">
        <f t="shared" si="217"/>
        <v>6.48</v>
      </c>
      <c r="S409" s="1">
        <f>LOOKUP(R409,{0,3.75,3.95,4.55,4.75,4.95,5.55,5.6,5.65,5.7,5.75,5.8,5.85,5.9,5.95,6,6.45,6.53,6.6,6.65,6.7},{0,10,20,30,40,50,60,62,64,66,68,70,72,74,76,78,80,85,90,95,100})</f>
        <v>80</v>
      </c>
      <c r="T409" s="21"/>
      <c r="U409" s="21"/>
      <c r="V409" s="21">
        <f t="shared" si="219"/>
        <v>80</v>
      </c>
      <c r="W409" s="15"/>
      <c r="X409" s="21">
        <f t="shared" si="220"/>
        <v>58.4</v>
      </c>
      <c r="Y409" s="21">
        <f t="shared" si="221"/>
        <v>83.4285714285714</v>
      </c>
    </row>
    <row r="410" ht="15.6" hidden="1" outlineLevel="2" spans="1:25">
      <c r="A410" s="15">
        <v>115</v>
      </c>
      <c r="B410" s="15">
        <v>12</v>
      </c>
      <c r="C410" s="14" t="s">
        <v>740</v>
      </c>
      <c r="D410" s="14" t="s">
        <v>11</v>
      </c>
      <c r="E410" s="15">
        <v>14</v>
      </c>
      <c r="F410" s="1">
        <f>LOOKUP(E410,{0,-4,-3,-2,-1,0,1,2.4,3.8,5.2,6.6,8,9.4,10.8,12.2,13.6,15,17.2,19.4,21.5,23.6},{0,10,20,30,40,50,60,62,64,66,68,70,72,74,76,78,80,85,90,95,100})</f>
        <v>78</v>
      </c>
      <c r="G410" s="15">
        <v>245</v>
      </c>
      <c r="H410" s="1">
        <f>LOOKUP(G410,{0,170,175,180,185,190,195,199,203,207,211,215,219,223,227,231,235,243,250,255,260},{0,10,20,30,40,50,60,62,64,66,68,70,72,74,76,78,80,85,90,95,100})</f>
        <v>85</v>
      </c>
      <c r="I410" s="15">
        <v>10</v>
      </c>
      <c r="J410" s="1">
        <f>LOOKUP(I410,{0,2,3,4,5,6,7,8,9,10,11,12,13,14,15,16},{0,10,20,30,40,50,60,64,68,72,76,80,85,90,95,100})</f>
        <v>72</v>
      </c>
      <c r="K410" s="21"/>
      <c r="L410" s="21"/>
      <c r="M410" s="21">
        <f t="shared" si="215"/>
        <v>72</v>
      </c>
      <c r="N410" s="15">
        <v>6.8</v>
      </c>
      <c r="O410" s="19">
        <f t="shared" si="216"/>
        <v>6.2</v>
      </c>
      <c r="P410" s="1">
        <f>LOOKUP(O410,{0,2.5,2.7,2.9,3.1,3.3,3.5,3.7,3.9,4.1,4.3,4.5,4.7,4.9,5.1,5.3,5.5,5.6,5.7,5.8,5.9},{0,10,20,30,40,50,60,62,64,66,68,70,72,74,76,78,80,85,90,95,100})</f>
        <v>100</v>
      </c>
      <c r="Q410" s="15">
        <v>3.32</v>
      </c>
      <c r="R410" s="15">
        <f t="shared" si="217"/>
        <v>6.68</v>
      </c>
      <c r="S410" s="1">
        <f>LOOKUP(R410,{0,3.75,3.95,4.55,4.75,4.95,5.55,5.6,5.65,5.7,5.75,5.8,5.85,5.9,5.95,6,6.45,6.53,6.6,6.65,6.7},{0,10,20,30,40,50,60,62,64,66,68,70,72,74,76,78,80,85,90,95,100})</f>
        <v>95</v>
      </c>
      <c r="T410" s="21"/>
      <c r="U410" s="21"/>
      <c r="V410" s="21">
        <f t="shared" si="219"/>
        <v>95</v>
      </c>
      <c r="W410" s="15"/>
      <c r="X410" s="21">
        <f t="shared" si="220"/>
        <v>62.5</v>
      </c>
      <c r="Y410" s="21">
        <f t="shared" si="221"/>
        <v>89.2857142857143</v>
      </c>
    </row>
    <row r="411" ht="15.6" hidden="1" outlineLevel="2" spans="1:25">
      <c r="A411" s="15">
        <v>115</v>
      </c>
      <c r="B411" s="15">
        <v>13</v>
      </c>
      <c r="C411" s="13" t="s">
        <v>742</v>
      </c>
      <c r="D411" s="14" t="s">
        <v>11</v>
      </c>
      <c r="E411" s="15">
        <v>1</v>
      </c>
      <c r="F411" s="1">
        <f>LOOKUP(E411,{0,-4,-3,-2,-1,0,1,2.4,3.8,5.2,6.6,8,9.4,10.8,12.2,13.6,15,17.2,19.4,21.5,23.6},{0,10,20,30,40,50,60,62,64,66,68,70,72,74,76,78,80,85,90,95,100})</f>
        <v>60</v>
      </c>
      <c r="G411" s="15">
        <v>240</v>
      </c>
      <c r="H411" s="1">
        <f>LOOKUP(G411,{0,170,175,180,185,190,195,199,203,207,211,215,219,223,227,231,235,243,250,255,260},{0,10,20,30,40,50,60,62,64,66,68,70,72,74,76,78,80,85,90,95,100})</f>
        <v>80</v>
      </c>
      <c r="I411" s="15">
        <v>17</v>
      </c>
      <c r="J411" s="1">
        <f>LOOKUP(I411,{0,2,3,4,5,6,7,8,9,10,11,12,13,14,15,16},{0,10,20,30,40,50,60,64,68,72,76,80,85,90,95,100})</f>
        <v>100</v>
      </c>
      <c r="K411" s="21">
        <f>I411-16</f>
        <v>1</v>
      </c>
      <c r="L411" s="1">
        <f>LOOKUP(K411,{0,1,2,3,4,5,6,7,8,9,10},{0,1,2,3,4,5,6,7,8,9,10})</f>
        <v>1</v>
      </c>
      <c r="M411" s="21">
        <f t="shared" si="215"/>
        <v>101</v>
      </c>
      <c r="N411" s="15">
        <v>7.3</v>
      </c>
      <c r="O411" s="19">
        <f t="shared" si="216"/>
        <v>5.7</v>
      </c>
      <c r="P411" s="1">
        <f>LOOKUP(O411,{0,2.5,2.7,2.9,3.1,3.3,3.5,3.7,3.9,4.1,4.3,4.5,4.7,4.9,5.1,5.3,5.5,5.6,5.7,5.8,5.9},{0,10,20,30,40,50,60,62,64,66,68,70,72,74,76,78,80,85,90,95,100})</f>
        <v>90</v>
      </c>
      <c r="Q411" s="15">
        <v>3.33</v>
      </c>
      <c r="R411" s="15">
        <f t="shared" si="217"/>
        <v>6.67</v>
      </c>
      <c r="S411" s="1">
        <f>LOOKUP(R411,{0,3.75,3.95,4.55,4.75,4.95,5.55,5.6,5.65,5.7,5.75,5.8,5.85,5.9,5.95,6,6.45,6.53,6.6,6.65,6.7},{0,10,20,30,40,50,60,62,64,66,68,70,72,74,76,78,80,85,90,95,100})</f>
        <v>95</v>
      </c>
      <c r="T411" s="21"/>
      <c r="U411" s="21"/>
      <c r="V411" s="21">
        <f t="shared" si="219"/>
        <v>95</v>
      </c>
      <c r="W411" s="15"/>
      <c r="X411" s="21">
        <f t="shared" si="220"/>
        <v>61</v>
      </c>
      <c r="Y411" s="21">
        <f t="shared" si="221"/>
        <v>88.1428571428572</v>
      </c>
    </row>
    <row r="412" ht="15.6" hidden="1" outlineLevel="2" spans="1:25">
      <c r="A412" s="15">
        <v>115</v>
      </c>
      <c r="B412" s="15">
        <v>14</v>
      </c>
      <c r="C412" s="14" t="s">
        <v>743</v>
      </c>
      <c r="D412" s="14" t="s">
        <v>11</v>
      </c>
      <c r="E412" s="15">
        <v>6.9</v>
      </c>
      <c r="F412" s="1">
        <f>LOOKUP(E412,{0,-4,-3,-2,-1,0,1,2.4,3.8,5.2,6.6,8,9.4,10.8,12.2,13.6,15,17.2,19.4,21.5,23.6},{0,10,20,30,40,50,60,62,64,66,68,70,72,74,76,78,80,85,90,95,100})</f>
        <v>68</v>
      </c>
      <c r="G412" s="15">
        <v>230</v>
      </c>
      <c r="H412" s="1">
        <f>LOOKUP(G412,{0,170,175,180,185,190,195,199,203,207,211,215,219,223,227,231,235,243,250,255,260},{0,10,20,30,40,50,60,62,64,66,68,70,72,74,76,78,80,85,90,95,100})</f>
        <v>76</v>
      </c>
      <c r="I412" s="15">
        <v>12</v>
      </c>
      <c r="J412" s="1">
        <f>LOOKUP(I412,{0,2,3,4,5,6,7,8,9,10,11,12,13,14,15,16},{0,10,20,30,40,50,60,64,68,72,76,80,85,90,95,100})</f>
        <v>80</v>
      </c>
      <c r="K412" s="21"/>
      <c r="L412" s="21"/>
      <c r="M412" s="21">
        <f t="shared" si="215"/>
        <v>80</v>
      </c>
      <c r="N412" s="15">
        <v>7.5</v>
      </c>
      <c r="O412" s="19">
        <f t="shared" si="216"/>
        <v>5.5</v>
      </c>
      <c r="P412" s="1">
        <f>LOOKUP(O412,{0,2.5,2.7,2.9,3.1,3.3,3.5,3.7,3.9,4.1,4.3,4.5,4.7,4.9,5.1,5.3,5.5,5.6,5.7,5.8,5.9},{0,10,20,30,40,50,60,62,64,66,68,70,72,74,76,78,80,85,90,95,100})</f>
        <v>80</v>
      </c>
      <c r="Q412" s="15">
        <v>3.34</v>
      </c>
      <c r="R412" s="15">
        <f t="shared" si="217"/>
        <v>6.66</v>
      </c>
      <c r="S412" s="1">
        <f>LOOKUP(R412,{0,3.75,3.95,4.55,4.75,4.95,5.55,5.6,5.65,5.7,5.75,5.8,5.85,5.9,5.95,6,6.45,6.53,6.6,6.65,6.7},{0,10,20,30,40,50,60,62,64,66,68,70,72,74,76,78,80,85,90,95,100})</f>
        <v>95</v>
      </c>
      <c r="T412" s="21"/>
      <c r="U412" s="21"/>
      <c r="V412" s="21">
        <f t="shared" si="219"/>
        <v>95</v>
      </c>
      <c r="W412" s="15"/>
      <c r="X412" s="21">
        <f t="shared" si="220"/>
        <v>57.4</v>
      </c>
      <c r="Y412" s="21">
        <f t="shared" si="221"/>
        <v>82</v>
      </c>
    </row>
    <row r="413" ht="15.6" hidden="1" outlineLevel="2" spans="1:25">
      <c r="A413" s="15">
        <v>115</v>
      </c>
      <c r="B413" s="15">
        <v>15</v>
      </c>
      <c r="C413" s="14" t="s">
        <v>744</v>
      </c>
      <c r="D413" s="14" t="s">
        <v>11</v>
      </c>
      <c r="E413" s="15">
        <v>13</v>
      </c>
      <c r="F413" s="1">
        <f>LOOKUP(E413,{0,-4,-3,-2,-1,0,1,2.4,3.8,5.2,6.6,8,9.4,10.8,12.2,13.6,15,17.2,19.4,21.5,23.6},{0,10,20,30,40,50,60,62,64,66,68,70,72,74,76,78,80,85,90,95,100})</f>
        <v>76</v>
      </c>
      <c r="G413" s="15">
        <v>210</v>
      </c>
      <c r="H413" s="1">
        <f>LOOKUP(G413,{0,170,175,180,185,190,195,199,203,207,211,215,219,223,227,231,235,243,250,255,260},{0,10,20,30,40,50,60,62,64,66,68,70,72,74,76,78,80,85,90,95,100})</f>
        <v>66</v>
      </c>
      <c r="I413" s="15">
        <v>0</v>
      </c>
      <c r="J413" s="1">
        <f>LOOKUP(I413,{0,2,3,4,5,6,7,8,9,10,11,12,13,14,15,16},{0,10,20,30,40,50,60,64,68,72,76,80,85,90,95,100})</f>
        <v>0</v>
      </c>
      <c r="K413" s="21"/>
      <c r="L413" s="21"/>
      <c r="M413" s="21">
        <f t="shared" si="215"/>
        <v>0</v>
      </c>
      <c r="N413" s="15">
        <v>7.4</v>
      </c>
      <c r="O413" s="19">
        <f t="shared" si="216"/>
        <v>5.6</v>
      </c>
      <c r="P413" s="1">
        <f>LOOKUP(O413,{0,2.5,2.7,2.9,3.1,3.3,3.5,3.7,3.9,4.1,4.3,4.5,4.7,4.9,5.1,5.3,5.5,5.6,5.7,5.8,5.9},{0,10,20,30,40,50,60,62,64,66,68,70,72,74,76,78,80,85,90,95,100})</f>
        <v>85</v>
      </c>
      <c r="Q413" s="15">
        <v>3.36</v>
      </c>
      <c r="R413" s="15">
        <f t="shared" si="217"/>
        <v>6.64</v>
      </c>
      <c r="S413" s="1">
        <f>LOOKUP(R413,{0,3.75,3.95,4.55,4.75,4.95,5.55,5.6,5.65,5.7,5.75,5.8,5.85,5.9,5.95,6,6.45,6.53,6.6,6.65,6.7},{0,10,20,30,40,50,60,62,64,66,68,70,72,74,76,78,80,85,90,95,100})</f>
        <v>90</v>
      </c>
      <c r="T413" s="21"/>
      <c r="U413" s="21"/>
      <c r="V413" s="21">
        <f t="shared" si="219"/>
        <v>90</v>
      </c>
      <c r="W413" s="15"/>
      <c r="X413" s="21">
        <f t="shared" si="220"/>
        <v>49.2</v>
      </c>
      <c r="Y413" s="21">
        <f t="shared" si="221"/>
        <v>70.2857142857143</v>
      </c>
    </row>
    <row r="414" ht="15.6" hidden="1" outlineLevel="2" spans="1:25">
      <c r="A414" s="15">
        <v>115</v>
      </c>
      <c r="B414" s="15">
        <v>16</v>
      </c>
      <c r="C414" s="14" t="s">
        <v>745</v>
      </c>
      <c r="D414" s="14" t="s">
        <v>11</v>
      </c>
      <c r="E414" s="15">
        <v>19.2</v>
      </c>
      <c r="F414" s="1">
        <f>LOOKUP(E414,{0,-4,-3,-2,-1,0,1,2.4,3.8,5.2,6.6,8,9.4,10.8,12.2,13.6,15,17.2,19.4,21.5,23.6},{0,10,20,30,40,50,60,62,64,66,68,70,72,74,76,78,80,85,90,95,100})</f>
        <v>85</v>
      </c>
      <c r="G414" s="15">
        <v>205</v>
      </c>
      <c r="H414" s="1">
        <f>LOOKUP(G414,{0,170,175,180,185,190,195,199,203,207,211,215,219,223,227,231,235,243,250,255,260},{0,10,20,30,40,50,60,62,64,66,68,70,72,74,76,78,80,85,90,95,100})</f>
        <v>64</v>
      </c>
      <c r="I414" s="15">
        <v>6</v>
      </c>
      <c r="J414" s="1">
        <f>LOOKUP(I414,{0,2,3,4,5,6,7,8,9,10,11,12,13,14,15,16},{0,10,20,30,40,50,60,64,68,72,76,80,85,90,95,100})</f>
        <v>50</v>
      </c>
      <c r="K414" s="21"/>
      <c r="L414" s="21"/>
      <c r="M414" s="21">
        <f t="shared" si="215"/>
        <v>50</v>
      </c>
      <c r="N414" s="15">
        <v>7</v>
      </c>
      <c r="O414" s="19">
        <f t="shared" si="216"/>
        <v>6</v>
      </c>
      <c r="P414" s="1">
        <f>LOOKUP(O414,{0,2.5,2.7,2.9,3.1,3.3,3.5,3.7,3.9,4.1,4.3,4.5,4.7,4.9,5.1,5.3,5.5,5.6,5.7,5.8,5.9},{0,10,20,30,40,50,60,62,64,66,68,70,72,74,76,78,80,85,90,95,100})</f>
        <v>100</v>
      </c>
      <c r="Q414" s="15">
        <v>4.06</v>
      </c>
      <c r="R414" s="15">
        <f t="shared" si="217"/>
        <v>5.94</v>
      </c>
      <c r="S414" s="1">
        <f>LOOKUP(R414,{0,3.75,3.95,4.55,4.75,4.95,5.55,5.6,5.65,5.7,5.75,5.8,5.85,5.9,5.95,6,6.45,6.53,6.6,6.65,6.7},{0,10,20,30,40,50,60,62,64,66,68,70,72,74,76,78,80,85,90,95,100})</f>
        <v>74</v>
      </c>
      <c r="T414" s="21"/>
      <c r="U414" s="21"/>
      <c r="V414" s="21">
        <f t="shared" si="219"/>
        <v>74</v>
      </c>
      <c r="W414" s="15"/>
      <c r="X414" s="21">
        <f t="shared" si="220"/>
        <v>54.7</v>
      </c>
      <c r="Y414" s="21">
        <f t="shared" si="221"/>
        <v>78.1428571428572</v>
      </c>
    </row>
    <row r="415" ht="15.6" hidden="1" outlineLevel="2" spans="1:25">
      <c r="A415" s="15">
        <v>115</v>
      </c>
      <c r="B415" s="15">
        <v>17</v>
      </c>
      <c r="C415" s="14" t="s">
        <v>746</v>
      </c>
      <c r="D415" s="14" t="s">
        <v>11</v>
      </c>
      <c r="E415" s="15">
        <v>17.2</v>
      </c>
      <c r="F415" s="1">
        <f>LOOKUP(E415,{0,-4,-3,-2,-1,0,1,2.4,3.8,5.2,6.6,8,9.4,10.8,12.2,13.6,15,17.2,19.4,21.5,23.6},{0,10,20,30,40,50,60,62,64,66,68,70,72,74,76,78,80,85,90,95,100})</f>
        <v>85</v>
      </c>
      <c r="G415" s="15">
        <v>216</v>
      </c>
      <c r="H415" s="1">
        <f>LOOKUP(G415,{0,170,175,180,185,190,195,199,203,207,211,215,219,223,227,231,235,243,250,255,260},{0,10,20,30,40,50,60,62,64,66,68,70,72,74,76,78,80,85,90,95,100})</f>
        <v>70</v>
      </c>
      <c r="I415" s="15">
        <v>16</v>
      </c>
      <c r="J415" s="1">
        <f>LOOKUP(I415,{0,2,3,4,5,6,7,8,9,10,11,12,13,14,15,16},{0,10,20,30,40,50,60,64,68,72,76,80,85,90,95,100})</f>
        <v>100</v>
      </c>
      <c r="K415" s="21">
        <f t="shared" ref="K415:K418" si="223">I415-16</f>
        <v>0</v>
      </c>
      <c r="L415" s="1">
        <f>LOOKUP(K415,{0,1,2,3,4,5,6,7,8,9,10},{0,1,2,3,4,5,6,7,8,9,10})</f>
        <v>0</v>
      </c>
      <c r="M415" s="21">
        <f t="shared" si="215"/>
        <v>100</v>
      </c>
      <c r="N415" s="15">
        <v>7.2</v>
      </c>
      <c r="O415" s="19">
        <f t="shared" si="216"/>
        <v>5.8</v>
      </c>
      <c r="P415" s="1">
        <f>LOOKUP(O415,{0,2.5,2.7,2.9,3.1,3.3,3.5,3.7,3.9,4.1,4.3,4.5,4.7,4.9,5.1,5.3,5.5,5.6,5.7,5.8,5.9},{0,10,20,30,40,50,60,62,64,66,68,70,72,74,76,78,80,85,90,95,100})</f>
        <v>95</v>
      </c>
      <c r="Q415" s="15">
        <v>3.26</v>
      </c>
      <c r="R415" s="15">
        <f t="shared" si="217"/>
        <v>6.74</v>
      </c>
      <c r="S415" s="1">
        <f>LOOKUP(R415,{0,3.75,3.95,4.55,4.75,4.95,5.55,5.6,5.65,5.7,5.75,5.8,5.85,5.9,5.95,6,6.45,6.53,6.6,6.65,6.7},{0,10,20,30,40,50,60,62,64,66,68,70,72,74,76,78,80,85,90,95,100})</f>
        <v>100</v>
      </c>
      <c r="T415" s="21">
        <f t="shared" ref="T415:T419" si="224">3.3-Q415</f>
        <v>0.04</v>
      </c>
      <c r="U415" s="1">
        <f>LOOKUP(T415,{0,0.04,0.08,0.12,0.16,0.2,0.23,0.26,0.29,0.32,0.35},{0,1,2,3,4,5,6,7,8,9,10})</f>
        <v>1</v>
      </c>
      <c r="V415" s="21">
        <f t="shared" si="219"/>
        <v>101</v>
      </c>
      <c r="W415" s="15"/>
      <c r="X415" s="21">
        <f t="shared" si="220"/>
        <v>64.5</v>
      </c>
      <c r="Y415" s="21">
        <f t="shared" si="221"/>
        <v>93.1428571428572</v>
      </c>
    </row>
    <row r="416" ht="15.6" hidden="1" outlineLevel="2" spans="1:25">
      <c r="A416" s="15">
        <v>115</v>
      </c>
      <c r="B416" s="15">
        <v>18</v>
      </c>
      <c r="C416" s="14" t="s">
        <v>747</v>
      </c>
      <c r="D416" s="14" t="s">
        <v>11</v>
      </c>
      <c r="E416" s="15">
        <v>13.5</v>
      </c>
      <c r="F416" s="1">
        <f>LOOKUP(E416,{0,-4,-3,-2,-1,0,1,2.4,3.8,5.2,6.6,8,9.4,10.8,12.2,13.6,15,17.2,19.4,21.5,23.6},{0,10,20,30,40,50,60,62,64,66,68,70,72,74,76,78,80,85,90,95,100})</f>
        <v>76</v>
      </c>
      <c r="G416" s="15">
        <v>248</v>
      </c>
      <c r="H416" s="1">
        <f>LOOKUP(G416,{0,170,175,180,185,190,195,199,203,207,211,215,219,223,227,231,235,243,250,255,260},{0,10,20,30,40,50,60,62,64,66,68,70,72,74,76,78,80,85,90,95,100})</f>
        <v>85</v>
      </c>
      <c r="I416" s="15">
        <v>2</v>
      </c>
      <c r="J416" s="1">
        <f>LOOKUP(I416,{0,2,3,4,5,6,7,8,9,10,11,12,13,14,15,16},{0,10,20,30,40,50,60,64,68,72,76,80,85,90,95,100})</f>
        <v>10</v>
      </c>
      <c r="K416" s="21"/>
      <c r="L416" s="21"/>
      <c r="M416" s="21">
        <f t="shared" si="215"/>
        <v>10</v>
      </c>
      <c r="N416" s="15">
        <v>7.1</v>
      </c>
      <c r="O416" s="19">
        <f t="shared" si="216"/>
        <v>5.9</v>
      </c>
      <c r="P416" s="1">
        <f>LOOKUP(O416,{0,2.5,2.7,2.9,3.1,3.3,3.5,3.7,3.9,4.1,4.3,4.5,4.7,4.9,5.1,5.3,5.5,5.6,5.7,5.8,5.9},{0,10,20,30,40,50,60,62,64,66,68,70,72,74,76,78,80,85,90,95,100})</f>
        <v>100</v>
      </c>
      <c r="Q416" s="15">
        <v>3.23</v>
      </c>
      <c r="R416" s="15">
        <f t="shared" si="217"/>
        <v>6.77</v>
      </c>
      <c r="S416" s="1">
        <f>LOOKUP(R416,{0,3.75,3.95,4.55,4.75,4.95,5.55,5.6,5.65,5.7,5.75,5.8,5.85,5.9,5.95,6,6.45,6.53,6.6,6.65,6.7},{0,10,20,30,40,50,60,62,64,66,68,70,72,74,76,78,80,85,90,95,100})</f>
        <v>100</v>
      </c>
      <c r="T416" s="21">
        <f t="shared" si="224"/>
        <v>0.0699999999999998</v>
      </c>
      <c r="U416" s="1">
        <f>LOOKUP(T416,{0,0.04,0.08,0.12,0.16,0.2,0.23,0.26,0.29,0.32,0.35},{0,1,2,3,4,5,6,7,8,9,10})</f>
        <v>1</v>
      </c>
      <c r="V416" s="21">
        <f t="shared" si="219"/>
        <v>101</v>
      </c>
      <c r="W416" s="15"/>
      <c r="X416" s="21">
        <f t="shared" si="220"/>
        <v>57.1</v>
      </c>
      <c r="Y416" s="21">
        <f t="shared" si="221"/>
        <v>82.5714285714286</v>
      </c>
    </row>
    <row r="417" ht="15.6" hidden="1" outlineLevel="2" spans="1:25">
      <c r="A417" s="15">
        <v>115</v>
      </c>
      <c r="B417" s="15">
        <v>19</v>
      </c>
      <c r="C417" s="14" t="s">
        <v>748</v>
      </c>
      <c r="D417" s="14" t="s">
        <v>11</v>
      </c>
      <c r="E417" s="15">
        <v>17.5</v>
      </c>
      <c r="F417" s="1">
        <f>LOOKUP(E417,{0,-4,-3,-2,-1,0,1,2.4,3.8,5.2,6.6,8,9.4,10.8,12.2,13.6,15,17.2,19.4,21.5,23.6},{0,10,20,30,40,50,60,62,64,66,68,70,72,74,76,78,80,85,90,95,100})</f>
        <v>85</v>
      </c>
      <c r="G417" s="15">
        <v>228</v>
      </c>
      <c r="H417" s="1">
        <f>LOOKUP(G417,{0,170,175,180,185,190,195,199,203,207,211,215,219,223,227,231,235,243,250,255,260},{0,10,20,30,40,50,60,62,64,66,68,70,72,74,76,78,80,85,90,95,100})</f>
        <v>76</v>
      </c>
      <c r="I417" s="15">
        <v>17</v>
      </c>
      <c r="J417" s="1">
        <f>LOOKUP(I417,{0,2,3,4,5,6,7,8,9,10,11,12,13,14,15,16},{0,10,20,30,40,50,60,64,68,72,76,80,85,90,95,100})</f>
        <v>100</v>
      </c>
      <c r="K417" s="21">
        <f t="shared" si="223"/>
        <v>1</v>
      </c>
      <c r="L417" s="1">
        <f>LOOKUP(K417,{0,1,2,3,4,5,6,7,8,9,10},{0,1,2,3,4,5,6,7,8,9,10})</f>
        <v>1</v>
      </c>
      <c r="M417" s="21">
        <f t="shared" si="215"/>
        <v>101</v>
      </c>
      <c r="N417" s="15">
        <v>7.9</v>
      </c>
      <c r="O417" s="19">
        <f t="shared" si="216"/>
        <v>5.1</v>
      </c>
      <c r="P417" s="1">
        <f>LOOKUP(O417,{0,2.5,2.7,2.9,3.1,3.3,3.5,3.7,3.9,4.1,4.3,4.5,4.7,4.9,5.1,5.3,5.5,5.6,5.7,5.8,5.9},{0,10,20,30,40,50,60,62,64,66,68,70,72,74,76,78,80,85,90,95,100})</f>
        <v>76</v>
      </c>
      <c r="Q417" s="15">
        <v>3.48</v>
      </c>
      <c r="R417" s="15">
        <f t="shared" si="217"/>
        <v>6.52</v>
      </c>
      <c r="S417" s="1">
        <f>LOOKUP(R417,{0,3.75,3.95,4.55,4.75,4.95,5.55,5.6,5.65,5.7,5.75,5.8,5.85,5.9,5.95,6,6.45,6.53,6.6,6.65,6.7},{0,10,20,30,40,50,60,62,64,66,68,70,72,74,76,78,80,85,90,95,100})</f>
        <v>80</v>
      </c>
      <c r="T417" s="21"/>
      <c r="U417" s="21"/>
      <c r="V417" s="21">
        <f t="shared" si="219"/>
        <v>80</v>
      </c>
      <c r="W417" s="15"/>
      <c r="X417" s="21">
        <f t="shared" si="220"/>
        <v>57.3</v>
      </c>
      <c r="Y417" s="21">
        <f t="shared" si="221"/>
        <v>82.8571428571429</v>
      </c>
    </row>
    <row r="418" ht="15.6" hidden="1" outlineLevel="2" spans="1:25">
      <c r="A418" s="15">
        <v>115</v>
      </c>
      <c r="B418" s="15">
        <v>20</v>
      </c>
      <c r="C418" s="14" t="s">
        <v>749</v>
      </c>
      <c r="D418" s="14" t="s">
        <v>11</v>
      </c>
      <c r="E418" s="15">
        <v>21.5</v>
      </c>
      <c r="F418" s="1">
        <f>LOOKUP(E418,{0,-4,-3,-2,-1,0,1,2.4,3.8,5.2,6.6,8,9.4,10.8,12.2,13.6,15,17.2,19.4,21.5,23.6},{0,10,20,30,40,50,60,62,64,66,68,70,72,74,76,78,80,85,90,95,100})</f>
        <v>95</v>
      </c>
      <c r="G418" s="15">
        <v>235</v>
      </c>
      <c r="H418" s="1">
        <f>LOOKUP(G418,{0,170,175,180,185,190,195,199,203,207,211,215,219,223,227,231,235,243,250,255,260},{0,10,20,30,40,50,60,62,64,66,68,70,72,74,76,78,80,85,90,95,100})</f>
        <v>80</v>
      </c>
      <c r="I418" s="15">
        <v>24</v>
      </c>
      <c r="J418" s="1">
        <f>LOOKUP(I418,{0,2,3,4,5,6,7,8,9,10,11,12,13,14,15,16},{0,10,20,30,40,50,60,64,68,72,76,80,85,90,95,100})</f>
        <v>100</v>
      </c>
      <c r="K418" s="21">
        <f t="shared" si="223"/>
        <v>8</v>
      </c>
      <c r="L418" s="1">
        <f>LOOKUP(K418,{0,1,2,3,4,5,6,7,8,9,10},{0,1,2,3,4,5,6,7,8,9,10})</f>
        <v>8</v>
      </c>
      <c r="M418" s="21">
        <f t="shared" si="215"/>
        <v>108</v>
      </c>
      <c r="N418" s="15">
        <v>8.1</v>
      </c>
      <c r="O418" s="19">
        <f t="shared" si="216"/>
        <v>4.9</v>
      </c>
      <c r="P418" s="1">
        <f>LOOKUP(O418,{0,2.5,2.7,2.9,3.1,3.3,3.5,3.7,3.9,4.1,4.3,4.5,4.7,4.9,5.1,5.3,5.5,5.6,5.7,5.8,5.9},{0,10,20,30,40,50,60,62,64,66,68,70,72,74,76,78,80,85,90,95,100})</f>
        <v>74</v>
      </c>
      <c r="Q418" s="15">
        <v>3.53</v>
      </c>
      <c r="R418" s="15">
        <f t="shared" si="217"/>
        <v>6.47</v>
      </c>
      <c r="S418" s="1">
        <f>LOOKUP(R418,{0,3.75,3.95,4.55,4.75,4.95,5.55,5.6,5.65,5.7,5.75,5.8,5.85,5.9,5.95,6,6.45,6.53,6.6,6.65,6.7},{0,10,20,30,40,50,60,62,64,66,68,70,72,74,76,78,80,85,90,95,100})</f>
        <v>80</v>
      </c>
      <c r="T418" s="21"/>
      <c r="U418" s="21"/>
      <c r="V418" s="21">
        <f t="shared" si="219"/>
        <v>80</v>
      </c>
      <c r="W418" s="15"/>
      <c r="X418" s="21">
        <f t="shared" si="220"/>
        <v>58.3</v>
      </c>
      <c r="Y418" s="21">
        <f t="shared" si="221"/>
        <v>91.2857142857143</v>
      </c>
    </row>
    <row r="419" s="3" customFormat="1" ht="15.6" hidden="1" outlineLevel="2" spans="1:25">
      <c r="A419" s="15">
        <v>115</v>
      </c>
      <c r="B419" s="15">
        <v>21</v>
      </c>
      <c r="C419" s="14" t="s">
        <v>96</v>
      </c>
      <c r="D419" s="14" t="s">
        <v>11</v>
      </c>
      <c r="E419" s="15">
        <v>8</v>
      </c>
      <c r="F419" s="1">
        <f>LOOKUP(E419,{0,-4,-3,-2,-1,0,1,2.4,3.8,5.2,6.6,8,9.4,10.8,12.2,13.6,15,17.2,19.4,21.5,23.6},{0,10,20,30,40,50,60,62,64,66,68,70,72,74,76,78,80,85,90,95,100})</f>
        <v>70</v>
      </c>
      <c r="G419" s="15">
        <v>222</v>
      </c>
      <c r="H419" s="1">
        <f>LOOKUP(G419,{0,170,175,180,185,190,195,199,203,207,211,215,219,223,227,231,235,243,250,255,260},{0,10,20,30,40,50,60,62,64,66,68,70,72,74,76,78,80,85,90,95,100})</f>
        <v>72</v>
      </c>
      <c r="I419" s="15">
        <v>4</v>
      </c>
      <c r="J419" s="1">
        <f>LOOKUP(I419,{0,2,3,4,5,6,7,8,9,10,11,12,13,14,15,16},{0,10,20,30,40,50,60,64,68,72,76,80,85,90,95,100})</f>
        <v>30</v>
      </c>
      <c r="K419" s="21"/>
      <c r="L419" s="21"/>
      <c r="M419" s="21">
        <f t="shared" si="215"/>
        <v>30</v>
      </c>
      <c r="N419" s="15">
        <v>7.4</v>
      </c>
      <c r="O419" s="19">
        <f t="shared" si="216"/>
        <v>5.6</v>
      </c>
      <c r="P419" s="1">
        <f>LOOKUP(O419,{0,2.5,2.7,2.9,3.1,3.3,3.5,3.7,3.9,4.1,4.3,4.5,4.7,4.9,5.1,5.3,5.5,5.6,5.7,5.8,5.9},{0,10,20,30,40,50,60,62,64,66,68,70,72,74,76,78,80,85,90,95,100})</f>
        <v>85</v>
      </c>
      <c r="Q419" s="15">
        <v>3.28</v>
      </c>
      <c r="R419" s="15">
        <f t="shared" si="217"/>
        <v>6.72</v>
      </c>
      <c r="S419" s="1">
        <f>LOOKUP(R419,{0,3.75,3.95,4.55,4.75,4.95,5.55,5.6,5.65,5.7,5.75,5.8,5.85,5.9,5.95,6,6.45,6.53,6.6,6.65,6.7},{0,10,20,30,40,50,60,62,64,66,68,70,72,74,76,78,80,85,90,95,100})</f>
        <v>100</v>
      </c>
      <c r="T419" s="21">
        <f t="shared" si="224"/>
        <v>0.02</v>
      </c>
      <c r="U419" s="1">
        <f>LOOKUP(T419,{0,0.04,0.08,0.12,0.16,0.2,0.23,0.26,0.29,0.32,0.35},{0,1,2,3,4,5,6,7,8,9,10})</f>
        <v>0</v>
      </c>
      <c r="V419" s="21">
        <f t="shared" si="219"/>
        <v>100</v>
      </c>
      <c r="W419" s="15"/>
      <c r="X419" s="21">
        <f t="shared" si="220"/>
        <v>54.2</v>
      </c>
      <c r="Y419" s="21">
        <f t="shared" si="221"/>
        <v>77.4285714285714</v>
      </c>
    </row>
    <row r="420" ht="15.6" hidden="1" outlineLevel="2" spans="1:25">
      <c r="A420" s="15">
        <v>115</v>
      </c>
      <c r="B420" s="15">
        <v>22</v>
      </c>
      <c r="C420" s="14" t="s">
        <v>750</v>
      </c>
      <c r="D420" s="14" t="s">
        <v>11</v>
      </c>
      <c r="E420" s="15">
        <v>13.5</v>
      </c>
      <c r="F420" s="1">
        <f>LOOKUP(E420,{0,-4,-3,-2,-1,0,1,2.4,3.8,5.2,6.6,8,9.4,10.8,12.2,13.6,15,17.2,19.4,21.5,23.6},{0,10,20,30,40,50,60,62,64,66,68,70,72,74,76,78,80,85,90,95,100})</f>
        <v>76</v>
      </c>
      <c r="G420" s="15">
        <v>230</v>
      </c>
      <c r="H420" s="1">
        <f>LOOKUP(G420,{0,170,175,180,185,190,195,199,203,207,211,215,219,223,227,231,235,243,250,255,260},{0,10,20,30,40,50,60,62,64,66,68,70,72,74,76,78,80,85,90,95,100})</f>
        <v>76</v>
      </c>
      <c r="I420" s="15">
        <v>6</v>
      </c>
      <c r="J420" s="1">
        <f>LOOKUP(I420,{0,2,3,4,5,6,7,8,9,10,11,12,13,14,15,16},{0,10,20,30,40,50,60,64,68,72,76,80,85,90,95,100})</f>
        <v>50</v>
      </c>
      <c r="K420" s="21"/>
      <c r="L420" s="21"/>
      <c r="M420" s="21">
        <f t="shared" si="215"/>
        <v>50</v>
      </c>
      <c r="N420" s="15">
        <v>7.1</v>
      </c>
      <c r="O420" s="19">
        <f t="shared" si="216"/>
        <v>5.9</v>
      </c>
      <c r="P420" s="1">
        <f>LOOKUP(O420,{0,2.5,2.7,2.9,3.1,3.3,3.5,3.7,3.9,4.1,4.3,4.5,4.7,4.9,5.1,5.3,5.5,5.6,5.7,5.8,5.9},{0,10,20,30,40,50,60,62,64,66,68,70,72,74,76,78,80,85,90,95,100})</f>
        <v>100</v>
      </c>
      <c r="Q420" s="15">
        <v>3.31</v>
      </c>
      <c r="R420" s="15">
        <f t="shared" si="217"/>
        <v>6.69</v>
      </c>
      <c r="S420" s="1">
        <f>LOOKUP(R420,{0,3.75,3.95,4.55,4.75,4.95,5.55,5.6,5.65,5.7,5.75,5.8,5.85,5.9,5.95,6,6.45,6.53,6.6,6.65,6.7},{0,10,20,30,40,50,60,62,64,66,68,70,72,74,76,78,80,85,90,95,100})</f>
        <v>95</v>
      </c>
      <c r="T420" s="21"/>
      <c r="U420" s="21"/>
      <c r="V420" s="21">
        <f t="shared" si="219"/>
        <v>95</v>
      </c>
      <c r="W420" s="15"/>
      <c r="X420" s="21">
        <f t="shared" si="220"/>
        <v>59.2</v>
      </c>
      <c r="Y420" s="21">
        <f t="shared" si="221"/>
        <v>84.5714285714286</v>
      </c>
    </row>
    <row r="421" ht="15.6" hidden="1" outlineLevel="2" spans="1:25">
      <c r="A421" s="15">
        <v>115</v>
      </c>
      <c r="B421" s="15">
        <v>23</v>
      </c>
      <c r="C421" s="14" t="s">
        <v>751</v>
      </c>
      <c r="D421" s="14" t="s">
        <v>11</v>
      </c>
      <c r="E421" s="15">
        <v>18.4</v>
      </c>
      <c r="F421" s="1">
        <f>LOOKUP(E421,{0,-4,-3,-2,-1,0,1,2.4,3.8,5.2,6.6,8,9.4,10.8,12.2,13.6,15,17.2,19.4,21.5,23.6},{0,10,20,30,40,50,60,62,64,66,68,70,72,74,76,78,80,85,90,95,100})</f>
        <v>85</v>
      </c>
      <c r="G421" s="15">
        <v>240</v>
      </c>
      <c r="H421" s="1">
        <f>LOOKUP(G421,{0,170,175,180,185,190,195,199,203,207,211,215,219,223,227,231,235,243,250,255,260},{0,10,20,30,40,50,60,62,64,66,68,70,72,74,76,78,80,85,90,95,100})</f>
        <v>80</v>
      </c>
      <c r="I421" s="15">
        <v>20</v>
      </c>
      <c r="J421" s="1">
        <f>LOOKUP(I421,{0,2,3,4,5,6,7,8,9,10,11,12,13,14,15,16},{0,10,20,30,40,50,60,64,68,72,76,80,85,90,95,100})</f>
        <v>100</v>
      </c>
      <c r="K421" s="21">
        <f>I421-16</f>
        <v>4</v>
      </c>
      <c r="L421" s="1">
        <f>LOOKUP(K421,{0,1,2,3,4,5,6,7,8,9,10},{0,1,2,3,4,5,6,7,8,9,10})</f>
        <v>4</v>
      </c>
      <c r="M421" s="21">
        <f t="shared" si="215"/>
        <v>104</v>
      </c>
      <c r="N421" s="15">
        <v>6.6</v>
      </c>
      <c r="O421" s="19">
        <f t="shared" si="216"/>
        <v>6.4</v>
      </c>
      <c r="P421" s="1">
        <f>LOOKUP(O421,{0,2.5,2.7,2.9,3.1,3.3,3.5,3.7,3.9,4.1,4.3,4.5,4.7,4.9,5.1,5.3,5.5,5.6,5.7,5.8,5.9},{0,10,20,30,40,50,60,62,64,66,68,70,72,74,76,78,80,85,90,95,100})</f>
        <v>100</v>
      </c>
      <c r="Q421" s="15">
        <v>3.13</v>
      </c>
      <c r="R421" s="15">
        <f t="shared" si="217"/>
        <v>6.87</v>
      </c>
      <c r="S421" s="1">
        <f>LOOKUP(R421,{0,3.75,3.95,4.55,4.75,4.95,5.55,5.6,5.65,5.7,5.75,5.8,5.85,5.9,5.95,6,6.45,6.53,6.6,6.65,6.7},{0,10,20,30,40,50,60,62,64,66,68,70,72,74,76,78,80,85,90,95,100})</f>
        <v>100</v>
      </c>
      <c r="T421" s="21">
        <f>3.3-Q421</f>
        <v>0.17</v>
      </c>
      <c r="U421" s="1">
        <f>LOOKUP(T421,{0,0.04,0.08,0.12,0.16,0.2,0.23,0.26,0.29,0.32,0.35},{0,1,2,3,4,5,6,7,8,9,10})</f>
        <v>4</v>
      </c>
      <c r="V421" s="21">
        <f t="shared" si="219"/>
        <v>104</v>
      </c>
      <c r="W421" s="15"/>
      <c r="X421" s="21">
        <f t="shared" si="220"/>
        <v>66.5</v>
      </c>
      <c r="Y421" s="21">
        <f t="shared" si="221"/>
        <v>103</v>
      </c>
    </row>
    <row r="422" ht="15.6" hidden="1" outlineLevel="2" spans="1:25">
      <c r="A422" s="15">
        <v>115</v>
      </c>
      <c r="B422" s="15">
        <v>24</v>
      </c>
      <c r="C422" s="14" t="s">
        <v>752</v>
      </c>
      <c r="D422" s="14" t="s">
        <v>11</v>
      </c>
      <c r="E422" s="15">
        <v>3.5</v>
      </c>
      <c r="F422" s="1">
        <f>LOOKUP(E422,{0,-4,-3,-2,-1,0,1,2.4,3.8,5.2,6.6,8,9.4,10.8,12.2,13.6,15,17.2,19.4,21.5,23.6},{0,10,20,30,40,50,60,62,64,66,68,70,72,74,76,78,80,85,90,95,100})</f>
        <v>62</v>
      </c>
      <c r="G422" s="15">
        <v>215</v>
      </c>
      <c r="H422" s="1">
        <f>LOOKUP(G422,{0,170,175,180,185,190,195,199,203,207,211,215,219,223,227,231,235,243,250,255,260},{0,10,20,30,40,50,60,62,64,66,68,70,72,74,76,78,80,85,90,95,100})</f>
        <v>70</v>
      </c>
      <c r="I422" s="15">
        <v>10</v>
      </c>
      <c r="J422" s="1">
        <f>LOOKUP(I422,{0,2,3,4,5,6,7,8,9,10,11,12,13,14,15,16},{0,10,20,30,40,50,60,64,68,72,76,80,85,90,95,100})</f>
        <v>72</v>
      </c>
      <c r="K422" s="21"/>
      <c r="L422" s="21"/>
      <c r="M422" s="21">
        <f t="shared" si="215"/>
        <v>72</v>
      </c>
      <c r="N422" s="15">
        <v>7.4</v>
      </c>
      <c r="O422" s="19">
        <f t="shared" si="216"/>
        <v>5.6</v>
      </c>
      <c r="P422" s="1">
        <f>LOOKUP(O422,{0,2.5,2.7,2.9,3.1,3.3,3.5,3.7,3.9,4.1,4.3,4.5,4.7,4.9,5.1,5.3,5.5,5.6,5.7,5.8,5.9},{0,10,20,30,40,50,60,62,64,66,68,70,72,74,76,78,80,85,90,95,100})</f>
        <v>85</v>
      </c>
      <c r="Q422" s="15">
        <v>4.24</v>
      </c>
      <c r="R422" s="15">
        <f t="shared" si="217"/>
        <v>5.76</v>
      </c>
      <c r="S422" s="1">
        <f>LOOKUP(R422,{0,3.75,3.95,4.55,4.75,4.95,5.55,5.6,5.65,5.7,5.75,5.8,5.85,5.9,5.95,6,6.45,6.53,6.6,6.65,6.7},{0,10,20,30,40,50,60,62,64,66,68,70,72,74,76,78,80,85,90,95,100})</f>
        <v>68</v>
      </c>
      <c r="T422" s="21"/>
      <c r="U422" s="21"/>
      <c r="V422" s="21">
        <f t="shared" si="219"/>
        <v>68</v>
      </c>
      <c r="W422" s="15"/>
      <c r="X422" s="21">
        <f t="shared" si="220"/>
        <v>51</v>
      </c>
      <c r="Y422" s="21">
        <f t="shared" si="221"/>
        <v>72.8571428571429</v>
      </c>
    </row>
    <row r="423" ht="15.6" outlineLevel="1" collapsed="1" spans="1:25">
      <c r="A423" s="16" t="s">
        <v>856</v>
      </c>
      <c r="B423" s="15"/>
      <c r="C423" s="14"/>
      <c r="D423" s="14"/>
      <c r="E423" s="15"/>
      <c r="F423" s="1">
        <f>SUBTOTAL(1,F399:F422)</f>
        <v>78.7083333333333</v>
      </c>
      <c r="G423" s="15"/>
      <c r="H423" s="1">
        <f>SUBTOTAL(1,H399:H422)</f>
        <v>73.7916666666667</v>
      </c>
      <c r="I423" s="15"/>
      <c r="J423" s="1">
        <f>SUBTOTAL(1,J399:J422)</f>
        <v>67.2083333333333</v>
      </c>
      <c r="K423" s="21"/>
      <c r="L423" s="21"/>
      <c r="M423" s="21">
        <f>SUBTOTAL(1,M399:M422)</f>
        <v>68.4166666666667</v>
      </c>
      <c r="N423" s="15"/>
      <c r="O423" s="19"/>
      <c r="P423" s="1">
        <f>SUBTOTAL(1,P399:P422)</f>
        <v>89.125</v>
      </c>
      <c r="Q423" s="15"/>
      <c r="R423" s="15"/>
      <c r="S423" s="1">
        <f>SUBTOTAL(1,S399:S422)</f>
        <v>90.8333333333333</v>
      </c>
      <c r="T423" s="21"/>
      <c r="U423" s="21"/>
      <c r="V423" s="21">
        <f>SUBTOTAL(1,V399:V422)</f>
        <v>91.6666666666667</v>
      </c>
      <c r="W423" s="15"/>
      <c r="X423" s="21">
        <f>SUBTOTAL(1,X399:X422)</f>
        <v>57.9625</v>
      </c>
      <c r="Y423" s="21">
        <f>SUBTOTAL(1,Y399:Y422)</f>
        <v>84.8452380952381</v>
      </c>
    </row>
    <row r="424" ht="15.6" hidden="1" outlineLevel="2" spans="1:25">
      <c r="A424" s="15">
        <v>116</v>
      </c>
      <c r="B424" s="15">
        <v>1</v>
      </c>
      <c r="C424" s="13" t="s">
        <v>780</v>
      </c>
      <c r="D424" s="14" t="s">
        <v>11</v>
      </c>
      <c r="E424" s="15">
        <v>13.5</v>
      </c>
      <c r="F424" s="1">
        <f>LOOKUP(E424,{0,-4,-3,-2,-1,0,1,2.4,3.8,5.2,6.6,8,9.4,10.8,12.2,13.6,15,17.2,19.4,21.5,23.6},{0,10,20,30,40,50,60,62,64,66,68,70,72,74,76,78,80,85,90,95,100})</f>
        <v>76</v>
      </c>
      <c r="G424" s="15">
        <v>260</v>
      </c>
      <c r="H424" s="1">
        <f>LOOKUP(G424,{0,170,175,180,185,190,195,199,203,207,211,215,219,223,227,231,235,243,250,255,260},{0,10,20,30,40,50,60,62,64,66,68,70,72,74,76,78,80,85,90,95,100})</f>
        <v>100</v>
      </c>
      <c r="I424" s="15">
        <v>22</v>
      </c>
      <c r="J424" s="1">
        <f>LOOKUP(I424,{0,2,3,4,5,6,7,8,9,10,11,12,13,14,15,16},{0,10,20,30,40,50,60,64,68,72,76,80,85,90,95,100})</f>
        <v>100</v>
      </c>
      <c r="K424" s="21">
        <f>I424-16</f>
        <v>6</v>
      </c>
      <c r="L424" s="1">
        <f>LOOKUP(K424,{0,1,2,3,4,5,6,7,8,9,10},{0,1,2,3,4,5,6,7,8,9,10})</f>
        <v>6</v>
      </c>
      <c r="M424" s="21">
        <f t="shared" ref="M424:M429" si="225">J424+L424</f>
        <v>106</v>
      </c>
      <c r="N424" s="15"/>
      <c r="O424" s="19"/>
      <c r="P424" s="1"/>
      <c r="Q424" s="15">
        <v>3.37</v>
      </c>
      <c r="R424" s="15">
        <f t="shared" ref="R424:R429" si="226">10-Q424</f>
        <v>6.63</v>
      </c>
      <c r="S424" s="1">
        <f>LOOKUP(R424,{0,3.75,3.95,4.55,4.75,4.95,5.55,5.6,5.65,5.7,5.75,5.8,5.85,5.9,5.95,6,6.45,6.53,6.6,6.65,6.7},{0,10,20,30,40,50,60,62,64,66,68,70,72,74,76,78,80,85,90,95,100})</f>
        <v>90</v>
      </c>
      <c r="T424" s="21"/>
      <c r="U424" s="21"/>
      <c r="V424" s="21">
        <f t="shared" ref="V424:V429" si="227">S424+U424</f>
        <v>90</v>
      </c>
      <c r="W424" s="15"/>
      <c r="X424" s="21">
        <f t="shared" ref="X424:X449" si="228">F424*0.1+H424*0.1+J424*0.1+P424*0.2+S424*0.2</f>
        <v>45.6</v>
      </c>
      <c r="Y424" s="21">
        <f t="shared" ref="Y424:Y429" si="229">X424/0.7+L424+U424</f>
        <v>71.1428571428572</v>
      </c>
    </row>
    <row r="425" ht="15.6" hidden="1" outlineLevel="2" spans="1:25">
      <c r="A425" s="15">
        <v>116</v>
      </c>
      <c r="B425" s="15">
        <v>2</v>
      </c>
      <c r="C425" s="14" t="s">
        <v>781</v>
      </c>
      <c r="D425" s="14" t="s">
        <v>11</v>
      </c>
      <c r="E425" s="15">
        <v>11</v>
      </c>
      <c r="F425" s="1">
        <f>LOOKUP(E425,{0,-4,-3,-2,-1,0,1,2.4,3.8,5.2,6.6,8,9.4,10.8,12.2,13.6,15,17.2,19.4,21.5,23.6},{0,10,20,30,40,50,60,62,64,66,68,70,72,74,76,78,80,85,90,95,100})</f>
        <v>74</v>
      </c>
      <c r="G425" s="15">
        <v>258</v>
      </c>
      <c r="H425" s="1">
        <f>LOOKUP(G425,{0,170,175,180,185,190,195,199,203,207,211,215,219,223,227,231,235,243,250,255,260},{0,10,20,30,40,50,60,62,64,66,68,70,72,74,76,78,80,85,90,95,100})</f>
        <v>95</v>
      </c>
      <c r="I425" s="15">
        <v>7</v>
      </c>
      <c r="J425" s="1">
        <f>LOOKUP(I425,{0,2,3,4,5,6,7,8,9,10,11,12,13,14,15,16},{0,10,20,30,40,50,60,64,68,72,76,80,85,90,95,100})</f>
        <v>60</v>
      </c>
      <c r="K425" s="21"/>
      <c r="L425" s="21"/>
      <c r="M425" s="21">
        <f t="shared" si="225"/>
        <v>60</v>
      </c>
      <c r="N425" s="15">
        <v>7.2</v>
      </c>
      <c r="O425" s="19">
        <f t="shared" ref="O425:O429" si="230">13-N425</f>
        <v>5.8</v>
      </c>
      <c r="P425" s="1">
        <f>LOOKUP(O425,{0,2.5,2.7,2.9,3.1,3.3,3.5,3.7,3.9,4.1,4.3,4.5,4.7,4.9,5.1,5.3,5.5,5.6,5.7,5.8,5.9},{0,10,20,30,40,50,60,62,64,66,68,70,72,74,76,78,80,85,90,95,100})</f>
        <v>95</v>
      </c>
      <c r="Q425" s="15">
        <v>4.08</v>
      </c>
      <c r="R425" s="15">
        <f t="shared" si="226"/>
        <v>5.92</v>
      </c>
      <c r="S425" s="1">
        <f>LOOKUP(R425,{0,3.75,3.95,4.55,4.75,4.95,5.55,5.6,5.65,5.7,5.75,5.8,5.85,5.9,5.95,6,6.45,6.53,6.6,6.65,6.7},{0,10,20,30,40,50,60,62,64,66,68,70,72,74,76,78,80,85,90,95,100})</f>
        <v>74</v>
      </c>
      <c r="T425" s="21"/>
      <c r="U425" s="21"/>
      <c r="V425" s="21">
        <f t="shared" si="227"/>
        <v>74</v>
      </c>
      <c r="W425" s="15"/>
      <c r="X425" s="21">
        <f t="shared" si="228"/>
        <v>56.7</v>
      </c>
      <c r="Y425" s="21">
        <f t="shared" si="229"/>
        <v>81</v>
      </c>
    </row>
    <row r="426" ht="15.6" hidden="1" outlineLevel="2" spans="1:25">
      <c r="A426" s="15">
        <v>116</v>
      </c>
      <c r="B426" s="15">
        <v>3</v>
      </c>
      <c r="C426" s="14" t="s">
        <v>782</v>
      </c>
      <c r="D426" s="14" t="s">
        <v>11</v>
      </c>
      <c r="E426" s="15">
        <v>11</v>
      </c>
      <c r="F426" s="1">
        <f>LOOKUP(E426,{0,-4,-3,-2,-1,0,1,2.4,3.8,5.2,6.6,8,9.4,10.8,12.2,13.6,15,17.2,19.4,21.5,23.6},{0,10,20,30,40,50,60,62,64,66,68,70,72,74,76,78,80,85,90,95,100})</f>
        <v>74</v>
      </c>
      <c r="G426" s="15">
        <v>237</v>
      </c>
      <c r="H426" s="1">
        <f>LOOKUP(G426,{0,170,175,180,185,190,195,199,203,207,211,215,219,223,227,231,235,243,250,255,260},{0,10,20,30,40,50,60,62,64,66,68,70,72,74,76,78,80,85,90,95,100})</f>
        <v>80</v>
      </c>
      <c r="I426" s="15">
        <v>10</v>
      </c>
      <c r="J426" s="1">
        <f>LOOKUP(I426,{0,2,3,4,5,6,7,8,9,10,11,12,13,14,15,16},{0,10,20,30,40,50,60,64,68,72,76,80,85,90,95,100})</f>
        <v>72</v>
      </c>
      <c r="K426" s="21"/>
      <c r="L426" s="21"/>
      <c r="M426" s="21">
        <f t="shared" si="225"/>
        <v>72</v>
      </c>
      <c r="N426" s="15">
        <v>7.2</v>
      </c>
      <c r="O426" s="19">
        <f t="shared" si="230"/>
        <v>5.8</v>
      </c>
      <c r="P426" s="1">
        <f>LOOKUP(O426,{0,2.5,2.7,2.9,3.1,3.3,3.5,3.7,3.9,4.1,4.3,4.5,4.7,4.9,5.1,5.3,5.5,5.6,5.7,5.8,5.9},{0,10,20,30,40,50,60,62,64,66,68,70,72,74,76,78,80,85,90,95,100})</f>
        <v>95</v>
      </c>
      <c r="Q426" s="15">
        <v>3.26</v>
      </c>
      <c r="R426" s="15">
        <f t="shared" si="226"/>
        <v>6.74</v>
      </c>
      <c r="S426" s="1">
        <f>LOOKUP(R426,{0,3.75,3.95,4.55,4.75,4.95,5.55,5.6,5.65,5.7,5.75,5.8,5.85,5.9,5.95,6,6.45,6.53,6.6,6.65,6.7},{0,10,20,30,40,50,60,62,64,66,68,70,72,74,76,78,80,85,90,95,100})</f>
        <v>100</v>
      </c>
      <c r="T426" s="21">
        <f>3.3-Q426</f>
        <v>0.04</v>
      </c>
      <c r="U426" s="1">
        <f>LOOKUP(T426,{0,0.04,0.08,0.12,0.16,0.2,0.23,0.26,0.29,0.32,0.35},{0,1,2,3,4,5,6,7,8,9,10})</f>
        <v>1</v>
      </c>
      <c r="V426" s="21">
        <f t="shared" si="227"/>
        <v>101</v>
      </c>
      <c r="W426" s="15"/>
      <c r="X426" s="21">
        <f t="shared" si="228"/>
        <v>61.6</v>
      </c>
      <c r="Y426" s="21">
        <f t="shared" si="229"/>
        <v>89</v>
      </c>
    </row>
    <row r="427" ht="15.6" hidden="1" outlineLevel="2" spans="1:25">
      <c r="A427" s="15">
        <v>116</v>
      </c>
      <c r="B427" s="15">
        <v>4</v>
      </c>
      <c r="C427" s="14" t="s">
        <v>783</v>
      </c>
      <c r="D427" s="14" t="s">
        <v>11</v>
      </c>
      <c r="E427" s="15">
        <v>7.5</v>
      </c>
      <c r="F427" s="1">
        <f>LOOKUP(E427,{0,-4,-3,-2,-1,0,1,2.4,3.8,5.2,6.6,8,9.4,10.8,12.2,13.6,15,17.2,19.4,21.5,23.6},{0,10,20,30,40,50,60,62,64,66,68,70,72,74,76,78,80,85,90,95,100})</f>
        <v>68</v>
      </c>
      <c r="G427" s="15">
        <v>210</v>
      </c>
      <c r="H427" s="1">
        <f>LOOKUP(G427,{0,170,175,180,185,190,195,199,203,207,211,215,219,223,227,231,235,243,250,255,260},{0,10,20,30,40,50,60,62,64,66,68,70,72,74,76,78,80,85,90,95,100})</f>
        <v>66</v>
      </c>
      <c r="I427" s="15">
        <v>4</v>
      </c>
      <c r="J427" s="1">
        <f>LOOKUP(I427,{0,2,3,4,5,6,7,8,9,10,11,12,13,14,15,16},{0,10,20,30,40,50,60,64,68,72,76,80,85,90,95,100})</f>
        <v>30</v>
      </c>
      <c r="K427" s="21"/>
      <c r="L427" s="21"/>
      <c r="M427" s="21">
        <f t="shared" si="225"/>
        <v>30</v>
      </c>
      <c r="N427" s="15">
        <v>7.6</v>
      </c>
      <c r="O427" s="19">
        <f t="shared" si="230"/>
        <v>5.4</v>
      </c>
      <c r="P427" s="1">
        <f>LOOKUP(O427,{0,2.5,2.7,2.9,3.1,3.3,3.5,3.7,3.9,4.1,4.3,4.5,4.7,4.9,5.1,5.3,5.5,5.6,5.7,5.8,5.9},{0,10,20,30,40,50,60,62,64,66,68,70,72,74,76,78,80,85,90,95,100})</f>
        <v>78</v>
      </c>
      <c r="Q427" s="15">
        <v>3.42</v>
      </c>
      <c r="R427" s="15">
        <f t="shared" si="226"/>
        <v>6.58</v>
      </c>
      <c r="S427" s="1">
        <f>LOOKUP(R427,{0,3.75,3.95,4.55,4.75,4.95,5.55,5.6,5.65,5.7,5.75,5.8,5.85,5.9,5.95,6,6.45,6.53,6.6,6.65,6.7},{0,10,20,30,40,50,60,62,64,66,68,70,72,74,76,78,80,85,90,95,100})</f>
        <v>85</v>
      </c>
      <c r="T427" s="21"/>
      <c r="U427" s="21"/>
      <c r="V427" s="21">
        <f t="shared" si="227"/>
        <v>85</v>
      </c>
      <c r="W427" s="15"/>
      <c r="X427" s="21">
        <f t="shared" si="228"/>
        <v>49</v>
      </c>
      <c r="Y427" s="21">
        <f t="shared" si="229"/>
        <v>70</v>
      </c>
    </row>
    <row r="428" ht="15.6" hidden="1" outlineLevel="2" spans="1:25">
      <c r="A428" s="15">
        <v>116</v>
      </c>
      <c r="B428" s="15">
        <v>5</v>
      </c>
      <c r="C428" s="14" t="s">
        <v>784</v>
      </c>
      <c r="D428" s="14" t="s">
        <v>11</v>
      </c>
      <c r="E428" s="15">
        <v>11.5</v>
      </c>
      <c r="F428" s="1">
        <f>LOOKUP(E428,{0,-4,-3,-2,-1,0,1,2.4,3.8,5.2,6.6,8,9.4,10.8,12.2,13.6,15,17.2,19.4,21.5,23.6},{0,10,20,30,40,50,60,62,64,66,68,70,72,74,76,78,80,85,90,95,100})</f>
        <v>74</v>
      </c>
      <c r="G428" s="15">
        <v>202</v>
      </c>
      <c r="H428" s="1">
        <f>LOOKUP(G428,{0,170,175,180,185,190,195,199,203,207,211,215,219,223,227,231,235,243,250,255,260},{0,10,20,30,40,50,60,62,64,66,68,70,72,74,76,78,80,85,90,95,100})</f>
        <v>62</v>
      </c>
      <c r="I428" s="15">
        <v>1</v>
      </c>
      <c r="J428" s="1">
        <f>LOOKUP(I428,{0,2,3,4,5,6,7,8,9,10,11,12,13,14,15,16},{0,10,20,30,40,50,60,64,68,72,76,80,85,90,95,100})</f>
        <v>0</v>
      </c>
      <c r="K428" s="21"/>
      <c r="L428" s="21"/>
      <c r="M428" s="21">
        <f t="shared" si="225"/>
        <v>0</v>
      </c>
      <c r="N428" s="15">
        <v>7.8</v>
      </c>
      <c r="O428" s="19">
        <f t="shared" si="230"/>
        <v>5.2</v>
      </c>
      <c r="P428" s="1">
        <f>LOOKUP(O428,{0,2.5,2.7,2.9,3.1,3.3,3.5,3.7,3.9,4.1,4.3,4.5,4.7,4.9,5.1,5.3,5.5,5.6,5.7,5.8,5.9},{0,10,20,30,40,50,60,62,64,66,68,70,72,74,76,78,80,85,90,95,100})</f>
        <v>76</v>
      </c>
      <c r="Q428" s="15">
        <v>3.58</v>
      </c>
      <c r="R428" s="15">
        <f t="shared" si="226"/>
        <v>6.42</v>
      </c>
      <c r="S428" s="1">
        <f>LOOKUP(R428,{0,3.75,3.95,4.55,4.75,4.95,5.55,5.6,5.65,5.7,5.75,5.8,5.85,5.9,5.95,6,6.45,6.53,6.6,6.65,6.7},{0,10,20,30,40,50,60,62,64,66,68,70,72,74,76,78,80,85,90,95,100})</f>
        <v>78</v>
      </c>
      <c r="T428" s="21"/>
      <c r="U428" s="21"/>
      <c r="V428" s="21">
        <f t="shared" si="227"/>
        <v>78</v>
      </c>
      <c r="W428" s="15"/>
      <c r="X428" s="21">
        <f t="shared" si="228"/>
        <v>44.4</v>
      </c>
      <c r="Y428" s="21">
        <f t="shared" si="229"/>
        <v>63.4285714285714</v>
      </c>
    </row>
    <row r="429" ht="15.6" hidden="1" outlineLevel="2" spans="1:25">
      <c r="A429" s="15">
        <v>116</v>
      </c>
      <c r="B429" s="15">
        <v>6</v>
      </c>
      <c r="C429" s="14" t="s">
        <v>785</v>
      </c>
      <c r="D429" s="14" t="s">
        <v>11</v>
      </c>
      <c r="E429" s="15">
        <v>1.5</v>
      </c>
      <c r="F429" s="1">
        <f>LOOKUP(E429,{0,-4,-3,-2,-1,0,1,2.4,3.8,5.2,6.6,8,9.4,10.8,12.2,13.6,15,17.2,19.4,21.5,23.6},{0,10,20,30,40,50,60,62,64,66,68,70,72,74,76,78,80,85,90,95,100})</f>
        <v>60</v>
      </c>
      <c r="G429" s="15">
        <v>155</v>
      </c>
      <c r="H429" s="1">
        <f>LOOKUP(G429,{0,170,175,180,185,190,195,199,203,207,211,215,219,223,227,231,235,243,250,255,260},{0,10,20,30,40,50,60,62,64,66,68,70,72,74,76,78,80,85,90,95,100})</f>
        <v>0</v>
      </c>
      <c r="I429" s="15">
        <v>0</v>
      </c>
      <c r="J429" s="1">
        <f>LOOKUP(I429,{0,2,3,4,5,6,7,8,9,10,11,12,13,14,15,16},{0,10,20,30,40,50,60,64,68,72,76,80,85,90,95,100})</f>
        <v>0</v>
      </c>
      <c r="K429" s="21"/>
      <c r="L429" s="21"/>
      <c r="M429" s="21">
        <f t="shared" si="225"/>
        <v>0</v>
      </c>
      <c r="N429" s="15">
        <v>10.6</v>
      </c>
      <c r="O429" s="19">
        <f t="shared" si="230"/>
        <v>2.4</v>
      </c>
      <c r="P429" s="1">
        <f>LOOKUP(O429,{0,2.5,2.7,2.9,3.1,3.3,3.5,3.7,3.9,4.1,4.3,4.5,4.7,4.9,5.1,5.3,5.5,5.6,5.7,5.8,5.9},{0,10,20,30,40,50,60,62,64,66,68,70,72,74,76,78,80,85,90,95,100})</f>
        <v>0</v>
      </c>
      <c r="Q429" s="15">
        <v>6.09</v>
      </c>
      <c r="R429" s="15">
        <f t="shared" si="226"/>
        <v>3.91</v>
      </c>
      <c r="S429" s="1">
        <f>LOOKUP(R429,{0,3.75,3.95,4.55,4.75,4.95,5.55,5.6,5.65,5.7,5.75,5.8,5.85,5.9,5.95,6,6.45,6.53,6.6,6.65,6.7},{0,10,20,30,40,50,60,62,64,66,68,70,72,74,76,78,80,85,90,95,100})</f>
        <v>10</v>
      </c>
      <c r="T429" s="21"/>
      <c r="U429" s="21"/>
      <c r="V429" s="21">
        <f t="shared" si="227"/>
        <v>10</v>
      </c>
      <c r="W429" s="15"/>
      <c r="X429" s="21">
        <f t="shared" si="228"/>
        <v>8</v>
      </c>
      <c r="Y429" s="21">
        <f t="shared" si="229"/>
        <v>11.4285714285714</v>
      </c>
    </row>
    <row r="430" s="3" customFormat="1" ht="15.6" hidden="1" outlineLevel="2" spans="1:25">
      <c r="A430" s="15">
        <v>116</v>
      </c>
      <c r="B430" s="15">
        <v>7</v>
      </c>
      <c r="C430" s="14" t="s">
        <v>786</v>
      </c>
      <c r="D430" s="14" t="s">
        <v>11</v>
      </c>
      <c r="E430" s="15"/>
      <c r="F430" s="1"/>
      <c r="G430" s="15"/>
      <c r="H430" s="1"/>
      <c r="I430" s="15"/>
      <c r="J430" s="1"/>
      <c r="K430" s="21"/>
      <c r="L430" s="21"/>
      <c r="M430" s="21"/>
      <c r="N430" s="15"/>
      <c r="O430" s="19"/>
      <c r="P430" s="1"/>
      <c r="Q430" s="15"/>
      <c r="R430" s="15"/>
      <c r="S430" s="1"/>
      <c r="T430" s="21"/>
      <c r="U430" s="1"/>
      <c r="V430" s="21"/>
      <c r="W430" s="15" t="s">
        <v>513</v>
      </c>
      <c r="X430" s="21">
        <f t="shared" si="228"/>
        <v>0</v>
      </c>
      <c r="Y430" s="21">
        <v>50</v>
      </c>
    </row>
    <row r="431" ht="15.6" hidden="1" outlineLevel="2" spans="1:25">
      <c r="A431" s="15">
        <v>116</v>
      </c>
      <c r="B431" s="15">
        <v>8</v>
      </c>
      <c r="C431" s="14" t="s">
        <v>787</v>
      </c>
      <c r="D431" s="14" t="s">
        <v>11</v>
      </c>
      <c r="E431" s="15">
        <v>14.5</v>
      </c>
      <c r="F431" s="1">
        <f>LOOKUP(E431,{0,-4,-3,-2,-1,0,1,2.4,3.8,5.2,6.6,8,9.4,10.8,12.2,13.6,15,17.2,19.4,21.5,23.6},{0,10,20,30,40,50,60,62,64,66,68,70,72,74,76,78,80,85,90,95,100})</f>
        <v>78</v>
      </c>
      <c r="G431" s="15">
        <v>213</v>
      </c>
      <c r="H431" s="1">
        <f>LOOKUP(G431,{0,170,175,180,185,190,195,199,203,207,211,215,219,223,227,231,235,243,250,255,260},{0,10,20,30,40,50,60,62,64,66,68,70,72,74,76,78,80,85,90,95,100})</f>
        <v>68</v>
      </c>
      <c r="I431" s="15">
        <v>6</v>
      </c>
      <c r="J431" s="1">
        <f>LOOKUP(I431,{0,2,3,4,5,6,7,8,9,10,11,12,13,14,15,16},{0,10,20,30,40,50,60,64,68,72,76,80,85,90,95,100})</f>
        <v>50</v>
      </c>
      <c r="K431" s="21"/>
      <c r="L431" s="21"/>
      <c r="M431" s="21">
        <f t="shared" ref="M431:M449" si="231">J431+L431</f>
        <v>50</v>
      </c>
      <c r="N431" s="15">
        <v>7.6</v>
      </c>
      <c r="O431" s="19">
        <f t="shared" ref="O431:O440" si="232">13-N431</f>
        <v>5.4</v>
      </c>
      <c r="P431" s="1">
        <f>LOOKUP(O431,{0,2.5,2.7,2.9,3.1,3.3,3.5,3.7,3.9,4.1,4.3,4.5,4.7,4.9,5.1,5.3,5.5,5.6,5.7,5.8,5.9},{0,10,20,30,40,50,60,62,64,66,68,70,72,74,76,78,80,85,90,95,100})</f>
        <v>78</v>
      </c>
      <c r="Q431" s="15">
        <v>3.49</v>
      </c>
      <c r="R431" s="15">
        <f t="shared" ref="R431:R449" si="233">10-Q431</f>
        <v>6.51</v>
      </c>
      <c r="S431" s="1">
        <f>LOOKUP(R431,{0,3.75,3.95,4.55,4.75,4.95,5.55,5.6,5.65,5.7,5.75,5.8,5.85,5.9,5.95,6,6.45,6.53,6.6,6.65,6.7},{0,10,20,30,40,50,60,62,64,66,68,70,72,74,76,78,80,85,90,95,100})</f>
        <v>80</v>
      </c>
      <c r="T431" s="21"/>
      <c r="U431" s="21"/>
      <c r="V431" s="21">
        <f t="shared" ref="V431:V449" si="234">S431+U431</f>
        <v>80</v>
      </c>
      <c r="W431" s="15"/>
      <c r="X431" s="21">
        <f t="shared" si="228"/>
        <v>51.2</v>
      </c>
      <c r="Y431" s="21">
        <f t="shared" ref="Y431:Y449" si="235">X431/0.7+L431+U431</f>
        <v>73.1428571428572</v>
      </c>
    </row>
    <row r="432" ht="15.6" hidden="1" outlineLevel="2" spans="1:25">
      <c r="A432" s="15">
        <v>116</v>
      </c>
      <c r="B432" s="15">
        <v>9</v>
      </c>
      <c r="C432" s="14" t="s">
        <v>788</v>
      </c>
      <c r="D432" s="14" t="s">
        <v>11</v>
      </c>
      <c r="E432" s="15">
        <v>10.5</v>
      </c>
      <c r="F432" s="1">
        <f>LOOKUP(E432,{0,-4,-3,-2,-1,0,1,2.4,3.8,5.2,6.6,8,9.4,10.8,12.2,13.6,15,17.2,19.4,21.5,23.6},{0,10,20,30,40,50,60,62,64,66,68,70,72,74,76,78,80,85,90,95,100})</f>
        <v>72</v>
      </c>
      <c r="G432" s="15">
        <v>242</v>
      </c>
      <c r="H432" s="1">
        <f>LOOKUP(G432,{0,170,175,180,185,190,195,199,203,207,211,215,219,223,227,231,235,243,250,255,260},{0,10,20,30,40,50,60,62,64,66,68,70,72,74,76,78,80,85,90,95,100})</f>
        <v>80</v>
      </c>
      <c r="I432" s="15">
        <v>5</v>
      </c>
      <c r="J432" s="1">
        <f>LOOKUP(I432,{0,2,3,4,5,6,7,8,9,10,11,12,13,14,15,16},{0,10,20,30,40,50,60,64,68,72,76,80,85,90,95,100})</f>
        <v>40</v>
      </c>
      <c r="K432" s="21"/>
      <c r="L432" s="21"/>
      <c r="M432" s="21">
        <f t="shared" si="231"/>
        <v>40</v>
      </c>
      <c r="N432" s="15">
        <v>7.1</v>
      </c>
      <c r="O432" s="19">
        <f t="shared" si="232"/>
        <v>5.9</v>
      </c>
      <c r="P432" s="1">
        <f>LOOKUP(O432,{0,2.5,2.7,2.9,3.1,3.3,3.5,3.7,3.9,4.1,4.3,4.5,4.7,4.9,5.1,5.3,5.5,5.6,5.7,5.8,5.9},{0,10,20,30,40,50,60,62,64,66,68,70,72,74,76,78,80,85,90,95,100})</f>
        <v>100</v>
      </c>
      <c r="Q432" s="15">
        <v>3.33</v>
      </c>
      <c r="R432" s="15">
        <f t="shared" si="233"/>
        <v>6.67</v>
      </c>
      <c r="S432" s="1">
        <f>LOOKUP(R432,{0,3.75,3.95,4.55,4.75,4.95,5.55,5.6,5.65,5.7,5.75,5.8,5.85,5.9,5.95,6,6.45,6.53,6.6,6.65,6.7},{0,10,20,30,40,50,60,62,64,66,68,70,72,74,76,78,80,85,90,95,100})</f>
        <v>95</v>
      </c>
      <c r="T432" s="21"/>
      <c r="U432" s="21"/>
      <c r="V432" s="21">
        <f t="shared" si="234"/>
        <v>95</v>
      </c>
      <c r="W432" s="15"/>
      <c r="X432" s="21">
        <f t="shared" si="228"/>
        <v>58.2</v>
      </c>
      <c r="Y432" s="21">
        <f t="shared" si="235"/>
        <v>83.1428571428572</v>
      </c>
    </row>
    <row r="433" ht="15.6" hidden="1" outlineLevel="2" spans="1:25">
      <c r="A433" s="15">
        <v>116</v>
      </c>
      <c r="B433" s="15">
        <v>10</v>
      </c>
      <c r="C433" s="14" t="s">
        <v>789</v>
      </c>
      <c r="D433" s="14" t="s">
        <v>11</v>
      </c>
      <c r="E433" s="15">
        <v>6.5</v>
      </c>
      <c r="F433" s="1">
        <f>LOOKUP(E433,{0,-4,-3,-2,-1,0,1,2.4,3.8,5.2,6.6,8,9.4,10.8,12.2,13.6,15,17.2,19.4,21.5,23.6},{0,10,20,30,40,50,60,62,64,66,68,70,72,74,76,78,80,85,90,95,100})</f>
        <v>66</v>
      </c>
      <c r="G433" s="15">
        <v>177</v>
      </c>
      <c r="H433" s="1">
        <f>LOOKUP(G433,{0,170,175,180,185,190,195,199,203,207,211,215,219,223,227,231,235,243,250,255,260},{0,10,20,30,40,50,60,62,64,66,68,70,72,74,76,78,80,85,90,95,100})</f>
        <v>20</v>
      </c>
      <c r="I433" s="15">
        <v>0</v>
      </c>
      <c r="J433" s="1">
        <f>LOOKUP(I433,{0,2,3,4,5,6,7,8,9,10,11,12,13,14,15,16},{0,10,20,30,40,50,60,64,68,72,76,80,85,90,95,100})</f>
        <v>0</v>
      </c>
      <c r="K433" s="21"/>
      <c r="L433" s="21"/>
      <c r="M433" s="21">
        <f t="shared" si="231"/>
        <v>0</v>
      </c>
      <c r="N433" s="15">
        <v>8.3</v>
      </c>
      <c r="O433" s="19">
        <f t="shared" si="232"/>
        <v>4.7</v>
      </c>
      <c r="P433" s="1">
        <f>LOOKUP(O433,{0,2.5,2.7,2.9,3.1,3.3,3.5,3.7,3.9,4.1,4.3,4.5,4.7,4.9,5.1,5.3,5.5,5.6,5.7,5.8,5.9},{0,10,20,30,40,50,60,62,64,66,68,70,72,74,76,78,80,85,90,95,100})</f>
        <v>72</v>
      </c>
      <c r="Q433" s="15">
        <v>4.44</v>
      </c>
      <c r="R433" s="15">
        <f t="shared" si="233"/>
        <v>5.56</v>
      </c>
      <c r="S433" s="1">
        <f>LOOKUP(R433,{0,3.75,3.95,4.55,4.75,4.95,5.55,5.6,5.65,5.7,5.75,5.8,5.85,5.9,5.95,6,6.45,6.53,6.6,6.65,6.7},{0,10,20,30,40,50,60,62,64,66,68,70,72,74,76,78,80,85,90,95,100})</f>
        <v>60</v>
      </c>
      <c r="T433" s="21"/>
      <c r="U433" s="21"/>
      <c r="V433" s="21">
        <f t="shared" si="234"/>
        <v>60</v>
      </c>
      <c r="W433" s="15"/>
      <c r="X433" s="21">
        <f t="shared" si="228"/>
        <v>35</v>
      </c>
      <c r="Y433" s="21">
        <f t="shared" si="235"/>
        <v>50</v>
      </c>
    </row>
    <row r="434" ht="15.6" hidden="1" outlineLevel="2" spans="1:25">
      <c r="A434" s="15">
        <v>116</v>
      </c>
      <c r="B434" s="15">
        <v>11</v>
      </c>
      <c r="C434" s="14" t="s">
        <v>790</v>
      </c>
      <c r="D434" s="14" t="s">
        <v>11</v>
      </c>
      <c r="E434" s="15">
        <v>16</v>
      </c>
      <c r="F434" s="1">
        <f>LOOKUP(E434,{0,-4,-3,-2,-1,0,1,2.4,3.8,5.2,6.6,8,9.4,10.8,12.2,13.6,15,17.2,19.4,21.5,23.6},{0,10,20,30,40,50,60,62,64,66,68,70,72,74,76,78,80,85,90,95,100})</f>
        <v>80</v>
      </c>
      <c r="G434" s="15">
        <v>228</v>
      </c>
      <c r="H434" s="1">
        <f>LOOKUP(G434,{0,170,175,180,185,190,195,199,203,207,211,215,219,223,227,231,235,243,250,255,260},{0,10,20,30,40,50,60,62,64,66,68,70,72,74,76,78,80,85,90,95,100})</f>
        <v>76</v>
      </c>
      <c r="I434" s="15">
        <v>16</v>
      </c>
      <c r="J434" s="1">
        <f>LOOKUP(I434,{0,2,3,4,5,6,7,8,9,10,11,12,13,14,15,16},{0,10,20,30,40,50,60,64,68,72,76,80,85,90,95,100})</f>
        <v>100</v>
      </c>
      <c r="K434" s="21">
        <f t="shared" ref="K434:K438" si="236">I434-16</f>
        <v>0</v>
      </c>
      <c r="L434" s="1">
        <f>LOOKUP(K434,{0,1,2,3,4,5,6,7,8,9,10},{0,1,2,3,4,5,6,7,8,9,10})</f>
        <v>0</v>
      </c>
      <c r="M434" s="21">
        <f t="shared" si="231"/>
        <v>100</v>
      </c>
      <c r="N434" s="15">
        <v>7.5</v>
      </c>
      <c r="O434" s="19">
        <f t="shared" si="232"/>
        <v>5.5</v>
      </c>
      <c r="P434" s="1">
        <f>LOOKUP(O434,{0,2.5,2.7,2.9,3.1,3.3,3.5,3.7,3.9,4.1,4.3,4.5,4.7,4.9,5.1,5.3,5.5,5.6,5.7,5.8,5.9},{0,10,20,30,40,50,60,62,64,66,68,70,72,74,76,78,80,85,90,95,100})</f>
        <v>80</v>
      </c>
      <c r="Q434" s="15">
        <v>3.43</v>
      </c>
      <c r="R434" s="15">
        <f t="shared" si="233"/>
        <v>6.57</v>
      </c>
      <c r="S434" s="1">
        <f>LOOKUP(R434,{0,3.75,3.95,4.55,4.75,4.95,5.55,5.6,5.65,5.7,5.75,5.8,5.85,5.9,5.95,6,6.45,6.53,6.6,6.65,6.7},{0,10,20,30,40,50,60,62,64,66,68,70,72,74,76,78,80,85,90,95,100})</f>
        <v>85</v>
      </c>
      <c r="T434" s="21"/>
      <c r="U434" s="21"/>
      <c r="V434" s="21">
        <f t="shared" si="234"/>
        <v>85</v>
      </c>
      <c r="W434" s="15"/>
      <c r="X434" s="21">
        <f t="shared" si="228"/>
        <v>58.6</v>
      </c>
      <c r="Y434" s="21">
        <f t="shared" si="235"/>
        <v>83.7142857142857</v>
      </c>
    </row>
    <row r="435" ht="15.6" hidden="1" outlineLevel="2" spans="1:25">
      <c r="A435" s="15">
        <v>116</v>
      </c>
      <c r="B435" s="15">
        <v>12</v>
      </c>
      <c r="C435" s="14" t="s">
        <v>791</v>
      </c>
      <c r="D435" s="14" t="s">
        <v>11</v>
      </c>
      <c r="E435" s="15">
        <v>13</v>
      </c>
      <c r="F435" s="1">
        <f>LOOKUP(E435,{0,-4,-3,-2,-1,0,1,2.4,3.8,5.2,6.6,8,9.4,10.8,12.2,13.6,15,17.2,19.4,21.5,23.6},{0,10,20,30,40,50,60,62,64,66,68,70,72,74,76,78,80,85,90,95,100})</f>
        <v>76</v>
      </c>
      <c r="G435" s="15">
        <v>221</v>
      </c>
      <c r="H435" s="1">
        <f>LOOKUP(G435,{0,170,175,180,185,190,195,199,203,207,211,215,219,223,227,231,235,243,250,255,260},{0,10,20,30,40,50,60,62,64,66,68,70,72,74,76,78,80,85,90,95,100})</f>
        <v>72</v>
      </c>
      <c r="I435" s="15">
        <v>18</v>
      </c>
      <c r="J435" s="1">
        <f>LOOKUP(I435,{0,2,3,4,5,6,7,8,9,10,11,12,13,14,15,16},{0,10,20,30,40,50,60,64,68,72,76,80,85,90,95,100})</f>
        <v>100</v>
      </c>
      <c r="K435" s="21">
        <f t="shared" si="236"/>
        <v>2</v>
      </c>
      <c r="L435" s="1">
        <f>LOOKUP(K435,{0,1,2,3,4,5,6,7,8,9,10},{0,1,2,3,4,5,6,7,8,9,10})</f>
        <v>2</v>
      </c>
      <c r="M435" s="21">
        <f t="shared" si="231"/>
        <v>102</v>
      </c>
      <c r="N435" s="15">
        <v>7.4</v>
      </c>
      <c r="O435" s="19">
        <f t="shared" si="232"/>
        <v>5.6</v>
      </c>
      <c r="P435" s="1">
        <f>LOOKUP(O435,{0,2.5,2.7,2.9,3.1,3.3,3.5,3.7,3.9,4.1,4.3,4.5,4.7,4.9,5.1,5.3,5.5,5.6,5.7,5.8,5.9},{0,10,20,30,40,50,60,62,64,66,68,70,72,74,76,78,80,85,90,95,100})</f>
        <v>85</v>
      </c>
      <c r="Q435" s="15">
        <v>3.3</v>
      </c>
      <c r="R435" s="15">
        <f t="shared" si="233"/>
        <v>6.7</v>
      </c>
      <c r="S435" s="1">
        <f>LOOKUP(R435,{0,3.75,3.95,4.55,4.75,4.95,5.55,5.6,5.65,5.7,5.75,5.8,5.85,5.9,5.95,6,6.45,6.53,6.6,6.65,6.7},{0,10,20,30,40,50,60,62,64,66,68,70,72,74,76,78,80,85,90,95,100})</f>
        <v>100</v>
      </c>
      <c r="T435" s="21">
        <f>3.3-Q435</f>
        <v>0</v>
      </c>
      <c r="U435" s="1">
        <f>LOOKUP(T435,{0,0.04,0.08,0.12,0.16,0.2,0.23,0.26,0.29,0.32,0.35},{0,1,2,3,4,5,6,7,8,9,10})</f>
        <v>0</v>
      </c>
      <c r="V435" s="21">
        <f t="shared" si="234"/>
        <v>100</v>
      </c>
      <c r="W435" s="15"/>
      <c r="X435" s="21">
        <f t="shared" si="228"/>
        <v>61.8</v>
      </c>
      <c r="Y435" s="21">
        <f t="shared" si="235"/>
        <v>90.2857142857143</v>
      </c>
    </row>
    <row r="436" s="34" customFormat="1" ht="15.6" hidden="1" outlineLevel="2" spans="1:25">
      <c r="A436" s="15">
        <v>116</v>
      </c>
      <c r="B436" s="15">
        <v>13</v>
      </c>
      <c r="C436" s="14" t="s">
        <v>792</v>
      </c>
      <c r="D436" s="14" t="s">
        <v>11</v>
      </c>
      <c r="E436" s="15">
        <v>1</v>
      </c>
      <c r="F436" s="1">
        <f>LOOKUP(E436,{0,-4,-3,-2,-1,0,1,2.4,3.8,5.2,6.6,8,9.4,10.8,12.2,13.6,15,17.2,19.4,21.5,23.6},{0,10,20,30,40,50,60,62,64,66,68,70,72,74,76,78,80,85,90,95,100})</f>
        <v>60</v>
      </c>
      <c r="G436" s="15">
        <v>212</v>
      </c>
      <c r="H436" s="1">
        <f>LOOKUP(G436,{0,170,175,180,185,190,195,199,203,207,211,215,219,223,227,231,235,243,250,255,260},{0,10,20,30,40,50,60,62,64,66,68,70,72,74,76,78,80,85,90,95,100})</f>
        <v>68</v>
      </c>
      <c r="I436" s="15">
        <v>0</v>
      </c>
      <c r="J436" s="1">
        <f>LOOKUP(I436,{0,2,3,4,5,6,7,8,9,10,11,12,13,14,15,16},{0,10,20,30,40,50,60,64,68,72,76,80,85,90,95,100})</f>
        <v>0</v>
      </c>
      <c r="K436" s="21"/>
      <c r="L436" s="21"/>
      <c r="M436" s="21">
        <f t="shared" si="231"/>
        <v>0</v>
      </c>
      <c r="N436" s="15">
        <v>7.8</v>
      </c>
      <c r="O436" s="19">
        <f t="shared" si="232"/>
        <v>5.2</v>
      </c>
      <c r="P436" s="1">
        <f>LOOKUP(O436,{0,2.5,2.7,2.9,3.1,3.3,3.5,3.7,3.9,4.1,4.3,4.5,4.7,4.9,5.1,5.3,5.5,5.6,5.7,5.8,5.9},{0,10,20,30,40,50,60,62,64,66,68,70,72,74,76,78,80,85,90,95,100})</f>
        <v>76</v>
      </c>
      <c r="Q436" s="15">
        <v>4.41</v>
      </c>
      <c r="R436" s="15">
        <f t="shared" si="233"/>
        <v>5.59</v>
      </c>
      <c r="S436" s="1">
        <f>LOOKUP(R436,{0,3.75,3.95,4.55,4.75,4.95,5.55,5.6,5.65,5.7,5.75,5.8,5.85,5.9,5.95,6,6.45,6.53,6.6,6.65,6.7},{0,10,20,30,40,50,60,62,64,66,68,70,72,74,76,78,80,85,90,95,100})</f>
        <v>60</v>
      </c>
      <c r="T436" s="21"/>
      <c r="U436" s="21"/>
      <c r="V436" s="21">
        <f t="shared" si="234"/>
        <v>60</v>
      </c>
      <c r="W436" s="15"/>
      <c r="X436" s="21">
        <f t="shared" si="228"/>
        <v>40</v>
      </c>
      <c r="Y436" s="21">
        <f t="shared" si="235"/>
        <v>57.1428571428571</v>
      </c>
    </row>
    <row r="437" ht="15.6" hidden="1" outlineLevel="2" spans="1:25">
      <c r="A437" s="15">
        <v>116</v>
      </c>
      <c r="B437" s="15">
        <v>14</v>
      </c>
      <c r="C437" s="13" t="s">
        <v>794</v>
      </c>
      <c r="D437" s="14" t="s">
        <v>11</v>
      </c>
      <c r="E437" s="15">
        <v>3.6</v>
      </c>
      <c r="F437" s="1">
        <f>LOOKUP(E437,{0,-4,-3,-2,-1,0,1,2.4,3.8,5.2,6.6,8,9.4,10.8,12.2,13.6,15,17.2,19.4,21.5,23.6},{0,10,20,30,40,50,60,62,64,66,68,70,72,74,76,78,80,85,90,95,100})</f>
        <v>62</v>
      </c>
      <c r="G437" s="15">
        <v>235</v>
      </c>
      <c r="H437" s="1">
        <f>LOOKUP(G437,{0,170,175,180,185,190,195,199,203,207,211,215,219,223,227,231,235,243,250,255,260},{0,10,20,30,40,50,60,62,64,66,68,70,72,74,76,78,80,85,90,95,100})</f>
        <v>80</v>
      </c>
      <c r="I437" s="15">
        <v>16</v>
      </c>
      <c r="J437" s="1">
        <f>LOOKUP(I437,{0,2,3,4,5,6,7,8,9,10,11,12,13,14,15,16},{0,10,20,30,40,50,60,64,68,72,76,80,85,90,95,100})</f>
        <v>100</v>
      </c>
      <c r="K437" s="21">
        <f t="shared" si="236"/>
        <v>0</v>
      </c>
      <c r="L437" s="1">
        <f>LOOKUP(K437,{0,1,2,3,4,5,6,7,8,9,10},{0,1,2,3,4,5,6,7,8,9,10})</f>
        <v>0</v>
      </c>
      <c r="M437" s="21">
        <f t="shared" si="231"/>
        <v>100</v>
      </c>
      <c r="N437" s="15">
        <v>7</v>
      </c>
      <c r="O437" s="19">
        <f t="shared" si="232"/>
        <v>6</v>
      </c>
      <c r="P437" s="1">
        <f>LOOKUP(O437,{0,2.5,2.7,2.9,3.1,3.3,3.5,3.7,3.9,4.1,4.3,4.5,4.7,4.9,5.1,5.3,5.5,5.6,5.7,5.8,5.9},{0,10,20,30,40,50,60,62,64,66,68,70,72,74,76,78,80,85,90,95,100})</f>
        <v>100</v>
      </c>
      <c r="Q437" s="15">
        <v>3.31</v>
      </c>
      <c r="R437" s="15">
        <f t="shared" si="233"/>
        <v>6.69</v>
      </c>
      <c r="S437" s="1">
        <f>LOOKUP(R437,{0,3.75,3.95,4.55,4.75,4.95,5.55,5.6,5.65,5.7,5.75,5.8,5.85,5.9,5.95,6,6.45,6.53,6.6,6.65,6.7},{0,10,20,30,40,50,60,62,64,66,68,70,72,74,76,78,80,85,90,95,100})</f>
        <v>95</v>
      </c>
      <c r="T437" s="21"/>
      <c r="U437" s="21"/>
      <c r="V437" s="21">
        <f t="shared" si="234"/>
        <v>95</v>
      </c>
      <c r="W437" s="15"/>
      <c r="X437" s="21">
        <f t="shared" si="228"/>
        <v>63.2</v>
      </c>
      <c r="Y437" s="21">
        <f t="shared" si="235"/>
        <v>90.2857142857143</v>
      </c>
    </row>
    <row r="438" ht="15.6" hidden="1" outlineLevel="2" spans="1:25">
      <c r="A438" s="15">
        <v>116</v>
      </c>
      <c r="B438" s="15">
        <v>15</v>
      </c>
      <c r="C438" s="14" t="s">
        <v>795</v>
      </c>
      <c r="D438" s="14" t="s">
        <v>11</v>
      </c>
      <c r="E438" s="15">
        <v>2.5</v>
      </c>
      <c r="F438" s="1">
        <f>LOOKUP(E438,{0,-4,-3,-2,-1,0,1,2.4,3.8,5.2,6.6,8,9.4,10.8,12.2,13.6,15,17.2,19.4,21.5,23.6},{0,10,20,30,40,50,60,62,64,66,68,70,72,74,76,78,80,85,90,95,100})</f>
        <v>62</v>
      </c>
      <c r="G438" s="15">
        <v>240</v>
      </c>
      <c r="H438" s="1">
        <f>LOOKUP(G438,{0,170,175,180,185,190,195,199,203,207,211,215,219,223,227,231,235,243,250,255,260},{0,10,20,30,40,50,60,62,64,66,68,70,72,74,76,78,80,85,90,95,100})</f>
        <v>80</v>
      </c>
      <c r="I438" s="15">
        <v>28</v>
      </c>
      <c r="J438" s="1">
        <f>LOOKUP(I438,{0,2,3,4,5,6,7,8,9,10,11,12,13,14,15,16},{0,10,20,30,40,50,60,64,68,72,76,80,85,90,95,100})</f>
        <v>100</v>
      </c>
      <c r="K438" s="21">
        <f t="shared" si="236"/>
        <v>12</v>
      </c>
      <c r="L438" s="1">
        <f>LOOKUP(K438,{0,1,2,3,4,5,6,7,8,9,10},{0,1,2,3,4,5,6,7,8,9,10})</f>
        <v>10</v>
      </c>
      <c r="M438" s="21">
        <f t="shared" si="231"/>
        <v>110</v>
      </c>
      <c r="N438" s="15">
        <v>7</v>
      </c>
      <c r="O438" s="19">
        <f t="shared" si="232"/>
        <v>6</v>
      </c>
      <c r="P438" s="1">
        <f>LOOKUP(O438,{0,2.5,2.7,2.9,3.1,3.3,3.5,3.7,3.9,4.1,4.3,4.5,4.7,4.9,5.1,5.3,5.5,5.6,5.7,5.8,5.9},{0,10,20,30,40,50,60,62,64,66,68,70,72,74,76,78,80,85,90,95,100})</f>
        <v>100</v>
      </c>
      <c r="Q438" s="15">
        <v>4.02</v>
      </c>
      <c r="R438" s="15">
        <f t="shared" si="233"/>
        <v>5.98</v>
      </c>
      <c r="S438" s="1">
        <f>LOOKUP(R438,{0,3.75,3.95,4.55,4.75,4.95,5.55,5.6,5.65,5.7,5.75,5.8,5.85,5.9,5.95,6,6.45,6.53,6.6,6.65,6.7},{0,10,20,30,40,50,60,62,64,66,68,70,72,74,76,78,80,85,90,95,100})</f>
        <v>76</v>
      </c>
      <c r="T438" s="21"/>
      <c r="U438" s="21"/>
      <c r="V438" s="21">
        <f t="shared" si="234"/>
        <v>76</v>
      </c>
      <c r="W438" s="15"/>
      <c r="X438" s="21">
        <f t="shared" si="228"/>
        <v>59.4</v>
      </c>
      <c r="Y438" s="21">
        <f t="shared" si="235"/>
        <v>94.8571428571429</v>
      </c>
    </row>
    <row r="439" ht="15.6" hidden="1" outlineLevel="2" spans="1:25">
      <c r="A439" s="15">
        <v>116</v>
      </c>
      <c r="B439" s="15">
        <v>16</v>
      </c>
      <c r="C439" s="14" t="s">
        <v>796</v>
      </c>
      <c r="D439" s="14" t="s">
        <v>11</v>
      </c>
      <c r="E439" s="15">
        <v>10.1</v>
      </c>
      <c r="F439" s="1">
        <f>LOOKUP(E439,{0,-4,-3,-2,-1,0,1,2.4,3.8,5.2,6.6,8,9.4,10.8,12.2,13.6,15,17.2,19.4,21.5,23.6},{0,10,20,30,40,50,60,62,64,66,68,70,72,74,76,78,80,85,90,95,100})</f>
        <v>72</v>
      </c>
      <c r="G439" s="15">
        <v>260</v>
      </c>
      <c r="H439" s="1">
        <f>LOOKUP(G439,{0,170,175,180,185,190,195,199,203,207,211,215,219,223,227,231,235,243,250,255,260},{0,10,20,30,40,50,60,62,64,66,68,70,72,74,76,78,80,85,90,95,100})</f>
        <v>100</v>
      </c>
      <c r="I439" s="15">
        <v>6</v>
      </c>
      <c r="J439" s="1">
        <f>LOOKUP(I439,{0,2,3,4,5,6,7,8,9,10,11,12,13,14,15,16},{0,10,20,30,40,50,60,64,68,72,76,80,85,90,95,100})</f>
        <v>50</v>
      </c>
      <c r="K439" s="21"/>
      <c r="L439" s="21"/>
      <c r="M439" s="21">
        <f t="shared" si="231"/>
        <v>50</v>
      </c>
      <c r="N439" s="15">
        <v>7.5</v>
      </c>
      <c r="O439" s="19">
        <f t="shared" si="232"/>
        <v>5.5</v>
      </c>
      <c r="P439" s="1">
        <f>LOOKUP(O439,{0,2.5,2.7,2.9,3.1,3.3,3.5,3.7,3.9,4.1,4.3,4.5,4.7,4.9,5.1,5.3,5.5,5.6,5.7,5.8,5.9},{0,10,20,30,40,50,60,62,64,66,68,70,72,74,76,78,80,85,90,95,100})</f>
        <v>80</v>
      </c>
      <c r="Q439" s="15">
        <v>3.42</v>
      </c>
      <c r="R439" s="15">
        <f t="shared" si="233"/>
        <v>6.58</v>
      </c>
      <c r="S439" s="1">
        <f>LOOKUP(R439,{0,3.75,3.95,4.55,4.75,4.95,5.55,5.6,5.65,5.7,5.75,5.8,5.85,5.9,5.95,6,6.45,6.53,6.6,6.65,6.7},{0,10,20,30,40,50,60,62,64,66,68,70,72,74,76,78,80,85,90,95,100})</f>
        <v>85</v>
      </c>
      <c r="T439" s="21"/>
      <c r="U439" s="21"/>
      <c r="V439" s="21">
        <f t="shared" si="234"/>
        <v>85</v>
      </c>
      <c r="W439" s="15"/>
      <c r="X439" s="21">
        <f t="shared" si="228"/>
        <v>55.2</v>
      </c>
      <c r="Y439" s="21">
        <f t="shared" si="235"/>
        <v>78.8571428571429</v>
      </c>
    </row>
    <row r="440" ht="15.6" hidden="1" outlineLevel="2" spans="1:25">
      <c r="A440" s="15">
        <v>116</v>
      </c>
      <c r="B440" s="15">
        <v>17</v>
      </c>
      <c r="C440" s="14" t="s">
        <v>797</v>
      </c>
      <c r="D440" s="14" t="s">
        <v>11</v>
      </c>
      <c r="E440" s="15">
        <v>7.1</v>
      </c>
      <c r="F440" s="1">
        <f>LOOKUP(E440,{0,-4,-3,-2,-1,0,1,2.4,3.8,5.2,6.6,8,9.4,10.8,12.2,13.6,15,17.2,19.4,21.5,23.6},{0,10,20,30,40,50,60,62,64,66,68,70,72,74,76,78,80,85,90,95,100})</f>
        <v>68</v>
      </c>
      <c r="G440" s="15">
        <v>185</v>
      </c>
      <c r="H440" s="1">
        <f>LOOKUP(G440,{0,170,175,180,185,190,195,199,203,207,211,215,219,223,227,231,235,243,250,255,260},{0,10,20,30,40,50,60,62,64,66,68,70,72,74,76,78,80,85,90,95,100})</f>
        <v>40</v>
      </c>
      <c r="I440" s="15">
        <v>19</v>
      </c>
      <c r="J440" s="1">
        <f>LOOKUP(I440,{0,2,3,4,5,6,7,8,9,10,11,12,13,14,15,16},{0,10,20,30,40,50,60,64,68,72,76,80,85,90,95,100})</f>
        <v>100</v>
      </c>
      <c r="K440" s="21">
        <f t="shared" ref="K440:K443" si="237">I440-16</f>
        <v>3</v>
      </c>
      <c r="L440" s="1">
        <f>LOOKUP(K440,{0,1,2,3,4,5,6,7,8,9,10},{0,1,2,3,4,5,6,7,8,9,10})</f>
        <v>3</v>
      </c>
      <c r="M440" s="21">
        <f t="shared" si="231"/>
        <v>103</v>
      </c>
      <c r="N440" s="15">
        <v>7.9</v>
      </c>
      <c r="O440" s="19">
        <f t="shared" si="232"/>
        <v>5.1</v>
      </c>
      <c r="P440" s="1">
        <f>LOOKUP(O440,{0,2.5,2.7,2.9,3.1,3.3,3.5,3.7,3.9,4.1,4.3,4.5,4.7,4.9,5.1,5.3,5.5,5.6,5.7,5.8,5.9},{0,10,20,30,40,50,60,62,64,66,68,70,72,74,76,78,80,85,90,95,100})</f>
        <v>76</v>
      </c>
      <c r="Q440" s="15">
        <v>3.52</v>
      </c>
      <c r="R440" s="15">
        <f t="shared" si="233"/>
        <v>6.48</v>
      </c>
      <c r="S440" s="1">
        <f>LOOKUP(R440,{0,3.75,3.95,4.55,4.75,4.95,5.55,5.6,5.65,5.7,5.75,5.8,5.85,5.9,5.95,6,6.45,6.53,6.6,6.65,6.7},{0,10,20,30,40,50,60,62,64,66,68,70,72,74,76,78,80,85,90,95,100})</f>
        <v>80</v>
      </c>
      <c r="T440" s="21"/>
      <c r="U440" s="21"/>
      <c r="V440" s="21">
        <f t="shared" si="234"/>
        <v>80</v>
      </c>
      <c r="W440" s="15"/>
      <c r="X440" s="21">
        <f t="shared" si="228"/>
        <v>52</v>
      </c>
      <c r="Y440" s="21">
        <f t="shared" si="235"/>
        <v>77.2857142857143</v>
      </c>
    </row>
    <row r="441" ht="15.6" hidden="1" outlineLevel="2" spans="1:25">
      <c r="A441" s="15">
        <v>116</v>
      </c>
      <c r="B441" s="15">
        <v>18</v>
      </c>
      <c r="C441" s="14" t="s">
        <v>798</v>
      </c>
      <c r="D441" s="14" t="s">
        <v>11</v>
      </c>
      <c r="E441" s="15">
        <v>7.5</v>
      </c>
      <c r="F441" s="1">
        <f>LOOKUP(E441,{0,-4,-3,-2,-1,0,1,2.4,3.8,5.2,6.6,8,9.4,10.8,12.2,13.6,15,17.2,19.4,21.5,23.6},{0,10,20,30,40,50,60,62,64,66,68,70,72,74,76,78,80,85,90,95,100})</f>
        <v>68</v>
      </c>
      <c r="G441" s="15">
        <v>265</v>
      </c>
      <c r="H441" s="1">
        <f>LOOKUP(G441,{0,170,175,180,185,190,195,199,203,207,211,215,219,223,227,231,235,243,250,255,260},{0,10,20,30,40,50,60,62,64,66,68,70,72,74,76,78,80,85,90,95,100})</f>
        <v>100</v>
      </c>
      <c r="I441" s="15">
        <v>12</v>
      </c>
      <c r="J441" s="1">
        <f>LOOKUP(I441,{0,2,3,4,5,6,7,8,9,10,11,12,13,14,15,16},{0,10,20,30,40,50,60,64,68,72,76,80,85,90,95,100})</f>
        <v>80</v>
      </c>
      <c r="K441" s="21"/>
      <c r="L441" s="21"/>
      <c r="M441" s="21">
        <f t="shared" si="231"/>
        <v>80</v>
      </c>
      <c r="N441" s="15"/>
      <c r="O441" s="19"/>
      <c r="P441" s="1"/>
      <c r="Q441" s="15">
        <v>3.3</v>
      </c>
      <c r="R441" s="15">
        <f t="shared" si="233"/>
        <v>6.7</v>
      </c>
      <c r="S441" s="1">
        <f>LOOKUP(R441,{0,3.75,3.95,4.55,4.75,4.95,5.55,5.6,5.65,5.7,5.75,5.8,5.85,5.9,5.95,6,6.45,6.53,6.6,6.65,6.7},{0,10,20,30,40,50,60,62,64,66,68,70,72,74,76,78,80,85,90,95,100})</f>
        <v>100</v>
      </c>
      <c r="T441" s="21">
        <f>3.3-Q441</f>
        <v>0</v>
      </c>
      <c r="U441" s="1">
        <f>LOOKUP(T441,{0,0.04,0.08,0.12,0.16,0.2,0.23,0.26,0.29,0.32,0.35},{0,1,2,3,4,5,6,7,8,9,10})</f>
        <v>0</v>
      </c>
      <c r="V441" s="21">
        <f t="shared" si="234"/>
        <v>100</v>
      </c>
      <c r="W441" s="15"/>
      <c r="X441" s="21">
        <f t="shared" si="228"/>
        <v>44.8</v>
      </c>
      <c r="Y441" s="21">
        <f t="shared" si="235"/>
        <v>64</v>
      </c>
    </row>
    <row r="442" ht="15.6" hidden="1" outlineLevel="2" spans="1:25">
      <c r="A442" s="15">
        <v>116</v>
      </c>
      <c r="B442" s="15">
        <v>19</v>
      </c>
      <c r="C442" s="14" t="s">
        <v>799</v>
      </c>
      <c r="D442" s="14" t="s">
        <v>11</v>
      </c>
      <c r="E442" s="15">
        <v>15.5</v>
      </c>
      <c r="F442" s="1">
        <f>LOOKUP(E442,{0,-4,-3,-2,-1,0,1,2.4,3.8,5.2,6.6,8,9.4,10.8,12.2,13.6,15,17.2,19.4,21.5,23.6},{0,10,20,30,40,50,60,62,64,66,68,70,72,74,76,78,80,85,90,95,100})</f>
        <v>80</v>
      </c>
      <c r="G442" s="15">
        <v>250</v>
      </c>
      <c r="H442" s="1">
        <f>LOOKUP(G442,{0,170,175,180,185,190,195,199,203,207,211,215,219,223,227,231,235,243,250,255,260},{0,10,20,30,40,50,60,62,64,66,68,70,72,74,76,78,80,85,90,95,100})</f>
        <v>90</v>
      </c>
      <c r="I442" s="15">
        <v>35</v>
      </c>
      <c r="J442" s="1">
        <f>LOOKUP(I442,{0,2,3,4,5,6,7,8,9,10,11,12,13,14,15,16},{0,10,20,30,40,50,60,64,68,72,76,80,85,90,95,100})</f>
        <v>100</v>
      </c>
      <c r="K442" s="21">
        <f t="shared" si="237"/>
        <v>19</v>
      </c>
      <c r="L442" s="1">
        <f>LOOKUP(K442,{0,1,2,3,4,5,6,7,8,9,10},{0,1,2,3,4,5,6,7,8,9,10})</f>
        <v>10</v>
      </c>
      <c r="M442" s="21">
        <f t="shared" si="231"/>
        <v>110</v>
      </c>
      <c r="N442" s="15">
        <v>7.1</v>
      </c>
      <c r="O442" s="19">
        <f t="shared" ref="O442:O449" si="238">13-N442</f>
        <v>5.9</v>
      </c>
      <c r="P442" s="1">
        <f>LOOKUP(O442,{0,2.5,2.7,2.9,3.1,3.3,3.5,3.7,3.9,4.1,4.3,4.5,4.7,4.9,5.1,5.3,5.5,5.6,5.7,5.8,5.9},{0,10,20,30,40,50,60,62,64,66,68,70,72,74,76,78,80,85,90,95,100})</f>
        <v>100</v>
      </c>
      <c r="Q442" s="15">
        <v>3.44</v>
      </c>
      <c r="R442" s="15">
        <f t="shared" si="233"/>
        <v>6.56</v>
      </c>
      <c r="S442" s="1">
        <f>LOOKUP(R442,{0,3.75,3.95,4.55,4.75,4.95,5.55,5.6,5.65,5.7,5.75,5.8,5.85,5.9,5.95,6,6.45,6.53,6.6,6.65,6.7},{0,10,20,30,40,50,60,62,64,66,68,70,72,74,76,78,80,85,90,95,100})</f>
        <v>85</v>
      </c>
      <c r="T442" s="21"/>
      <c r="U442" s="21"/>
      <c r="V442" s="21">
        <f t="shared" si="234"/>
        <v>85</v>
      </c>
      <c r="W442" s="15"/>
      <c r="X442" s="21">
        <f t="shared" si="228"/>
        <v>64</v>
      </c>
      <c r="Y442" s="21">
        <f t="shared" si="235"/>
        <v>101.428571428571</v>
      </c>
    </row>
    <row r="443" ht="15.6" hidden="1" outlineLevel="2" spans="1:25">
      <c r="A443" s="15">
        <v>116</v>
      </c>
      <c r="B443" s="15">
        <v>20</v>
      </c>
      <c r="C443" s="14" t="s">
        <v>800</v>
      </c>
      <c r="D443" s="14" t="s">
        <v>11</v>
      </c>
      <c r="E443" s="15">
        <v>16</v>
      </c>
      <c r="F443" s="1">
        <f>LOOKUP(E443,{0,-4,-3,-2,-1,0,1,2.4,3.8,5.2,6.6,8,9.4,10.8,12.2,13.6,15,17.2,19.4,21.5,23.6},{0,10,20,30,40,50,60,62,64,66,68,70,72,74,76,78,80,85,90,95,100})</f>
        <v>80</v>
      </c>
      <c r="G443" s="15">
        <v>230</v>
      </c>
      <c r="H443" s="1">
        <f>LOOKUP(G443,{0,170,175,180,185,190,195,199,203,207,211,215,219,223,227,231,235,243,250,255,260},{0,10,20,30,40,50,60,62,64,66,68,70,72,74,76,78,80,85,90,95,100})</f>
        <v>76</v>
      </c>
      <c r="I443" s="15">
        <v>16</v>
      </c>
      <c r="J443" s="1">
        <f>LOOKUP(I443,{0,2,3,4,5,6,7,8,9,10,11,12,13,14,15,16},{0,10,20,30,40,50,60,64,68,72,76,80,85,90,95,100})</f>
        <v>100</v>
      </c>
      <c r="K443" s="21">
        <f t="shared" si="237"/>
        <v>0</v>
      </c>
      <c r="L443" s="1">
        <f>LOOKUP(K443,{0,1,2,3,4,5,6,7,8,9,10},{0,1,2,3,4,5,6,7,8,9,10})</f>
        <v>0</v>
      </c>
      <c r="M443" s="21">
        <f t="shared" si="231"/>
        <v>100</v>
      </c>
      <c r="N443" s="15">
        <v>7.4</v>
      </c>
      <c r="O443" s="19">
        <f t="shared" si="238"/>
        <v>5.6</v>
      </c>
      <c r="P443" s="1">
        <f>LOOKUP(O443,{0,2.5,2.7,2.9,3.1,3.3,3.5,3.7,3.9,4.1,4.3,4.5,4.7,4.9,5.1,5.3,5.5,5.6,5.7,5.8,5.9},{0,10,20,30,40,50,60,62,64,66,68,70,72,74,76,78,80,85,90,95,100})</f>
        <v>85</v>
      </c>
      <c r="Q443" s="15">
        <v>4.22</v>
      </c>
      <c r="R443" s="15">
        <f t="shared" si="233"/>
        <v>5.78</v>
      </c>
      <c r="S443" s="1">
        <f>LOOKUP(R443,{0,3.75,3.95,4.55,4.75,4.95,5.55,5.6,5.65,5.7,5.75,5.8,5.85,5.9,5.95,6,6.45,6.53,6.6,6.65,6.7},{0,10,20,30,40,50,60,62,64,66,68,70,72,74,76,78,80,85,90,95,100})</f>
        <v>68</v>
      </c>
      <c r="T443" s="21"/>
      <c r="U443" s="21"/>
      <c r="V443" s="21">
        <f t="shared" si="234"/>
        <v>68</v>
      </c>
      <c r="W443" s="15"/>
      <c r="X443" s="21">
        <f t="shared" si="228"/>
        <v>56.2</v>
      </c>
      <c r="Y443" s="21">
        <f t="shared" si="235"/>
        <v>80.2857142857143</v>
      </c>
    </row>
    <row r="444" ht="15.6" hidden="1" outlineLevel="2" spans="1:25">
      <c r="A444" s="15">
        <v>116</v>
      </c>
      <c r="B444" s="15">
        <v>21</v>
      </c>
      <c r="C444" s="14" t="s">
        <v>411</v>
      </c>
      <c r="D444" s="14" t="s">
        <v>11</v>
      </c>
      <c r="E444" s="15">
        <v>18.5</v>
      </c>
      <c r="F444" s="1">
        <f>LOOKUP(E444,{0,-4,-3,-2,-1,0,1,2.4,3.8,5.2,6.6,8,9.4,10.8,12.2,13.6,15,17.2,19.4,21.5,23.6},{0,10,20,30,40,50,60,62,64,66,68,70,72,74,76,78,80,85,90,95,100})</f>
        <v>85</v>
      </c>
      <c r="G444" s="15">
        <v>200</v>
      </c>
      <c r="H444" s="1">
        <f>LOOKUP(G444,{0,170,175,180,185,190,195,199,203,207,211,215,219,223,227,231,235,243,250,255,260},{0,10,20,30,40,50,60,62,64,66,68,70,72,74,76,78,80,85,90,95,100})</f>
        <v>62</v>
      </c>
      <c r="I444" s="15">
        <v>1</v>
      </c>
      <c r="J444" s="1">
        <f>LOOKUP(I444,{0,2,3,4,5,6,7,8,9,10,11,12,13,14,15,16},{0,10,20,30,40,50,60,64,68,72,76,80,85,90,95,100})</f>
        <v>0</v>
      </c>
      <c r="K444" s="21"/>
      <c r="L444" s="21"/>
      <c r="M444" s="21">
        <f t="shared" si="231"/>
        <v>0</v>
      </c>
      <c r="N444" s="15">
        <v>8.2</v>
      </c>
      <c r="O444" s="19">
        <f t="shared" si="238"/>
        <v>4.8</v>
      </c>
      <c r="P444" s="1">
        <f>LOOKUP(O444,{0,2.5,2.7,2.9,3.1,3.3,3.5,3.7,3.9,4.1,4.3,4.5,4.7,4.9,5.1,5.3,5.5,5.6,5.7,5.8,5.9},{0,10,20,30,40,50,60,62,64,66,68,70,72,74,76,78,80,85,90,95,100})</f>
        <v>72</v>
      </c>
      <c r="Q444" s="15">
        <v>4.59</v>
      </c>
      <c r="R444" s="15">
        <f t="shared" si="233"/>
        <v>5.41</v>
      </c>
      <c r="S444" s="1">
        <f>LOOKUP(R444,{0,3.75,3.95,4.55,4.75,4.95,5.55,5.6,5.65,5.7,5.75,5.8,5.85,5.9,5.95,6,6.45,6.53,6.6,6.65,6.7},{0,10,20,30,40,50,60,62,64,66,68,70,72,74,76,78,80,85,90,95,100})</f>
        <v>50</v>
      </c>
      <c r="T444" s="21"/>
      <c r="U444" s="21"/>
      <c r="V444" s="21">
        <f t="shared" si="234"/>
        <v>50</v>
      </c>
      <c r="W444" s="15"/>
      <c r="X444" s="21">
        <f t="shared" si="228"/>
        <v>39.1</v>
      </c>
      <c r="Y444" s="21">
        <f t="shared" si="235"/>
        <v>55.8571428571429</v>
      </c>
    </row>
    <row r="445" ht="15.6" hidden="1" outlineLevel="2" spans="1:25">
      <c r="A445" s="15">
        <v>116</v>
      </c>
      <c r="B445" s="15">
        <v>22</v>
      </c>
      <c r="C445" s="14" t="s">
        <v>801</v>
      </c>
      <c r="D445" s="14" t="s">
        <v>11</v>
      </c>
      <c r="E445" s="15">
        <v>6.8</v>
      </c>
      <c r="F445" s="1">
        <f>LOOKUP(E445,{0,-4,-3,-2,-1,0,1,2.4,3.8,5.2,6.6,8,9.4,10.8,12.2,13.6,15,17.2,19.4,21.5,23.6},{0,10,20,30,40,50,60,62,64,66,68,70,72,74,76,78,80,85,90,95,100})</f>
        <v>68</v>
      </c>
      <c r="G445" s="15">
        <v>257</v>
      </c>
      <c r="H445" s="1">
        <f>LOOKUP(G445,{0,170,175,180,185,190,195,199,203,207,211,215,219,223,227,231,235,243,250,255,260},{0,10,20,30,40,50,60,62,64,66,68,70,72,74,76,78,80,85,90,95,100})</f>
        <v>95</v>
      </c>
      <c r="I445" s="15">
        <v>26</v>
      </c>
      <c r="J445" s="1">
        <f>LOOKUP(I445,{0,2,3,4,5,6,7,8,9,10,11,12,13,14,15,16},{0,10,20,30,40,50,60,64,68,72,76,80,85,90,95,100})</f>
        <v>100</v>
      </c>
      <c r="K445" s="21">
        <f t="shared" ref="K445:K448" si="239">I445-16</f>
        <v>10</v>
      </c>
      <c r="L445" s="1">
        <f>LOOKUP(K445,{0,1,2,3,4,5,6,7,8,9,10},{0,1,2,3,4,5,6,7,8,9,10})</f>
        <v>10</v>
      </c>
      <c r="M445" s="21">
        <f t="shared" si="231"/>
        <v>110</v>
      </c>
      <c r="N445" s="15">
        <v>7</v>
      </c>
      <c r="O445" s="19">
        <f t="shared" si="238"/>
        <v>6</v>
      </c>
      <c r="P445" s="1">
        <f>LOOKUP(O445,{0,2.5,2.7,2.9,3.1,3.3,3.5,3.7,3.9,4.1,4.3,4.5,4.7,4.9,5.1,5.3,5.5,5.6,5.7,5.8,5.9},{0,10,20,30,40,50,60,62,64,66,68,70,72,74,76,78,80,85,90,95,100})</f>
        <v>100</v>
      </c>
      <c r="Q445" s="15">
        <v>3.41</v>
      </c>
      <c r="R445" s="15">
        <f t="shared" si="233"/>
        <v>6.59</v>
      </c>
      <c r="S445" s="1">
        <f>LOOKUP(R445,{0,3.75,3.95,4.55,4.75,4.95,5.55,5.6,5.65,5.7,5.75,5.8,5.85,5.9,5.95,6,6.45,6.53,6.6,6.65,6.7},{0,10,20,30,40,50,60,62,64,66,68,70,72,74,76,78,80,85,90,95,100})</f>
        <v>85</v>
      </c>
      <c r="T445" s="21"/>
      <c r="U445" s="21"/>
      <c r="V445" s="21">
        <f t="shared" si="234"/>
        <v>85</v>
      </c>
      <c r="W445" s="15"/>
      <c r="X445" s="21">
        <f t="shared" si="228"/>
        <v>63.3</v>
      </c>
      <c r="Y445" s="21">
        <f t="shared" si="235"/>
        <v>100.428571428571</v>
      </c>
    </row>
    <row r="446" ht="15.6" hidden="1" outlineLevel="2" spans="1:25">
      <c r="A446" s="15">
        <v>116</v>
      </c>
      <c r="B446" s="15">
        <v>23</v>
      </c>
      <c r="C446" s="14" t="s">
        <v>802</v>
      </c>
      <c r="D446" s="14" t="s">
        <v>11</v>
      </c>
      <c r="E446" s="15">
        <v>20.5</v>
      </c>
      <c r="F446" s="1">
        <f>LOOKUP(E446,{0,-4,-3,-2,-1,0,1,2.4,3.8,5.2,6.6,8,9.4,10.8,12.2,13.6,15,17.2,19.4,21.5,23.6},{0,10,20,30,40,50,60,62,64,66,68,70,72,74,76,78,80,85,90,95,100})</f>
        <v>90</v>
      </c>
      <c r="G446" s="15">
        <v>250</v>
      </c>
      <c r="H446" s="1">
        <f>LOOKUP(G446,{0,170,175,180,185,190,195,199,203,207,211,215,219,223,227,231,235,243,250,255,260},{0,10,20,30,40,50,60,62,64,66,68,70,72,74,76,78,80,85,90,95,100})</f>
        <v>90</v>
      </c>
      <c r="I446" s="15">
        <v>17</v>
      </c>
      <c r="J446" s="1">
        <f>LOOKUP(I446,{0,2,3,4,5,6,7,8,9,10,11,12,13,14,15,16},{0,10,20,30,40,50,60,64,68,72,76,80,85,90,95,100})</f>
        <v>100</v>
      </c>
      <c r="K446" s="21">
        <f t="shared" si="239"/>
        <v>1</v>
      </c>
      <c r="L446" s="1">
        <f>LOOKUP(K446,{0,1,2,3,4,5,6,7,8,9,10},{0,1,2,3,4,5,6,7,8,9,10})</f>
        <v>1</v>
      </c>
      <c r="M446" s="21">
        <f t="shared" si="231"/>
        <v>101</v>
      </c>
      <c r="N446" s="15">
        <v>7.3</v>
      </c>
      <c r="O446" s="19">
        <f t="shared" si="238"/>
        <v>5.7</v>
      </c>
      <c r="P446" s="1">
        <f>LOOKUP(O446,{0,2.5,2.7,2.9,3.1,3.3,3.5,3.7,3.9,4.1,4.3,4.5,4.7,4.9,5.1,5.3,5.5,5.6,5.7,5.8,5.9},{0,10,20,30,40,50,60,62,64,66,68,70,72,74,76,78,80,85,90,95,100})</f>
        <v>90</v>
      </c>
      <c r="Q446" s="15">
        <v>3.32</v>
      </c>
      <c r="R446" s="15">
        <f t="shared" si="233"/>
        <v>6.68</v>
      </c>
      <c r="S446" s="1">
        <f>LOOKUP(R446,{0,3.75,3.95,4.55,4.75,4.95,5.55,5.6,5.65,5.7,5.75,5.8,5.85,5.9,5.95,6,6.45,6.53,6.6,6.65,6.7},{0,10,20,30,40,50,60,62,64,66,68,70,72,74,76,78,80,85,90,95,100})</f>
        <v>95</v>
      </c>
      <c r="T446" s="21"/>
      <c r="U446" s="21"/>
      <c r="V446" s="21">
        <f t="shared" si="234"/>
        <v>95</v>
      </c>
      <c r="W446" s="15"/>
      <c r="X446" s="21">
        <f t="shared" si="228"/>
        <v>65</v>
      </c>
      <c r="Y446" s="21">
        <f t="shared" si="235"/>
        <v>93.8571428571429</v>
      </c>
    </row>
    <row r="447" ht="15.6" hidden="1" outlineLevel="2" spans="1:25">
      <c r="A447" s="15">
        <v>116</v>
      </c>
      <c r="B447" s="15">
        <v>24</v>
      </c>
      <c r="C447" s="14" t="s">
        <v>803</v>
      </c>
      <c r="D447" s="14" t="s">
        <v>11</v>
      </c>
      <c r="E447" s="15">
        <v>4</v>
      </c>
      <c r="F447" s="1">
        <f>LOOKUP(E447,{0,-4,-3,-2,-1,0,1,2.4,3.8,5.2,6.6,8,9.4,10.8,12.2,13.6,15,17.2,19.4,21.5,23.6},{0,10,20,30,40,50,60,62,64,66,68,70,72,74,76,78,80,85,90,95,100})</f>
        <v>64</v>
      </c>
      <c r="G447" s="15">
        <v>251</v>
      </c>
      <c r="H447" s="1">
        <f>LOOKUP(G447,{0,170,175,180,185,190,195,199,203,207,211,215,219,223,227,231,235,243,250,255,260},{0,10,20,30,40,50,60,62,64,66,68,70,72,74,76,78,80,85,90,95,100})</f>
        <v>90</v>
      </c>
      <c r="I447" s="15">
        <v>19</v>
      </c>
      <c r="J447" s="1">
        <f>LOOKUP(I447,{0,2,3,4,5,6,7,8,9,10,11,12,13,14,15,16},{0,10,20,30,40,50,60,64,68,72,76,80,85,90,95,100})</f>
        <v>100</v>
      </c>
      <c r="K447" s="21">
        <f t="shared" si="239"/>
        <v>3</v>
      </c>
      <c r="L447" s="1">
        <f>LOOKUP(K447,{0,1,2,3,4,5,6,7,8,9,10},{0,1,2,3,4,5,6,7,8,9,10})</f>
        <v>3</v>
      </c>
      <c r="M447" s="21">
        <f t="shared" si="231"/>
        <v>103</v>
      </c>
      <c r="N447" s="15">
        <v>7.1</v>
      </c>
      <c r="O447" s="19">
        <f t="shared" si="238"/>
        <v>5.9</v>
      </c>
      <c r="P447" s="1">
        <f>LOOKUP(O447,{0,2.5,2.7,2.9,3.1,3.3,3.5,3.7,3.9,4.1,4.3,4.5,4.7,4.9,5.1,5.3,5.5,5.6,5.7,5.8,5.9},{0,10,20,30,40,50,60,62,64,66,68,70,72,74,76,78,80,85,90,95,100})</f>
        <v>100</v>
      </c>
      <c r="Q447" s="15">
        <v>3.23</v>
      </c>
      <c r="R447" s="15">
        <f t="shared" si="233"/>
        <v>6.77</v>
      </c>
      <c r="S447" s="1">
        <f>LOOKUP(R447,{0,3.75,3.95,4.55,4.75,4.95,5.55,5.6,5.65,5.7,5.75,5.8,5.85,5.9,5.95,6,6.45,6.53,6.6,6.65,6.7},{0,10,20,30,40,50,60,62,64,66,68,70,72,74,76,78,80,85,90,95,100})</f>
        <v>100</v>
      </c>
      <c r="T447" s="21">
        <f>3.3-Q447</f>
        <v>0.0699999999999998</v>
      </c>
      <c r="U447" s="1">
        <f>LOOKUP(T447,{0,0.04,0.08,0.12,0.16,0.2,0.23,0.26,0.29,0.32,0.35},{0,1,2,3,4,5,6,7,8,9,10})</f>
        <v>1</v>
      </c>
      <c r="V447" s="21">
        <f t="shared" si="234"/>
        <v>101</v>
      </c>
      <c r="W447" s="15"/>
      <c r="X447" s="21">
        <f t="shared" si="228"/>
        <v>65.4</v>
      </c>
      <c r="Y447" s="21">
        <f t="shared" si="235"/>
        <v>97.4285714285714</v>
      </c>
    </row>
    <row r="448" ht="15.6" hidden="1" outlineLevel="2" spans="1:25">
      <c r="A448" s="15">
        <v>116</v>
      </c>
      <c r="B448" s="15">
        <v>25</v>
      </c>
      <c r="C448" s="14" t="s">
        <v>804</v>
      </c>
      <c r="D448" s="14" t="s">
        <v>11</v>
      </c>
      <c r="E448" s="15">
        <v>7.5</v>
      </c>
      <c r="F448" s="1">
        <f>LOOKUP(E448,{0,-4,-3,-2,-1,0,1,2.4,3.8,5.2,6.6,8,9.4,10.8,12.2,13.6,15,17.2,19.4,21.5,23.6},{0,10,20,30,40,50,60,62,64,66,68,70,72,74,76,78,80,85,90,95,100})</f>
        <v>68</v>
      </c>
      <c r="G448" s="15">
        <v>225</v>
      </c>
      <c r="H448" s="1">
        <f>LOOKUP(G448,{0,170,175,180,185,190,195,199,203,207,211,215,219,223,227,231,235,243,250,255,260},{0,10,20,30,40,50,60,62,64,66,68,70,72,74,76,78,80,85,90,95,100})</f>
        <v>74</v>
      </c>
      <c r="I448" s="15">
        <v>27</v>
      </c>
      <c r="J448" s="1">
        <f>LOOKUP(I448,{0,2,3,4,5,6,7,8,9,10,11,12,13,14,15,16},{0,10,20,30,40,50,60,64,68,72,76,80,85,90,95,100})</f>
        <v>100</v>
      </c>
      <c r="K448" s="21">
        <f t="shared" si="239"/>
        <v>11</v>
      </c>
      <c r="L448" s="1">
        <f>LOOKUP(K448,{0,1,2,3,4,5,6,7,8,9,10},{0,1,2,3,4,5,6,7,8,9,10})</f>
        <v>10</v>
      </c>
      <c r="M448" s="21">
        <f t="shared" si="231"/>
        <v>110</v>
      </c>
      <c r="N448" s="15">
        <v>7.3</v>
      </c>
      <c r="O448" s="19">
        <f t="shared" si="238"/>
        <v>5.7</v>
      </c>
      <c r="P448" s="1">
        <f>LOOKUP(O448,{0,2.5,2.7,2.9,3.1,3.3,3.5,3.7,3.9,4.1,4.3,4.5,4.7,4.9,5.1,5.3,5.5,5.6,5.7,5.8,5.9},{0,10,20,30,40,50,60,62,64,66,68,70,72,74,76,78,80,85,90,95,100})</f>
        <v>90</v>
      </c>
      <c r="Q448" s="15">
        <v>3.05</v>
      </c>
      <c r="R448" s="15">
        <f t="shared" si="233"/>
        <v>6.95</v>
      </c>
      <c r="S448" s="1">
        <f>LOOKUP(R448,{0,3.75,3.95,4.55,4.75,4.95,5.55,5.6,5.65,5.7,5.75,5.8,5.85,5.9,5.95,6,6.45,6.53,6.6,6.65,6.7},{0,10,20,30,40,50,60,62,64,66,68,70,72,74,76,78,80,85,90,95,100})</f>
        <v>100</v>
      </c>
      <c r="T448" s="21">
        <f>3.3-Q448</f>
        <v>0.25</v>
      </c>
      <c r="U448" s="1">
        <f>LOOKUP(T448,{0,0.04,0.08,0.12,0.16,0.2,0.23,0.26,0.29,0.32,0.35},{0,1,2,3,4,5,6,7,8,9,10})</f>
        <v>6</v>
      </c>
      <c r="V448" s="21">
        <f t="shared" si="234"/>
        <v>106</v>
      </c>
      <c r="W448" s="15"/>
      <c r="X448" s="21">
        <f t="shared" si="228"/>
        <v>62.2</v>
      </c>
      <c r="Y448" s="21">
        <f t="shared" si="235"/>
        <v>104.857142857143</v>
      </c>
    </row>
    <row r="449" ht="15.6" hidden="1" outlineLevel="2" spans="1:25">
      <c r="A449" s="15">
        <v>116</v>
      </c>
      <c r="B449" s="15">
        <v>26</v>
      </c>
      <c r="C449" s="15" t="s">
        <v>805</v>
      </c>
      <c r="D449" s="15" t="s">
        <v>11</v>
      </c>
      <c r="E449" s="15">
        <v>17</v>
      </c>
      <c r="F449" s="1">
        <f>LOOKUP(E449,{0,-4,-3,-2,-1,0,1,2.4,3.8,5.2,6.6,8,9.4,10.8,12.2,13.6,15,17.2,19.4,21.5,23.6},{0,10,20,30,40,50,60,62,64,66,68,70,72,74,76,78,80,85,90,95,100})</f>
        <v>80</v>
      </c>
      <c r="G449" s="15">
        <v>220</v>
      </c>
      <c r="H449" s="1">
        <f>LOOKUP(G449,{0,170,175,180,185,190,195,199,203,207,211,215,219,223,227,231,235,243,250,255,260},{0,10,20,30,40,50,60,62,64,66,68,70,72,74,76,78,80,85,90,95,100})</f>
        <v>72</v>
      </c>
      <c r="I449" s="15">
        <v>10</v>
      </c>
      <c r="J449" s="1">
        <f>LOOKUP(I449,{0,2,3,4,5,6,7,8,9,10,11,12,13,14,15,16},{0,10,20,30,40,50,60,64,68,72,76,80,85,90,95,100})</f>
        <v>72</v>
      </c>
      <c r="K449" s="21"/>
      <c r="L449" s="21"/>
      <c r="M449" s="21">
        <f t="shared" si="231"/>
        <v>72</v>
      </c>
      <c r="N449" s="15">
        <v>8</v>
      </c>
      <c r="O449" s="19">
        <f t="shared" si="238"/>
        <v>5</v>
      </c>
      <c r="P449" s="1">
        <f>LOOKUP(O449,{0,2.5,2.7,2.9,3.1,3.3,3.5,3.7,3.9,4.1,4.3,4.5,4.7,4.9,5.1,5.3,5.5,5.6,5.7,5.8,5.9},{0,10,20,30,40,50,60,62,64,66,68,70,72,74,76,78,80,85,90,95,100})</f>
        <v>74</v>
      </c>
      <c r="Q449" s="15">
        <v>3.48</v>
      </c>
      <c r="R449" s="15">
        <f t="shared" si="233"/>
        <v>6.52</v>
      </c>
      <c r="S449" s="1">
        <f>LOOKUP(R449,{0,3.75,3.95,4.55,4.75,4.95,5.55,5.6,5.65,5.7,5.75,5.8,5.85,5.9,5.95,6,6.45,6.53,6.6,6.65,6.7},{0,10,20,30,40,50,60,62,64,66,68,70,72,74,76,78,80,85,90,95,100})</f>
        <v>80</v>
      </c>
      <c r="T449" s="21"/>
      <c r="U449" s="21"/>
      <c r="V449" s="21">
        <f t="shared" si="234"/>
        <v>80</v>
      </c>
      <c r="W449" s="15"/>
      <c r="X449" s="21">
        <f t="shared" si="228"/>
        <v>53.2</v>
      </c>
      <c r="Y449" s="21">
        <f t="shared" si="235"/>
        <v>76</v>
      </c>
    </row>
    <row r="450" ht="15.6" outlineLevel="1" collapsed="1" spans="1:25">
      <c r="A450" s="16" t="s">
        <v>857</v>
      </c>
      <c r="B450" s="15"/>
      <c r="C450" s="15"/>
      <c r="D450" s="15"/>
      <c r="E450" s="15"/>
      <c r="F450" s="1">
        <f>SUBTOTAL(1,F424:F449)</f>
        <v>72.2</v>
      </c>
      <c r="G450" s="15"/>
      <c r="H450" s="1">
        <f>SUBTOTAL(1,H424:H449)</f>
        <v>73.44</v>
      </c>
      <c r="I450" s="15"/>
      <c r="J450" s="1">
        <f>SUBTOTAL(1,J424:J449)</f>
        <v>66.16</v>
      </c>
      <c r="K450" s="21"/>
      <c r="L450" s="21"/>
      <c r="M450" s="21">
        <f>SUBTOTAL(1,M424:M449)</f>
        <v>68.36</v>
      </c>
      <c r="N450" s="15"/>
      <c r="O450" s="19"/>
      <c r="P450" s="1">
        <f>SUBTOTAL(1,P424:P449)</f>
        <v>82.695652173913</v>
      </c>
      <c r="Q450" s="15"/>
      <c r="R450" s="15"/>
      <c r="S450" s="1">
        <f>SUBTOTAL(1,S424:S449)</f>
        <v>80.64</v>
      </c>
      <c r="T450" s="21"/>
      <c r="U450" s="21"/>
      <c r="V450" s="21">
        <f>SUBTOTAL(1,V424:V449)</f>
        <v>80.96</v>
      </c>
      <c r="W450" s="15"/>
      <c r="X450" s="21">
        <f>SUBTOTAL(1,X424:X449)</f>
        <v>50.5038461538462</v>
      </c>
      <c r="Y450" s="21">
        <f>SUBTOTAL(1,Y424:Y449)</f>
        <v>76.4945054945055</v>
      </c>
    </row>
    <row r="451" ht="15.6" spans="1:25">
      <c r="A451" s="16" t="s">
        <v>858</v>
      </c>
      <c r="B451" s="15"/>
      <c r="C451" s="15"/>
      <c r="D451" s="15"/>
      <c r="E451" s="15"/>
      <c r="F451" s="1">
        <f>SUBTOTAL(1,F2:F449)</f>
        <v>70.9925558312655</v>
      </c>
      <c r="G451" s="15"/>
      <c r="H451" s="1">
        <f>SUBTOTAL(1,H2:H449)</f>
        <v>74.5586034912718</v>
      </c>
      <c r="I451" s="15"/>
      <c r="J451" s="1">
        <f>SUBTOTAL(1,J2:J449)</f>
        <v>57.1091811414392</v>
      </c>
      <c r="K451" s="21"/>
      <c r="L451" s="21"/>
      <c r="M451" s="21">
        <f>SUBTOTAL(1,M2:M449)</f>
        <v>58.5880893300248</v>
      </c>
      <c r="N451" s="15"/>
      <c r="O451" s="19"/>
      <c r="P451" s="1">
        <f>SUBTOTAL(1,P2:P449)</f>
        <v>87.9974747474748</v>
      </c>
      <c r="Q451" s="15"/>
      <c r="R451" s="15"/>
      <c r="S451" s="1">
        <f>SUBTOTAL(1,S2:S449)</f>
        <v>82.9548872180451</v>
      </c>
      <c r="T451" s="21"/>
      <c r="U451" s="21"/>
      <c r="V451" s="21">
        <f>SUBTOTAL(1,V2:V449)</f>
        <v>83.2957393483709</v>
      </c>
      <c r="W451" s="15"/>
      <c r="X451" s="21">
        <f>SUBTOTAL(1,X2:X449)</f>
        <v>50.2113163972287</v>
      </c>
      <c r="Y451" s="21">
        <f>SUBTOTAL(1,Y2:Y449)</f>
        <v>76.382382052128</v>
      </c>
    </row>
    <row r="452" spans="3:4">
      <c r="C452" s="29"/>
      <c r="D452" s="29"/>
    </row>
    <row r="453" spans="3:4">
      <c r="C453" s="29"/>
      <c r="D453" s="29"/>
    </row>
    <row r="454" spans="3:4">
      <c r="C454" s="29"/>
      <c r="D454" s="29"/>
    </row>
    <row r="455" spans="3:4">
      <c r="C455" s="29"/>
      <c r="D455" s="29"/>
    </row>
    <row r="458" spans="3:4">
      <c r="C458" s="29"/>
      <c r="D458" s="29"/>
    </row>
    <row r="461" s="3" customFormat="1" spans="1:2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9" spans="3:4">
      <c r="C469" s="29"/>
      <c r="D469" s="29"/>
    </row>
    <row r="471" spans="3:4">
      <c r="C471" s="29"/>
      <c r="D471" s="29"/>
    </row>
    <row r="475" s="3" customFormat="1" spans="1:2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3:4">
      <c r="C476" s="29"/>
      <c r="D476" s="29"/>
    </row>
    <row r="479" spans="3:4">
      <c r="C479" s="29"/>
      <c r="D479" s="29"/>
    </row>
    <row r="482" spans="3:4">
      <c r="C482" s="29"/>
      <c r="D482" s="29"/>
    </row>
    <row r="484" spans="3:4">
      <c r="C484" s="29"/>
      <c r="D484" s="29"/>
    </row>
    <row r="487" spans="3:4">
      <c r="C487" s="29"/>
      <c r="D487" s="29"/>
    </row>
    <row r="492" spans="3:4">
      <c r="C492" s="29"/>
      <c r="D492" s="29"/>
    </row>
    <row r="496" s="3" customFormat="1" spans="1:2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3:4">
      <c r="C497" s="29"/>
      <c r="D497" s="29"/>
    </row>
    <row r="500" spans="1:23">
      <c r="A500" s="30"/>
      <c r="B500" s="31"/>
      <c r="C500" s="32"/>
      <c r="D500" s="32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1"/>
      <c r="S500" s="31"/>
      <c r="T500" s="31"/>
      <c r="U500" s="31"/>
      <c r="V500" s="31"/>
      <c r="W500" s="31"/>
    </row>
    <row r="502" spans="3:4">
      <c r="C502" s="29"/>
      <c r="D502" s="29"/>
    </row>
    <row r="504" spans="3:4">
      <c r="C504" s="29"/>
      <c r="D504" s="29"/>
    </row>
    <row r="506" spans="3:4">
      <c r="C506" s="29"/>
      <c r="D506" s="29"/>
    </row>
    <row r="507" spans="3:4">
      <c r="C507" s="29"/>
      <c r="D507" s="29"/>
    </row>
    <row r="508" spans="3:4">
      <c r="C508" s="29"/>
      <c r="D508" s="29"/>
    </row>
    <row r="509" spans="3:4">
      <c r="C509" s="29"/>
      <c r="D509" s="29"/>
    </row>
    <row r="510" s="3" customFormat="1" spans="1:23">
      <c r="A510" s="6"/>
      <c r="B510" s="6"/>
      <c r="C510" s="29"/>
      <c r="D510" s="29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3:4">
      <c r="C511" s="29"/>
      <c r="D511" s="29"/>
    </row>
    <row r="512" spans="3:4">
      <c r="C512" s="29"/>
      <c r="D512" s="29"/>
    </row>
    <row r="513" spans="3:4">
      <c r="C513" s="29"/>
      <c r="D513" s="29"/>
    </row>
    <row r="514" spans="3:4">
      <c r="C514" s="29"/>
      <c r="D514" s="29"/>
    </row>
    <row r="515" spans="3:4">
      <c r="C515" s="29"/>
      <c r="D515" s="29"/>
    </row>
    <row r="519" spans="3:4">
      <c r="C519" s="29"/>
      <c r="D519" s="29"/>
    </row>
    <row r="520" spans="3:4">
      <c r="C520" s="29"/>
      <c r="D520" s="29"/>
    </row>
    <row r="521" spans="3:4">
      <c r="C521" s="29"/>
      <c r="D521" s="29"/>
    </row>
    <row r="522" spans="3:4">
      <c r="C522" s="29"/>
      <c r="D522" s="29"/>
    </row>
    <row r="523" spans="3:4">
      <c r="C523" s="29"/>
      <c r="D523" s="29"/>
    </row>
    <row r="526" spans="3:4">
      <c r="C526" s="29"/>
      <c r="D526" s="29"/>
    </row>
    <row r="527" spans="3:4">
      <c r="C527" s="29"/>
      <c r="D527" s="29"/>
    </row>
    <row r="528" spans="3:4">
      <c r="C528" s="29"/>
      <c r="D528" s="29"/>
    </row>
    <row r="529" spans="3:4">
      <c r="C529" s="29"/>
      <c r="D529" s="29"/>
    </row>
    <row r="530" spans="3:4">
      <c r="C530" s="29"/>
      <c r="D530" s="29"/>
    </row>
    <row r="531" s="3" customFormat="1" spans="1:23">
      <c r="A531" s="6"/>
      <c r="B531" s="6"/>
      <c r="C531" s="29"/>
      <c r="D531" s="29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3:4">
      <c r="C532" s="29"/>
      <c r="D532" s="29"/>
    </row>
    <row r="533" spans="3:4">
      <c r="C533" s="29"/>
      <c r="D533" s="29"/>
    </row>
    <row r="536" spans="3:4">
      <c r="C536" s="29"/>
      <c r="D536" s="29"/>
    </row>
    <row r="538" spans="3:4">
      <c r="C538" s="29"/>
      <c r="D538" s="29"/>
    </row>
    <row r="539" spans="3:4">
      <c r="C539" s="29"/>
      <c r="D539" s="29"/>
    </row>
    <row r="541" spans="3:4">
      <c r="C541" s="29"/>
      <c r="D541" s="29"/>
    </row>
    <row r="542" spans="3:4">
      <c r="C542" s="29"/>
      <c r="D542" s="29"/>
    </row>
    <row r="543" spans="3:4">
      <c r="C543" s="29"/>
      <c r="D543" s="29"/>
    </row>
    <row r="544" spans="3:4">
      <c r="C544" s="29"/>
      <c r="D544" s="29"/>
    </row>
    <row r="545" s="3" customFormat="1" spans="1:23">
      <c r="A545" s="6"/>
      <c r="B545" s="6"/>
      <c r="C545" s="29"/>
      <c r="D545" s="29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3:4">
      <c r="C546" s="29"/>
      <c r="D546" s="29"/>
    </row>
    <row r="547" spans="3:4">
      <c r="C547" s="29"/>
      <c r="D547" s="29"/>
    </row>
    <row r="548" spans="3:4">
      <c r="C548" s="29"/>
      <c r="D548" s="29"/>
    </row>
    <row r="549" spans="3:4">
      <c r="C549" s="29"/>
      <c r="D549" s="29"/>
    </row>
    <row r="551" spans="3:4">
      <c r="C551" s="29"/>
      <c r="D551" s="29"/>
    </row>
    <row r="552" spans="3:4">
      <c r="C552" s="29"/>
      <c r="D552" s="29"/>
    </row>
    <row r="553" spans="3:4">
      <c r="C553" s="29"/>
      <c r="D553" s="29"/>
    </row>
    <row r="554" spans="3:4">
      <c r="C554" s="29"/>
      <c r="D554" s="29"/>
    </row>
    <row r="555" spans="3:4">
      <c r="C555" s="29"/>
      <c r="D555" s="29"/>
    </row>
    <row r="556" spans="3:4">
      <c r="C556" s="29"/>
      <c r="D556" s="29"/>
    </row>
    <row r="557" spans="3:4">
      <c r="C557" s="29"/>
      <c r="D557" s="29"/>
    </row>
    <row r="559" spans="3:4">
      <c r="C559" s="29"/>
      <c r="D559" s="29"/>
    </row>
    <row r="560" spans="3:4">
      <c r="C560" s="29"/>
      <c r="D560" s="29"/>
    </row>
    <row r="561" spans="3:4">
      <c r="C561" s="29"/>
      <c r="D561" s="29"/>
    </row>
    <row r="562" spans="3:4">
      <c r="C562" s="29"/>
      <c r="D562" s="29"/>
    </row>
    <row r="563" spans="3:4">
      <c r="C563" s="29"/>
      <c r="D563" s="29"/>
    </row>
    <row r="564" spans="3:4">
      <c r="C564" s="29"/>
      <c r="D564" s="29"/>
    </row>
    <row r="565" s="3" customFormat="1" spans="1:2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7" spans="3:4">
      <c r="C567" s="29"/>
      <c r="D567" s="29"/>
    </row>
    <row r="568" spans="3:4">
      <c r="C568" s="29"/>
      <c r="D568" s="29"/>
    </row>
    <row r="569" spans="3:4">
      <c r="C569" s="29"/>
      <c r="D569" s="29"/>
    </row>
    <row r="570" spans="3:4">
      <c r="C570" s="29"/>
      <c r="D570" s="29"/>
    </row>
    <row r="571" spans="3:4">
      <c r="C571" s="29"/>
      <c r="D571" s="29"/>
    </row>
    <row r="572" spans="3:4">
      <c r="C572" s="29"/>
      <c r="D572" s="29"/>
    </row>
    <row r="575" spans="3:4">
      <c r="C575" s="29"/>
      <c r="D575" s="29"/>
    </row>
    <row r="576" spans="3:4">
      <c r="C576" s="29"/>
      <c r="D576" s="29"/>
    </row>
    <row r="577" spans="3:4">
      <c r="C577" s="29"/>
      <c r="D577" s="29"/>
    </row>
    <row r="578" spans="3:4">
      <c r="C578" s="29"/>
      <c r="D578" s="29"/>
    </row>
    <row r="579" spans="3:4">
      <c r="C579" s="29"/>
      <c r="D579" s="29"/>
    </row>
    <row r="580" s="3" customFormat="1" spans="1:23">
      <c r="A580" s="6"/>
      <c r="B580" s="6"/>
      <c r="C580" s="29"/>
      <c r="D580" s="29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3:4">
      <c r="C581" s="29"/>
      <c r="D581" s="29"/>
    </row>
    <row r="584" spans="3:4">
      <c r="C584" s="29"/>
      <c r="D584" s="29"/>
    </row>
    <row r="585" spans="3:4">
      <c r="C585" s="29"/>
      <c r="D585" s="29"/>
    </row>
    <row r="586" spans="3:4">
      <c r="C586" s="29"/>
      <c r="D586" s="29"/>
    </row>
    <row r="587" spans="3:4">
      <c r="C587" s="29"/>
      <c r="D587" s="29"/>
    </row>
    <row r="588" spans="3:4">
      <c r="C588" s="29"/>
      <c r="D588" s="29"/>
    </row>
    <row r="589" spans="3:4">
      <c r="C589" s="29"/>
      <c r="D589" s="29"/>
    </row>
    <row r="590" spans="3:4">
      <c r="C590" s="29"/>
      <c r="D590" s="29"/>
    </row>
    <row r="593" spans="3:4">
      <c r="C593" s="29"/>
      <c r="D593" s="29"/>
    </row>
    <row r="594" spans="3:4">
      <c r="C594" s="29"/>
      <c r="D594" s="29"/>
    </row>
    <row r="595" s="3" customFormat="1" spans="1:23">
      <c r="A595" s="6"/>
      <c r="B595" s="6"/>
      <c r="C595" s="29"/>
      <c r="D595" s="29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3:4">
      <c r="C596" s="29"/>
      <c r="D596" s="29"/>
    </row>
    <row r="597" spans="3:4">
      <c r="C597" s="29"/>
      <c r="D597" s="29"/>
    </row>
    <row r="598" spans="3:4">
      <c r="C598" s="29"/>
      <c r="D598" s="29"/>
    </row>
    <row r="601" spans="3:4">
      <c r="C601" s="29"/>
      <c r="D601" s="29"/>
    </row>
    <row r="602" spans="3:4">
      <c r="C602" s="29"/>
      <c r="D602" s="29"/>
    </row>
    <row r="603" spans="3:4">
      <c r="C603" s="29"/>
      <c r="D603" s="29"/>
    </row>
    <row r="604" spans="3:4">
      <c r="C604" s="29"/>
      <c r="D604" s="29"/>
    </row>
    <row r="605" spans="3:4">
      <c r="C605" s="29"/>
      <c r="D605" s="29"/>
    </row>
  </sheetData>
  <autoFilter ref="A1:Y450">
    <extLst/>
  </autoFilter>
  <pageMargins left="0.7" right="0.7" top="0.75" bottom="0.75" header="0.3" footer="0.3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75"/>
  <sheetViews>
    <sheetView workbookViewId="0">
      <selection activeCell="A1" sqref="A1:Y321"/>
    </sheetView>
  </sheetViews>
  <sheetFormatPr defaultColWidth="9" defaultRowHeight="14.4"/>
  <cols>
    <col min="1" max="2" width="9" style="6"/>
    <col min="3" max="3" width="9.87962962962963" style="6" customWidth="1"/>
    <col min="4" max="4" width="9" style="6"/>
    <col min="5" max="23" width="12.3796296296296" style="6" customWidth="1"/>
    <col min="24" max="24" width="12.6296296296296" style="7"/>
    <col min="25" max="25" width="12.8888888888889" style="7"/>
    <col min="26" max="16384" width="9" style="7"/>
  </cols>
  <sheetData>
    <row r="1" s="3" customFormat="1" spans="1:25">
      <c r="A1" s="8" t="s">
        <v>1</v>
      </c>
      <c r="B1" s="8" t="s">
        <v>2</v>
      </c>
      <c r="C1" s="9" t="s">
        <v>3</v>
      </c>
      <c r="D1" s="9" t="s">
        <v>4</v>
      </c>
      <c r="E1" s="10" t="s">
        <v>5</v>
      </c>
      <c r="F1" s="11" t="s">
        <v>834</v>
      </c>
      <c r="G1" s="10" t="s">
        <v>6</v>
      </c>
      <c r="H1" s="11" t="s">
        <v>834</v>
      </c>
      <c r="I1" s="10" t="s">
        <v>7</v>
      </c>
      <c r="J1" s="11" t="s">
        <v>834</v>
      </c>
      <c r="K1" s="10" t="s">
        <v>835</v>
      </c>
      <c r="L1" s="11" t="s">
        <v>836</v>
      </c>
      <c r="M1" s="11" t="s">
        <v>837</v>
      </c>
      <c r="N1" s="10">
        <v>50</v>
      </c>
      <c r="O1" s="10" t="s">
        <v>838</v>
      </c>
      <c r="P1" s="11" t="s">
        <v>834</v>
      </c>
      <c r="Q1" s="10" t="s">
        <v>8</v>
      </c>
      <c r="R1" s="8" t="s">
        <v>838</v>
      </c>
      <c r="S1" s="22" t="s">
        <v>834</v>
      </c>
      <c r="T1" s="8" t="s">
        <v>839</v>
      </c>
      <c r="U1" s="22" t="s">
        <v>836</v>
      </c>
      <c r="V1" s="22" t="s">
        <v>837</v>
      </c>
      <c r="W1" s="8" t="s">
        <v>9</v>
      </c>
      <c r="X1" s="23" t="s">
        <v>840</v>
      </c>
      <c r="Y1" s="23" t="s">
        <v>841</v>
      </c>
    </row>
    <row r="2" s="4" customFormat="1" ht="15.6" hidden="1" outlineLevel="2" spans="1:25">
      <c r="A2" s="12">
        <v>101</v>
      </c>
      <c r="B2" s="12">
        <v>31</v>
      </c>
      <c r="C2" s="13" t="s">
        <v>45</v>
      </c>
      <c r="D2" s="14" t="s">
        <v>46</v>
      </c>
      <c r="E2" s="12">
        <v>21</v>
      </c>
      <c r="F2" s="1">
        <f>LOOKUP(E2,{0,0.4,1.2,2,2.8,3.6,4.4,5.7,7,8.3,9.6,10.9,12.2,13.5,14.8,16.1,17.4,19.1,20.8,22.5,24.2},{0,10,20,30,40,50,60,62,64,66,68,70,72,74,76,78,80,85,90,95,100})</f>
        <v>90</v>
      </c>
      <c r="G2" s="12">
        <v>168</v>
      </c>
      <c r="H2" s="1">
        <f>LOOKUP(G2,{0,123,128,133,138,143,148,151,154,157,160,163,166,169,172,175,178,185,192,198,204},{0,10,20,30,40,50,60,62,64,66,68,70,72,74,76,78,80,85,90,95,100})</f>
        <v>72</v>
      </c>
      <c r="I2" s="12">
        <v>49</v>
      </c>
      <c r="J2" s="1">
        <f>LOOKUP(I2,{0,13,15,17,19,21,23,25,27,29,31,33,35,37,39,41,43,46,49,51,53},{0,10,20,30,40,50,60,62,64,66,68,70,72,74,76,78,80,85,90,95,100})</f>
        <v>90</v>
      </c>
      <c r="K2" s="17"/>
      <c r="L2" s="17"/>
      <c r="M2" s="18">
        <f t="shared" ref="M2:M17" si="0">J2+L2</f>
        <v>90</v>
      </c>
      <c r="N2" s="12">
        <v>9.3</v>
      </c>
      <c r="O2" s="19">
        <f t="shared" ref="O2:O17" si="1">13-N2</f>
        <v>3.7</v>
      </c>
      <c r="P2" s="1">
        <f>LOOKUP(O2,{0,1.4,1.6,1.8,2,2.2,2.4,2.6,2.8,3,3.2,3.4,3.6,3.8,4,4.2,4.4,4.7,5,5.1,5.2},{0,10,20,30,40,50,60,62,64,66,68,70,72,74,76,78,80,85,90,95,100})</f>
        <v>72</v>
      </c>
      <c r="Q2" s="12">
        <v>3.58</v>
      </c>
      <c r="R2" s="12">
        <f t="shared" ref="R2:R17" si="2">10-Q2</f>
        <v>6.42</v>
      </c>
      <c r="S2" s="1">
        <f>LOOKUP(R2,{0,4.7,4.8,4.9,5,5.5,5.6,5.65,5.7,5.75,5.8,5.85,5.9,5.95,6,6.45,6.5,6.57,6.64,6.7,6.76},{0,10,20,30,40,50,60,62,64,66,68,70,72,74,76,78,80,85,90,95,100})</f>
        <v>76</v>
      </c>
      <c r="T2" s="17"/>
      <c r="U2" s="17"/>
      <c r="V2" s="18">
        <f t="shared" ref="V2:V17" si="3">S2+U2</f>
        <v>76</v>
      </c>
      <c r="W2" s="12"/>
      <c r="X2" s="18">
        <f t="shared" ref="X2:X17" si="4">F2*0.1+H2*0.1+J2*0.1+P2*0.2+S2*0.2</f>
        <v>54.8</v>
      </c>
      <c r="Y2" s="18">
        <f t="shared" ref="Y2:Y17" si="5">X2/0.7+L2+U2</f>
        <v>78.2857142857143</v>
      </c>
    </row>
    <row r="3" s="4" customFormat="1" ht="15.6" hidden="1" outlineLevel="2" spans="1:25">
      <c r="A3" s="12">
        <v>101</v>
      </c>
      <c r="B3" s="12">
        <v>32</v>
      </c>
      <c r="C3" s="14" t="s">
        <v>47</v>
      </c>
      <c r="D3" s="14" t="s">
        <v>46</v>
      </c>
      <c r="E3" s="12"/>
      <c r="F3" s="1"/>
      <c r="G3" s="12"/>
      <c r="H3" s="1"/>
      <c r="I3" s="12"/>
      <c r="J3" s="1"/>
      <c r="K3" s="17"/>
      <c r="L3" s="17"/>
      <c r="M3" s="18"/>
      <c r="N3" s="12"/>
      <c r="O3" s="19"/>
      <c r="P3" s="1"/>
      <c r="Q3" s="12"/>
      <c r="R3" s="12"/>
      <c r="S3" s="1"/>
      <c r="T3" s="17"/>
      <c r="U3" s="1"/>
      <c r="V3" s="18"/>
      <c r="W3" s="12" t="s">
        <v>48</v>
      </c>
      <c r="X3" s="18">
        <f t="shared" si="4"/>
        <v>0</v>
      </c>
      <c r="Y3" s="18">
        <v>50</v>
      </c>
    </row>
    <row r="4" ht="15.6" hidden="1" outlineLevel="2" spans="1:25">
      <c r="A4" s="15">
        <v>101</v>
      </c>
      <c r="B4" s="15">
        <v>33</v>
      </c>
      <c r="C4" s="14" t="s">
        <v>49</v>
      </c>
      <c r="D4" s="14" t="s">
        <v>46</v>
      </c>
      <c r="E4" s="15">
        <v>18.17</v>
      </c>
      <c r="F4" s="1">
        <f>LOOKUP(E4,{0,0.4,1.2,2,2.8,3.6,4.4,5.7,7,8.3,9.6,10.9,12.2,13.5,14.8,16.1,17.4,19.1,20.8,22.5,24.2},{0,10,20,30,40,50,60,62,64,66,68,70,72,74,76,78,80,85,90,95,100})</f>
        <v>80</v>
      </c>
      <c r="G4" s="15">
        <v>170</v>
      </c>
      <c r="H4" s="1">
        <f>LOOKUP(G4,{0,123,128,133,138,143,148,151,154,157,160,163,166,169,172,175,178,185,192,198,204},{0,10,20,30,40,50,60,62,64,66,68,70,72,74,76,78,80,85,90,95,100})</f>
        <v>74</v>
      </c>
      <c r="I4" s="15">
        <v>46</v>
      </c>
      <c r="J4" s="1">
        <f>LOOKUP(I4,{0,13,15,17,19,21,23,25,27,29,31,33,35,37,39,41,43,46,49,51,53},{0,10,20,30,40,50,60,62,64,66,68,70,72,74,76,78,80,85,90,95,100})</f>
        <v>85</v>
      </c>
      <c r="K4" s="20"/>
      <c r="L4" s="20"/>
      <c r="M4" s="21">
        <f t="shared" si="0"/>
        <v>85</v>
      </c>
      <c r="N4" s="15">
        <v>8.4</v>
      </c>
      <c r="O4" s="19">
        <f t="shared" si="1"/>
        <v>4.6</v>
      </c>
      <c r="P4" s="1">
        <f>LOOKUP(O4,{0,1.4,1.6,1.8,2,2.2,2.4,2.6,2.8,3,3.2,3.4,3.6,3.8,4,4.2,4.4,4.7,5,5.1,5.2},{0,10,20,30,40,50,60,62,64,66,68,70,72,74,76,78,80,85,90,95,100})</f>
        <v>80</v>
      </c>
      <c r="Q4" s="15">
        <v>3.24</v>
      </c>
      <c r="R4" s="15">
        <f t="shared" si="2"/>
        <v>6.76</v>
      </c>
      <c r="S4" s="1">
        <f>LOOKUP(R4,{0,4.7,4.8,4.9,5,5.5,5.6,5.65,5.7,5.75,5.8,5.85,5.9,5.95,6,6.45,6.5,6.57,6.64,6.7,6.76},{0,10,20,30,40,50,60,62,64,66,68,70,72,74,76,78,80,85,90,95,100})</f>
        <v>100</v>
      </c>
      <c r="T4" s="24">
        <f t="shared" ref="T4:T10" si="6">3.24-Q4</f>
        <v>0</v>
      </c>
      <c r="U4" s="1">
        <f>LOOKUP(T4,{0,0.05,0.1,0.15,0.2,0.25,0.3,0.35,0.4,0.45,0.5},{0,1,2,3,4,5,6,7,8,9,10})</f>
        <v>0</v>
      </c>
      <c r="V4" s="21">
        <f t="shared" si="3"/>
        <v>100</v>
      </c>
      <c r="W4" s="15"/>
      <c r="X4" s="21">
        <f t="shared" si="4"/>
        <v>59.9</v>
      </c>
      <c r="Y4" s="21">
        <f t="shared" si="5"/>
        <v>85.5714285714286</v>
      </c>
    </row>
    <row r="5" ht="15.6" hidden="1" outlineLevel="2" spans="1:25">
      <c r="A5" s="15">
        <v>101</v>
      </c>
      <c r="B5" s="15">
        <v>34</v>
      </c>
      <c r="C5" s="14" t="s">
        <v>50</v>
      </c>
      <c r="D5" s="14" t="s">
        <v>46</v>
      </c>
      <c r="E5" s="15">
        <v>25.5</v>
      </c>
      <c r="F5" s="1">
        <f>LOOKUP(E5,{0,0.4,1.2,2,2.8,3.6,4.4,5.7,7,8.3,9.6,10.9,12.2,13.5,14.8,16.1,17.4,19.1,20.8,22.5,24.2},{0,10,20,30,40,50,60,62,64,66,68,70,72,74,76,78,80,85,90,95,100})</f>
        <v>100</v>
      </c>
      <c r="G5" s="15">
        <v>173</v>
      </c>
      <c r="H5" s="1">
        <f>LOOKUP(G5,{0,123,128,133,138,143,148,151,154,157,160,163,166,169,172,175,178,185,192,198,204},{0,10,20,30,40,50,60,62,64,66,68,70,72,74,76,78,80,85,90,95,100})</f>
        <v>76</v>
      </c>
      <c r="I5" s="15">
        <v>46</v>
      </c>
      <c r="J5" s="1">
        <f>LOOKUP(I5,{0,13,15,17,19,21,23,25,27,29,31,33,35,37,39,41,43,46,49,51,53},{0,10,20,30,40,50,60,62,64,66,68,70,72,74,76,78,80,85,90,95,100})</f>
        <v>85</v>
      </c>
      <c r="K5" s="20"/>
      <c r="L5" s="20"/>
      <c r="M5" s="21">
        <f t="shared" si="0"/>
        <v>85</v>
      </c>
      <c r="N5" s="15">
        <v>8.87</v>
      </c>
      <c r="O5" s="19">
        <f t="shared" si="1"/>
        <v>4.13</v>
      </c>
      <c r="P5" s="1">
        <f>LOOKUP(O5,{0,1.4,1.6,1.8,2,2.2,2.4,2.6,2.8,3,3.2,3.4,3.6,3.8,4,4.2,4.4,4.7,5,5.1,5.2},{0,10,20,30,40,50,60,62,64,66,68,70,72,74,76,78,80,85,90,95,100})</f>
        <v>76</v>
      </c>
      <c r="Q5" s="15">
        <v>3.31</v>
      </c>
      <c r="R5" s="15">
        <f t="shared" si="2"/>
        <v>6.69</v>
      </c>
      <c r="S5" s="1">
        <f>LOOKUP(R5,{0,4.7,4.8,4.9,5,5.5,5.6,5.65,5.7,5.75,5.8,5.85,5.9,5.95,6,6.45,6.5,6.57,6.64,6.7,6.76},{0,10,20,30,40,50,60,62,64,66,68,70,72,74,76,78,80,85,90,95,100})</f>
        <v>90</v>
      </c>
      <c r="T5" s="20"/>
      <c r="U5" s="20"/>
      <c r="V5" s="21">
        <f t="shared" si="3"/>
        <v>90</v>
      </c>
      <c r="W5" s="15"/>
      <c r="X5" s="21">
        <f t="shared" si="4"/>
        <v>59.3</v>
      </c>
      <c r="Y5" s="21">
        <f t="shared" si="5"/>
        <v>84.7142857142857</v>
      </c>
    </row>
    <row r="6" s="3" customFormat="1" ht="15.6" hidden="1" outlineLevel="2" spans="1:25">
      <c r="A6" s="15">
        <v>101</v>
      </c>
      <c r="B6" s="15">
        <v>35</v>
      </c>
      <c r="C6" s="14" t="s">
        <v>51</v>
      </c>
      <c r="D6" s="14" t="s">
        <v>46</v>
      </c>
      <c r="E6" s="15">
        <v>17.6</v>
      </c>
      <c r="F6" s="1">
        <f>LOOKUP(E6,{0,0.4,1.2,2,2.8,3.6,4.4,5.7,7,8.3,9.6,10.9,12.2,13.5,14.8,16.1,17.4,19.1,20.8,22.5,24.2},{0,10,20,30,40,50,60,62,64,66,68,70,72,74,76,78,80,85,90,95,100})</f>
        <v>80</v>
      </c>
      <c r="G6" s="15">
        <v>212</v>
      </c>
      <c r="H6" s="1">
        <f>LOOKUP(G6,{0,123,128,133,138,143,148,151,154,157,160,163,166,169,172,175,178,185,192,198,204},{0,10,20,30,40,50,60,62,64,66,68,70,72,74,76,78,80,85,90,95,100})</f>
        <v>100</v>
      </c>
      <c r="I6" s="15">
        <v>55</v>
      </c>
      <c r="J6" s="1">
        <f>LOOKUP(I6,{0,13,15,17,19,21,23,25,27,29,31,33,35,37,39,41,43,46,49,51,53},{0,10,20,30,40,50,60,62,64,66,68,70,72,74,76,78,80,85,90,95,100})</f>
        <v>100</v>
      </c>
      <c r="K6" s="20">
        <f t="shared" ref="K6:K10" si="7">I6-53</f>
        <v>2</v>
      </c>
      <c r="L6" s="1">
        <f>LOOKUP(K6,{0,2,4,6,7,8,9,10,11,12,13},{0,1,2,3,4,5,6,7,8,9,10})</f>
        <v>1</v>
      </c>
      <c r="M6" s="21">
        <f t="shared" si="0"/>
        <v>101</v>
      </c>
      <c r="N6" s="15">
        <v>8.18</v>
      </c>
      <c r="O6" s="19">
        <f t="shared" si="1"/>
        <v>4.82</v>
      </c>
      <c r="P6" s="1">
        <f>LOOKUP(O6,{0,1.4,1.6,1.8,2,2.2,2.4,2.6,2.8,3,3.2,3.4,3.6,3.8,4,4.2,4.4,4.7,5,5.1,5.2},{0,10,20,30,40,50,60,62,64,66,68,70,72,74,76,78,80,85,90,95,100})</f>
        <v>85</v>
      </c>
      <c r="Q6" s="15">
        <v>3.38</v>
      </c>
      <c r="R6" s="15">
        <f t="shared" si="2"/>
        <v>6.62</v>
      </c>
      <c r="S6" s="1">
        <f>LOOKUP(R6,{0,4.7,4.8,4.9,5,5.5,5.6,5.65,5.7,5.75,5.8,5.85,5.9,5.95,6,6.45,6.5,6.57,6.64,6.7,6.76},{0,10,20,30,40,50,60,62,64,66,68,70,72,74,76,78,80,85,90,95,100})</f>
        <v>85</v>
      </c>
      <c r="T6" s="20"/>
      <c r="U6" s="20"/>
      <c r="V6" s="21">
        <f t="shared" si="3"/>
        <v>85</v>
      </c>
      <c r="W6" s="15"/>
      <c r="X6" s="21">
        <f t="shared" si="4"/>
        <v>62</v>
      </c>
      <c r="Y6" s="21">
        <f t="shared" si="5"/>
        <v>89.5714285714286</v>
      </c>
    </row>
    <row r="7" ht="15.6" hidden="1" outlineLevel="2" spans="1:25">
      <c r="A7" s="15">
        <v>101</v>
      </c>
      <c r="B7" s="15">
        <v>36</v>
      </c>
      <c r="C7" s="14" t="s">
        <v>52</v>
      </c>
      <c r="D7" s="14" t="s">
        <v>46</v>
      </c>
      <c r="E7" s="15">
        <v>19.5</v>
      </c>
      <c r="F7" s="1">
        <f>LOOKUP(E7,{0,0.4,1.2,2,2.8,3.6,4.4,5.7,7,8.3,9.6,10.9,12.2,13.5,14.8,16.1,17.4,19.1,20.8,22.5,24.2},{0,10,20,30,40,50,60,62,64,66,68,70,72,74,76,78,80,85,90,95,100})</f>
        <v>85</v>
      </c>
      <c r="G7" s="15">
        <v>175</v>
      </c>
      <c r="H7" s="1">
        <f>LOOKUP(G7,{0,123,128,133,138,143,148,151,154,157,160,163,166,169,172,175,178,185,192,198,204},{0,10,20,30,40,50,60,62,64,66,68,70,72,74,76,78,80,85,90,95,100})</f>
        <v>78</v>
      </c>
      <c r="I7" s="15">
        <v>42</v>
      </c>
      <c r="J7" s="1">
        <f>LOOKUP(I7,{0,13,15,17,19,21,23,25,27,29,31,33,35,37,39,41,43,46,49,51,53},{0,10,20,30,40,50,60,62,64,66,68,70,72,74,76,78,80,85,90,95,100})</f>
        <v>78</v>
      </c>
      <c r="K7" s="20"/>
      <c r="L7" s="20"/>
      <c r="M7" s="21">
        <f t="shared" si="0"/>
        <v>78</v>
      </c>
      <c r="N7" s="15">
        <v>8.4</v>
      </c>
      <c r="O7" s="19">
        <f t="shared" si="1"/>
        <v>4.6</v>
      </c>
      <c r="P7" s="1">
        <f>LOOKUP(O7,{0,1.4,1.6,1.8,2,2.2,2.4,2.6,2.8,3,3.2,3.4,3.6,3.8,4,4.2,4.4,4.7,5,5.1,5.2},{0,10,20,30,40,50,60,62,64,66,68,70,72,74,76,78,80,85,90,95,100})</f>
        <v>80</v>
      </c>
      <c r="Q7" s="15">
        <v>3.35</v>
      </c>
      <c r="R7" s="15">
        <f t="shared" si="2"/>
        <v>6.65</v>
      </c>
      <c r="S7" s="1">
        <f>LOOKUP(R7,{0,4.7,4.8,4.9,5,5.5,5.6,5.65,5.7,5.75,5.8,5.85,5.9,5.95,6,6.45,6.5,6.57,6.64,6.7,6.76},{0,10,20,30,40,50,60,62,64,66,68,70,72,74,76,78,80,85,90,95,100})</f>
        <v>90</v>
      </c>
      <c r="T7" s="20"/>
      <c r="U7" s="20"/>
      <c r="V7" s="21">
        <f t="shared" si="3"/>
        <v>90</v>
      </c>
      <c r="W7" s="15"/>
      <c r="X7" s="21">
        <f t="shared" si="4"/>
        <v>58.1</v>
      </c>
      <c r="Y7" s="21">
        <f t="shared" si="5"/>
        <v>83</v>
      </c>
    </row>
    <row r="8" ht="15.6" hidden="1" outlineLevel="2" spans="1:25">
      <c r="A8" s="15">
        <v>101</v>
      </c>
      <c r="B8" s="15">
        <v>37</v>
      </c>
      <c r="C8" s="14" t="s">
        <v>53</v>
      </c>
      <c r="D8" s="14" t="s">
        <v>46</v>
      </c>
      <c r="E8" s="15">
        <v>19</v>
      </c>
      <c r="F8" s="1">
        <f>LOOKUP(E8,{0,0.4,1.2,2,2.8,3.6,4.4,5.7,7,8.3,9.6,10.9,12.2,13.5,14.8,16.1,17.4,19.1,20.8,22.5,24.2},{0,10,20,30,40,50,60,62,64,66,68,70,72,74,76,78,80,85,90,95,100})</f>
        <v>80</v>
      </c>
      <c r="G8" s="15">
        <v>190</v>
      </c>
      <c r="H8" s="1">
        <f>LOOKUP(G8,{0,123,128,133,138,143,148,151,154,157,160,163,166,169,172,175,178,185,192,198,204},{0,10,20,30,40,50,60,62,64,66,68,70,72,74,76,78,80,85,90,95,100})</f>
        <v>85</v>
      </c>
      <c r="I8" s="15">
        <v>53</v>
      </c>
      <c r="J8" s="1">
        <f>LOOKUP(I8,{0,13,15,17,19,21,23,25,27,29,31,33,35,37,39,41,43,46,49,51,53},{0,10,20,30,40,50,60,62,64,66,68,70,72,74,76,78,80,85,90,95,100})</f>
        <v>100</v>
      </c>
      <c r="K8" s="20">
        <f t="shared" si="7"/>
        <v>0</v>
      </c>
      <c r="L8" s="1">
        <f>LOOKUP(K8,{0,2,4,6,7,8,9,10,11,12,13},{0,1,2,3,4,5,6,7,8,9,10})</f>
        <v>0</v>
      </c>
      <c r="M8" s="21">
        <f t="shared" si="0"/>
        <v>100</v>
      </c>
      <c r="N8" s="15">
        <v>8.4</v>
      </c>
      <c r="O8" s="19">
        <f t="shared" si="1"/>
        <v>4.6</v>
      </c>
      <c r="P8" s="1">
        <f>LOOKUP(O8,{0,1.4,1.6,1.8,2,2.2,2.4,2.6,2.8,3,3.2,3.4,3.6,3.8,4,4.2,4.4,4.7,5,5.1,5.2},{0,10,20,30,40,50,60,62,64,66,68,70,72,74,76,78,80,85,90,95,100})</f>
        <v>80</v>
      </c>
      <c r="Q8" s="15">
        <v>3.14</v>
      </c>
      <c r="R8" s="15">
        <f t="shared" si="2"/>
        <v>6.86</v>
      </c>
      <c r="S8" s="1">
        <f>LOOKUP(R8,{0,4.7,4.8,4.9,5,5.5,5.6,5.65,5.7,5.75,5.8,5.85,5.9,5.95,6,6.45,6.5,6.57,6.64,6.7,6.76},{0,10,20,30,40,50,60,62,64,66,68,70,72,74,76,78,80,85,90,95,100})</f>
        <v>100</v>
      </c>
      <c r="T8" s="24">
        <f t="shared" si="6"/>
        <v>0.1</v>
      </c>
      <c r="U8" s="1">
        <f>LOOKUP(T8,{0,0.05,0.1,0.15,0.2,0.25,0.3,0.35,0.4,0.45,0.5},{0,1,2,3,4,5,6,7,8,9,10})</f>
        <v>2</v>
      </c>
      <c r="V8" s="21">
        <f t="shared" si="3"/>
        <v>102</v>
      </c>
      <c r="W8" s="15"/>
      <c r="X8" s="21">
        <f t="shared" si="4"/>
        <v>62.5</v>
      </c>
      <c r="Y8" s="21">
        <f t="shared" si="5"/>
        <v>91.2857142857143</v>
      </c>
    </row>
    <row r="9" ht="15.6" hidden="1" outlineLevel="2" spans="1:25">
      <c r="A9" s="15">
        <v>101</v>
      </c>
      <c r="B9" s="15">
        <v>38</v>
      </c>
      <c r="C9" s="14" t="s">
        <v>54</v>
      </c>
      <c r="D9" s="14" t="s">
        <v>46</v>
      </c>
      <c r="E9" s="15">
        <v>18.1</v>
      </c>
      <c r="F9" s="1">
        <f>LOOKUP(E9,{0,0.4,1.2,2,2.8,3.6,4.4,5.7,7,8.3,9.6,10.9,12.2,13.5,14.8,16.1,17.4,19.1,20.8,22.5,24.2},{0,10,20,30,40,50,60,62,64,66,68,70,72,74,76,78,80,85,90,95,100})</f>
        <v>80</v>
      </c>
      <c r="G9" s="15">
        <v>190</v>
      </c>
      <c r="H9" s="1">
        <f>LOOKUP(G9,{0,123,128,133,138,143,148,151,154,157,160,163,166,169,172,175,178,185,192,198,204},{0,10,20,30,40,50,60,62,64,66,68,70,72,74,76,78,80,85,90,95,100})</f>
        <v>85</v>
      </c>
      <c r="I9" s="15">
        <v>52</v>
      </c>
      <c r="J9" s="1">
        <f>LOOKUP(I9,{0,13,15,17,19,21,23,25,27,29,31,33,35,37,39,41,43,46,49,51,53},{0,10,20,30,40,50,60,62,64,66,68,70,72,74,76,78,80,85,90,95,100})</f>
        <v>95</v>
      </c>
      <c r="K9" s="20"/>
      <c r="L9" s="20"/>
      <c r="M9" s="21">
        <f t="shared" si="0"/>
        <v>95</v>
      </c>
      <c r="N9" s="15">
        <v>8.3</v>
      </c>
      <c r="O9" s="19">
        <f t="shared" si="1"/>
        <v>4.7</v>
      </c>
      <c r="P9" s="1">
        <f>LOOKUP(O9,{0,1.4,1.6,1.8,2,2.2,2.4,2.6,2.8,3,3.2,3.4,3.6,3.8,4,4.2,4.4,4.7,5,5.1,5.2},{0,10,20,30,40,50,60,62,64,66,68,70,72,74,76,78,80,85,90,95,100})</f>
        <v>85</v>
      </c>
      <c r="Q9" s="15">
        <v>3.18</v>
      </c>
      <c r="R9" s="15">
        <f t="shared" si="2"/>
        <v>6.82</v>
      </c>
      <c r="S9" s="1">
        <f>LOOKUP(R9,{0,4.7,4.8,4.9,5,5.5,5.6,5.65,5.7,5.75,5.8,5.85,5.9,5.95,6,6.45,6.5,6.57,6.64,6.7,6.76},{0,10,20,30,40,50,60,62,64,66,68,70,72,74,76,78,80,85,90,95,100})</f>
        <v>100</v>
      </c>
      <c r="T9" s="24">
        <f t="shared" si="6"/>
        <v>0.0600000000000001</v>
      </c>
      <c r="U9" s="1">
        <f>LOOKUP(T9,{0,0.05,0.1,0.15,0.2,0.25,0.3,0.35,0.4,0.45,0.5},{0,1,2,3,4,5,6,7,8,9,10})</f>
        <v>1</v>
      </c>
      <c r="V9" s="21">
        <f t="shared" si="3"/>
        <v>101</v>
      </c>
      <c r="W9" s="15"/>
      <c r="X9" s="21">
        <f t="shared" si="4"/>
        <v>63</v>
      </c>
      <c r="Y9" s="21">
        <f t="shared" si="5"/>
        <v>91</v>
      </c>
    </row>
    <row r="10" ht="15.6" hidden="1" outlineLevel="2" spans="1:25">
      <c r="A10" s="15">
        <v>101</v>
      </c>
      <c r="B10" s="15">
        <v>39</v>
      </c>
      <c r="C10" s="13" t="s">
        <v>56</v>
      </c>
      <c r="D10" s="14" t="s">
        <v>46</v>
      </c>
      <c r="E10" s="15">
        <v>15.5</v>
      </c>
      <c r="F10" s="1">
        <f>LOOKUP(E10,{0,0.4,1.2,2,2.8,3.6,4.4,5.7,7,8.3,9.6,10.9,12.2,13.5,14.8,16.1,17.4,19.1,20.8,22.5,24.2},{0,10,20,30,40,50,60,62,64,66,68,70,72,74,76,78,80,85,90,95,100})</f>
        <v>76</v>
      </c>
      <c r="G10" s="15">
        <v>210</v>
      </c>
      <c r="H10" s="1">
        <f>LOOKUP(G10,{0,123,128,133,138,143,148,151,154,157,160,163,166,169,172,175,178,185,192,198,204},{0,10,20,30,40,50,60,62,64,66,68,70,72,74,76,78,80,85,90,95,100})</f>
        <v>100</v>
      </c>
      <c r="I10" s="15">
        <v>53</v>
      </c>
      <c r="J10" s="1">
        <f>LOOKUP(I10,{0,13,15,17,19,21,23,25,27,29,31,33,35,37,39,41,43,46,49,51,53},{0,10,20,30,40,50,60,62,64,66,68,70,72,74,76,78,80,85,90,95,100})</f>
        <v>100</v>
      </c>
      <c r="K10" s="20">
        <f t="shared" si="7"/>
        <v>0</v>
      </c>
      <c r="L10" s="1">
        <f>LOOKUP(K10,{0,2,4,6,7,8,9,10,11,12,13},{0,1,2,3,4,5,6,7,8,9,10})</f>
        <v>0</v>
      </c>
      <c r="M10" s="21">
        <f t="shared" si="0"/>
        <v>100</v>
      </c>
      <c r="N10" s="15">
        <v>7.8</v>
      </c>
      <c r="O10" s="19">
        <f t="shared" si="1"/>
        <v>5.2</v>
      </c>
      <c r="P10" s="1">
        <f>LOOKUP(O10,{0,1.4,1.6,1.8,2,2.2,2.4,2.6,2.8,3,3.2,3.4,3.6,3.8,4,4.2,4.4,4.7,5,5.1,5.2},{0,10,20,30,40,50,60,62,64,66,68,70,72,74,76,78,80,85,90,95,100})</f>
        <v>100</v>
      </c>
      <c r="Q10" s="15">
        <v>3.16</v>
      </c>
      <c r="R10" s="15">
        <f t="shared" si="2"/>
        <v>6.84</v>
      </c>
      <c r="S10" s="1">
        <f>LOOKUP(R10,{0,4.7,4.8,4.9,5,5.5,5.6,5.65,5.7,5.75,5.8,5.85,5.9,5.95,6,6.45,6.5,6.57,6.64,6.7,6.76},{0,10,20,30,40,50,60,62,64,66,68,70,72,74,76,78,80,85,90,95,100})</f>
        <v>100</v>
      </c>
      <c r="T10" s="24">
        <f t="shared" si="6"/>
        <v>0.0800000000000001</v>
      </c>
      <c r="U10" s="1">
        <f>LOOKUP(T10,{0,0.05,0.1,0.15,0.2,0.25,0.3,0.35,0.4,0.45,0.5},{0,1,2,3,4,5,6,7,8,9,10})</f>
        <v>1</v>
      </c>
      <c r="V10" s="21">
        <f t="shared" si="3"/>
        <v>101</v>
      </c>
      <c r="W10" s="15"/>
      <c r="X10" s="21">
        <f t="shared" si="4"/>
        <v>67.6</v>
      </c>
      <c r="Y10" s="21">
        <f t="shared" si="5"/>
        <v>97.5714285714286</v>
      </c>
    </row>
    <row r="11" ht="15.6" hidden="1" outlineLevel="2" spans="1:25">
      <c r="A11" s="15">
        <v>101</v>
      </c>
      <c r="B11" s="15">
        <v>40</v>
      </c>
      <c r="C11" s="14" t="s">
        <v>57</v>
      </c>
      <c r="D11" s="14" t="s">
        <v>46</v>
      </c>
      <c r="E11" s="15">
        <v>15.2</v>
      </c>
      <c r="F11" s="1">
        <f>LOOKUP(E11,{0,0.4,1.2,2,2.8,3.6,4.4,5.7,7,8.3,9.6,10.9,12.2,13.5,14.8,16.1,17.4,19.1,20.8,22.5,24.2},{0,10,20,30,40,50,60,62,64,66,68,70,72,74,76,78,80,85,90,95,100})</f>
        <v>76</v>
      </c>
      <c r="G11" s="15">
        <v>165</v>
      </c>
      <c r="H11" s="1">
        <f>LOOKUP(G11,{0,123,128,133,138,143,148,151,154,157,160,163,166,169,172,175,178,185,192,198,204},{0,10,20,30,40,50,60,62,64,66,68,70,72,74,76,78,80,85,90,95,100})</f>
        <v>70</v>
      </c>
      <c r="I11" s="15">
        <v>41</v>
      </c>
      <c r="J11" s="1">
        <f>LOOKUP(I11,{0,13,15,17,19,21,23,25,27,29,31,33,35,37,39,41,43,46,49,51,53},{0,10,20,30,40,50,60,62,64,66,68,70,72,74,76,78,80,85,90,95,100})</f>
        <v>78</v>
      </c>
      <c r="K11" s="20"/>
      <c r="L11" s="20"/>
      <c r="M11" s="21">
        <f t="shared" si="0"/>
        <v>78</v>
      </c>
      <c r="N11" s="15">
        <v>10.1</v>
      </c>
      <c r="O11" s="19">
        <f t="shared" si="1"/>
        <v>2.9</v>
      </c>
      <c r="P11" s="1">
        <f>LOOKUP(O11,{0,1.4,1.6,1.8,2,2.2,2.4,2.6,2.8,3,3.2,3.4,3.6,3.8,4,4.2,4.4,4.7,5,5.1,5.2},{0,10,20,30,40,50,60,62,64,66,68,70,72,74,76,78,80,85,90,95,100})</f>
        <v>64</v>
      </c>
      <c r="Q11" s="15">
        <v>4.32</v>
      </c>
      <c r="R11" s="15">
        <f t="shared" si="2"/>
        <v>5.68</v>
      </c>
      <c r="S11" s="1">
        <f>LOOKUP(R11,{0,4.7,4.8,4.9,5,5.5,5.6,5.65,5.7,5.75,5.8,5.85,5.9,5.95,6,6.45,6.5,6.57,6.64,6.7,6.76},{0,10,20,30,40,50,60,62,64,66,68,70,72,74,76,78,80,85,90,95,100})</f>
        <v>62</v>
      </c>
      <c r="T11" s="20"/>
      <c r="U11" s="20"/>
      <c r="V11" s="21">
        <f t="shared" si="3"/>
        <v>62</v>
      </c>
      <c r="W11" s="15"/>
      <c r="X11" s="21">
        <f t="shared" si="4"/>
        <v>47.6</v>
      </c>
      <c r="Y11" s="21">
        <f t="shared" si="5"/>
        <v>68</v>
      </c>
    </row>
    <row r="12" ht="15.6" hidden="1" outlineLevel="2" spans="1:25">
      <c r="A12" s="15">
        <v>101</v>
      </c>
      <c r="B12" s="15">
        <v>41</v>
      </c>
      <c r="C12" s="14" t="s">
        <v>58</v>
      </c>
      <c r="D12" s="14" t="s">
        <v>46</v>
      </c>
      <c r="E12" s="15">
        <v>17</v>
      </c>
      <c r="F12" s="1">
        <f>LOOKUP(E12,{0,0.4,1.2,2,2.8,3.6,4.4,5.7,7,8.3,9.6,10.9,12.2,13.5,14.8,16.1,17.4,19.1,20.8,22.5,24.2},{0,10,20,30,40,50,60,62,64,66,68,70,72,74,76,78,80,85,90,95,100})</f>
        <v>78</v>
      </c>
      <c r="G12" s="15">
        <v>200</v>
      </c>
      <c r="H12" s="1">
        <f>LOOKUP(G12,{0,123,128,133,138,143,148,151,154,157,160,163,166,169,172,175,178,185,192,198,204},{0,10,20,30,40,50,60,62,64,66,68,70,72,74,76,78,80,85,90,95,100})</f>
        <v>95</v>
      </c>
      <c r="I12" s="15">
        <v>43</v>
      </c>
      <c r="J12" s="1">
        <f>LOOKUP(I12,{0,13,15,17,19,21,23,25,27,29,31,33,35,37,39,41,43,46,49,51,53},{0,10,20,30,40,50,60,62,64,66,68,70,72,74,76,78,80,85,90,95,100})</f>
        <v>80</v>
      </c>
      <c r="K12" s="20"/>
      <c r="L12" s="20"/>
      <c r="M12" s="21">
        <f t="shared" si="0"/>
        <v>80</v>
      </c>
      <c r="N12" s="15">
        <v>8</v>
      </c>
      <c r="O12" s="19">
        <f t="shared" si="1"/>
        <v>5</v>
      </c>
      <c r="P12" s="1">
        <f>LOOKUP(O12,{0,1.4,1.6,1.8,2,2.2,2.4,2.6,2.8,3,3.2,3.4,3.6,3.8,4,4.2,4.4,4.7,5,5.1,5.2},{0,10,20,30,40,50,60,62,64,66,68,70,72,74,76,78,80,85,90,95,100})</f>
        <v>90</v>
      </c>
      <c r="Q12" s="15">
        <v>3.29</v>
      </c>
      <c r="R12" s="15">
        <f t="shared" si="2"/>
        <v>6.71</v>
      </c>
      <c r="S12" s="1">
        <f>LOOKUP(R12,{0,4.7,4.8,4.9,5,5.5,5.6,5.65,5.7,5.75,5.8,5.85,5.9,5.95,6,6.45,6.5,6.57,6.64,6.7,6.76},{0,10,20,30,40,50,60,62,64,66,68,70,72,74,76,78,80,85,90,95,100})</f>
        <v>95</v>
      </c>
      <c r="T12" s="20"/>
      <c r="U12" s="20"/>
      <c r="V12" s="21">
        <f t="shared" si="3"/>
        <v>95</v>
      </c>
      <c r="W12" s="15"/>
      <c r="X12" s="21">
        <f t="shared" si="4"/>
        <v>62.3</v>
      </c>
      <c r="Y12" s="21">
        <f t="shared" si="5"/>
        <v>89</v>
      </c>
    </row>
    <row r="13" ht="15.6" hidden="1" outlineLevel="2" spans="1:25">
      <c r="A13" s="15">
        <v>101</v>
      </c>
      <c r="B13" s="15">
        <v>42</v>
      </c>
      <c r="C13" s="14" t="s">
        <v>59</v>
      </c>
      <c r="D13" s="14" t="s">
        <v>46</v>
      </c>
      <c r="E13" s="15">
        <v>17</v>
      </c>
      <c r="F13" s="1">
        <f>LOOKUP(E13,{0,0.4,1.2,2,2.8,3.6,4.4,5.7,7,8.3,9.6,10.9,12.2,13.5,14.8,16.1,17.4,19.1,20.8,22.5,24.2},{0,10,20,30,40,50,60,62,64,66,68,70,72,74,76,78,80,85,90,95,100})</f>
        <v>78</v>
      </c>
      <c r="G13" s="15">
        <v>200</v>
      </c>
      <c r="H13" s="1">
        <f>LOOKUP(G13,{0,123,128,133,138,143,148,151,154,157,160,163,166,169,172,175,178,185,192,198,204},{0,10,20,30,40,50,60,62,64,66,68,70,72,74,76,78,80,85,90,95,100})</f>
        <v>95</v>
      </c>
      <c r="I13" s="15">
        <v>50</v>
      </c>
      <c r="J13" s="1">
        <f>LOOKUP(I13,{0,13,15,17,19,21,23,25,27,29,31,33,35,37,39,41,43,46,49,51,53},{0,10,20,30,40,50,60,62,64,66,68,70,72,74,76,78,80,85,90,95,100})</f>
        <v>90</v>
      </c>
      <c r="K13" s="20"/>
      <c r="L13" s="20"/>
      <c r="M13" s="21">
        <f t="shared" si="0"/>
        <v>90</v>
      </c>
      <c r="N13" s="15">
        <v>8.5</v>
      </c>
      <c r="O13" s="19">
        <f t="shared" si="1"/>
        <v>4.5</v>
      </c>
      <c r="P13" s="1">
        <f>LOOKUP(O13,{0,1.4,1.6,1.8,2,2.2,2.4,2.6,2.8,3,3.2,3.4,3.6,3.8,4,4.2,4.4,4.7,5,5.1,5.2},{0,10,20,30,40,50,60,62,64,66,68,70,72,74,76,78,80,85,90,95,100})</f>
        <v>80</v>
      </c>
      <c r="Q13" s="15">
        <v>3.19</v>
      </c>
      <c r="R13" s="15">
        <f t="shared" si="2"/>
        <v>6.81</v>
      </c>
      <c r="S13" s="1">
        <f>LOOKUP(R13,{0,4.7,4.8,4.9,5,5.5,5.6,5.65,5.7,5.75,5.8,5.85,5.9,5.95,6,6.45,6.5,6.57,6.64,6.7,6.76},{0,10,20,30,40,50,60,62,64,66,68,70,72,74,76,78,80,85,90,95,100})</f>
        <v>100</v>
      </c>
      <c r="T13" s="24">
        <f t="shared" ref="T13:T15" si="8">3.24-Q13</f>
        <v>0.0500000000000003</v>
      </c>
      <c r="U13" s="1">
        <f>LOOKUP(T13,{0,0.05,0.1,0.15,0.2,0.25,0.3,0.35,0.4,0.45,0.5},{0,1,2,3,4,5,6,7,8,9,10})</f>
        <v>1</v>
      </c>
      <c r="V13" s="21">
        <f t="shared" si="3"/>
        <v>101</v>
      </c>
      <c r="W13" s="15"/>
      <c r="X13" s="21">
        <f t="shared" si="4"/>
        <v>62.3</v>
      </c>
      <c r="Y13" s="21">
        <f t="shared" si="5"/>
        <v>90</v>
      </c>
    </row>
    <row r="14" ht="15.6" hidden="1" outlineLevel="2" spans="1:25">
      <c r="A14" s="15">
        <v>101</v>
      </c>
      <c r="B14" s="15">
        <v>43</v>
      </c>
      <c r="C14" s="14" t="s">
        <v>60</v>
      </c>
      <c r="D14" s="14" t="s">
        <v>46</v>
      </c>
      <c r="E14" s="15">
        <v>27.1</v>
      </c>
      <c r="F14" s="1">
        <f>LOOKUP(E14,{0,0.4,1.2,2,2.8,3.6,4.4,5.7,7,8.3,9.6,10.9,12.2,13.5,14.8,16.1,17.4,19.1,20.8,22.5,24.2},{0,10,20,30,40,50,60,62,64,66,68,70,72,74,76,78,80,85,90,95,100})</f>
        <v>100</v>
      </c>
      <c r="G14" s="15">
        <v>184</v>
      </c>
      <c r="H14" s="1">
        <f>LOOKUP(G14,{0,123,128,133,138,143,148,151,154,157,160,163,166,169,172,175,178,185,192,198,204},{0,10,20,30,40,50,60,62,64,66,68,70,72,74,76,78,80,85,90,95,100})</f>
        <v>80</v>
      </c>
      <c r="I14" s="15">
        <v>43</v>
      </c>
      <c r="J14" s="1">
        <f>LOOKUP(I14,{0,13,15,17,19,21,23,25,27,29,31,33,35,37,39,41,43,46,49,51,53},{0,10,20,30,40,50,60,62,64,66,68,70,72,74,76,78,80,85,90,95,100})</f>
        <v>80</v>
      </c>
      <c r="K14" s="20"/>
      <c r="L14" s="20"/>
      <c r="M14" s="21">
        <f t="shared" si="0"/>
        <v>80</v>
      </c>
      <c r="N14" s="15">
        <v>8.2</v>
      </c>
      <c r="O14" s="19">
        <f t="shared" si="1"/>
        <v>4.8</v>
      </c>
      <c r="P14" s="1">
        <f>LOOKUP(O14,{0,1.4,1.6,1.8,2,2.2,2.4,2.6,2.8,3,3.2,3.4,3.6,3.8,4,4.2,4.4,4.7,5,5.1,5.2},{0,10,20,30,40,50,60,62,64,66,68,70,72,74,76,78,80,85,90,95,100})</f>
        <v>85</v>
      </c>
      <c r="Q14" s="15">
        <v>3.2</v>
      </c>
      <c r="R14" s="15">
        <f t="shared" si="2"/>
        <v>6.8</v>
      </c>
      <c r="S14" s="1">
        <f>LOOKUP(R14,{0,4.7,4.8,4.9,5,5.5,5.6,5.65,5.7,5.75,5.8,5.85,5.9,5.95,6,6.45,6.5,6.57,6.64,6.7,6.76},{0,10,20,30,40,50,60,62,64,66,68,70,72,74,76,78,80,85,90,95,100})</f>
        <v>100</v>
      </c>
      <c r="T14" s="24">
        <f t="shared" si="8"/>
        <v>0.04</v>
      </c>
      <c r="U14" s="1">
        <f>LOOKUP(T14,{0,0.05,0.1,0.15,0.2,0.25,0.3,0.35,0.4,0.45,0.5},{0,1,2,3,4,5,6,7,8,9,10})</f>
        <v>0</v>
      </c>
      <c r="V14" s="21">
        <f t="shared" si="3"/>
        <v>100</v>
      </c>
      <c r="W14" s="15"/>
      <c r="X14" s="21">
        <f t="shared" si="4"/>
        <v>63</v>
      </c>
      <c r="Y14" s="21">
        <f t="shared" si="5"/>
        <v>90</v>
      </c>
    </row>
    <row r="15" ht="15.6" hidden="1" outlineLevel="2" spans="1:25">
      <c r="A15" s="15">
        <v>101</v>
      </c>
      <c r="B15" s="15">
        <v>44</v>
      </c>
      <c r="C15" s="14" t="s">
        <v>61</v>
      </c>
      <c r="D15" s="14" t="s">
        <v>46</v>
      </c>
      <c r="E15" s="15">
        <v>18.9</v>
      </c>
      <c r="F15" s="1">
        <f>LOOKUP(E15,{0,0.4,1.2,2,2.8,3.6,4.4,5.7,7,8.3,9.6,10.9,12.2,13.5,14.8,16.1,17.4,19.1,20.8,22.5,24.2},{0,10,20,30,40,50,60,62,64,66,68,70,72,74,76,78,80,85,90,95,100})</f>
        <v>80</v>
      </c>
      <c r="G15" s="15">
        <v>178</v>
      </c>
      <c r="H15" s="1">
        <f>LOOKUP(G15,{0,123,128,133,138,143,148,151,154,157,160,163,166,169,172,175,178,185,192,198,204},{0,10,20,30,40,50,60,62,64,66,68,70,72,74,76,78,80,85,90,95,100})</f>
        <v>80</v>
      </c>
      <c r="I15" s="15">
        <v>54</v>
      </c>
      <c r="J15" s="1">
        <f>LOOKUP(I15,{0,13,15,17,19,21,23,25,27,29,31,33,35,37,39,41,43,46,49,51,53},{0,10,20,30,40,50,60,62,64,66,68,70,72,74,76,78,80,85,90,95,100})</f>
        <v>100</v>
      </c>
      <c r="K15" s="20">
        <f>I15-53</f>
        <v>1</v>
      </c>
      <c r="L15" s="1">
        <f>LOOKUP(K15,{0,2,4,6,7,8,9,10,11,12,13},{0,1,2,3,4,5,6,7,8,9,10})</f>
        <v>0</v>
      </c>
      <c r="M15" s="21">
        <f t="shared" si="0"/>
        <v>100</v>
      </c>
      <c r="N15" s="15">
        <v>8.6</v>
      </c>
      <c r="O15" s="19">
        <f t="shared" si="1"/>
        <v>4.4</v>
      </c>
      <c r="P15" s="1">
        <f>LOOKUP(O15,{0,1.4,1.6,1.8,2,2.2,2.4,2.6,2.8,3,3.2,3.4,3.6,3.8,4,4.2,4.4,4.7,5,5.1,5.2},{0,10,20,30,40,50,60,62,64,66,68,70,72,74,76,78,80,85,90,95,100})</f>
        <v>80</v>
      </c>
      <c r="Q15" s="15">
        <v>3.19</v>
      </c>
      <c r="R15" s="15">
        <f t="shared" si="2"/>
        <v>6.81</v>
      </c>
      <c r="S15" s="1">
        <f>LOOKUP(R15,{0,4.7,4.8,4.9,5,5.5,5.6,5.65,5.7,5.75,5.8,5.85,5.9,5.95,6,6.45,6.5,6.57,6.64,6.7,6.76},{0,10,20,30,40,50,60,62,64,66,68,70,72,74,76,78,80,85,90,95,100})</f>
        <v>100</v>
      </c>
      <c r="T15" s="24">
        <f t="shared" si="8"/>
        <v>0.0500000000000003</v>
      </c>
      <c r="U15" s="1">
        <f>LOOKUP(T15,{0,0.05,0.1,0.15,0.2,0.25,0.3,0.35,0.4,0.45,0.5},{0,1,2,3,4,5,6,7,8,9,10})</f>
        <v>1</v>
      </c>
      <c r="V15" s="21">
        <f t="shared" si="3"/>
        <v>101</v>
      </c>
      <c r="W15" s="15"/>
      <c r="X15" s="21">
        <f t="shared" si="4"/>
        <v>62</v>
      </c>
      <c r="Y15" s="21">
        <f t="shared" si="5"/>
        <v>89.5714285714286</v>
      </c>
    </row>
    <row r="16" ht="15.6" hidden="1" outlineLevel="2" spans="1:25">
      <c r="A16" s="15">
        <v>101</v>
      </c>
      <c r="B16" s="15">
        <v>45</v>
      </c>
      <c r="C16" s="14" t="s">
        <v>62</v>
      </c>
      <c r="D16" s="14" t="s">
        <v>46</v>
      </c>
      <c r="E16" s="15">
        <v>17.5</v>
      </c>
      <c r="F16" s="1">
        <f>LOOKUP(E16,{0,0.4,1.2,2,2.8,3.6,4.4,5.7,7,8.3,9.6,10.9,12.2,13.5,14.8,16.1,17.4,19.1,20.8,22.5,24.2},{0,10,20,30,40,50,60,62,64,66,68,70,72,74,76,78,80,85,90,95,100})</f>
        <v>80</v>
      </c>
      <c r="G16" s="15">
        <v>185</v>
      </c>
      <c r="H16" s="1">
        <f>LOOKUP(G16,{0,123,128,133,138,143,148,151,154,157,160,163,166,169,172,175,178,185,192,198,204},{0,10,20,30,40,50,60,62,64,66,68,70,72,74,76,78,80,85,90,95,100})</f>
        <v>85</v>
      </c>
      <c r="I16" s="15">
        <v>52</v>
      </c>
      <c r="J16" s="1">
        <f>LOOKUP(I16,{0,13,15,17,19,21,23,25,27,29,31,33,35,37,39,41,43,46,49,51,53},{0,10,20,30,40,50,60,62,64,66,68,70,72,74,76,78,80,85,90,95,100})</f>
        <v>95</v>
      </c>
      <c r="K16" s="20"/>
      <c r="L16" s="20"/>
      <c r="M16" s="21">
        <f t="shared" si="0"/>
        <v>95</v>
      </c>
      <c r="N16" s="15">
        <v>8.7</v>
      </c>
      <c r="O16" s="19">
        <f t="shared" si="1"/>
        <v>4.3</v>
      </c>
      <c r="P16" s="1">
        <f>LOOKUP(O16,{0,1.4,1.6,1.8,2,2.2,2.4,2.6,2.8,3,3.2,3.4,3.6,3.8,4,4.2,4.4,4.7,5,5.1,5.2},{0,10,20,30,40,50,60,62,64,66,68,70,72,74,76,78,80,85,90,95,100})</f>
        <v>78</v>
      </c>
      <c r="Q16" s="15">
        <v>3.31</v>
      </c>
      <c r="R16" s="15">
        <f t="shared" si="2"/>
        <v>6.69</v>
      </c>
      <c r="S16" s="1">
        <f>LOOKUP(R16,{0,4.7,4.8,4.9,5,5.5,5.6,5.65,5.7,5.75,5.8,5.85,5.9,5.95,6,6.45,6.5,6.57,6.64,6.7,6.76},{0,10,20,30,40,50,60,62,64,66,68,70,72,74,76,78,80,85,90,95,100})</f>
        <v>90</v>
      </c>
      <c r="T16" s="20"/>
      <c r="U16" s="20"/>
      <c r="V16" s="21">
        <f t="shared" si="3"/>
        <v>90</v>
      </c>
      <c r="W16" s="15"/>
      <c r="X16" s="21">
        <f t="shared" si="4"/>
        <v>59.6</v>
      </c>
      <c r="Y16" s="21">
        <f t="shared" si="5"/>
        <v>85.1428571428572</v>
      </c>
    </row>
    <row r="17" s="3" customFormat="1" ht="15.6" hidden="1" outlineLevel="2" spans="1:25">
      <c r="A17" s="15">
        <v>101</v>
      </c>
      <c r="B17" s="15">
        <v>46</v>
      </c>
      <c r="C17" s="14" t="s">
        <v>63</v>
      </c>
      <c r="D17" s="14" t="s">
        <v>46</v>
      </c>
      <c r="E17" s="15">
        <v>21.1</v>
      </c>
      <c r="F17" s="1">
        <f>LOOKUP(E17,{0,0.4,1.2,2,2.8,3.6,4.4,5.7,7,8.3,9.6,10.9,12.2,13.5,14.8,16.1,17.4,19.1,20.8,22.5,24.2},{0,10,20,30,40,50,60,62,64,66,68,70,72,74,76,78,80,85,90,95,100})</f>
        <v>90</v>
      </c>
      <c r="G17" s="15">
        <v>173</v>
      </c>
      <c r="H17" s="1">
        <f>LOOKUP(G17,{0,123,128,133,138,143,148,151,154,157,160,163,166,169,172,175,178,185,192,198,204},{0,10,20,30,40,50,60,62,64,66,68,70,72,74,76,78,80,85,90,95,100})</f>
        <v>76</v>
      </c>
      <c r="I17" s="15">
        <v>42</v>
      </c>
      <c r="J17" s="1">
        <f>LOOKUP(I17,{0,13,15,17,19,21,23,25,27,29,31,33,35,37,39,41,43,46,49,51,53},{0,10,20,30,40,50,60,62,64,66,68,70,72,74,76,78,80,85,90,95,100})</f>
        <v>78</v>
      </c>
      <c r="K17" s="20"/>
      <c r="L17" s="20"/>
      <c r="M17" s="21">
        <f t="shared" si="0"/>
        <v>78</v>
      </c>
      <c r="N17" s="15">
        <v>8.3</v>
      </c>
      <c r="O17" s="19">
        <f t="shared" si="1"/>
        <v>4.7</v>
      </c>
      <c r="P17" s="1">
        <f>LOOKUP(O17,{0,1.4,1.6,1.8,2,2.2,2.4,2.6,2.8,3,3.2,3.4,3.6,3.8,4,4.2,4.4,4.7,5,5.1,5.2},{0,10,20,30,40,50,60,62,64,66,68,70,72,74,76,78,80,85,90,95,100})</f>
        <v>85</v>
      </c>
      <c r="Q17" s="15">
        <v>4.01</v>
      </c>
      <c r="R17" s="15">
        <f t="shared" si="2"/>
        <v>5.99</v>
      </c>
      <c r="S17" s="1">
        <f>LOOKUP(R17,{0,4.7,4.8,4.9,5,5.5,5.6,5.65,5.7,5.75,5.8,5.85,5.9,5.95,6,6.45,6.5,6.57,6.64,6.7,6.76},{0,10,20,30,40,50,60,62,64,66,68,70,72,74,76,78,80,85,90,95,100})</f>
        <v>74</v>
      </c>
      <c r="T17" s="20"/>
      <c r="U17" s="20"/>
      <c r="V17" s="21">
        <f t="shared" si="3"/>
        <v>74</v>
      </c>
      <c r="W17" s="15"/>
      <c r="X17" s="21">
        <f t="shared" si="4"/>
        <v>56.2</v>
      </c>
      <c r="Y17" s="21">
        <f t="shared" si="5"/>
        <v>80.2857142857143</v>
      </c>
    </row>
    <row r="18" s="3" customFormat="1" ht="15.6" outlineLevel="1" collapsed="1" spans="1:25">
      <c r="A18" s="16" t="s">
        <v>842</v>
      </c>
      <c r="B18" s="15"/>
      <c r="C18" s="14"/>
      <c r="D18" s="14"/>
      <c r="E18" s="15"/>
      <c r="F18" s="1">
        <f>SUBTOTAL(1,F2:F17)</f>
        <v>83.5333333333333</v>
      </c>
      <c r="G18" s="15"/>
      <c r="H18" s="1">
        <f>SUBTOTAL(1,H2:H17)</f>
        <v>83.4</v>
      </c>
      <c r="I18" s="15"/>
      <c r="J18" s="1">
        <f>SUBTOTAL(1,J2:J17)</f>
        <v>88.9333333333333</v>
      </c>
      <c r="K18" s="20"/>
      <c r="L18" s="20"/>
      <c r="M18" s="21">
        <f>SUBTOTAL(1,M2:M17)</f>
        <v>89</v>
      </c>
      <c r="N18" s="15"/>
      <c r="O18" s="19"/>
      <c r="P18" s="1">
        <f>SUBTOTAL(1,P2:P17)</f>
        <v>81.3333333333333</v>
      </c>
      <c r="Q18" s="15"/>
      <c r="R18" s="15"/>
      <c r="S18" s="1">
        <f>SUBTOTAL(1,S2:S17)</f>
        <v>90.8</v>
      </c>
      <c r="T18" s="20"/>
      <c r="U18" s="20"/>
      <c r="V18" s="21">
        <f>SUBTOTAL(1,V2:V17)</f>
        <v>91.2</v>
      </c>
      <c r="W18" s="15"/>
      <c r="X18" s="21">
        <f>SUBTOTAL(1,X2:X17)</f>
        <v>56.2625</v>
      </c>
      <c r="Y18" s="21">
        <f>SUBTOTAL(1,Y2:Y17)</f>
        <v>83.9375</v>
      </c>
    </row>
    <row r="19" ht="15.6" hidden="1" outlineLevel="2" spans="1:25">
      <c r="A19" s="15">
        <v>102</v>
      </c>
      <c r="B19" s="15">
        <v>32</v>
      </c>
      <c r="C19" s="13" t="s">
        <v>100</v>
      </c>
      <c r="D19" s="14" t="s">
        <v>46</v>
      </c>
      <c r="E19" s="15"/>
      <c r="F19" s="1"/>
      <c r="G19" s="15"/>
      <c r="H19" s="1"/>
      <c r="I19" s="15"/>
      <c r="J19" s="1"/>
      <c r="K19" s="20"/>
      <c r="L19" s="20"/>
      <c r="M19" s="21"/>
      <c r="N19" s="15"/>
      <c r="O19" s="19"/>
      <c r="P19" s="1"/>
      <c r="Q19" s="15"/>
      <c r="R19" s="15"/>
      <c r="S19" s="1"/>
      <c r="T19" s="24"/>
      <c r="U19" s="1"/>
      <c r="V19" s="21"/>
      <c r="W19" s="15" t="s">
        <v>84</v>
      </c>
      <c r="X19" s="21">
        <f t="shared" ref="X19:X33" si="9">F19*0.1+H19*0.1+J19*0.1+P19*0.2+S19*0.2</f>
        <v>0</v>
      </c>
      <c r="Y19" s="21">
        <v>50</v>
      </c>
    </row>
    <row r="20" ht="15.6" hidden="1" outlineLevel="2" spans="1:25">
      <c r="A20" s="15">
        <v>102</v>
      </c>
      <c r="B20" s="15">
        <v>33</v>
      </c>
      <c r="C20" s="14" t="s">
        <v>101</v>
      </c>
      <c r="D20" s="14" t="s">
        <v>46</v>
      </c>
      <c r="E20" s="15">
        <v>16</v>
      </c>
      <c r="F20" s="1">
        <f>LOOKUP(E20,{0,0.4,1.2,2,2.8,3.6,4.4,5.7,7,8.3,9.6,10.9,12.2,13.5,14.8,16.1,17.4,19.1,20.8,22.5,24.2},{0,10,20,30,40,50,60,62,64,66,68,70,72,74,76,78,80,85,90,95,100})</f>
        <v>76</v>
      </c>
      <c r="G20" s="15">
        <v>185</v>
      </c>
      <c r="H20" s="1">
        <f>LOOKUP(G20,{0,123,128,133,138,143,148,151,154,157,160,163,166,169,172,175,178,185,192,198,204},{0,10,20,30,40,50,60,62,64,66,68,70,72,74,76,78,80,85,90,95,100})</f>
        <v>85</v>
      </c>
      <c r="I20" s="15">
        <v>49</v>
      </c>
      <c r="J20" s="1">
        <f>LOOKUP(I20,{0,13,15,17,19,21,23,25,27,29,31,33,35,37,39,41,43,46,49,51,53},{0,10,20,30,40,50,60,62,64,66,68,70,72,74,76,78,80,85,90,95,100})</f>
        <v>90</v>
      </c>
      <c r="K20" s="20"/>
      <c r="L20" s="20"/>
      <c r="M20" s="21">
        <f t="shared" ref="M20:M33" si="10">J20+L20</f>
        <v>90</v>
      </c>
      <c r="N20" s="15">
        <v>8.4</v>
      </c>
      <c r="O20" s="19">
        <f t="shared" ref="O20:O22" si="11">13-N20</f>
        <v>4.6</v>
      </c>
      <c r="P20" s="1">
        <f>LOOKUP(O20,{0,1.4,1.6,1.8,2,2.2,2.4,2.6,2.8,3,3.2,3.4,3.6,3.8,4,4.2,4.4,4.7,5,5.1,5.2},{0,10,20,30,40,50,60,62,64,66,68,70,72,74,76,78,80,85,90,95,100})</f>
        <v>80</v>
      </c>
      <c r="Q20" s="15">
        <v>3.15</v>
      </c>
      <c r="R20" s="15">
        <f t="shared" ref="R20:R33" si="12">10-Q20</f>
        <v>6.85</v>
      </c>
      <c r="S20" s="1">
        <f>LOOKUP(R20,{0,4.7,4.8,4.9,5,5.5,5.6,5.65,5.7,5.75,5.8,5.85,5.9,5.95,6,6.45,6.5,6.57,6.64,6.7,6.76},{0,10,20,30,40,50,60,62,64,66,68,70,72,74,76,78,80,85,90,95,100})</f>
        <v>100</v>
      </c>
      <c r="T20" s="24">
        <f t="shared" ref="T20:T23" si="13">3.24-Q20</f>
        <v>0.0900000000000003</v>
      </c>
      <c r="U20" s="1">
        <f>LOOKUP(T20,{0,0.05,0.1,0.15,0.2,0.25,0.3,0.35,0.4,0.45,0.5},{0,1,2,3,4,5,6,7,8,9,10})</f>
        <v>1</v>
      </c>
      <c r="V20" s="21">
        <f t="shared" ref="V20:V33" si="14">S20+U20</f>
        <v>101</v>
      </c>
      <c r="W20" s="15"/>
      <c r="X20" s="21">
        <f t="shared" si="9"/>
        <v>61.1</v>
      </c>
      <c r="Y20" s="21">
        <f t="shared" ref="Y20:Y33" si="15">X20/0.7+L20+U20</f>
        <v>88.2857142857143</v>
      </c>
    </row>
    <row r="21" ht="15.6" hidden="1" outlineLevel="2" spans="1:25">
      <c r="A21" s="15">
        <v>102</v>
      </c>
      <c r="B21" s="15">
        <v>34</v>
      </c>
      <c r="C21" s="14" t="s">
        <v>102</v>
      </c>
      <c r="D21" s="14" t="s">
        <v>46</v>
      </c>
      <c r="E21" s="15">
        <v>27</v>
      </c>
      <c r="F21" s="1">
        <f>LOOKUP(E21,{0,0.4,1.2,2,2.8,3.6,4.4,5.7,7,8.3,9.6,10.9,12.2,13.5,14.8,16.1,17.4,19.1,20.8,22.5,24.2},{0,10,20,30,40,50,60,62,64,66,68,70,72,74,76,78,80,85,90,95,100})</f>
        <v>100</v>
      </c>
      <c r="G21" s="15">
        <v>214</v>
      </c>
      <c r="H21" s="1">
        <f>LOOKUP(G21,{0,123,128,133,138,143,148,151,154,157,160,163,166,169,172,175,178,185,192,198,204},{0,10,20,30,40,50,60,62,64,66,68,70,72,74,76,78,80,85,90,95,100})</f>
        <v>100</v>
      </c>
      <c r="I21" s="15">
        <v>51</v>
      </c>
      <c r="J21" s="1">
        <f>LOOKUP(I21,{0,13,15,17,19,21,23,25,27,29,31,33,35,37,39,41,43,46,49,51,53},{0,10,20,30,40,50,60,62,64,66,68,70,72,74,76,78,80,85,90,95,100})</f>
        <v>95</v>
      </c>
      <c r="K21" s="20"/>
      <c r="L21" s="20"/>
      <c r="M21" s="21">
        <f t="shared" si="10"/>
        <v>95</v>
      </c>
      <c r="N21" s="15">
        <v>8.6</v>
      </c>
      <c r="O21" s="19">
        <f t="shared" si="11"/>
        <v>4.4</v>
      </c>
      <c r="P21" s="1">
        <f>LOOKUP(O21,{0,1.4,1.6,1.8,2,2.2,2.4,2.6,2.8,3,3.2,3.4,3.6,3.8,4,4.2,4.4,4.7,5,5.1,5.2},{0,10,20,30,40,50,60,62,64,66,68,70,72,74,76,78,80,85,90,95,100})</f>
        <v>80</v>
      </c>
      <c r="Q21" s="15">
        <v>3.23</v>
      </c>
      <c r="R21" s="15">
        <f t="shared" si="12"/>
        <v>6.77</v>
      </c>
      <c r="S21" s="1">
        <f>LOOKUP(R21,{0,4.7,4.8,4.9,5,5.5,5.6,5.65,5.7,5.75,5.8,5.85,5.9,5.95,6,6.45,6.5,6.57,6.64,6.7,6.76},{0,10,20,30,40,50,60,62,64,66,68,70,72,74,76,78,80,85,90,95,100})</f>
        <v>100</v>
      </c>
      <c r="T21" s="24">
        <f t="shared" si="13"/>
        <v>0.0100000000000002</v>
      </c>
      <c r="U21" s="1">
        <f>LOOKUP(T21,{0,0.05,0.1,0.15,0.2,0.25,0.3,0.35,0.4,0.45,0.5},{0,1,2,3,4,5,6,7,8,9,10})</f>
        <v>0</v>
      </c>
      <c r="V21" s="21">
        <f t="shared" si="14"/>
        <v>100</v>
      </c>
      <c r="W21" s="15"/>
      <c r="X21" s="21">
        <f t="shared" si="9"/>
        <v>65.5</v>
      </c>
      <c r="Y21" s="21">
        <f t="shared" si="15"/>
        <v>93.5714285714286</v>
      </c>
    </row>
    <row r="22" ht="15.6" hidden="1" outlineLevel="2" spans="1:25">
      <c r="A22" s="15">
        <v>102</v>
      </c>
      <c r="B22" s="15">
        <v>35</v>
      </c>
      <c r="C22" s="14" t="s">
        <v>103</v>
      </c>
      <c r="D22" s="14" t="s">
        <v>46</v>
      </c>
      <c r="E22" s="15">
        <v>6.4</v>
      </c>
      <c r="F22" s="1">
        <f>LOOKUP(E22,{0,0.4,1.2,2,2.8,3.6,4.4,5.7,7,8.3,9.6,10.9,12.2,13.5,14.8,16.1,17.4,19.1,20.8,22.5,24.2},{0,10,20,30,40,50,60,62,64,66,68,70,72,74,76,78,80,85,90,95,100})</f>
        <v>62</v>
      </c>
      <c r="G22" s="15">
        <v>178</v>
      </c>
      <c r="H22" s="1">
        <f>LOOKUP(G22,{0,123,128,133,138,143,148,151,154,157,160,163,166,169,172,175,178,185,192,198,204},{0,10,20,30,40,50,60,62,64,66,68,70,72,74,76,78,80,85,90,95,100})</f>
        <v>80</v>
      </c>
      <c r="I22" s="15">
        <v>41</v>
      </c>
      <c r="J22" s="1">
        <f>LOOKUP(I22,{0,13,15,17,19,21,23,25,27,29,31,33,35,37,39,41,43,46,49,51,53},{0,10,20,30,40,50,60,62,64,66,68,70,72,74,76,78,80,85,90,95,100})</f>
        <v>78</v>
      </c>
      <c r="K22" s="20"/>
      <c r="L22" s="20"/>
      <c r="M22" s="21">
        <f t="shared" si="10"/>
        <v>78</v>
      </c>
      <c r="N22" s="15">
        <v>9.4</v>
      </c>
      <c r="O22" s="19">
        <f t="shared" si="11"/>
        <v>3.6</v>
      </c>
      <c r="P22" s="1">
        <f>LOOKUP(O22,{0,1.4,1.6,1.8,2,2.2,2.4,2.6,2.8,3,3.2,3.4,3.6,3.8,4,4.2,4.4,4.7,5,5.1,5.2},{0,10,20,30,40,50,60,62,64,66,68,70,72,74,76,78,80,85,90,95,100})</f>
        <v>72</v>
      </c>
      <c r="Q22" s="15">
        <v>3.49</v>
      </c>
      <c r="R22" s="15">
        <f t="shared" si="12"/>
        <v>6.51</v>
      </c>
      <c r="S22" s="1">
        <f>LOOKUP(R22,{0,4.7,4.8,4.9,5,5.5,5.6,5.65,5.7,5.75,5.8,5.85,5.9,5.95,6,6.45,6.5,6.57,6.64,6.7,6.76},{0,10,20,30,40,50,60,62,64,66,68,70,72,74,76,78,80,85,90,95,100})</f>
        <v>80</v>
      </c>
      <c r="T22" s="20"/>
      <c r="U22" s="20"/>
      <c r="V22" s="21">
        <f t="shared" si="14"/>
        <v>80</v>
      </c>
      <c r="W22" s="15"/>
      <c r="X22" s="21">
        <f t="shared" si="9"/>
        <v>52.4</v>
      </c>
      <c r="Y22" s="21">
        <f t="shared" si="15"/>
        <v>74.8571428571429</v>
      </c>
    </row>
    <row r="23" s="3" customFormat="1" ht="15.6" hidden="1" outlineLevel="2" spans="1:25">
      <c r="A23" s="15">
        <v>102</v>
      </c>
      <c r="B23" s="15">
        <v>36</v>
      </c>
      <c r="C23" s="14" t="s">
        <v>104</v>
      </c>
      <c r="D23" s="14" t="s">
        <v>46</v>
      </c>
      <c r="E23" s="15">
        <v>17.5</v>
      </c>
      <c r="F23" s="1">
        <f>LOOKUP(E23,{0,0.4,1.2,2,2.8,3.6,4.4,5.7,7,8.3,9.6,10.9,12.2,13.5,14.8,16.1,17.4,19.1,20.8,22.5,24.2},{0,10,20,30,40,50,60,62,64,66,68,70,72,74,76,78,80,85,90,95,100})</f>
        <v>80</v>
      </c>
      <c r="G23" s="15">
        <v>210</v>
      </c>
      <c r="H23" s="1">
        <f>LOOKUP(G23,{0,123,128,133,138,143,148,151,154,157,160,163,166,169,172,175,178,185,192,198,204},{0,10,20,30,40,50,60,62,64,66,68,70,72,74,76,78,80,85,90,95,100})</f>
        <v>100</v>
      </c>
      <c r="I23" s="15">
        <v>50</v>
      </c>
      <c r="J23" s="1">
        <f>LOOKUP(I23,{0,13,15,17,19,21,23,25,27,29,31,33,35,37,39,41,43,46,49,51,53},{0,10,20,30,40,50,60,62,64,66,68,70,72,74,76,78,80,85,90,95,100})</f>
        <v>90</v>
      </c>
      <c r="K23" s="20"/>
      <c r="L23" s="20"/>
      <c r="M23" s="21">
        <f t="shared" si="10"/>
        <v>90</v>
      </c>
      <c r="N23" s="15"/>
      <c r="O23" s="19"/>
      <c r="P23" s="1"/>
      <c r="Q23" s="15">
        <v>3.1</v>
      </c>
      <c r="R23" s="15">
        <f t="shared" si="12"/>
        <v>6.9</v>
      </c>
      <c r="S23" s="1">
        <f>LOOKUP(R23,{0,4.7,4.8,4.9,5,5.5,5.6,5.65,5.7,5.75,5.8,5.85,5.9,5.95,6,6.45,6.5,6.57,6.64,6.7,6.76},{0,10,20,30,40,50,60,62,64,66,68,70,72,74,76,78,80,85,90,95,100})</f>
        <v>100</v>
      </c>
      <c r="T23" s="24">
        <f t="shared" si="13"/>
        <v>0.14</v>
      </c>
      <c r="U23" s="1">
        <f>LOOKUP(T23,{0,0.05,0.1,0.15,0.2,0.25,0.3,0.35,0.4,0.45,0.5},{0,1,2,3,4,5,6,7,8,9,10})</f>
        <v>2</v>
      </c>
      <c r="V23" s="21">
        <f t="shared" si="14"/>
        <v>102</v>
      </c>
      <c r="W23" s="15"/>
      <c r="X23" s="21">
        <f t="shared" si="9"/>
        <v>47</v>
      </c>
      <c r="Y23" s="21">
        <f t="shared" si="15"/>
        <v>69.1428571428572</v>
      </c>
    </row>
    <row r="24" ht="15.6" hidden="1" outlineLevel="2" spans="1:25">
      <c r="A24" s="15">
        <v>102</v>
      </c>
      <c r="B24" s="15">
        <v>37</v>
      </c>
      <c r="C24" s="14" t="s">
        <v>105</v>
      </c>
      <c r="D24" s="14" t="s">
        <v>46</v>
      </c>
      <c r="E24" s="15">
        <v>15.2</v>
      </c>
      <c r="F24" s="1">
        <f>LOOKUP(E24,{0,0.4,1.2,2,2.8,3.6,4.4,5.7,7,8.3,9.6,10.9,12.2,13.5,14.8,16.1,17.4,19.1,20.8,22.5,24.2},{0,10,20,30,40,50,60,62,64,66,68,70,72,74,76,78,80,85,90,95,100})</f>
        <v>76</v>
      </c>
      <c r="G24" s="15">
        <v>210</v>
      </c>
      <c r="H24" s="1">
        <f>LOOKUP(G24,{0,123,128,133,138,143,148,151,154,157,160,163,166,169,172,175,178,185,192,198,204},{0,10,20,30,40,50,60,62,64,66,68,70,72,74,76,78,80,85,90,95,100})</f>
        <v>100</v>
      </c>
      <c r="I24" s="15">
        <v>50</v>
      </c>
      <c r="J24" s="1">
        <f>LOOKUP(I24,{0,13,15,17,19,21,23,25,27,29,31,33,35,37,39,41,43,46,49,51,53},{0,10,20,30,40,50,60,62,64,66,68,70,72,74,76,78,80,85,90,95,100})</f>
        <v>90</v>
      </c>
      <c r="K24" s="20"/>
      <c r="L24" s="20"/>
      <c r="M24" s="21">
        <f t="shared" si="10"/>
        <v>90</v>
      </c>
      <c r="N24" s="15">
        <v>7.9</v>
      </c>
      <c r="O24" s="19">
        <f t="shared" ref="O24:O33" si="16">13-N24</f>
        <v>5.1</v>
      </c>
      <c r="P24" s="1">
        <f>LOOKUP(O24,{0,1.4,1.6,1.8,2,2.2,2.4,2.6,2.8,3,3.2,3.4,3.6,3.8,4,4.2,4.4,4.7,5,5.1,5.2},{0,10,20,30,40,50,60,62,64,66,68,70,72,74,76,78,80,85,90,95,100})</f>
        <v>95</v>
      </c>
      <c r="Q24" s="15">
        <v>3.3</v>
      </c>
      <c r="R24" s="15">
        <f t="shared" si="12"/>
        <v>6.7</v>
      </c>
      <c r="S24" s="1">
        <f>LOOKUP(R24,{0,4.7,4.8,4.9,5,5.5,5.6,5.65,5.7,5.75,5.8,5.85,5.9,5.95,6,6.45,6.5,6.57,6.64,6.7,6.76},{0,10,20,30,40,50,60,62,64,66,68,70,72,74,76,78,80,85,90,95,100})</f>
        <v>95</v>
      </c>
      <c r="T24" s="20"/>
      <c r="U24" s="20"/>
      <c r="V24" s="21">
        <f t="shared" si="14"/>
        <v>95</v>
      </c>
      <c r="W24" s="15"/>
      <c r="X24" s="21">
        <f t="shared" si="9"/>
        <v>64.6</v>
      </c>
      <c r="Y24" s="21">
        <f t="shared" si="15"/>
        <v>92.2857142857143</v>
      </c>
    </row>
    <row r="25" ht="15.6" hidden="1" outlineLevel="2" spans="1:25">
      <c r="A25" s="15">
        <v>102</v>
      </c>
      <c r="B25" s="15">
        <v>38</v>
      </c>
      <c r="C25" s="14" t="s">
        <v>106</v>
      </c>
      <c r="D25" s="14" t="s">
        <v>46</v>
      </c>
      <c r="E25" s="15">
        <v>17.5</v>
      </c>
      <c r="F25" s="1">
        <f>LOOKUP(E25,{0,0.4,1.2,2,2.8,3.6,4.4,5.7,7,8.3,9.6,10.9,12.2,13.5,14.8,16.1,17.4,19.1,20.8,22.5,24.2},{0,10,20,30,40,50,60,62,64,66,68,70,72,74,76,78,80,85,90,95,100})</f>
        <v>80</v>
      </c>
      <c r="G25" s="15">
        <v>176</v>
      </c>
      <c r="H25" s="1">
        <f>LOOKUP(G25,{0,123,128,133,138,143,148,151,154,157,160,163,166,169,172,175,178,185,192,198,204},{0,10,20,30,40,50,60,62,64,66,68,70,72,74,76,78,80,85,90,95,100})</f>
        <v>78</v>
      </c>
      <c r="I25" s="15">
        <v>55</v>
      </c>
      <c r="J25" s="1">
        <f>LOOKUP(I25,{0,13,15,17,19,21,23,25,27,29,31,33,35,37,39,41,43,46,49,51,53},{0,10,20,30,40,50,60,62,64,66,68,70,72,74,76,78,80,85,90,95,100})</f>
        <v>100</v>
      </c>
      <c r="K25" s="20">
        <f>I25-53</f>
        <v>2</v>
      </c>
      <c r="L25" s="1">
        <f>LOOKUP(K25,{0,2,4,6,7,8,9,10,11,12,13},{0,1,2,3,4,5,6,7,8,9,10})</f>
        <v>1</v>
      </c>
      <c r="M25" s="21">
        <f t="shared" si="10"/>
        <v>101</v>
      </c>
      <c r="N25" s="15">
        <v>8.7</v>
      </c>
      <c r="O25" s="19">
        <f t="shared" si="16"/>
        <v>4.3</v>
      </c>
      <c r="P25" s="1">
        <f>LOOKUP(O25,{0,1.4,1.6,1.8,2,2.2,2.4,2.6,2.8,3,3.2,3.4,3.6,3.8,4,4.2,4.4,4.7,5,5.1,5.2},{0,10,20,30,40,50,60,62,64,66,68,70,72,74,76,78,80,85,90,95,100})</f>
        <v>78</v>
      </c>
      <c r="Q25" s="15">
        <v>3.09</v>
      </c>
      <c r="R25" s="15">
        <f t="shared" si="12"/>
        <v>6.91</v>
      </c>
      <c r="S25" s="1">
        <f>LOOKUP(R25,{0,4.7,4.8,4.9,5,5.5,5.6,5.65,5.7,5.75,5.8,5.85,5.9,5.95,6,6.45,6.5,6.57,6.64,6.7,6.76},{0,10,20,30,40,50,60,62,64,66,68,70,72,74,76,78,80,85,90,95,100})</f>
        <v>100</v>
      </c>
      <c r="T25" s="24">
        <f>3.24-Q25</f>
        <v>0.15</v>
      </c>
      <c r="U25" s="1">
        <f>LOOKUP(T25,{0,0.05,0.1,0.15,0.2,0.25,0.3,0.35,0.4,0.45,0.5},{0,1,2,3,4,5,6,7,8,9,10})</f>
        <v>3</v>
      </c>
      <c r="V25" s="21">
        <f t="shared" si="14"/>
        <v>103</v>
      </c>
      <c r="W25" s="15"/>
      <c r="X25" s="21">
        <f t="shared" si="9"/>
        <v>61.4</v>
      </c>
      <c r="Y25" s="21">
        <f t="shared" si="15"/>
        <v>91.7142857142857</v>
      </c>
    </row>
    <row r="26" ht="15.6" hidden="1" outlineLevel="2" spans="1:25">
      <c r="A26" s="15">
        <v>102</v>
      </c>
      <c r="B26" s="15">
        <v>39</v>
      </c>
      <c r="C26" s="14" t="s">
        <v>107</v>
      </c>
      <c r="D26" s="14" t="s">
        <v>46</v>
      </c>
      <c r="E26" s="15">
        <v>27</v>
      </c>
      <c r="F26" s="1">
        <f>LOOKUP(E26,{0,0.4,1.2,2,2.8,3.6,4.4,5.7,7,8.3,9.6,10.9,12.2,13.5,14.8,16.1,17.4,19.1,20.8,22.5,24.2},{0,10,20,30,40,50,60,62,64,66,68,70,72,74,76,78,80,85,90,95,100})</f>
        <v>100</v>
      </c>
      <c r="G26" s="15">
        <v>155</v>
      </c>
      <c r="H26" s="1">
        <f>LOOKUP(G26,{0,123,128,133,138,143,148,151,154,157,160,163,166,169,172,175,178,185,192,198,204},{0,10,20,30,40,50,60,62,64,66,68,70,72,74,76,78,80,85,90,95,100})</f>
        <v>64</v>
      </c>
      <c r="I26" s="15">
        <v>34</v>
      </c>
      <c r="J26" s="1">
        <f>LOOKUP(I26,{0,13,15,17,19,21,23,25,27,29,31,33,35,37,39,41,43,46,49,51,53},{0,10,20,30,40,50,60,62,64,66,68,70,72,74,76,78,80,85,90,95,100})</f>
        <v>70</v>
      </c>
      <c r="K26" s="20"/>
      <c r="L26" s="20"/>
      <c r="M26" s="21">
        <f t="shared" si="10"/>
        <v>70</v>
      </c>
      <c r="N26" s="15">
        <v>9.4</v>
      </c>
      <c r="O26" s="19">
        <f t="shared" si="16"/>
        <v>3.6</v>
      </c>
      <c r="P26" s="1">
        <f>LOOKUP(O26,{0,1.4,1.6,1.8,2,2.2,2.4,2.6,2.8,3,3.2,3.4,3.6,3.8,4,4.2,4.4,4.7,5,5.1,5.2},{0,10,20,30,40,50,60,62,64,66,68,70,72,74,76,78,80,85,90,95,100})</f>
        <v>72</v>
      </c>
      <c r="Q26" s="15">
        <v>3.48</v>
      </c>
      <c r="R26" s="15">
        <f t="shared" si="12"/>
        <v>6.52</v>
      </c>
      <c r="S26" s="1">
        <f>LOOKUP(R26,{0,4.7,4.8,4.9,5,5.5,5.6,5.65,5.7,5.75,5.8,5.85,5.9,5.95,6,6.45,6.5,6.57,6.64,6.7,6.76},{0,10,20,30,40,50,60,62,64,66,68,70,72,74,76,78,80,85,90,95,100})</f>
        <v>80</v>
      </c>
      <c r="T26" s="20"/>
      <c r="U26" s="20"/>
      <c r="V26" s="21">
        <f t="shared" si="14"/>
        <v>80</v>
      </c>
      <c r="W26" s="15"/>
      <c r="X26" s="21">
        <f t="shared" si="9"/>
        <v>53.8</v>
      </c>
      <c r="Y26" s="21">
        <f t="shared" si="15"/>
        <v>76.8571428571429</v>
      </c>
    </row>
    <row r="27" ht="15.6" hidden="1" outlineLevel="2" spans="1:25">
      <c r="A27" s="15">
        <v>102</v>
      </c>
      <c r="B27" s="15">
        <v>40</v>
      </c>
      <c r="C27" s="13" t="s">
        <v>109</v>
      </c>
      <c r="D27" s="14" t="s">
        <v>46</v>
      </c>
      <c r="E27" s="15">
        <v>22</v>
      </c>
      <c r="F27" s="1">
        <f>LOOKUP(E27,{0,0.4,1.2,2,2.8,3.6,4.4,5.7,7,8.3,9.6,10.9,12.2,13.5,14.8,16.1,17.4,19.1,20.8,22.5,24.2},{0,10,20,30,40,50,60,62,64,66,68,70,72,74,76,78,80,85,90,95,100})</f>
        <v>90</v>
      </c>
      <c r="G27" s="15">
        <v>200</v>
      </c>
      <c r="H27" s="1">
        <f>LOOKUP(G27,{0,123,128,133,138,143,148,151,154,157,160,163,166,169,172,175,178,185,192,198,204},{0,10,20,30,40,50,60,62,64,66,68,70,72,74,76,78,80,85,90,95,100})</f>
        <v>95</v>
      </c>
      <c r="I27" s="15">
        <v>44</v>
      </c>
      <c r="J27" s="1">
        <f>LOOKUP(I27,{0,13,15,17,19,21,23,25,27,29,31,33,35,37,39,41,43,46,49,51,53},{0,10,20,30,40,50,60,62,64,66,68,70,72,74,76,78,80,85,90,95,100})</f>
        <v>80</v>
      </c>
      <c r="K27" s="20"/>
      <c r="L27" s="20"/>
      <c r="M27" s="21">
        <f t="shared" si="10"/>
        <v>80</v>
      </c>
      <c r="N27" s="15">
        <v>7.9</v>
      </c>
      <c r="O27" s="19">
        <f t="shared" si="16"/>
        <v>5.1</v>
      </c>
      <c r="P27" s="1">
        <f>LOOKUP(O27,{0,1.4,1.6,1.8,2,2.2,2.4,2.6,2.8,3,3.2,3.4,3.6,3.8,4,4.2,4.4,4.7,5,5.1,5.2},{0,10,20,30,40,50,60,62,64,66,68,70,72,74,76,78,80,85,90,95,100})</f>
        <v>95</v>
      </c>
      <c r="Q27" s="15">
        <v>3.31</v>
      </c>
      <c r="R27" s="15">
        <f t="shared" si="12"/>
        <v>6.69</v>
      </c>
      <c r="S27" s="1">
        <f>LOOKUP(R27,{0,4.7,4.8,4.9,5,5.5,5.6,5.65,5.7,5.75,5.8,5.85,5.9,5.95,6,6.45,6.5,6.57,6.64,6.7,6.76},{0,10,20,30,40,50,60,62,64,66,68,70,72,74,76,78,80,85,90,95,100})</f>
        <v>90</v>
      </c>
      <c r="T27" s="20"/>
      <c r="U27" s="20"/>
      <c r="V27" s="21">
        <f t="shared" si="14"/>
        <v>90</v>
      </c>
      <c r="W27" s="15"/>
      <c r="X27" s="21">
        <f t="shared" si="9"/>
        <v>63.5</v>
      </c>
      <c r="Y27" s="21">
        <f t="shared" si="15"/>
        <v>90.7142857142857</v>
      </c>
    </row>
    <row r="28" ht="15.6" hidden="1" outlineLevel="2" spans="1:25">
      <c r="A28" s="15">
        <v>102</v>
      </c>
      <c r="B28" s="15">
        <v>41</v>
      </c>
      <c r="C28" s="14" t="s">
        <v>110</v>
      </c>
      <c r="D28" s="14" t="s">
        <v>46</v>
      </c>
      <c r="E28" s="15">
        <v>4</v>
      </c>
      <c r="F28" s="1">
        <f>LOOKUP(E28,{0,0.4,1.2,2,2.8,3.6,4.4,5.7,7,8.3,9.6,10.9,12.2,13.5,14.8,16.1,17.4,19.1,20.8,22.5,24.2},{0,10,20,30,40,50,60,62,64,66,68,70,72,74,76,78,80,85,90,95,100})</f>
        <v>50</v>
      </c>
      <c r="G28" s="15">
        <v>165</v>
      </c>
      <c r="H28" s="1">
        <f>LOOKUP(G28,{0,123,128,133,138,143,148,151,154,157,160,163,166,169,172,175,178,185,192,198,204},{0,10,20,30,40,50,60,62,64,66,68,70,72,74,76,78,80,85,90,95,100})</f>
        <v>70</v>
      </c>
      <c r="I28" s="15">
        <v>49</v>
      </c>
      <c r="J28" s="1">
        <f>LOOKUP(I28,{0,13,15,17,19,21,23,25,27,29,31,33,35,37,39,41,43,46,49,51,53},{0,10,20,30,40,50,60,62,64,66,68,70,72,74,76,78,80,85,90,95,100})</f>
        <v>90</v>
      </c>
      <c r="K28" s="20"/>
      <c r="L28" s="20"/>
      <c r="M28" s="21">
        <f t="shared" si="10"/>
        <v>90</v>
      </c>
      <c r="N28" s="15">
        <v>10.5</v>
      </c>
      <c r="O28" s="19">
        <f t="shared" si="16"/>
        <v>2.5</v>
      </c>
      <c r="P28" s="1">
        <f>LOOKUP(O28,{0,1.4,1.6,1.8,2,2.2,2.4,2.6,2.8,3,3.2,3.4,3.6,3.8,4,4.2,4.4,4.7,5,5.1,5.2},{0,10,20,30,40,50,60,62,64,66,68,70,72,74,76,78,80,85,90,95,100})</f>
        <v>60</v>
      </c>
      <c r="Q28" s="15">
        <v>4.07</v>
      </c>
      <c r="R28" s="15">
        <f t="shared" si="12"/>
        <v>5.93</v>
      </c>
      <c r="S28" s="1">
        <f>LOOKUP(R28,{0,4.7,4.8,4.9,5,5.5,5.6,5.65,5.7,5.75,5.8,5.85,5.9,5.95,6,6.45,6.5,6.57,6.64,6.7,6.76},{0,10,20,30,40,50,60,62,64,66,68,70,72,74,76,78,80,85,90,95,100})</f>
        <v>72</v>
      </c>
      <c r="T28" s="20"/>
      <c r="U28" s="20"/>
      <c r="V28" s="21">
        <f t="shared" si="14"/>
        <v>72</v>
      </c>
      <c r="W28" s="15"/>
      <c r="X28" s="21">
        <f t="shared" si="9"/>
        <v>47.4</v>
      </c>
      <c r="Y28" s="21">
        <f t="shared" si="15"/>
        <v>67.7142857142857</v>
      </c>
    </row>
    <row r="29" ht="15.6" hidden="1" outlineLevel="2" spans="1:25">
      <c r="A29" s="15">
        <v>102</v>
      </c>
      <c r="B29" s="15">
        <v>42</v>
      </c>
      <c r="C29" s="14" t="s">
        <v>111</v>
      </c>
      <c r="D29" s="14" t="s">
        <v>46</v>
      </c>
      <c r="E29" s="15">
        <v>22.6</v>
      </c>
      <c r="F29" s="1">
        <f>LOOKUP(E29,{0,0.4,1.2,2,2.8,3.6,4.4,5.7,7,8.3,9.6,10.9,12.2,13.5,14.8,16.1,17.4,19.1,20.8,22.5,24.2},{0,10,20,30,40,50,60,62,64,66,68,70,72,74,76,78,80,85,90,95,100})</f>
        <v>95</v>
      </c>
      <c r="G29" s="15">
        <v>170</v>
      </c>
      <c r="H29" s="1">
        <f>LOOKUP(G29,{0,123,128,133,138,143,148,151,154,157,160,163,166,169,172,175,178,185,192,198,204},{0,10,20,30,40,50,60,62,64,66,68,70,72,74,76,78,80,85,90,95,100})</f>
        <v>74</v>
      </c>
      <c r="I29" s="15">
        <v>49</v>
      </c>
      <c r="J29" s="1">
        <f>LOOKUP(I29,{0,13,15,17,19,21,23,25,27,29,31,33,35,37,39,41,43,46,49,51,53},{0,10,20,30,40,50,60,62,64,66,68,70,72,74,76,78,80,85,90,95,100})</f>
        <v>90</v>
      </c>
      <c r="K29" s="20"/>
      <c r="L29" s="20"/>
      <c r="M29" s="21">
        <f t="shared" si="10"/>
        <v>90</v>
      </c>
      <c r="N29" s="15">
        <v>8.8</v>
      </c>
      <c r="O29" s="19">
        <f t="shared" si="16"/>
        <v>4.2</v>
      </c>
      <c r="P29" s="1">
        <f>LOOKUP(O29,{0,1.4,1.6,1.8,2,2.2,2.4,2.6,2.8,3,3.2,3.4,3.6,3.8,4,4.2,4.4,4.7,5,5.1,5.2},{0,10,20,30,40,50,60,62,64,66,68,70,72,74,76,78,80,85,90,95,100})</f>
        <v>78</v>
      </c>
      <c r="Q29" s="15">
        <v>3.32</v>
      </c>
      <c r="R29" s="15">
        <f t="shared" si="12"/>
        <v>6.68</v>
      </c>
      <c r="S29" s="1">
        <f>LOOKUP(R29,{0,4.7,4.8,4.9,5,5.5,5.6,5.65,5.7,5.75,5.8,5.85,5.9,5.95,6,6.45,6.5,6.57,6.64,6.7,6.76},{0,10,20,30,40,50,60,62,64,66,68,70,72,74,76,78,80,85,90,95,100})</f>
        <v>90</v>
      </c>
      <c r="T29" s="20"/>
      <c r="U29" s="20"/>
      <c r="V29" s="21">
        <f t="shared" si="14"/>
        <v>90</v>
      </c>
      <c r="W29" s="15"/>
      <c r="X29" s="21">
        <f t="shared" si="9"/>
        <v>59.5</v>
      </c>
      <c r="Y29" s="21">
        <f t="shared" si="15"/>
        <v>85</v>
      </c>
    </row>
    <row r="30" ht="15.6" hidden="1" outlineLevel="2" spans="1:25">
      <c r="A30" s="15">
        <v>102</v>
      </c>
      <c r="B30" s="15">
        <v>43</v>
      </c>
      <c r="C30" s="14" t="s">
        <v>112</v>
      </c>
      <c r="D30" s="14" t="s">
        <v>46</v>
      </c>
      <c r="E30" s="15">
        <v>9.5</v>
      </c>
      <c r="F30" s="1">
        <f>LOOKUP(E30,{0,0.4,1.2,2,2.8,3.6,4.4,5.7,7,8.3,9.6,10.9,12.2,13.5,14.8,16.1,17.4,19.1,20.8,22.5,24.2},{0,10,20,30,40,50,60,62,64,66,68,70,72,74,76,78,80,85,90,95,100})</f>
        <v>66</v>
      </c>
      <c r="G30" s="15">
        <v>180</v>
      </c>
      <c r="H30" s="1">
        <f>LOOKUP(G30,{0,123,128,133,138,143,148,151,154,157,160,163,166,169,172,175,178,185,192,198,204},{0,10,20,30,40,50,60,62,64,66,68,70,72,74,76,78,80,85,90,95,100})</f>
        <v>80</v>
      </c>
      <c r="I30" s="15">
        <v>46</v>
      </c>
      <c r="J30" s="1">
        <f>LOOKUP(I30,{0,13,15,17,19,21,23,25,27,29,31,33,35,37,39,41,43,46,49,51,53},{0,10,20,30,40,50,60,62,64,66,68,70,72,74,76,78,80,85,90,95,100})</f>
        <v>85</v>
      </c>
      <c r="K30" s="20"/>
      <c r="L30" s="20"/>
      <c r="M30" s="21">
        <f t="shared" si="10"/>
        <v>85</v>
      </c>
      <c r="N30" s="15">
        <v>8.8</v>
      </c>
      <c r="O30" s="19">
        <f t="shared" si="16"/>
        <v>4.2</v>
      </c>
      <c r="P30" s="1">
        <f>LOOKUP(O30,{0,1.4,1.6,1.8,2,2.2,2.4,2.6,2.8,3,3.2,3.4,3.6,3.8,4,4.2,4.4,4.7,5,5.1,5.2},{0,10,20,30,40,50,60,62,64,66,68,70,72,74,76,78,80,85,90,95,100})</f>
        <v>78</v>
      </c>
      <c r="Q30" s="15">
        <v>3.43</v>
      </c>
      <c r="R30" s="15">
        <f t="shared" si="12"/>
        <v>6.57</v>
      </c>
      <c r="S30" s="1">
        <f>LOOKUP(R30,{0,4.7,4.8,4.9,5,5.5,5.6,5.65,5.7,5.75,5.8,5.85,5.9,5.95,6,6.45,6.5,6.57,6.64,6.7,6.76},{0,10,20,30,40,50,60,62,64,66,68,70,72,74,76,78,80,85,90,95,100})</f>
        <v>85</v>
      </c>
      <c r="T30" s="20"/>
      <c r="U30" s="20"/>
      <c r="V30" s="21">
        <f t="shared" si="14"/>
        <v>85</v>
      </c>
      <c r="W30" s="15"/>
      <c r="X30" s="21">
        <f t="shared" si="9"/>
        <v>55.7</v>
      </c>
      <c r="Y30" s="21">
        <f t="shared" si="15"/>
        <v>79.5714285714286</v>
      </c>
    </row>
    <row r="31" ht="15.6" hidden="1" outlineLevel="2" spans="1:25">
      <c r="A31" s="15">
        <v>102</v>
      </c>
      <c r="B31" s="15">
        <v>44</v>
      </c>
      <c r="C31" s="14" t="s">
        <v>113</v>
      </c>
      <c r="D31" s="14" t="s">
        <v>46</v>
      </c>
      <c r="E31" s="15">
        <v>25.7</v>
      </c>
      <c r="F31" s="1">
        <f>LOOKUP(E31,{0,0.4,1.2,2,2.8,3.6,4.4,5.7,7,8.3,9.6,10.9,12.2,13.5,14.8,16.1,17.4,19.1,20.8,22.5,24.2},{0,10,20,30,40,50,60,62,64,66,68,70,72,74,76,78,80,85,90,95,100})</f>
        <v>100</v>
      </c>
      <c r="G31" s="15">
        <v>185</v>
      </c>
      <c r="H31" s="1">
        <f>LOOKUP(G31,{0,123,128,133,138,143,148,151,154,157,160,163,166,169,172,175,178,185,192,198,204},{0,10,20,30,40,50,60,62,64,66,68,70,72,74,76,78,80,85,90,95,100})</f>
        <v>85</v>
      </c>
      <c r="I31" s="15">
        <v>46</v>
      </c>
      <c r="J31" s="1">
        <f>LOOKUP(I31,{0,13,15,17,19,21,23,25,27,29,31,33,35,37,39,41,43,46,49,51,53},{0,10,20,30,40,50,60,62,64,66,68,70,72,74,76,78,80,85,90,95,100})</f>
        <v>85</v>
      </c>
      <c r="K31" s="20"/>
      <c r="L31" s="20"/>
      <c r="M31" s="21">
        <f t="shared" si="10"/>
        <v>85</v>
      </c>
      <c r="N31" s="15">
        <v>8</v>
      </c>
      <c r="O31" s="19">
        <f t="shared" si="16"/>
        <v>5</v>
      </c>
      <c r="P31" s="1">
        <f>LOOKUP(O31,{0,1.4,1.6,1.8,2,2.2,2.4,2.6,2.8,3,3.2,3.4,3.6,3.8,4,4.2,4.4,4.7,5,5.1,5.2},{0,10,20,30,40,50,60,62,64,66,68,70,72,74,76,78,80,85,90,95,100})</f>
        <v>90</v>
      </c>
      <c r="Q31" s="15">
        <v>3.25</v>
      </c>
      <c r="R31" s="15">
        <f t="shared" si="12"/>
        <v>6.75</v>
      </c>
      <c r="S31" s="1">
        <f>LOOKUP(R31,{0,4.7,4.8,4.9,5,5.5,5.6,5.65,5.7,5.75,5.8,5.85,5.9,5.95,6,6.45,6.5,6.57,6.64,6.7,6.76},{0,10,20,30,40,50,60,62,64,66,68,70,72,74,76,78,80,85,90,95,100})</f>
        <v>95</v>
      </c>
      <c r="T31" s="20"/>
      <c r="U31" s="20"/>
      <c r="V31" s="21">
        <f t="shared" si="14"/>
        <v>95</v>
      </c>
      <c r="W31" s="15"/>
      <c r="X31" s="21">
        <f t="shared" si="9"/>
        <v>64</v>
      </c>
      <c r="Y31" s="21">
        <f t="shared" si="15"/>
        <v>91.4285714285714</v>
      </c>
    </row>
    <row r="32" ht="15.6" hidden="1" outlineLevel="2" spans="1:25">
      <c r="A32" s="15">
        <v>102</v>
      </c>
      <c r="B32" s="15">
        <v>45</v>
      </c>
      <c r="C32" s="14" t="s">
        <v>114</v>
      </c>
      <c r="D32" s="14" t="s">
        <v>46</v>
      </c>
      <c r="E32" s="15">
        <v>23.6</v>
      </c>
      <c r="F32" s="1">
        <f>LOOKUP(E32,{0,0.4,1.2,2,2.8,3.6,4.4,5.7,7,8.3,9.6,10.9,12.2,13.5,14.8,16.1,17.4,19.1,20.8,22.5,24.2},{0,10,20,30,40,50,60,62,64,66,68,70,72,74,76,78,80,85,90,95,100})</f>
        <v>95</v>
      </c>
      <c r="G32" s="15">
        <v>192</v>
      </c>
      <c r="H32" s="1">
        <f>LOOKUP(G32,{0,123,128,133,138,143,148,151,154,157,160,163,166,169,172,175,178,185,192,198,204},{0,10,20,30,40,50,60,62,64,66,68,70,72,74,76,78,80,85,90,95,100})</f>
        <v>90</v>
      </c>
      <c r="I32" s="15">
        <v>52</v>
      </c>
      <c r="J32" s="1">
        <f>LOOKUP(I32,{0,13,15,17,19,21,23,25,27,29,31,33,35,37,39,41,43,46,49,51,53},{0,10,20,30,40,50,60,62,64,66,68,70,72,74,76,78,80,85,90,95,100})</f>
        <v>95</v>
      </c>
      <c r="K32" s="20"/>
      <c r="L32" s="20"/>
      <c r="M32" s="21">
        <f t="shared" si="10"/>
        <v>95</v>
      </c>
      <c r="N32" s="15">
        <v>8.1</v>
      </c>
      <c r="O32" s="19">
        <f t="shared" si="16"/>
        <v>4.9</v>
      </c>
      <c r="P32" s="1">
        <f>LOOKUP(O32,{0,1.4,1.6,1.8,2,2.2,2.4,2.6,2.8,3,3.2,3.4,3.6,3.8,4,4.2,4.4,4.7,5,5.1,5.2},{0,10,20,30,40,50,60,62,64,66,68,70,72,74,76,78,80,85,90,95,100})</f>
        <v>85</v>
      </c>
      <c r="Q32" s="15">
        <v>3.29</v>
      </c>
      <c r="R32" s="15">
        <f t="shared" si="12"/>
        <v>6.71</v>
      </c>
      <c r="S32" s="1">
        <f>LOOKUP(R32,{0,4.7,4.8,4.9,5,5.5,5.6,5.65,5.7,5.75,5.8,5.85,5.9,5.95,6,6.45,6.5,6.57,6.64,6.7,6.76},{0,10,20,30,40,50,60,62,64,66,68,70,72,74,76,78,80,85,90,95,100})</f>
        <v>95</v>
      </c>
      <c r="T32" s="20"/>
      <c r="U32" s="20"/>
      <c r="V32" s="21">
        <f t="shared" si="14"/>
        <v>95</v>
      </c>
      <c r="W32" s="15"/>
      <c r="X32" s="21">
        <f t="shared" si="9"/>
        <v>64</v>
      </c>
      <c r="Y32" s="21">
        <f t="shared" si="15"/>
        <v>91.4285714285714</v>
      </c>
    </row>
    <row r="33" ht="15.6" hidden="1" outlineLevel="2" spans="1:25">
      <c r="A33" s="15">
        <v>102</v>
      </c>
      <c r="B33" s="15">
        <v>46</v>
      </c>
      <c r="C33" s="14" t="s">
        <v>115</v>
      </c>
      <c r="D33" s="14" t="s">
        <v>46</v>
      </c>
      <c r="E33" s="15">
        <v>6</v>
      </c>
      <c r="F33" s="1">
        <f>LOOKUP(E33,{0,0.4,1.2,2,2.8,3.6,4.4,5.7,7,8.3,9.6,10.9,12.2,13.5,14.8,16.1,17.4,19.1,20.8,22.5,24.2},{0,10,20,30,40,50,60,62,64,66,68,70,72,74,76,78,80,85,90,95,100})</f>
        <v>62</v>
      </c>
      <c r="G33" s="15">
        <v>175</v>
      </c>
      <c r="H33" s="1">
        <f>LOOKUP(G33,{0,123,128,133,138,143,148,151,154,157,160,163,166,169,172,175,178,185,192,198,204},{0,10,20,30,40,50,60,62,64,66,68,70,72,74,76,78,80,85,90,95,100})</f>
        <v>78</v>
      </c>
      <c r="I33" s="15">
        <v>37</v>
      </c>
      <c r="J33" s="1">
        <f>LOOKUP(I33,{0,13,15,17,19,21,23,25,27,29,31,33,35,37,39,41,43,46,49,51,53},{0,10,20,30,40,50,60,62,64,66,68,70,72,74,76,78,80,85,90,95,100})</f>
        <v>74</v>
      </c>
      <c r="K33" s="20"/>
      <c r="L33" s="20"/>
      <c r="M33" s="21">
        <f t="shared" si="10"/>
        <v>74</v>
      </c>
      <c r="N33" s="15">
        <v>8.7</v>
      </c>
      <c r="O33" s="19">
        <f t="shared" si="16"/>
        <v>4.3</v>
      </c>
      <c r="P33" s="1">
        <f>LOOKUP(O33,{0,1.4,1.6,1.8,2,2.2,2.4,2.6,2.8,3,3.2,3.4,3.6,3.8,4,4.2,4.4,4.7,5,5.1,5.2},{0,10,20,30,40,50,60,62,64,66,68,70,72,74,76,78,80,85,90,95,100})</f>
        <v>78</v>
      </c>
      <c r="Q33" s="15">
        <v>3.44</v>
      </c>
      <c r="R33" s="15">
        <f t="shared" si="12"/>
        <v>6.56</v>
      </c>
      <c r="S33" s="1">
        <f>LOOKUP(R33,{0,4.7,4.8,4.9,5,5.5,5.6,5.65,5.7,5.75,5.8,5.85,5.9,5.95,6,6.45,6.5,6.57,6.64,6.7,6.76},{0,10,20,30,40,50,60,62,64,66,68,70,72,74,76,78,80,85,90,95,100})</f>
        <v>80</v>
      </c>
      <c r="T33" s="20"/>
      <c r="U33" s="20"/>
      <c r="V33" s="21">
        <f t="shared" si="14"/>
        <v>80</v>
      </c>
      <c r="W33" s="15"/>
      <c r="X33" s="21">
        <f t="shared" si="9"/>
        <v>53</v>
      </c>
      <c r="Y33" s="21">
        <f t="shared" si="15"/>
        <v>75.7142857142857</v>
      </c>
    </row>
    <row r="34" ht="15.6" outlineLevel="1" collapsed="1" spans="1:25">
      <c r="A34" s="16" t="s">
        <v>843</v>
      </c>
      <c r="B34" s="15"/>
      <c r="C34" s="14"/>
      <c r="D34" s="14"/>
      <c r="E34" s="15"/>
      <c r="F34" s="1">
        <f>SUBTOTAL(1,F19:F33)</f>
        <v>80.8571428571429</v>
      </c>
      <c r="G34" s="15"/>
      <c r="H34" s="1">
        <f>SUBTOTAL(1,H19:H33)</f>
        <v>84.2142857142857</v>
      </c>
      <c r="I34" s="15"/>
      <c r="J34" s="1">
        <f>SUBTOTAL(1,J19:J33)</f>
        <v>86.5714285714286</v>
      </c>
      <c r="K34" s="20"/>
      <c r="L34" s="20"/>
      <c r="M34" s="21">
        <f>SUBTOTAL(1,M19:M33)</f>
        <v>86.6428571428571</v>
      </c>
      <c r="N34" s="15"/>
      <c r="O34" s="19"/>
      <c r="P34" s="1">
        <f>SUBTOTAL(1,P19:P33)</f>
        <v>80.0769230769231</v>
      </c>
      <c r="Q34" s="15"/>
      <c r="R34" s="15"/>
      <c r="S34" s="1">
        <f>SUBTOTAL(1,S19:S33)</f>
        <v>90.1428571428571</v>
      </c>
      <c r="T34" s="20"/>
      <c r="U34" s="20"/>
      <c r="V34" s="21">
        <f>SUBTOTAL(1,V19:V33)</f>
        <v>90.5714285714286</v>
      </c>
      <c r="W34" s="15"/>
      <c r="X34" s="21">
        <f>SUBTOTAL(1,X19:X33)</f>
        <v>54.1933333333333</v>
      </c>
      <c r="Y34" s="21">
        <f>SUBTOTAL(1,Y19:Y33)</f>
        <v>81.2190476190476</v>
      </c>
    </row>
    <row r="35" ht="15.6" hidden="1" outlineLevel="2" spans="1:25">
      <c r="A35" s="15">
        <v>103</v>
      </c>
      <c r="B35" s="15">
        <v>29</v>
      </c>
      <c r="C35" s="13" t="s">
        <v>148</v>
      </c>
      <c r="D35" s="14" t="s">
        <v>46</v>
      </c>
      <c r="E35" s="15"/>
      <c r="F35" s="1"/>
      <c r="G35" s="15"/>
      <c r="H35" s="1"/>
      <c r="I35" s="15"/>
      <c r="J35" s="1"/>
      <c r="K35" s="20"/>
      <c r="L35" s="20"/>
      <c r="M35" s="21"/>
      <c r="N35" s="15"/>
      <c r="O35" s="19"/>
      <c r="P35" s="1"/>
      <c r="Q35" s="15"/>
      <c r="R35" s="15"/>
      <c r="S35" s="1"/>
      <c r="T35" s="24"/>
      <c r="U35" s="1"/>
      <c r="V35" s="21"/>
      <c r="W35" s="15" t="s">
        <v>84</v>
      </c>
      <c r="X35" s="21">
        <f t="shared" ref="X35:X52" si="17">F35*0.1+H35*0.1+J35*0.1+P35*0.2+S35*0.2</f>
        <v>0</v>
      </c>
      <c r="Y35" s="21">
        <v>50</v>
      </c>
    </row>
    <row r="36" ht="15.6" hidden="1" outlineLevel="2" spans="1:25">
      <c r="A36" s="15">
        <v>103</v>
      </c>
      <c r="B36" s="15">
        <v>30</v>
      </c>
      <c r="C36" s="14" t="s">
        <v>149</v>
      </c>
      <c r="D36" s="14" t="s">
        <v>46</v>
      </c>
      <c r="E36" s="15">
        <v>22.7</v>
      </c>
      <c r="F36" s="1">
        <f>LOOKUP(E36,{0,0.4,1.2,2,2.8,3.6,4.4,5.7,7,8.3,9.6,10.9,12.2,13.5,14.8,16.1,17.4,19.1,20.8,22.5,24.2},{0,10,20,30,40,50,60,62,64,66,68,70,72,74,76,78,80,85,90,95,100})</f>
        <v>95</v>
      </c>
      <c r="G36" s="15">
        <v>175</v>
      </c>
      <c r="H36" s="1">
        <f>LOOKUP(G36,{0,123,128,133,138,143,148,151,154,157,160,163,166,169,172,175,178,185,192,198,204},{0,10,20,30,40,50,60,62,64,66,68,70,72,74,76,78,80,85,90,95,100})</f>
        <v>78</v>
      </c>
      <c r="I36" s="15">
        <v>50</v>
      </c>
      <c r="J36" s="1">
        <f>LOOKUP(I36,{0,13,15,17,19,21,23,25,27,29,31,33,35,37,39,41,43,46,49,51,53},{0,10,20,30,40,50,60,62,64,66,68,70,72,74,76,78,80,85,90,95,100})</f>
        <v>90</v>
      </c>
      <c r="K36" s="20"/>
      <c r="L36" s="20"/>
      <c r="M36" s="21">
        <f t="shared" ref="M36:M40" si="18">J36+L36</f>
        <v>90</v>
      </c>
      <c r="N36" s="15">
        <v>8.3</v>
      </c>
      <c r="O36" s="19">
        <f t="shared" ref="O36:O40" si="19">13-N36</f>
        <v>4.7</v>
      </c>
      <c r="P36" s="1">
        <f>LOOKUP(O36,{0,1.4,1.6,1.8,2,2.2,2.4,2.6,2.8,3,3.2,3.4,3.6,3.8,4,4.2,4.4,4.7,5,5.1,5.2},{0,10,20,30,40,50,60,62,64,66,68,70,72,74,76,78,80,85,90,95,100})</f>
        <v>85</v>
      </c>
      <c r="Q36" s="15">
        <v>3.57</v>
      </c>
      <c r="R36" s="15">
        <f t="shared" ref="R36:R40" si="20">10-Q36</f>
        <v>6.43</v>
      </c>
      <c r="S36" s="1">
        <f>LOOKUP(R36,{0,4.7,4.8,4.9,5,5.5,5.6,5.65,5.7,5.75,5.8,5.85,5.9,5.95,6,6.45,6.5,6.57,6.64,6.7,6.76},{0,10,20,30,40,50,60,62,64,66,68,70,72,74,76,78,80,85,90,95,100})</f>
        <v>76</v>
      </c>
      <c r="T36" s="20"/>
      <c r="U36" s="20"/>
      <c r="V36" s="21">
        <f t="shared" ref="V36:V40" si="21">S36+U36</f>
        <v>76</v>
      </c>
      <c r="W36" s="15"/>
      <c r="X36" s="21">
        <f t="shared" si="17"/>
        <v>58.5</v>
      </c>
      <c r="Y36" s="21">
        <f t="shared" ref="Y36:Y40" si="22">X36/0.7+L36+U36</f>
        <v>83.5714285714286</v>
      </c>
    </row>
    <row r="37" ht="15.6" hidden="1" outlineLevel="2" spans="1:25">
      <c r="A37" s="15">
        <v>103</v>
      </c>
      <c r="B37" s="15">
        <v>31</v>
      </c>
      <c r="C37" s="14" t="s">
        <v>150</v>
      </c>
      <c r="D37" s="14" t="s">
        <v>46</v>
      </c>
      <c r="E37" s="15">
        <v>28</v>
      </c>
      <c r="F37" s="1">
        <f>LOOKUP(E37,{0,0.4,1.2,2,2.8,3.6,4.4,5.7,7,8.3,9.6,10.9,12.2,13.5,14.8,16.1,17.4,19.1,20.8,22.5,24.2},{0,10,20,30,40,50,60,62,64,66,68,70,72,74,76,78,80,85,90,95,100})</f>
        <v>100</v>
      </c>
      <c r="G37" s="15">
        <v>200</v>
      </c>
      <c r="H37" s="1">
        <f>LOOKUP(G37,{0,123,128,133,138,143,148,151,154,157,160,163,166,169,172,175,178,185,192,198,204},{0,10,20,30,40,50,60,62,64,66,68,70,72,74,76,78,80,85,90,95,100})</f>
        <v>95</v>
      </c>
      <c r="I37" s="15">
        <v>50</v>
      </c>
      <c r="J37" s="1">
        <f>LOOKUP(I37,{0,13,15,17,19,21,23,25,27,29,31,33,35,37,39,41,43,46,49,51,53},{0,10,20,30,40,50,60,62,64,66,68,70,72,74,76,78,80,85,90,95,100})</f>
        <v>90</v>
      </c>
      <c r="K37" s="20"/>
      <c r="L37" s="20"/>
      <c r="M37" s="21">
        <f t="shared" si="18"/>
        <v>90</v>
      </c>
      <c r="N37" s="15">
        <v>8.1</v>
      </c>
      <c r="O37" s="19">
        <f t="shared" si="19"/>
        <v>4.9</v>
      </c>
      <c r="P37" s="1">
        <f>LOOKUP(O37,{0,1.4,1.6,1.8,2,2.2,2.4,2.6,2.8,3,3.2,3.4,3.6,3.8,4,4.2,4.4,4.7,5,5.1,5.2},{0,10,20,30,40,50,60,62,64,66,68,70,72,74,76,78,80,85,90,95,100})</f>
        <v>85</v>
      </c>
      <c r="Q37" s="15">
        <v>3.3</v>
      </c>
      <c r="R37" s="15">
        <f t="shared" si="20"/>
        <v>6.7</v>
      </c>
      <c r="S37" s="1">
        <f>LOOKUP(R37,{0,4.7,4.8,4.9,5,5.5,5.6,5.65,5.7,5.75,5.8,5.85,5.9,5.95,6,6.45,6.5,6.57,6.64,6.7,6.76},{0,10,20,30,40,50,60,62,64,66,68,70,72,74,76,78,80,85,90,95,100})</f>
        <v>95</v>
      </c>
      <c r="T37" s="20"/>
      <c r="U37" s="20"/>
      <c r="V37" s="21">
        <f t="shared" si="21"/>
        <v>95</v>
      </c>
      <c r="W37" s="15"/>
      <c r="X37" s="21">
        <f t="shared" si="17"/>
        <v>64.5</v>
      </c>
      <c r="Y37" s="21">
        <f t="shared" si="22"/>
        <v>92.1428571428572</v>
      </c>
    </row>
    <row r="38" ht="15.6" hidden="1" outlineLevel="2" spans="1:25">
      <c r="A38" s="15">
        <v>103</v>
      </c>
      <c r="B38" s="15">
        <v>32</v>
      </c>
      <c r="C38" s="14" t="s">
        <v>151</v>
      </c>
      <c r="D38" s="14" t="s">
        <v>46</v>
      </c>
      <c r="E38" s="15">
        <v>19.4</v>
      </c>
      <c r="F38" s="1">
        <f>LOOKUP(E38,{0,0.4,1.2,2,2.8,3.6,4.4,5.7,7,8.3,9.6,10.9,12.2,13.5,14.8,16.1,17.4,19.1,20.8,22.5,24.2},{0,10,20,30,40,50,60,62,64,66,68,70,72,74,76,78,80,85,90,95,100})</f>
        <v>85</v>
      </c>
      <c r="G38" s="15">
        <v>185</v>
      </c>
      <c r="H38" s="1">
        <f>LOOKUP(G38,{0,123,128,133,138,143,148,151,154,157,160,163,166,169,172,175,178,185,192,198,204},{0,10,20,30,40,50,60,62,64,66,68,70,72,74,76,78,80,85,90,95,100})</f>
        <v>85</v>
      </c>
      <c r="I38" s="15">
        <v>40</v>
      </c>
      <c r="J38" s="1">
        <f>LOOKUP(I38,{0,13,15,17,19,21,23,25,27,29,31,33,35,37,39,41,43,46,49,51,53},{0,10,20,30,40,50,60,62,64,66,68,70,72,74,76,78,80,85,90,95,100})</f>
        <v>76</v>
      </c>
      <c r="K38" s="20"/>
      <c r="L38" s="20"/>
      <c r="M38" s="21">
        <f t="shared" si="18"/>
        <v>76</v>
      </c>
      <c r="N38" s="15"/>
      <c r="O38" s="19"/>
      <c r="P38" s="1"/>
      <c r="Q38" s="15">
        <v>3.56</v>
      </c>
      <c r="R38" s="15">
        <f t="shared" si="20"/>
        <v>6.44</v>
      </c>
      <c r="S38" s="1">
        <f>LOOKUP(R38,{0,4.7,4.8,4.9,5,5.5,5.6,5.65,5.7,5.75,5.8,5.85,5.9,5.95,6,6.45,6.5,6.57,6.64,6.7,6.76},{0,10,20,30,40,50,60,62,64,66,68,70,72,74,76,78,80,85,90,95,100})</f>
        <v>76</v>
      </c>
      <c r="T38" s="20"/>
      <c r="U38" s="20"/>
      <c r="V38" s="21">
        <f t="shared" si="21"/>
        <v>76</v>
      </c>
      <c r="W38" s="15"/>
      <c r="X38" s="21">
        <f t="shared" si="17"/>
        <v>39.8</v>
      </c>
      <c r="Y38" s="21">
        <f t="shared" si="22"/>
        <v>56.8571428571429</v>
      </c>
    </row>
    <row r="39" ht="15.6" hidden="1" outlineLevel="2" spans="1:25">
      <c r="A39" s="15">
        <v>103</v>
      </c>
      <c r="B39" s="15">
        <v>33</v>
      </c>
      <c r="C39" s="14" t="s">
        <v>152</v>
      </c>
      <c r="D39" s="14" t="s">
        <v>46</v>
      </c>
      <c r="E39" s="15">
        <v>14</v>
      </c>
      <c r="F39" s="1">
        <f>LOOKUP(E39,{0,0.4,1.2,2,2.8,3.6,4.4,5.7,7,8.3,9.6,10.9,12.2,13.5,14.8,16.1,17.4,19.1,20.8,22.5,24.2},{0,10,20,30,40,50,60,62,64,66,68,70,72,74,76,78,80,85,90,95,100})</f>
        <v>74</v>
      </c>
      <c r="G39" s="15">
        <v>168</v>
      </c>
      <c r="H39" s="1">
        <f>LOOKUP(G39,{0,123,128,133,138,143,148,151,154,157,160,163,166,169,172,175,178,185,192,198,204},{0,10,20,30,40,50,60,62,64,66,68,70,72,74,76,78,80,85,90,95,100})</f>
        <v>72</v>
      </c>
      <c r="I39" s="15">
        <v>47</v>
      </c>
      <c r="J39" s="1">
        <f>LOOKUP(I39,{0,13,15,17,19,21,23,25,27,29,31,33,35,37,39,41,43,46,49,51,53},{0,10,20,30,40,50,60,62,64,66,68,70,72,74,76,78,80,85,90,95,100})</f>
        <v>85</v>
      </c>
      <c r="K39" s="20"/>
      <c r="L39" s="20"/>
      <c r="M39" s="21">
        <f t="shared" si="18"/>
        <v>85</v>
      </c>
      <c r="N39" s="15">
        <v>8.5</v>
      </c>
      <c r="O39" s="19">
        <f t="shared" si="19"/>
        <v>4.5</v>
      </c>
      <c r="P39" s="1">
        <f>LOOKUP(O39,{0,1.4,1.6,1.8,2,2.2,2.4,2.6,2.8,3,3.2,3.4,3.6,3.8,4,4.2,4.4,4.7,5,5.1,5.2},{0,10,20,30,40,50,60,62,64,66,68,70,72,74,76,78,80,85,90,95,100})</f>
        <v>80</v>
      </c>
      <c r="Q39" s="15">
        <v>3.46</v>
      </c>
      <c r="R39" s="15">
        <f t="shared" si="20"/>
        <v>6.54</v>
      </c>
      <c r="S39" s="1">
        <f>LOOKUP(R39,{0,4.7,4.8,4.9,5,5.5,5.6,5.65,5.7,5.75,5.8,5.85,5.9,5.95,6,6.45,6.5,6.57,6.64,6.7,6.76},{0,10,20,30,40,50,60,62,64,66,68,70,72,74,76,78,80,85,90,95,100})</f>
        <v>80</v>
      </c>
      <c r="T39" s="20"/>
      <c r="U39" s="20"/>
      <c r="V39" s="21">
        <f t="shared" si="21"/>
        <v>80</v>
      </c>
      <c r="W39" s="15"/>
      <c r="X39" s="21">
        <f t="shared" si="17"/>
        <v>55.1</v>
      </c>
      <c r="Y39" s="21">
        <f t="shared" si="22"/>
        <v>78.7142857142857</v>
      </c>
    </row>
    <row r="40" ht="15.6" hidden="1" outlineLevel="2" spans="1:25">
      <c r="A40" s="15">
        <v>103</v>
      </c>
      <c r="B40" s="15">
        <v>34</v>
      </c>
      <c r="C40" s="14" t="s">
        <v>153</v>
      </c>
      <c r="D40" s="14" t="s">
        <v>46</v>
      </c>
      <c r="E40" s="15">
        <v>11</v>
      </c>
      <c r="F40" s="1">
        <f>LOOKUP(E40,{0,0.4,1.2,2,2.8,3.6,4.4,5.7,7,8.3,9.6,10.9,12.2,13.5,14.8,16.1,17.4,19.1,20.8,22.5,24.2},{0,10,20,30,40,50,60,62,64,66,68,70,72,74,76,78,80,85,90,95,100})</f>
        <v>70</v>
      </c>
      <c r="G40" s="15">
        <v>190</v>
      </c>
      <c r="H40" s="1">
        <f>LOOKUP(G40,{0,123,128,133,138,143,148,151,154,157,160,163,166,169,172,175,178,185,192,198,204},{0,10,20,30,40,50,60,62,64,66,68,70,72,74,76,78,80,85,90,95,100})</f>
        <v>85</v>
      </c>
      <c r="I40" s="15">
        <v>46</v>
      </c>
      <c r="J40" s="1">
        <f>LOOKUP(I40,{0,13,15,17,19,21,23,25,27,29,31,33,35,37,39,41,43,46,49,51,53},{0,10,20,30,40,50,60,62,64,66,68,70,72,74,76,78,80,85,90,95,100})</f>
        <v>85</v>
      </c>
      <c r="K40" s="20"/>
      <c r="L40" s="20"/>
      <c r="M40" s="21">
        <f t="shared" si="18"/>
        <v>85</v>
      </c>
      <c r="N40" s="15">
        <v>8.3</v>
      </c>
      <c r="O40" s="19">
        <f t="shared" si="19"/>
        <v>4.7</v>
      </c>
      <c r="P40" s="1">
        <f>LOOKUP(O40,{0,1.4,1.6,1.8,2,2.2,2.4,2.6,2.8,3,3.2,3.4,3.6,3.8,4,4.2,4.4,4.7,5,5.1,5.2},{0,10,20,30,40,50,60,62,64,66,68,70,72,74,76,78,80,85,90,95,100})</f>
        <v>85</v>
      </c>
      <c r="Q40" s="15">
        <v>3.27</v>
      </c>
      <c r="R40" s="15">
        <f t="shared" si="20"/>
        <v>6.73</v>
      </c>
      <c r="S40" s="1">
        <f>LOOKUP(R40,{0,4.7,4.8,4.9,5,5.5,5.6,5.65,5.7,5.75,5.8,5.85,5.9,5.95,6,6.45,6.5,6.57,6.64,6.7,6.76},{0,10,20,30,40,50,60,62,64,66,68,70,72,74,76,78,80,85,90,95,100})</f>
        <v>95</v>
      </c>
      <c r="T40" s="20"/>
      <c r="U40" s="20"/>
      <c r="V40" s="21">
        <f t="shared" si="21"/>
        <v>95</v>
      </c>
      <c r="W40" s="15"/>
      <c r="X40" s="21">
        <f t="shared" si="17"/>
        <v>60</v>
      </c>
      <c r="Y40" s="21">
        <f t="shared" si="22"/>
        <v>85.7142857142857</v>
      </c>
    </row>
    <row r="41" ht="15.6" hidden="1" outlineLevel="2" spans="1:25">
      <c r="A41" s="15">
        <v>103</v>
      </c>
      <c r="B41" s="15">
        <v>35</v>
      </c>
      <c r="C41" s="14" t="s">
        <v>154</v>
      </c>
      <c r="D41" s="14" t="s">
        <v>46</v>
      </c>
      <c r="E41" s="15"/>
      <c r="F41" s="1"/>
      <c r="G41" s="15"/>
      <c r="H41" s="1"/>
      <c r="I41" s="15"/>
      <c r="J41" s="1"/>
      <c r="K41" s="20"/>
      <c r="L41" s="20"/>
      <c r="M41" s="21"/>
      <c r="N41" s="15"/>
      <c r="O41" s="19"/>
      <c r="P41" s="1"/>
      <c r="Q41" s="15"/>
      <c r="R41" s="15"/>
      <c r="S41" s="1"/>
      <c r="T41" s="24"/>
      <c r="U41" s="1"/>
      <c r="V41" s="21"/>
      <c r="W41" s="15" t="s">
        <v>84</v>
      </c>
      <c r="X41" s="21">
        <f t="shared" si="17"/>
        <v>0</v>
      </c>
      <c r="Y41" s="21">
        <v>50</v>
      </c>
    </row>
    <row r="42" ht="15.6" hidden="1" outlineLevel="2" spans="1:25">
      <c r="A42" s="15">
        <v>103</v>
      </c>
      <c r="B42" s="15">
        <v>36</v>
      </c>
      <c r="C42" s="14" t="s">
        <v>155</v>
      </c>
      <c r="D42" s="14" t="s">
        <v>46</v>
      </c>
      <c r="E42" s="15">
        <v>19</v>
      </c>
      <c r="F42" s="1">
        <f>LOOKUP(E42,{0,0.4,1.2,2,2.8,3.6,4.4,5.7,7,8.3,9.6,10.9,12.2,13.5,14.8,16.1,17.4,19.1,20.8,22.5,24.2},{0,10,20,30,40,50,60,62,64,66,68,70,72,74,76,78,80,85,90,95,100})</f>
        <v>80</v>
      </c>
      <c r="G42" s="15">
        <v>181</v>
      </c>
      <c r="H42" s="1">
        <f>LOOKUP(G42,{0,123,128,133,138,143,148,151,154,157,160,163,166,169,172,175,178,185,192,198,204},{0,10,20,30,40,50,60,62,64,66,68,70,72,74,76,78,80,85,90,95,100})</f>
        <v>80</v>
      </c>
      <c r="I42" s="15">
        <v>43</v>
      </c>
      <c r="J42" s="1">
        <f>LOOKUP(I42,{0,13,15,17,19,21,23,25,27,29,31,33,35,37,39,41,43,46,49,51,53},{0,10,20,30,40,50,60,62,64,66,68,70,72,74,76,78,80,85,90,95,100})</f>
        <v>80</v>
      </c>
      <c r="K42" s="20"/>
      <c r="L42" s="20"/>
      <c r="M42" s="21">
        <f t="shared" ref="M42:M52" si="23">J42+L42</f>
        <v>80</v>
      </c>
      <c r="N42" s="15">
        <v>8.8</v>
      </c>
      <c r="O42" s="19">
        <f t="shared" ref="O42:O52" si="24">13-N42</f>
        <v>4.2</v>
      </c>
      <c r="P42" s="1">
        <f>LOOKUP(O42,{0,1.4,1.6,1.8,2,2.2,2.4,2.6,2.8,3,3.2,3.4,3.6,3.8,4,4.2,4.4,4.7,5,5.1,5.2},{0,10,20,30,40,50,60,62,64,66,68,70,72,74,76,78,80,85,90,95,100})</f>
        <v>78</v>
      </c>
      <c r="Q42" s="15">
        <v>4.15</v>
      </c>
      <c r="R42" s="15">
        <f t="shared" ref="R42:R44" si="25">10-Q42</f>
        <v>5.85</v>
      </c>
      <c r="S42" s="1">
        <f>LOOKUP(R42,{0,4.7,4.8,4.9,5,5.5,5.6,5.65,5.7,5.75,5.8,5.85,5.9,5.95,6,6.45,6.5,6.57,6.64,6.7,6.76},{0,10,20,30,40,50,60,62,64,66,68,70,72,74,76,78,80,85,90,95,100})</f>
        <v>70</v>
      </c>
      <c r="T42" s="20"/>
      <c r="U42" s="20"/>
      <c r="V42" s="21">
        <f t="shared" ref="V42:V44" si="26">S42+U42</f>
        <v>70</v>
      </c>
      <c r="W42" s="15"/>
      <c r="X42" s="21">
        <f t="shared" si="17"/>
        <v>53.6</v>
      </c>
      <c r="Y42" s="21">
        <f t="shared" ref="Y42:Y52" si="27">X42/0.7+L42+U42</f>
        <v>76.5714285714286</v>
      </c>
    </row>
    <row r="43" s="3" customFormat="1" ht="15.6" hidden="1" outlineLevel="2" spans="1:25">
      <c r="A43" s="15">
        <v>103</v>
      </c>
      <c r="B43" s="15">
        <v>37</v>
      </c>
      <c r="C43" s="14" t="s">
        <v>156</v>
      </c>
      <c r="D43" s="14" t="s">
        <v>46</v>
      </c>
      <c r="E43" s="15">
        <v>19</v>
      </c>
      <c r="F43" s="1">
        <f>LOOKUP(E43,{0,0.4,1.2,2,2.8,3.6,4.4,5.7,7,8.3,9.6,10.9,12.2,13.5,14.8,16.1,17.4,19.1,20.8,22.5,24.2},{0,10,20,30,40,50,60,62,64,66,68,70,72,74,76,78,80,85,90,95,100})</f>
        <v>80</v>
      </c>
      <c r="G43" s="15">
        <v>185</v>
      </c>
      <c r="H43" s="1">
        <f>LOOKUP(G43,{0,123,128,133,138,143,148,151,154,157,160,163,166,169,172,175,178,185,192,198,204},{0,10,20,30,40,50,60,62,64,66,68,70,72,74,76,78,80,85,90,95,100})</f>
        <v>85</v>
      </c>
      <c r="I43" s="15">
        <v>55</v>
      </c>
      <c r="J43" s="1">
        <f>LOOKUP(I43,{0,13,15,17,19,21,23,25,27,29,31,33,35,37,39,41,43,46,49,51,53},{0,10,20,30,40,50,60,62,64,66,68,70,72,74,76,78,80,85,90,95,100})</f>
        <v>100</v>
      </c>
      <c r="K43" s="20">
        <f t="shared" ref="K43:K48" si="28">I43-53</f>
        <v>2</v>
      </c>
      <c r="L43" s="1">
        <f>LOOKUP(K43,{0,2,4,6,7,8,9,10,11,12,13},{0,1,2,3,4,5,6,7,8,9,10})</f>
        <v>1</v>
      </c>
      <c r="M43" s="21">
        <f t="shared" si="23"/>
        <v>101</v>
      </c>
      <c r="N43" s="15">
        <v>8</v>
      </c>
      <c r="O43" s="19">
        <f t="shared" si="24"/>
        <v>5</v>
      </c>
      <c r="P43" s="1">
        <f>LOOKUP(O43,{0,1.4,1.6,1.8,2,2.2,2.4,2.6,2.8,3,3.2,3.4,3.6,3.8,4,4.2,4.4,4.7,5,5.1,5.2},{0,10,20,30,40,50,60,62,64,66,68,70,72,74,76,78,80,85,90,95,100})</f>
        <v>90</v>
      </c>
      <c r="Q43" s="15">
        <v>3.28</v>
      </c>
      <c r="R43" s="15">
        <f t="shared" si="25"/>
        <v>6.72</v>
      </c>
      <c r="S43" s="1">
        <f>LOOKUP(R43,{0,4.7,4.8,4.9,5,5.5,5.6,5.65,5.7,5.75,5.8,5.85,5.9,5.95,6,6.45,6.5,6.57,6.64,6.7,6.76},{0,10,20,30,40,50,60,62,64,66,68,70,72,74,76,78,80,85,90,95,100})</f>
        <v>95</v>
      </c>
      <c r="T43" s="20"/>
      <c r="U43" s="20"/>
      <c r="V43" s="21">
        <f t="shared" si="26"/>
        <v>95</v>
      </c>
      <c r="W43" s="15"/>
      <c r="X43" s="21">
        <f t="shared" si="17"/>
        <v>63.5</v>
      </c>
      <c r="Y43" s="21">
        <f t="shared" si="27"/>
        <v>91.7142857142857</v>
      </c>
    </row>
    <row r="44" ht="15.6" hidden="1" outlineLevel="2" spans="1:25">
      <c r="A44" s="15">
        <v>103</v>
      </c>
      <c r="B44" s="15">
        <v>38</v>
      </c>
      <c r="C44" s="13" t="s">
        <v>158</v>
      </c>
      <c r="D44" s="14" t="s">
        <v>46</v>
      </c>
      <c r="E44" s="15">
        <v>12.5</v>
      </c>
      <c r="F44" s="1">
        <f>LOOKUP(E44,{0,0.4,1.2,2,2.8,3.6,4.4,5.7,7,8.3,9.6,10.9,12.2,13.5,14.8,16.1,17.4,19.1,20.8,22.5,24.2},{0,10,20,30,40,50,60,62,64,66,68,70,72,74,76,78,80,85,90,95,100})</f>
        <v>72</v>
      </c>
      <c r="G44" s="15">
        <v>200</v>
      </c>
      <c r="H44" s="1">
        <f>LOOKUP(G44,{0,123,128,133,138,143,148,151,154,157,160,163,166,169,172,175,178,185,192,198,204},{0,10,20,30,40,50,60,62,64,66,68,70,72,74,76,78,80,85,90,95,100})</f>
        <v>95</v>
      </c>
      <c r="I44" s="15">
        <v>55</v>
      </c>
      <c r="J44" s="1">
        <f>LOOKUP(I44,{0,13,15,17,19,21,23,25,27,29,31,33,35,37,39,41,43,46,49,51,53},{0,10,20,30,40,50,60,62,64,66,68,70,72,74,76,78,80,85,90,95,100})</f>
        <v>100</v>
      </c>
      <c r="K44" s="20">
        <f t="shared" si="28"/>
        <v>2</v>
      </c>
      <c r="L44" s="1">
        <f>LOOKUP(K44,{0,2,4,6,7,8,9,10,11,12,13},{0,1,2,3,4,5,6,7,8,9,10})</f>
        <v>1</v>
      </c>
      <c r="M44" s="21">
        <f t="shared" si="23"/>
        <v>101</v>
      </c>
      <c r="N44" s="15">
        <v>8.3</v>
      </c>
      <c r="O44" s="19">
        <f t="shared" si="24"/>
        <v>4.7</v>
      </c>
      <c r="P44" s="1">
        <f>LOOKUP(O44,{0,1.4,1.6,1.8,2,2.2,2.4,2.6,2.8,3,3.2,3.4,3.6,3.8,4,4.2,4.4,4.7,5,5.1,5.2},{0,10,20,30,40,50,60,62,64,66,68,70,72,74,76,78,80,85,90,95,100})</f>
        <v>85</v>
      </c>
      <c r="Q44" s="15">
        <v>3.27</v>
      </c>
      <c r="R44" s="15">
        <f t="shared" si="25"/>
        <v>6.73</v>
      </c>
      <c r="S44" s="1">
        <f>LOOKUP(R44,{0,4.7,4.8,4.9,5,5.5,5.6,5.65,5.7,5.75,5.8,5.85,5.9,5.95,6,6.45,6.5,6.57,6.64,6.7,6.76},{0,10,20,30,40,50,60,62,64,66,68,70,72,74,76,78,80,85,90,95,100})</f>
        <v>95</v>
      </c>
      <c r="T44" s="20"/>
      <c r="U44" s="20"/>
      <c r="V44" s="21">
        <f t="shared" si="26"/>
        <v>95</v>
      </c>
      <c r="W44" s="15"/>
      <c r="X44" s="21">
        <f t="shared" si="17"/>
        <v>62.7</v>
      </c>
      <c r="Y44" s="21">
        <f t="shared" si="27"/>
        <v>90.5714285714286</v>
      </c>
    </row>
    <row r="45" ht="15.6" hidden="1" outlineLevel="2" spans="1:25">
      <c r="A45" s="15">
        <v>103</v>
      </c>
      <c r="B45" s="15">
        <v>39</v>
      </c>
      <c r="C45" s="14" t="s">
        <v>159</v>
      </c>
      <c r="D45" s="14" t="s">
        <v>46</v>
      </c>
      <c r="E45" s="15">
        <v>19.5</v>
      </c>
      <c r="F45" s="1">
        <f>LOOKUP(E45,{0,0.4,1.2,2,2.8,3.6,4.4,5.7,7,8.3,9.6,10.9,12.2,13.5,14.8,16.1,17.4,19.1,20.8,22.5,24.2},{0,10,20,30,40,50,60,62,64,66,68,70,72,74,76,78,80,85,90,95,100})</f>
        <v>85</v>
      </c>
      <c r="G45" s="15">
        <v>165</v>
      </c>
      <c r="H45" s="1">
        <f>LOOKUP(G45,{0,123,128,133,138,143,148,151,154,157,160,163,166,169,172,175,178,185,192,198,204},{0,10,20,30,40,50,60,62,64,66,68,70,72,74,76,78,80,85,90,95,100})</f>
        <v>70</v>
      </c>
      <c r="I45" s="15">
        <v>41</v>
      </c>
      <c r="J45" s="1">
        <f>LOOKUP(I45,{0,13,15,17,19,21,23,25,27,29,31,33,35,37,39,41,43,46,49,51,53},{0,10,20,30,40,50,60,62,64,66,68,70,72,74,76,78,80,85,90,95,100})</f>
        <v>78</v>
      </c>
      <c r="K45" s="20"/>
      <c r="L45" s="20"/>
      <c r="M45" s="21">
        <f t="shared" si="23"/>
        <v>78</v>
      </c>
      <c r="N45" s="15">
        <v>9.6</v>
      </c>
      <c r="O45" s="19">
        <f t="shared" si="24"/>
        <v>3.4</v>
      </c>
      <c r="P45" s="1">
        <f>LOOKUP(O45,{0,1.4,1.6,1.8,2,2.2,2.4,2.6,2.8,3,3.2,3.4,3.6,3.8,4,4.2,4.4,4.7,5,5.1,5.2},{0,10,20,30,40,50,60,62,64,66,68,70,72,74,76,78,80,85,90,95,100})</f>
        <v>70</v>
      </c>
      <c r="Q45" s="15"/>
      <c r="R45" s="15"/>
      <c r="S45" s="1"/>
      <c r="T45" s="24"/>
      <c r="U45" s="1"/>
      <c r="V45" s="21"/>
      <c r="W45" s="15" t="s">
        <v>84</v>
      </c>
      <c r="X45" s="21">
        <f t="shared" si="17"/>
        <v>37.3</v>
      </c>
      <c r="Y45" s="21">
        <f t="shared" si="27"/>
        <v>53.2857142857143</v>
      </c>
    </row>
    <row r="46" ht="15.6" hidden="1" outlineLevel="2" spans="1:25">
      <c r="A46" s="15">
        <v>103</v>
      </c>
      <c r="B46" s="15">
        <v>40</v>
      </c>
      <c r="C46" s="14" t="s">
        <v>160</v>
      </c>
      <c r="D46" s="14" t="s">
        <v>46</v>
      </c>
      <c r="E46" s="15">
        <v>12.5</v>
      </c>
      <c r="F46" s="1">
        <f>LOOKUP(E46,{0,0.4,1.2,2,2.8,3.6,4.4,5.7,7,8.3,9.6,10.9,12.2,13.5,14.8,16.1,17.4,19.1,20.8,22.5,24.2},{0,10,20,30,40,50,60,62,64,66,68,70,72,74,76,78,80,85,90,95,100})</f>
        <v>72</v>
      </c>
      <c r="G46" s="15">
        <v>164</v>
      </c>
      <c r="H46" s="1">
        <f>LOOKUP(G46,{0,123,128,133,138,143,148,151,154,157,160,163,166,169,172,175,178,185,192,198,204},{0,10,20,30,40,50,60,62,64,66,68,70,72,74,76,78,80,85,90,95,100})</f>
        <v>70</v>
      </c>
      <c r="I46" s="15">
        <v>48</v>
      </c>
      <c r="J46" s="1">
        <f>LOOKUP(I46,{0,13,15,17,19,21,23,25,27,29,31,33,35,37,39,41,43,46,49,51,53},{0,10,20,30,40,50,60,62,64,66,68,70,72,74,76,78,80,85,90,95,100})</f>
        <v>85</v>
      </c>
      <c r="K46" s="20"/>
      <c r="L46" s="20"/>
      <c r="M46" s="21">
        <f t="shared" si="23"/>
        <v>85</v>
      </c>
      <c r="N46" s="15">
        <v>8.5</v>
      </c>
      <c r="O46" s="19">
        <f t="shared" si="24"/>
        <v>4.5</v>
      </c>
      <c r="P46" s="1">
        <f>LOOKUP(O46,{0,1.4,1.6,1.8,2,2.2,2.4,2.6,2.8,3,3.2,3.4,3.6,3.8,4,4.2,4.4,4.7,5,5.1,5.2},{0,10,20,30,40,50,60,62,64,66,68,70,72,74,76,78,80,85,90,95,100})</f>
        <v>80</v>
      </c>
      <c r="Q46" s="15">
        <v>4</v>
      </c>
      <c r="R46" s="15">
        <f t="shared" ref="R46:R52" si="29">10-Q46</f>
        <v>6</v>
      </c>
      <c r="S46" s="1">
        <f>LOOKUP(R46,{0,4.7,4.8,4.9,5,5.5,5.6,5.65,5.7,5.75,5.8,5.85,5.9,5.95,6,6.45,6.5,6.57,6.64,6.7,6.76},{0,10,20,30,40,50,60,62,64,66,68,70,72,74,76,78,80,85,90,95,100})</f>
        <v>76</v>
      </c>
      <c r="T46" s="20"/>
      <c r="U46" s="20"/>
      <c r="V46" s="21">
        <f t="shared" ref="V46:V52" si="30">S46+U46</f>
        <v>76</v>
      </c>
      <c r="W46" s="15"/>
      <c r="X46" s="21">
        <f t="shared" si="17"/>
        <v>53.9</v>
      </c>
      <c r="Y46" s="21">
        <f t="shared" si="27"/>
        <v>77</v>
      </c>
    </row>
    <row r="47" ht="15.6" hidden="1" outlineLevel="2" spans="1:25">
      <c r="A47" s="15">
        <v>103</v>
      </c>
      <c r="B47" s="15">
        <v>41</v>
      </c>
      <c r="C47" s="14" t="s">
        <v>161</v>
      </c>
      <c r="D47" s="14" t="s">
        <v>46</v>
      </c>
      <c r="E47" s="15">
        <v>24.5</v>
      </c>
      <c r="F47" s="1">
        <f>LOOKUP(E47,{0,0.4,1.2,2,2.8,3.6,4.4,5.7,7,8.3,9.6,10.9,12.2,13.5,14.8,16.1,17.4,19.1,20.8,22.5,24.2},{0,10,20,30,40,50,60,62,64,66,68,70,72,74,76,78,80,85,90,95,100})</f>
        <v>100</v>
      </c>
      <c r="G47" s="15">
        <v>190</v>
      </c>
      <c r="H47" s="1">
        <f>LOOKUP(G47,{0,123,128,133,138,143,148,151,154,157,160,163,166,169,172,175,178,185,192,198,204},{0,10,20,30,40,50,60,62,64,66,68,70,72,74,76,78,80,85,90,95,100})</f>
        <v>85</v>
      </c>
      <c r="I47" s="15">
        <v>47</v>
      </c>
      <c r="J47" s="1">
        <f>LOOKUP(I47,{0,13,15,17,19,21,23,25,27,29,31,33,35,37,39,41,43,46,49,51,53},{0,10,20,30,40,50,60,62,64,66,68,70,72,74,76,78,80,85,90,95,100})</f>
        <v>85</v>
      </c>
      <c r="K47" s="20"/>
      <c r="L47" s="20"/>
      <c r="M47" s="21">
        <f t="shared" si="23"/>
        <v>85</v>
      </c>
      <c r="N47" s="15">
        <v>8.8</v>
      </c>
      <c r="O47" s="19">
        <f t="shared" si="24"/>
        <v>4.2</v>
      </c>
      <c r="P47" s="1">
        <f>LOOKUP(O47,{0,1.4,1.6,1.8,2,2.2,2.4,2.6,2.8,3,3.2,3.4,3.6,3.8,4,4.2,4.4,4.7,5,5.1,5.2},{0,10,20,30,40,50,60,62,64,66,68,70,72,74,76,78,80,85,90,95,100})</f>
        <v>78</v>
      </c>
      <c r="Q47" s="15">
        <v>3.31</v>
      </c>
      <c r="R47" s="15">
        <f t="shared" si="29"/>
        <v>6.69</v>
      </c>
      <c r="S47" s="1">
        <f>LOOKUP(R47,{0,4.7,4.8,4.9,5,5.5,5.6,5.65,5.7,5.75,5.8,5.85,5.9,5.95,6,6.45,6.5,6.57,6.64,6.7,6.76},{0,10,20,30,40,50,60,62,64,66,68,70,72,74,76,78,80,85,90,95,100})</f>
        <v>90</v>
      </c>
      <c r="T47" s="20"/>
      <c r="U47" s="20"/>
      <c r="V47" s="21">
        <f t="shared" si="30"/>
        <v>90</v>
      </c>
      <c r="W47" s="15"/>
      <c r="X47" s="21">
        <f t="shared" si="17"/>
        <v>60.6</v>
      </c>
      <c r="Y47" s="21">
        <f t="shared" si="27"/>
        <v>86.5714285714286</v>
      </c>
    </row>
    <row r="48" ht="15.6" hidden="1" outlineLevel="2" spans="1:25">
      <c r="A48" s="15">
        <v>103</v>
      </c>
      <c r="B48" s="15">
        <v>42</v>
      </c>
      <c r="C48" s="14" t="s">
        <v>162</v>
      </c>
      <c r="D48" s="14" t="s">
        <v>46</v>
      </c>
      <c r="E48" s="15">
        <v>17</v>
      </c>
      <c r="F48" s="1">
        <f>LOOKUP(E48,{0,0.4,1.2,2,2.8,3.6,4.4,5.7,7,8.3,9.6,10.9,12.2,13.5,14.8,16.1,17.4,19.1,20.8,22.5,24.2},{0,10,20,30,40,50,60,62,64,66,68,70,72,74,76,78,80,85,90,95,100})</f>
        <v>78</v>
      </c>
      <c r="G48" s="15">
        <v>205</v>
      </c>
      <c r="H48" s="1">
        <f>LOOKUP(G48,{0,123,128,133,138,143,148,151,154,157,160,163,166,169,172,175,178,185,192,198,204},{0,10,20,30,40,50,60,62,64,66,68,70,72,74,76,78,80,85,90,95,100})</f>
        <v>100</v>
      </c>
      <c r="I48" s="15">
        <v>57</v>
      </c>
      <c r="J48" s="1">
        <f>LOOKUP(I48,{0,13,15,17,19,21,23,25,27,29,31,33,35,37,39,41,43,46,49,51,53},{0,10,20,30,40,50,60,62,64,66,68,70,72,74,76,78,80,85,90,95,100})</f>
        <v>100</v>
      </c>
      <c r="K48" s="20">
        <f t="shared" si="28"/>
        <v>4</v>
      </c>
      <c r="L48" s="1">
        <f>LOOKUP(K48,{0,2,4,6,7,8,9,10,11,12,13},{0,1,2,3,4,5,6,7,8,9,10})</f>
        <v>2</v>
      </c>
      <c r="M48" s="21">
        <f t="shared" si="23"/>
        <v>102</v>
      </c>
      <c r="N48" s="15">
        <v>8.5</v>
      </c>
      <c r="O48" s="19">
        <f t="shared" si="24"/>
        <v>4.5</v>
      </c>
      <c r="P48" s="1">
        <f>LOOKUP(O48,{0,1.4,1.6,1.8,2,2.2,2.4,2.6,2.8,3,3.2,3.4,3.6,3.8,4,4.2,4.4,4.7,5,5.1,5.2},{0,10,20,30,40,50,60,62,64,66,68,70,72,74,76,78,80,85,90,95,100})</f>
        <v>80</v>
      </c>
      <c r="Q48" s="15">
        <v>3.55</v>
      </c>
      <c r="R48" s="15">
        <f t="shared" si="29"/>
        <v>6.45</v>
      </c>
      <c r="S48" s="1">
        <f>LOOKUP(R48,{0,4.7,4.8,4.9,5,5.5,5.6,5.65,5.7,5.75,5.8,5.85,5.9,5.95,6,6.45,6.5,6.57,6.64,6.7,6.76},{0,10,20,30,40,50,60,62,64,66,68,70,72,74,76,78,80,85,90,95,100})</f>
        <v>78</v>
      </c>
      <c r="T48" s="20"/>
      <c r="U48" s="20"/>
      <c r="V48" s="21">
        <f t="shared" si="30"/>
        <v>78</v>
      </c>
      <c r="W48" s="15"/>
      <c r="X48" s="21">
        <f t="shared" si="17"/>
        <v>59.4</v>
      </c>
      <c r="Y48" s="21">
        <f t="shared" si="27"/>
        <v>86.8571428571429</v>
      </c>
    </row>
    <row r="49" ht="15.6" hidden="1" outlineLevel="2" spans="1:25">
      <c r="A49" s="15">
        <v>103</v>
      </c>
      <c r="B49" s="15">
        <v>43</v>
      </c>
      <c r="C49" s="14" t="s">
        <v>163</v>
      </c>
      <c r="D49" s="14" t="s">
        <v>46</v>
      </c>
      <c r="E49" s="15">
        <v>21</v>
      </c>
      <c r="F49" s="1">
        <f>LOOKUP(E49,{0,0.4,1.2,2,2.8,3.6,4.4,5.7,7,8.3,9.6,10.9,12.2,13.5,14.8,16.1,17.4,19.1,20.8,22.5,24.2},{0,10,20,30,40,50,60,62,64,66,68,70,72,74,76,78,80,85,90,95,100})</f>
        <v>90</v>
      </c>
      <c r="G49" s="15">
        <v>155</v>
      </c>
      <c r="H49" s="1">
        <f>LOOKUP(G49,{0,123,128,133,138,143,148,151,154,157,160,163,166,169,172,175,178,185,192,198,204},{0,10,20,30,40,50,60,62,64,66,68,70,72,74,76,78,80,85,90,95,100})</f>
        <v>64</v>
      </c>
      <c r="I49" s="15">
        <v>51</v>
      </c>
      <c r="J49" s="1">
        <f>LOOKUP(I49,{0,13,15,17,19,21,23,25,27,29,31,33,35,37,39,41,43,46,49,51,53},{0,10,20,30,40,50,60,62,64,66,68,70,72,74,76,78,80,85,90,95,100})</f>
        <v>95</v>
      </c>
      <c r="K49" s="20"/>
      <c r="L49" s="20"/>
      <c r="M49" s="21">
        <f t="shared" si="23"/>
        <v>95</v>
      </c>
      <c r="N49" s="15">
        <v>9.3</v>
      </c>
      <c r="O49" s="19">
        <f t="shared" si="24"/>
        <v>3.7</v>
      </c>
      <c r="P49" s="1">
        <f>LOOKUP(O49,{0,1.4,1.6,1.8,2,2.2,2.4,2.6,2.8,3,3.2,3.4,3.6,3.8,4,4.2,4.4,4.7,5,5.1,5.2},{0,10,20,30,40,50,60,62,64,66,68,70,72,74,76,78,80,85,90,95,100})</f>
        <v>72</v>
      </c>
      <c r="Q49" s="15">
        <v>3.39</v>
      </c>
      <c r="R49" s="15">
        <f t="shared" si="29"/>
        <v>6.61</v>
      </c>
      <c r="S49" s="1">
        <f>LOOKUP(R49,{0,4.7,4.8,4.9,5,5.5,5.6,5.65,5.7,5.75,5.8,5.85,5.9,5.95,6,6.45,6.5,6.57,6.64,6.7,6.76},{0,10,20,30,40,50,60,62,64,66,68,70,72,74,76,78,80,85,90,95,100})</f>
        <v>85</v>
      </c>
      <c r="T49" s="20"/>
      <c r="U49" s="20"/>
      <c r="V49" s="21">
        <f t="shared" si="30"/>
        <v>85</v>
      </c>
      <c r="W49" s="15"/>
      <c r="X49" s="21">
        <f t="shared" si="17"/>
        <v>56.3</v>
      </c>
      <c r="Y49" s="21">
        <f t="shared" si="27"/>
        <v>80.4285714285714</v>
      </c>
    </row>
    <row r="50" ht="15.6" hidden="1" outlineLevel="2" spans="1:25">
      <c r="A50" s="15">
        <v>103</v>
      </c>
      <c r="B50" s="15">
        <v>44</v>
      </c>
      <c r="C50" s="14" t="s">
        <v>164</v>
      </c>
      <c r="D50" s="14" t="s">
        <v>46</v>
      </c>
      <c r="E50" s="15">
        <v>8</v>
      </c>
      <c r="F50" s="1">
        <f>LOOKUP(E50,{0,0.4,1.2,2,2.8,3.6,4.4,5.7,7,8.3,9.6,10.9,12.2,13.5,14.8,16.1,17.4,19.1,20.8,22.5,24.2},{0,10,20,30,40,50,60,62,64,66,68,70,72,74,76,78,80,85,90,95,100})</f>
        <v>64</v>
      </c>
      <c r="G50" s="15">
        <v>175</v>
      </c>
      <c r="H50" s="1">
        <f>LOOKUP(G50,{0,123,128,133,138,143,148,151,154,157,160,163,166,169,172,175,178,185,192,198,204},{0,10,20,30,40,50,60,62,64,66,68,70,72,74,76,78,80,85,90,95,100})</f>
        <v>78</v>
      </c>
      <c r="I50" s="15">
        <v>47</v>
      </c>
      <c r="J50" s="1">
        <f>LOOKUP(I50,{0,13,15,17,19,21,23,25,27,29,31,33,35,37,39,41,43,46,49,51,53},{0,10,20,30,40,50,60,62,64,66,68,70,72,74,76,78,80,85,90,95,100})</f>
        <v>85</v>
      </c>
      <c r="K50" s="20"/>
      <c r="L50" s="20"/>
      <c r="M50" s="21">
        <f t="shared" si="23"/>
        <v>85</v>
      </c>
      <c r="N50" s="15">
        <v>9.1</v>
      </c>
      <c r="O50" s="19">
        <f t="shared" si="24"/>
        <v>3.9</v>
      </c>
      <c r="P50" s="1">
        <f>LOOKUP(O50,{0,1.4,1.6,1.8,2,2.2,2.4,2.6,2.8,3,3.2,3.4,3.6,3.8,4,4.2,4.4,4.7,5,5.1,5.2},{0,10,20,30,40,50,60,62,64,66,68,70,72,74,76,78,80,85,90,95,100})</f>
        <v>74</v>
      </c>
      <c r="Q50" s="15">
        <v>4.05</v>
      </c>
      <c r="R50" s="15">
        <f t="shared" si="29"/>
        <v>5.95</v>
      </c>
      <c r="S50" s="1">
        <f>LOOKUP(R50,{0,4.7,4.8,4.9,5,5.5,5.6,5.65,5.7,5.75,5.8,5.85,5.9,5.95,6,6.45,6.5,6.57,6.64,6.7,6.76},{0,10,20,30,40,50,60,62,64,66,68,70,72,74,76,78,80,85,90,95,100})</f>
        <v>74</v>
      </c>
      <c r="T50" s="20"/>
      <c r="U50" s="20"/>
      <c r="V50" s="21">
        <f t="shared" si="30"/>
        <v>74</v>
      </c>
      <c r="W50" s="15"/>
      <c r="X50" s="21">
        <f t="shared" si="17"/>
        <v>52.3</v>
      </c>
      <c r="Y50" s="21">
        <f t="shared" si="27"/>
        <v>74.7142857142857</v>
      </c>
    </row>
    <row r="51" ht="15.6" hidden="1" outlineLevel="2" spans="1:25">
      <c r="A51" s="15">
        <v>103</v>
      </c>
      <c r="B51" s="15">
        <v>45</v>
      </c>
      <c r="C51" s="14" t="s">
        <v>165</v>
      </c>
      <c r="D51" s="14" t="s">
        <v>46</v>
      </c>
      <c r="E51" s="15">
        <v>14</v>
      </c>
      <c r="F51" s="1">
        <f>LOOKUP(E51,{0,0.4,1.2,2,2.8,3.6,4.4,5.7,7,8.3,9.6,10.9,12.2,13.5,14.8,16.1,17.4,19.1,20.8,22.5,24.2},{0,10,20,30,40,50,60,62,64,66,68,70,72,74,76,78,80,85,90,95,100})</f>
        <v>74</v>
      </c>
      <c r="G51" s="15">
        <v>187</v>
      </c>
      <c r="H51" s="1">
        <f>LOOKUP(G51,{0,123,128,133,138,143,148,151,154,157,160,163,166,169,172,175,178,185,192,198,204},{0,10,20,30,40,50,60,62,64,66,68,70,72,74,76,78,80,85,90,95,100})</f>
        <v>85</v>
      </c>
      <c r="I51" s="15">
        <v>47</v>
      </c>
      <c r="J51" s="1">
        <f>LOOKUP(I51,{0,13,15,17,19,21,23,25,27,29,31,33,35,37,39,41,43,46,49,51,53},{0,10,20,30,40,50,60,62,64,66,68,70,72,74,76,78,80,85,90,95,100})</f>
        <v>85</v>
      </c>
      <c r="K51" s="20"/>
      <c r="L51" s="20"/>
      <c r="M51" s="21">
        <f t="shared" si="23"/>
        <v>85</v>
      </c>
      <c r="N51" s="15">
        <v>9</v>
      </c>
      <c r="O51" s="19">
        <f t="shared" si="24"/>
        <v>4</v>
      </c>
      <c r="P51" s="1">
        <f>LOOKUP(O51,{0,1.4,1.6,1.8,2,2.2,2.4,2.6,2.8,3,3.2,3.4,3.6,3.8,4,4.2,4.4,4.7,5,5.1,5.2},{0,10,20,30,40,50,60,62,64,66,68,70,72,74,76,78,80,85,90,95,100})</f>
        <v>76</v>
      </c>
      <c r="Q51" s="15">
        <v>4.01</v>
      </c>
      <c r="R51" s="15">
        <f t="shared" si="29"/>
        <v>5.99</v>
      </c>
      <c r="S51" s="1">
        <f>LOOKUP(R51,{0,4.7,4.8,4.9,5,5.5,5.6,5.65,5.7,5.75,5.8,5.85,5.9,5.95,6,6.45,6.5,6.57,6.64,6.7,6.76},{0,10,20,30,40,50,60,62,64,66,68,70,72,74,76,78,80,85,90,95,100})</f>
        <v>74</v>
      </c>
      <c r="T51" s="20"/>
      <c r="U51" s="20"/>
      <c r="V51" s="21">
        <f t="shared" si="30"/>
        <v>74</v>
      </c>
      <c r="W51" s="15"/>
      <c r="X51" s="21">
        <f t="shared" si="17"/>
        <v>54.4</v>
      </c>
      <c r="Y51" s="21">
        <f t="shared" si="27"/>
        <v>77.7142857142857</v>
      </c>
    </row>
    <row r="52" ht="15.6" hidden="1" outlineLevel="2" spans="1:25">
      <c r="A52" s="15">
        <v>103</v>
      </c>
      <c r="B52" s="15">
        <v>46</v>
      </c>
      <c r="C52" s="14" t="s">
        <v>166</v>
      </c>
      <c r="D52" s="14" t="s">
        <v>46</v>
      </c>
      <c r="E52" s="15">
        <v>10</v>
      </c>
      <c r="F52" s="1">
        <f>LOOKUP(E52,{0,0.4,1.2,2,2.8,3.6,4.4,5.7,7,8.3,9.6,10.9,12.2,13.5,14.8,16.1,17.4,19.1,20.8,22.5,24.2},{0,10,20,30,40,50,60,62,64,66,68,70,72,74,76,78,80,85,90,95,100})</f>
        <v>68</v>
      </c>
      <c r="G52" s="15">
        <v>170</v>
      </c>
      <c r="H52" s="1">
        <f>LOOKUP(G52,{0,123,128,133,138,143,148,151,154,157,160,163,166,169,172,175,178,185,192,198,204},{0,10,20,30,40,50,60,62,64,66,68,70,72,74,76,78,80,85,90,95,100})</f>
        <v>74</v>
      </c>
      <c r="I52" s="15">
        <v>44</v>
      </c>
      <c r="J52" s="1">
        <f>LOOKUP(I52,{0,13,15,17,19,21,23,25,27,29,31,33,35,37,39,41,43,46,49,51,53},{0,10,20,30,40,50,60,62,64,66,68,70,72,74,76,78,80,85,90,95,100})</f>
        <v>80</v>
      </c>
      <c r="K52" s="20"/>
      <c r="L52" s="20"/>
      <c r="M52" s="21">
        <f t="shared" si="23"/>
        <v>80</v>
      </c>
      <c r="N52" s="15">
        <v>9.4</v>
      </c>
      <c r="O52" s="19">
        <f t="shared" si="24"/>
        <v>3.6</v>
      </c>
      <c r="P52" s="1">
        <f>LOOKUP(O52,{0,1.4,1.6,1.8,2,2.2,2.4,2.6,2.8,3,3.2,3.4,3.6,3.8,4,4.2,4.4,4.7,5,5.1,5.2},{0,10,20,30,40,50,60,62,64,66,68,70,72,74,76,78,80,85,90,95,100})</f>
        <v>72</v>
      </c>
      <c r="Q52" s="15">
        <v>3.41</v>
      </c>
      <c r="R52" s="15">
        <f t="shared" si="29"/>
        <v>6.59</v>
      </c>
      <c r="S52" s="1">
        <f>LOOKUP(R52,{0,4.7,4.8,4.9,5,5.5,5.6,5.65,5.7,5.75,5.8,5.85,5.9,5.95,6,6.45,6.5,6.57,6.64,6.7,6.76},{0,10,20,30,40,50,60,62,64,66,68,70,72,74,76,78,80,85,90,95,100})</f>
        <v>85</v>
      </c>
      <c r="T52" s="20"/>
      <c r="U52" s="20"/>
      <c r="V52" s="21">
        <f t="shared" si="30"/>
        <v>85</v>
      </c>
      <c r="W52" s="15"/>
      <c r="X52" s="21">
        <f t="shared" si="17"/>
        <v>53.6</v>
      </c>
      <c r="Y52" s="21">
        <f t="shared" si="27"/>
        <v>76.5714285714286</v>
      </c>
    </row>
    <row r="53" ht="15.6" outlineLevel="1" collapsed="1" spans="1:25">
      <c r="A53" s="16" t="s">
        <v>844</v>
      </c>
      <c r="B53" s="15"/>
      <c r="C53" s="14"/>
      <c r="D53" s="14"/>
      <c r="E53" s="15"/>
      <c r="F53" s="1">
        <f>SUBTOTAL(1,F35:F52)</f>
        <v>80.4375</v>
      </c>
      <c r="G53" s="15"/>
      <c r="H53" s="1">
        <f>SUBTOTAL(1,H35:H52)</f>
        <v>81.3125</v>
      </c>
      <c r="I53" s="15"/>
      <c r="J53" s="1">
        <f>SUBTOTAL(1,J35:J52)</f>
        <v>87.4375</v>
      </c>
      <c r="K53" s="20"/>
      <c r="L53" s="20"/>
      <c r="M53" s="21">
        <f>SUBTOTAL(1,M35:M52)</f>
        <v>87.6875</v>
      </c>
      <c r="N53" s="15"/>
      <c r="O53" s="19"/>
      <c r="P53" s="1">
        <f>SUBTOTAL(1,P35:P52)</f>
        <v>79.3333333333333</v>
      </c>
      <c r="Q53" s="15"/>
      <c r="R53" s="15"/>
      <c r="S53" s="1">
        <f>SUBTOTAL(1,S35:S52)</f>
        <v>82.9333333333333</v>
      </c>
      <c r="T53" s="20"/>
      <c r="U53" s="20"/>
      <c r="V53" s="21">
        <f>SUBTOTAL(1,V35:V52)</f>
        <v>82.9333333333333</v>
      </c>
      <c r="W53" s="15"/>
      <c r="X53" s="21">
        <f>SUBTOTAL(1,X35:X52)</f>
        <v>49.1944444444444</v>
      </c>
      <c r="Y53" s="21">
        <f>SUBTOTAL(1,Y35:Y52)</f>
        <v>76.0555555555556</v>
      </c>
    </row>
    <row r="54" ht="15.6" hidden="1" outlineLevel="2" spans="1:25">
      <c r="A54" s="15">
        <v>104</v>
      </c>
      <c r="B54" s="15">
        <v>29</v>
      </c>
      <c r="C54" s="13" t="s">
        <v>199</v>
      </c>
      <c r="D54" s="14" t="s">
        <v>46</v>
      </c>
      <c r="E54" s="15">
        <v>24.5</v>
      </c>
      <c r="F54" s="1">
        <f>LOOKUP(E54,{0,0.4,1.2,2,2.8,3.6,4.4,5.7,7,8.3,9.6,10.9,12.2,13.5,14.8,16.1,17.4,19.1,20.8,22.5,24.2},{0,10,20,30,40,50,60,62,64,66,68,70,72,74,76,78,80,85,90,95,100})</f>
        <v>100</v>
      </c>
      <c r="G54" s="15">
        <v>205</v>
      </c>
      <c r="H54" s="1">
        <f>LOOKUP(G54,{0,123,128,133,138,143,148,151,154,157,160,163,166,169,172,175,178,185,192,198,204},{0,10,20,30,40,50,60,62,64,66,68,70,72,74,76,78,80,85,90,95,100})</f>
        <v>100</v>
      </c>
      <c r="I54" s="15">
        <v>47</v>
      </c>
      <c r="J54" s="1">
        <f>LOOKUP(I54,{0,13,15,17,19,21,23,25,27,29,31,33,35,37,39,41,43,46,49,51,53},{0,10,20,30,40,50,60,62,64,66,68,70,72,74,76,78,80,85,90,95,100})</f>
        <v>85</v>
      </c>
      <c r="K54" s="20"/>
      <c r="L54" s="20"/>
      <c r="M54" s="21">
        <f t="shared" ref="M54:M64" si="31">J54+L54</f>
        <v>85</v>
      </c>
      <c r="N54" s="15">
        <v>7.8</v>
      </c>
      <c r="O54" s="19">
        <f t="shared" ref="O54:O70" si="32">13-N54</f>
        <v>5.2</v>
      </c>
      <c r="P54" s="1">
        <f>LOOKUP(O54,{0,1.4,1.6,1.8,2,2.2,2.4,2.6,2.8,3,3.2,3.4,3.6,3.8,4,4.2,4.4,4.7,5,5.1,5.2},{0,10,20,30,40,50,60,62,64,66,68,70,72,74,76,78,80,85,90,95,100})</f>
        <v>100</v>
      </c>
      <c r="Q54" s="15">
        <v>3.23</v>
      </c>
      <c r="R54" s="15">
        <f t="shared" ref="R54:R64" si="33">10-Q54</f>
        <v>6.77</v>
      </c>
      <c r="S54" s="1">
        <f>LOOKUP(R54,{0,4.7,4.8,4.9,5,5.5,5.6,5.65,5.7,5.75,5.8,5.85,5.9,5.95,6,6.45,6.5,6.57,6.64,6.7,6.76},{0,10,20,30,40,50,60,62,64,66,68,70,72,74,76,78,80,85,90,95,100})</f>
        <v>100</v>
      </c>
      <c r="T54" s="24">
        <f>3.24-Q54</f>
        <v>0.0100000000000002</v>
      </c>
      <c r="U54" s="1">
        <f>LOOKUP(T54,{0,0.05,0.1,0.15,0.2,0.25,0.3,0.35,0.4,0.45,0.5},{0,1,2,3,4,5,6,7,8,9,10})</f>
        <v>0</v>
      </c>
      <c r="V54" s="21">
        <f t="shared" ref="V54:V64" si="34">S54+U54</f>
        <v>100</v>
      </c>
      <c r="W54" s="15"/>
      <c r="X54" s="21">
        <f t="shared" ref="X54:X70" si="35">F54*0.1+H54*0.1+J54*0.1+P54*0.2+S54*0.2</f>
        <v>68.5</v>
      </c>
      <c r="Y54" s="21">
        <f t="shared" ref="Y54:Y64" si="36">X54/0.7+L54+U54</f>
        <v>97.8571428571429</v>
      </c>
    </row>
    <row r="55" ht="15.6" hidden="1" outlineLevel="2" spans="1:25">
      <c r="A55" s="15">
        <v>104</v>
      </c>
      <c r="B55" s="15">
        <v>30</v>
      </c>
      <c r="C55" s="14" t="s">
        <v>200</v>
      </c>
      <c r="D55" s="14" t="s">
        <v>46</v>
      </c>
      <c r="E55" s="15">
        <v>22.2</v>
      </c>
      <c r="F55" s="1">
        <f>LOOKUP(E55,{0,0.4,1.2,2,2.8,3.6,4.4,5.7,7,8.3,9.6,10.9,12.2,13.5,14.8,16.1,17.4,19.1,20.8,22.5,24.2},{0,10,20,30,40,50,60,62,64,66,68,70,72,74,76,78,80,85,90,95,100})</f>
        <v>90</v>
      </c>
      <c r="G55" s="15">
        <v>170</v>
      </c>
      <c r="H55" s="1">
        <f>LOOKUP(G55,{0,123,128,133,138,143,148,151,154,157,160,163,166,169,172,175,178,185,192,198,204},{0,10,20,30,40,50,60,62,64,66,68,70,72,74,76,78,80,85,90,95,100})</f>
        <v>74</v>
      </c>
      <c r="I55" s="15">
        <v>54</v>
      </c>
      <c r="J55" s="1">
        <f>LOOKUP(I55,{0,13,15,17,19,21,23,25,27,29,31,33,35,37,39,41,43,46,49,51,53},{0,10,20,30,40,50,60,62,64,66,68,70,72,74,76,78,80,85,90,95,100})</f>
        <v>100</v>
      </c>
      <c r="K55" s="20">
        <f>I55-53</f>
        <v>1</v>
      </c>
      <c r="L55" s="1">
        <f>LOOKUP(K55,{0,2,4,6,7,8,9,10,11,12,13},{0,1,2,3,4,5,6,7,8,9,10})</f>
        <v>0</v>
      </c>
      <c r="M55" s="21">
        <f t="shared" si="31"/>
        <v>100</v>
      </c>
      <c r="N55" s="15">
        <v>8.8</v>
      </c>
      <c r="O55" s="19">
        <f t="shared" si="32"/>
        <v>4.2</v>
      </c>
      <c r="P55" s="1">
        <f>LOOKUP(O55,{0,1.4,1.6,1.8,2,2.2,2.4,2.6,2.8,3,3.2,3.4,3.6,3.8,4,4.2,4.4,4.7,5,5.1,5.2},{0,10,20,30,40,50,60,62,64,66,68,70,72,74,76,78,80,85,90,95,100})</f>
        <v>78</v>
      </c>
      <c r="Q55" s="15">
        <v>3.39</v>
      </c>
      <c r="R55" s="15">
        <f t="shared" si="33"/>
        <v>6.61</v>
      </c>
      <c r="S55" s="1">
        <f>LOOKUP(R55,{0,4.7,4.8,4.9,5,5.5,5.6,5.65,5.7,5.75,5.8,5.85,5.9,5.95,6,6.45,6.5,6.57,6.64,6.7,6.76},{0,10,20,30,40,50,60,62,64,66,68,70,72,74,76,78,80,85,90,95,100})</f>
        <v>85</v>
      </c>
      <c r="T55" s="20"/>
      <c r="U55" s="20"/>
      <c r="V55" s="21">
        <f t="shared" si="34"/>
        <v>85</v>
      </c>
      <c r="W55" s="15"/>
      <c r="X55" s="21">
        <f t="shared" si="35"/>
        <v>59</v>
      </c>
      <c r="Y55" s="21">
        <f t="shared" si="36"/>
        <v>84.2857142857143</v>
      </c>
    </row>
    <row r="56" ht="15.6" hidden="1" outlineLevel="2" spans="1:25">
      <c r="A56" s="15">
        <v>104</v>
      </c>
      <c r="B56" s="15">
        <v>31</v>
      </c>
      <c r="C56" s="14" t="s">
        <v>201</v>
      </c>
      <c r="D56" s="14" t="s">
        <v>46</v>
      </c>
      <c r="E56" s="15">
        <v>25</v>
      </c>
      <c r="F56" s="1">
        <f>LOOKUP(E56,{0,0.4,1.2,2,2.8,3.6,4.4,5.7,7,8.3,9.6,10.9,12.2,13.5,14.8,16.1,17.4,19.1,20.8,22.5,24.2},{0,10,20,30,40,50,60,62,64,66,68,70,72,74,76,78,80,85,90,95,100})</f>
        <v>100</v>
      </c>
      <c r="G56" s="15">
        <v>165</v>
      </c>
      <c r="H56" s="1">
        <f>LOOKUP(G56,{0,123,128,133,138,143,148,151,154,157,160,163,166,169,172,175,178,185,192,198,204},{0,10,20,30,40,50,60,62,64,66,68,70,72,74,76,78,80,85,90,95,100})</f>
        <v>70</v>
      </c>
      <c r="I56" s="15">
        <v>49</v>
      </c>
      <c r="J56" s="1">
        <f>LOOKUP(I56,{0,13,15,17,19,21,23,25,27,29,31,33,35,37,39,41,43,46,49,51,53},{0,10,20,30,40,50,60,62,64,66,68,70,72,74,76,78,80,85,90,95,100})</f>
        <v>90</v>
      </c>
      <c r="K56" s="20"/>
      <c r="L56" s="20"/>
      <c r="M56" s="21">
        <f t="shared" si="31"/>
        <v>90</v>
      </c>
      <c r="N56" s="15">
        <v>9.7</v>
      </c>
      <c r="O56" s="19">
        <f t="shared" si="32"/>
        <v>3.3</v>
      </c>
      <c r="P56" s="1">
        <f>LOOKUP(O56,{0,1.4,1.6,1.8,2,2.2,2.4,2.6,2.8,3,3.2,3.4,3.6,3.8,4,4.2,4.4,4.7,5,5.1,5.2},{0,10,20,30,40,50,60,62,64,66,68,70,72,74,76,78,80,85,90,95,100})</f>
        <v>68</v>
      </c>
      <c r="Q56" s="15">
        <v>3.35</v>
      </c>
      <c r="R56" s="15">
        <f t="shared" si="33"/>
        <v>6.65</v>
      </c>
      <c r="S56" s="1">
        <f>LOOKUP(R56,{0,4.7,4.8,4.9,5,5.5,5.6,5.65,5.7,5.75,5.8,5.85,5.9,5.95,6,6.45,6.5,6.57,6.64,6.7,6.76},{0,10,20,30,40,50,60,62,64,66,68,70,72,74,76,78,80,85,90,95,100})</f>
        <v>90</v>
      </c>
      <c r="T56" s="20"/>
      <c r="U56" s="20"/>
      <c r="V56" s="21">
        <f t="shared" si="34"/>
        <v>90</v>
      </c>
      <c r="W56" s="15"/>
      <c r="X56" s="21">
        <f t="shared" si="35"/>
        <v>57.6</v>
      </c>
      <c r="Y56" s="21">
        <f t="shared" si="36"/>
        <v>82.2857142857143</v>
      </c>
    </row>
    <row r="57" ht="15.6" hidden="1" outlineLevel="2" spans="1:25">
      <c r="A57" s="15">
        <v>104</v>
      </c>
      <c r="B57" s="15">
        <v>32</v>
      </c>
      <c r="C57" s="14" t="s">
        <v>202</v>
      </c>
      <c r="D57" s="14" t="s">
        <v>46</v>
      </c>
      <c r="E57" s="15">
        <v>22.1</v>
      </c>
      <c r="F57" s="1">
        <f>LOOKUP(E57,{0,0.4,1.2,2,2.8,3.6,4.4,5.7,7,8.3,9.6,10.9,12.2,13.5,14.8,16.1,17.4,19.1,20.8,22.5,24.2},{0,10,20,30,40,50,60,62,64,66,68,70,72,74,76,78,80,85,90,95,100})</f>
        <v>90</v>
      </c>
      <c r="G57" s="15">
        <v>196</v>
      </c>
      <c r="H57" s="1">
        <f>LOOKUP(G57,{0,123,128,133,138,143,148,151,154,157,160,163,166,169,172,175,178,185,192,198,204},{0,10,20,30,40,50,60,62,64,66,68,70,72,74,76,78,80,85,90,95,100})</f>
        <v>90</v>
      </c>
      <c r="I57" s="15">
        <v>51</v>
      </c>
      <c r="J57" s="1">
        <f>LOOKUP(I57,{0,13,15,17,19,21,23,25,27,29,31,33,35,37,39,41,43,46,49,51,53},{0,10,20,30,40,50,60,62,64,66,68,70,72,74,76,78,80,85,90,95,100})</f>
        <v>95</v>
      </c>
      <c r="K57" s="20"/>
      <c r="L57" s="20"/>
      <c r="M57" s="21">
        <f t="shared" si="31"/>
        <v>95</v>
      </c>
      <c r="N57" s="15">
        <v>8.6</v>
      </c>
      <c r="O57" s="19">
        <f t="shared" si="32"/>
        <v>4.4</v>
      </c>
      <c r="P57" s="1">
        <f>LOOKUP(O57,{0,1.4,1.6,1.8,2,2.2,2.4,2.6,2.8,3,3.2,3.4,3.6,3.8,4,4.2,4.4,4.7,5,5.1,5.2},{0,10,20,30,40,50,60,62,64,66,68,70,72,74,76,78,80,85,90,95,100})</f>
        <v>80</v>
      </c>
      <c r="Q57" s="15">
        <v>3.56</v>
      </c>
      <c r="R57" s="15">
        <f t="shared" si="33"/>
        <v>6.44</v>
      </c>
      <c r="S57" s="1">
        <f>LOOKUP(R57,{0,4.7,4.8,4.9,5,5.5,5.6,5.65,5.7,5.75,5.8,5.85,5.9,5.95,6,6.45,6.5,6.57,6.64,6.7,6.76},{0,10,20,30,40,50,60,62,64,66,68,70,72,74,76,78,80,85,90,95,100})</f>
        <v>76</v>
      </c>
      <c r="T57" s="20"/>
      <c r="U57" s="20"/>
      <c r="V57" s="21">
        <f t="shared" si="34"/>
        <v>76</v>
      </c>
      <c r="W57" s="15"/>
      <c r="X57" s="21">
        <f t="shared" si="35"/>
        <v>58.7</v>
      </c>
      <c r="Y57" s="21">
        <f t="shared" si="36"/>
        <v>83.8571428571429</v>
      </c>
    </row>
    <row r="58" ht="15.6" hidden="1" outlineLevel="2" spans="1:25">
      <c r="A58" s="15">
        <v>104</v>
      </c>
      <c r="B58" s="15">
        <v>33</v>
      </c>
      <c r="C58" s="14" t="s">
        <v>203</v>
      </c>
      <c r="D58" s="14" t="s">
        <v>46</v>
      </c>
      <c r="E58" s="15">
        <v>25.5</v>
      </c>
      <c r="F58" s="1">
        <f>LOOKUP(E58,{0,0.4,1.2,2,2.8,3.6,4.4,5.7,7,8.3,9.6,10.9,12.2,13.5,14.8,16.1,17.4,19.1,20.8,22.5,24.2},{0,10,20,30,40,50,60,62,64,66,68,70,72,74,76,78,80,85,90,95,100})</f>
        <v>100</v>
      </c>
      <c r="G58" s="15">
        <v>190</v>
      </c>
      <c r="H58" s="1">
        <f>LOOKUP(G58,{0,123,128,133,138,143,148,151,154,157,160,163,166,169,172,175,178,185,192,198,204},{0,10,20,30,40,50,60,62,64,66,68,70,72,74,76,78,80,85,90,95,100})</f>
        <v>85</v>
      </c>
      <c r="I58" s="15">
        <v>51</v>
      </c>
      <c r="J58" s="1">
        <f>LOOKUP(I58,{0,13,15,17,19,21,23,25,27,29,31,33,35,37,39,41,43,46,49,51,53},{0,10,20,30,40,50,60,62,64,66,68,70,72,74,76,78,80,85,90,95,100})</f>
        <v>95</v>
      </c>
      <c r="K58" s="20"/>
      <c r="L58" s="20"/>
      <c r="M58" s="21">
        <f t="shared" si="31"/>
        <v>95</v>
      </c>
      <c r="N58" s="15">
        <v>8.1</v>
      </c>
      <c r="O58" s="19">
        <f t="shared" si="32"/>
        <v>4.9</v>
      </c>
      <c r="P58" s="1">
        <f>LOOKUP(O58,{0,1.4,1.6,1.8,2,2.2,2.4,2.6,2.8,3,3.2,3.4,3.6,3.8,4,4.2,4.4,4.7,5,5.1,5.2},{0,10,20,30,40,50,60,62,64,66,68,70,72,74,76,78,80,85,90,95,100})</f>
        <v>85</v>
      </c>
      <c r="Q58" s="15">
        <v>3.25</v>
      </c>
      <c r="R58" s="15">
        <f t="shared" si="33"/>
        <v>6.75</v>
      </c>
      <c r="S58" s="1">
        <f>LOOKUP(R58,{0,4.7,4.8,4.9,5,5.5,5.6,5.65,5.7,5.75,5.8,5.85,5.9,5.95,6,6.45,6.5,6.57,6.64,6.7,6.76},{0,10,20,30,40,50,60,62,64,66,68,70,72,74,76,78,80,85,90,95,100})</f>
        <v>95</v>
      </c>
      <c r="T58" s="20"/>
      <c r="U58" s="20"/>
      <c r="V58" s="21">
        <f t="shared" si="34"/>
        <v>95</v>
      </c>
      <c r="W58" s="15"/>
      <c r="X58" s="21">
        <f t="shared" si="35"/>
        <v>64</v>
      </c>
      <c r="Y58" s="21">
        <f t="shared" si="36"/>
        <v>91.4285714285714</v>
      </c>
    </row>
    <row r="59" ht="15.6" hidden="1" outlineLevel="2" spans="1:25">
      <c r="A59" s="15">
        <v>104</v>
      </c>
      <c r="B59" s="15">
        <v>34</v>
      </c>
      <c r="C59" s="14" t="s">
        <v>204</v>
      </c>
      <c r="D59" s="14" t="s">
        <v>46</v>
      </c>
      <c r="E59" s="15">
        <v>17.7</v>
      </c>
      <c r="F59" s="1">
        <f>LOOKUP(E59,{0,0.4,1.2,2,2.8,3.6,4.4,5.7,7,8.3,9.6,10.9,12.2,13.5,14.8,16.1,17.4,19.1,20.8,22.5,24.2},{0,10,20,30,40,50,60,62,64,66,68,70,72,74,76,78,80,85,90,95,100})</f>
        <v>80</v>
      </c>
      <c r="G59" s="15">
        <v>173</v>
      </c>
      <c r="H59" s="1">
        <f>LOOKUP(G59,{0,123,128,133,138,143,148,151,154,157,160,163,166,169,172,175,178,185,192,198,204},{0,10,20,30,40,50,60,62,64,66,68,70,72,74,76,78,80,85,90,95,100})</f>
        <v>76</v>
      </c>
      <c r="I59" s="15">
        <v>51</v>
      </c>
      <c r="J59" s="1">
        <f>LOOKUP(I59,{0,13,15,17,19,21,23,25,27,29,31,33,35,37,39,41,43,46,49,51,53},{0,10,20,30,40,50,60,62,64,66,68,70,72,74,76,78,80,85,90,95,100})</f>
        <v>95</v>
      </c>
      <c r="K59" s="20"/>
      <c r="L59" s="20"/>
      <c r="M59" s="21">
        <f t="shared" si="31"/>
        <v>95</v>
      </c>
      <c r="N59" s="15">
        <v>8.1</v>
      </c>
      <c r="O59" s="19">
        <f t="shared" si="32"/>
        <v>4.9</v>
      </c>
      <c r="P59" s="1">
        <f>LOOKUP(O59,{0,1.4,1.6,1.8,2,2.2,2.4,2.6,2.8,3,3.2,3.4,3.6,3.8,4,4.2,4.4,4.7,5,5.1,5.2},{0,10,20,30,40,50,60,62,64,66,68,70,72,74,76,78,80,85,90,95,100})</f>
        <v>85</v>
      </c>
      <c r="Q59" s="15">
        <v>3.33</v>
      </c>
      <c r="R59" s="15">
        <f t="shared" si="33"/>
        <v>6.67</v>
      </c>
      <c r="S59" s="1">
        <f>LOOKUP(R59,{0,4.7,4.8,4.9,5,5.5,5.6,5.65,5.7,5.75,5.8,5.85,5.9,5.95,6,6.45,6.5,6.57,6.64,6.7,6.76},{0,10,20,30,40,50,60,62,64,66,68,70,72,74,76,78,80,85,90,95,100})</f>
        <v>90</v>
      </c>
      <c r="T59" s="20"/>
      <c r="U59" s="20"/>
      <c r="V59" s="21">
        <f t="shared" si="34"/>
        <v>90</v>
      </c>
      <c r="W59" s="15"/>
      <c r="X59" s="21">
        <f t="shared" si="35"/>
        <v>60.1</v>
      </c>
      <c r="Y59" s="21">
        <f t="shared" si="36"/>
        <v>85.8571428571429</v>
      </c>
    </row>
    <row r="60" ht="15.6" hidden="1" outlineLevel="2" spans="1:25">
      <c r="A60" s="15">
        <v>104</v>
      </c>
      <c r="B60" s="15">
        <v>35</v>
      </c>
      <c r="C60" s="14" t="s">
        <v>205</v>
      </c>
      <c r="D60" s="14" t="s">
        <v>46</v>
      </c>
      <c r="E60" s="15">
        <v>26.2</v>
      </c>
      <c r="F60" s="1">
        <f>LOOKUP(E60,{0,0.4,1.2,2,2.8,3.6,4.4,5.7,7,8.3,9.6,10.9,12.2,13.5,14.8,16.1,17.4,19.1,20.8,22.5,24.2},{0,10,20,30,40,50,60,62,64,66,68,70,72,74,76,78,80,85,90,95,100})</f>
        <v>100</v>
      </c>
      <c r="G60" s="15">
        <v>180</v>
      </c>
      <c r="H60" s="1">
        <f>LOOKUP(G60,{0,123,128,133,138,143,148,151,154,157,160,163,166,169,172,175,178,185,192,198,204},{0,10,20,30,40,50,60,62,64,66,68,70,72,74,76,78,80,85,90,95,100})</f>
        <v>80</v>
      </c>
      <c r="I60" s="15">
        <v>53</v>
      </c>
      <c r="J60" s="1">
        <f>LOOKUP(I60,{0,13,15,17,19,21,23,25,27,29,31,33,35,37,39,41,43,46,49,51,53},{0,10,20,30,40,50,60,62,64,66,68,70,72,74,76,78,80,85,90,95,100})</f>
        <v>100</v>
      </c>
      <c r="K60" s="20">
        <f>I60-53</f>
        <v>0</v>
      </c>
      <c r="L60" s="1">
        <f>LOOKUP(K60,{0,2,4,6,7,8,9,10,11,12,13},{0,1,2,3,4,5,6,7,8,9,10})</f>
        <v>0</v>
      </c>
      <c r="M60" s="21">
        <f t="shared" si="31"/>
        <v>100</v>
      </c>
      <c r="N60" s="15">
        <v>8.7</v>
      </c>
      <c r="O60" s="19">
        <f t="shared" si="32"/>
        <v>4.3</v>
      </c>
      <c r="P60" s="1">
        <f>LOOKUP(O60,{0,1.4,1.6,1.8,2,2.2,2.4,2.6,2.8,3,3.2,3.4,3.6,3.8,4,4.2,4.4,4.7,5,5.1,5.2},{0,10,20,30,40,50,60,62,64,66,68,70,72,74,76,78,80,85,90,95,100})</f>
        <v>78</v>
      </c>
      <c r="Q60" s="15">
        <v>3.24</v>
      </c>
      <c r="R60" s="15">
        <f t="shared" si="33"/>
        <v>6.76</v>
      </c>
      <c r="S60" s="1">
        <f>LOOKUP(R60,{0,4.7,4.8,4.9,5,5.5,5.6,5.65,5.7,5.75,5.8,5.85,5.9,5.95,6,6.45,6.5,6.57,6.64,6.7,6.76},{0,10,20,30,40,50,60,62,64,66,68,70,72,74,76,78,80,85,90,95,100})</f>
        <v>100</v>
      </c>
      <c r="T60" s="24">
        <f>3.24-Q60</f>
        <v>0</v>
      </c>
      <c r="U60" s="1">
        <f>LOOKUP(T60,{0,0.05,0.1,0.15,0.2,0.25,0.3,0.35,0.4,0.45,0.5},{0,1,2,3,4,5,6,7,8,9,10})</f>
        <v>0</v>
      </c>
      <c r="V60" s="21">
        <f t="shared" si="34"/>
        <v>100</v>
      </c>
      <c r="W60" s="15"/>
      <c r="X60" s="21">
        <f t="shared" si="35"/>
        <v>63.6</v>
      </c>
      <c r="Y60" s="21">
        <f t="shared" si="36"/>
        <v>90.8571428571429</v>
      </c>
    </row>
    <row r="61" ht="15.6" hidden="1" outlineLevel="2" spans="1:25">
      <c r="A61" s="15">
        <v>104</v>
      </c>
      <c r="B61" s="15">
        <v>36</v>
      </c>
      <c r="C61" s="14" t="s">
        <v>206</v>
      </c>
      <c r="D61" s="14" t="s">
        <v>46</v>
      </c>
      <c r="E61" s="15">
        <v>25.4</v>
      </c>
      <c r="F61" s="1">
        <f>LOOKUP(E61,{0,0.4,1.2,2,2.8,3.6,4.4,5.7,7,8.3,9.6,10.9,12.2,13.5,14.8,16.1,17.4,19.1,20.8,22.5,24.2},{0,10,20,30,40,50,60,62,64,66,68,70,72,74,76,78,80,85,90,95,100})</f>
        <v>100</v>
      </c>
      <c r="G61" s="15">
        <v>213</v>
      </c>
      <c r="H61" s="1">
        <f>LOOKUP(G61,{0,123,128,133,138,143,148,151,154,157,160,163,166,169,172,175,178,185,192,198,204},{0,10,20,30,40,50,60,62,64,66,68,70,72,74,76,78,80,85,90,95,100})</f>
        <v>100</v>
      </c>
      <c r="I61" s="15">
        <v>45</v>
      </c>
      <c r="J61" s="1">
        <f>LOOKUP(I61,{0,13,15,17,19,21,23,25,27,29,31,33,35,37,39,41,43,46,49,51,53},{0,10,20,30,40,50,60,62,64,66,68,70,72,74,76,78,80,85,90,95,100})</f>
        <v>80</v>
      </c>
      <c r="K61" s="20"/>
      <c r="L61" s="20"/>
      <c r="M61" s="21">
        <f t="shared" si="31"/>
        <v>80</v>
      </c>
      <c r="N61" s="15">
        <v>8.1</v>
      </c>
      <c r="O61" s="19">
        <f t="shared" si="32"/>
        <v>4.9</v>
      </c>
      <c r="P61" s="1">
        <f>LOOKUP(O61,{0,1.4,1.6,1.8,2,2.2,2.4,2.6,2.8,3,3.2,3.4,3.6,3.8,4,4.2,4.4,4.7,5,5.1,5.2},{0,10,20,30,40,50,60,62,64,66,68,70,72,74,76,78,80,85,90,95,100})</f>
        <v>85</v>
      </c>
      <c r="Q61" s="15">
        <v>3.45</v>
      </c>
      <c r="R61" s="15">
        <f t="shared" si="33"/>
        <v>6.55</v>
      </c>
      <c r="S61" s="1">
        <f>LOOKUP(R61,{0,4.7,4.8,4.9,5,5.5,5.6,5.65,5.7,5.75,5.8,5.85,5.9,5.95,6,6.45,6.5,6.57,6.64,6.7,6.76},{0,10,20,30,40,50,60,62,64,66,68,70,72,74,76,78,80,85,90,95,100})</f>
        <v>80</v>
      </c>
      <c r="T61" s="20"/>
      <c r="U61" s="20"/>
      <c r="V61" s="21">
        <f t="shared" si="34"/>
        <v>80</v>
      </c>
      <c r="W61" s="15"/>
      <c r="X61" s="21">
        <f t="shared" si="35"/>
        <v>61</v>
      </c>
      <c r="Y61" s="21">
        <f t="shared" si="36"/>
        <v>87.1428571428572</v>
      </c>
    </row>
    <row r="62" s="3" customFormat="1" ht="15.6" hidden="1" outlineLevel="2" spans="1:25">
      <c r="A62" s="15">
        <v>104</v>
      </c>
      <c r="B62" s="15">
        <v>37</v>
      </c>
      <c r="C62" s="14" t="s">
        <v>207</v>
      </c>
      <c r="D62" s="14" t="s">
        <v>46</v>
      </c>
      <c r="E62" s="15">
        <v>25</v>
      </c>
      <c r="F62" s="1">
        <f>LOOKUP(E62,{0,0.4,1.2,2,2.8,3.6,4.4,5.7,7,8.3,9.6,10.9,12.2,13.5,14.8,16.1,17.4,19.1,20.8,22.5,24.2},{0,10,20,30,40,50,60,62,64,66,68,70,72,74,76,78,80,85,90,95,100})</f>
        <v>100</v>
      </c>
      <c r="G62" s="15">
        <v>202</v>
      </c>
      <c r="H62" s="1">
        <f>LOOKUP(G62,{0,123,128,133,138,143,148,151,154,157,160,163,166,169,172,175,178,185,192,198,204},{0,10,20,30,40,50,60,62,64,66,68,70,72,74,76,78,80,85,90,95,100})</f>
        <v>95</v>
      </c>
      <c r="I62" s="15">
        <v>60</v>
      </c>
      <c r="J62" s="1">
        <f>LOOKUP(I62,{0,13,15,17,19,21,23,25,27,29,31,33,35,37,39,41,43,46,49,51,53},{0,10,20,30,40,50,60,62,64,66,68,70,72,74,76,78,80,85,90,95,100})</f>
        <v>100</v>
      </c>
      <c r="K62" s="20">
        <f>I62-53</f>
        <v>7</v>
      </c>
      <c r="L62" s="1">
        <f>LOOKUP(K62,{0,2,4,6,7,8,9,10,11,12,13},{0,1,2,3,4,5,6,7,8,9,10})</f>
        <v>4</v>
      </c>
      <c r="M62" s="21">
        <f t="shared" si="31"/>
        <v>104</v>
      </c>
      <c r="N62" s="15">
        <v>8.5</v>
      </c>
      <c r="O62" s="19">
        <f t="shared" si="32"/>
        <v>4.5</v>
      </c>
      <c r="P62" s="1">
        <f>LOOKUP(O62,{0,1.4,1.6,1.8,2,2.2,2.4,2.6,2.8,3,3.2,3.4,3.6,3.8,4,4.2,4.4,4.7,5,5.1,5.2},{0,10,20,30,40,50,60,62,64,66,68,70,72,74,76,78,80,85,90,95,100})</f>
        <v>80</v>
      </c>
      <c r="Q62" s="15">
        <v>3.09</v>
      </c>
      <c r="R62" s="15">
        <f t="shared" si="33"/>
        <v>6.91</v>
      </c>
      <c r="S62" s="1">
        <f>LOOKUP(R62,{0,4.7,4.8,4.9,5,5.5,5.6,5.65,5.7,5.75,5.8,5.85,5.9,5.95,6,6.45,6.5,6.57,6.64,6.7,6.76},{0,10,20,30,40,50,60,62,64,66,68,70,72,74,76,78,80,85,90,95,100})</f>
        <v>100</v>
      </c>
      <c r="T62" s="24">
        <f>3.24-Q62</f>
        <v>0.15</v>
      </c>
      <c r="U62" s="1">
        <f>LOOKUP(T62,{0,0.05,0.1,0.15,0.2,0.25,0.3,0.35,0.4,0.45,0.5},{0,1,2,3,4,5,6,7,8,9,10})</f>
        <v>3</v>
      </c>
      <c r="V62" s="21">
        <f t="shared" si="34"/>
        <v>103</v>
      </c>
      <c r="W62" s="15"/>
      <c r="X62" s="21">
        <f t="shared" si="35"/>
        <v>65.5</v>
      </c>
      <c r="Y62" s="21">
        <f t="shared" si="36"/>
        <v>100.571428571429</v>
      </c>
    </row>
    <row r="63" ht="15.6" hidden="1" outlineLevel="2" spans="1:25">
      <c r="A63" s="15">
        <v>104</v>
      </c>
      <c r="B63" s="15">
        <v>38</v>
      </c>
      <c r="C63" s="13" t="s">
        <v>209</v>
      </c>
      <c r="D63" s="14" t="s">
        <v>46</v>
      </c>
      <c r="E63" s="15">
        <v>6</v>
      </c>
      <c r="F63" s="1">
        <f>LOOKUP(E63,{0,0.4,1.2,2,2.8,3.6,4.4,5.7,7,8.3,9.6,10.9,12.2,13.5,14.8,16.1,17.4,19.1,20.8,22.5,24.2},{0,10,20,30,40,50,60,62,64,66,68,70,72,74,76,78,80,85,90,95,100})</f>
        <v>62</v>
      </c>
      <c r="G63" s="15">
        <v>158</v>
      </c>
      <c r="H63" s="1">
        <f>LOOKUP(G63,{0,123,128,133,138,143,148,151,154,157,160,163,166,169,172,175,178,185,192,198,204},{0,10,20,30,40,50,60,62,64,66,68,70,72,74,76,78,80,85,90,95,100})</f>
        <v>66</v>
      </c>
      <c r="I63" s="15">
        <v>43</v>
      </c>
      <c r="J63" s="1">
        <f>LOOKUP(I63,{0,13,15,17,19,21,23,25,27,29,31,33,35,37,39,41,43,46,49,51,53},{0,10,20,30,40,50,60,62,64,66,68,70,72,74,76,78,80,85,90,95,100})</f>
        <v>80</v>
      </c>
      <c r="K63" s="20"/>
      <c r="L63" s="20"/>
      <c r="M63" s="21">
        <f t="shared" si="31"/>
        <v>80</v>
      </c>
      <c r="N63" s="15">
        <v>9.2</v>
      </c>
      <c r="O63" s="19">
        <f t="shared" si="32"/>
        <v>3.8</v>
      </c>
      <c r="P63" s="1">
        <f>LOOKUP(O63,{0,1.4,1.6,1.8,2,2.2,2.4,2.6,2.8,3,3.2,3.4,3.6,3.8,4,4.2,4.4,4.7,5,5.1,5.2},{0,10,20,30,40,50,60,62,64,66,68,70,72,74,76,78,80,85,90,95,100})</f>
        <v>74</v>
      </c>
      <c r="Q63" s="15">
        <v>3.35</v>
      </c>
      <c r="R63" s="15">
        <f t="shared" si="33"/>
        <v>6.65</v>
      </c>
      <c r="S63" s="1">
        <f>LOOKUP(R63,{0,4.7,4.8,4.9,5,5.5,5.6,5.65,5.7,5.75,5.8,5.85,5.9,5.95,6,6.45,6.5,6.57,6.64,6.7,6.76},{0,10,20,30,40,50,60,62,64,66,68,70,72,74,76,78,80,85,90,95,100})</f>
        <v>90</v>
      </c>
      <c r="T63" s="20"/>
      <c r="U63" s="20"/>
      <c r="V63" s="21">
        <f t="shared" si="34"/>
        <v>90</v>
      </c>
      <c r="W63" s="15"/>
      <c r="X63" s="21">
        <f t="shared" si="35"/>
        <v>53.6</v>
      </c>
      <c r="Y63" s="21">
        <f t="shared" si="36"/>
        <v>76.5714285714286</v>
      </c>
    </row>
    <row r="64" ht="15.6" hidden="1" outlineLevel="2" spans="1:25">
      <c r="A64" s="15">
        <v>104</v>
      </c>
      <c r="B64" s="15">
        <v>39</v>
      </c>
      <c r="C64" s="14" t="s">
        <v>210</v>
      </c>
      <c r="D64" s="14" t="s">
        <v>46</v>
      </c>
      <c r="E64" s="15">
        <v>28.3</v>
      </c>
      <c r="F64" s="1">
        <f>LOOKUP(E64,{0,0.4,1.2,2,2.8,3.6,4.4,5.7,7,8.3,9.6,10.9,12.2,13.5,14.8,16.1,17.4,19.1,20.8,22.5,24.2},{0,10,20,30,40,50,60,62,64,66,68,70,72,74,76,78,80,85,90,95,100})</f>
        <v>100</v>
      </c>
      <c r="G64" s="15">
        <v>192</v>
      </c>
      <c r="H64" s="1">
        <f>LOOKUP(G64,{0,123,128,133,138,143,148,151,154,157,160,163,166,169,172,175,178,185,192,198,204},{0,10,20,30,40,50,60,62,64,66,68,70,72,74,76,78,80,85,90,95,100})</f>
        <v>90</v>
      </c>
      <c r="I64" s="15">
        <v>46</v>
      </c>
      <c r="J64" s="1">
        <f>LOOKUP(I64,{0,13,15,17,19,21,23,25,27,29,31,33,35,37,39,41,43,46,49,51,53},{0,10,20,30,40,50,60,62,64,66,68,70,72,74,76,78,80,85,90,95,100})</f>
        <v>85</v>
      </c>
      <c r="K64" s="20"/>
      <c r="L64" s="20"/>
      <c r="M64" s="21">
        <f t="shared" si="31"/>
        <v>85</v>
      </c>
      <c r="N64" s="15">
        <v>8.1</v>
      </c>
      <c r="O64" s="19">
        <f t="shared" si="32"/>
        <v>4.9</v>
      </c>
      <c r="P64" s="1">
        <f>LOOKUP(O64,{0,1.4,1.6,1.8,2,2.2,2.4,2.6,2.8,3,3.2,3.4,3.6,3.8,4,4.2,4.4,4.7,5,5.1,5.2},{0,10,20,30,40,50,60,62,64,66,68,70,72,74,76,78,80,85,90,95,100})</f>
        <v>85</v>
      </c>
      <c r="Q64" s="15">
        <v>3.36</v>
      </c>
      <c r="R64" s="15">
        <f t="shared" si="33"/>
        <v>6.64</v>
      </c>
      <c r="S64" s="1">
        <f>LOOKUP(R64,{0,4.7,4.8,4.9,5,5.5,5.6,5.65,5.7,5.75,5.8,5.85,5.9,5.95,6,6.45,6.5,6.57,6.64,6.7,6.76},{0,10,20,30,40,50,60,62,64,66,68,70,72,74,76,78,80,85,90,95,100})</f>
        <v>90</v>
      </c>
      <c r="T64" s="20"/>
      <c r="U64" s="20"/>
      <c r="V64" s="21">
        <f t="shared" si="34"/>
        <v>90</v>
      </c>
      <c r="W64" s="15"/>
      <c r="X64" s="21">
        <f t="shared" si="35"/>
        <v>62.5</v>
      </c>
      <c r="Y64" s="21">
        <f t="shared" si="36"/>
        <v>89.2857142857143</v>
      </c>
    </row>
    <row r="65" ht="15.6" hidden="1" outlineLevel="2" spans="1:25">
      <c r="A65" s="15">
        <v>104</v>
      </c>
      <c r="B65" s="15">
        <v>40</v>
      </c>
      <c r="C65" s="14" t="s">
        <v>211</v>
      </c>
      <c r="D65" s="14" t="s">
        <v>46</v>
      </c>
      <c r="E65" s="15"/>
      <c r="F65" s="1"/>
      <c r="G65" s="15"/>
      <c r="H65" s="1"/>
      <c r="I65" s="15"/>
      <c r="J65" s="1"/>
      <c r="K65" s="20"/>
      <c r="L65" s="20"/>
      <c r="M65" s="21"/>
      <c r="N65" s="15">
        <v>8</v>
      </c>
      <c r="O65" s="19">
        <f t="shared" si="32"/>
        <v>5</v>
      </c>
      <c r="P65" s="1">
        <f>LOOKUP(O65,{0,1.4,1.6,1.8,2,2.2,2.4,2.6,2.8,3,3.2,3.4,3.6,3.8,4,4.2,4.4,4.7,5,5.1,5.2},{0,10,20,30,40,50,60,62,64,66,68,70,72,74,76,78,80,85,90,95,100})</f>
        <v>90</v>
      </c>
      <c r="Q65" s="15"/>
      <c r="R65" s="15"/>
      <c r="S65" s="1"/>
      <c r="T65" s="24"/>
      <c r="U65" s="1"/>
      <c r="V65" s="21"/>
      <c r="W65" s="15" t="s">
        <v>84</v>
      </c>
      <c r="X65" s="21">
        <f t="shared" si="35"/>
        <v>18</v>
      </c>
      <c r="Y65" s="21">
        <v>50</v>
      </c>
    </row>
    <row r="66" ht="15.6" hidden="1" outlineLevel="2" spans="1:25">
      <c r="A66" s="15">
        <v>104</v>
      </c>
      <c r="B66" s="15">
        <v>41</v>
      </c>
      <c r="C66" s="14" t="s">
        <v>212</v>
      </c>
      <c r="D66" s="14" t="s">
        <v>46</v>
      </c>
      <c r="E66" s="15">
        <v>21.1</v>
      </c>
      <c r="F66" s="1">
        <f>LOOKUP(E66,{0,0.4,1.2,2,2.8,3.6,4.4,5.7,7,8.3,9.6,10.9,12.2,13.5,14.8,16.1,17.4,19.1,20.8,22.5,24.2},{0,10,20,30,40,50,60,62,64,66,68,70,72,74,76,78,80,85,90,95,100})</f>
        <v>90</v>
      </c>
      <c r="G66" s="15">
        <v>198</v>
      </c>
      <c r="H66" s="1">
        <f>LOOKUP(G66,{0,123,128,133,138,143,148,151,154,157,160,163,166,169,172,175,178,185,192,198,204},{0,10,20,30,40,50,60,62,64,66,68,70,72,74,76,78,80,85,90,95,100})</f>
        <v>95</v>
      </c>
      <c r="I66" s="15">
        <v>49</v>
      </c>
      <c r="J66" s="1">
        <f>LOOKUP(I66,{0,13,15,17,19,21,23,25,27,29,31,33,35,37,39,41,43,46,49,51,53},{0,10,20,30,40,50,60,62,64,66,68,70,72,74,76,78,80,85,90,95,100})</f>
        <v>90</v>
      </c>
      <c r="K66" s="20"/>
      <c r="L66" s="20"/>
      <c r="M66" s="21">
        <f t="shared" ref="M66:M70" si="37">J66+L66</f>
        <v>90</v>
      </c>
      <c r="N66" s="15">
        <v>9.1</v>
      </c>
      <c r="O66" s="19">
        <f t="shared" si="32"/>
        <v>3.9</v>
      </c>
      <c r="P66" s="1">
        <f>LOOKUP(O66,{0,1.4,1.6,1.8,2,2.2,2.4,2.6,2.8,3,3.2,3.4,3.6,3.8,4,4.2,4.4,4.7,5,5.1,5.2},{0,10,20,30,40,50,60,62,64,66,68,70,72,74,76,78,80,85,90,95,100})</f>
        <v>74</v>
      </c>
      <c r="Q66" s="15">
        <v>3.41</v>
      </c>
      <c r="R66" s="15">
        <f t="shared" ref="R66:R70" si="38">10-Q66</f>
        <v>6.59</v>
      </c>
      <c r="S66" s="1">
        <f>LOOKUP(R66,{0,4.7,4.8,4.9,5,5.5,5.6,5.65,5.7,5.75,5.8,5.85,5.9,5.95,6,6.45,6.5,6.57,6.64,6.7,6.76},{0,10,20,30,40,50,60,62,64,66,68,70,72,74,76,78,80,85,90,95,100})</f>
        <v>85</v>
      </c>
      <c r="T66" s="20"/>
      <c r="U66" s="20"/>
      <c r="V66" s="21">
        <f t="shared" ref="V66:V70" si="39">S66+U66</f>
        <v>85</v>
      </c>
      <c r="W66" s="15"/>
      <c r="X66" s="21">
        <f t="shared" si="35"/>
        <v>59.3</v>
      </c>
      <c r="Y66" s="21">
        <f t="shared" ref="Y66:Y70" si="40">X66/0.7+L66+U66</f>
        <v>84.7142857142857</v>
      </c>
    </row>
    <row r="67" ht="15.6" hidden="1" outlineLevel="2" spans="1:25">
      <c r="A67" s="15">
        <v>104</v>
      </c>
      <c r="B67" s="15">
        <v>42</v>
      </c>
      <c r="C67" s="14" t="s">
        <v>213</v>
      </c>
      <c r="D67" s="14" t="s">
        <v>46</v>
      </c>
      <c r="E67" s="15">
        <v>27</v>
      </c>
      <c r="F67" s="1">
        <f>LOOKUP(E67,{0,0.4,1.2,2,2.8,3.6,4.4,5.7,7,8.3,9.6,10.9,12.2,13.5,14.8,16.1,17.4,19.1,20.8,22.5,24.2},{0,10,20,30,40,50,60,62,64,66,68,70,72,74,76,78,80,85,90,95,100})</f>
        <v>100</v>
      </c>
      <c r="G67" s="15">
        <v>185</v>
      </c>
      <c r="H67" s="1">
        <f>LOOKUP(G67,{0,123,128,133,138,143,148,151,154,157,160,163,166,169,172,175,178,185,192,198,204},{0,10,20,30,40,50,60,62,64,66,68,70,72,74,76,78,80,85,90,95,100})</f>
        <v>85</v>
      </c>
      <c r="I67" s="15">
        <v>53</v>
      </c>
      <c r="J67" s="1">
        <f>LOOKUP(I67,{0,13,15,17,19,21,23,25,27,29,31,33,35,37,39,41,43,46,49,51,53},{0,10,20,30,40,50,60,62,64,66,68,70,72,74,76,78,80,85,90,95,100})</f>
        <v>100</v>
      </c>
      <c r="K67" s="20">
        <f>I67-53</f>
        <v>0</v>
      </c>
      <c r="L67" s="1">
        <f>LOOKUP(K67,{0,2,4,6,7,8,9,10,11,12,13},{0,1,2,3,4,5,6,7,8,9,10})</f>
        <v>0</v>
      </c>
      <c r="M67" s="21">
        <f t="shared" si="37"/>
        <v>100</v>
      </c>
      <c r="N67" s="15">
        <v>8.9</v>
      </c>
      <c r="O67" s="19">
        <f t="shared" si="32"/>
        <v>4.1</v>
      </c>
      <c r="P67" s="1">
        <f>LOOKUP(O67,{0,1.4,1.6,1.8,2,2.2,2.4,2.6,2.8,3,3.2,3.4,3.6,3.8,4,4.2,4.4,4.7,5,5.1,5.2},{0,10,20,30,40,50,60,62,64,66,68,70,72,74,76,78,80,85,90,95,100})</f>
        <v>76</v>
      </c>
      <c r="Q67" s="15">
        <v>3.42</v>
      </c>
      <c r="R67" s="15">
        <f t="shared" si="38"/>
        <v>6.58</v>
      </c>
      <c r="S67" s="1">
        <f>LOOKUP(R67,{0,4.7,4.8,4.9,5,5.5,5.6,5.65,5.7,5.75,5.8,5.85,5.9,5.95,6,6.45,6.5,6.57,6.64,6.7,6.76},{0,10,20,30,40,50,60,62,64,66,68,70,72,74,76,78,80,85,90,95,100})</f>
        <v>85</v>
      </c>
      <c r="T67" s="20"/>
      <c r="U67" s="20"/>
      <c r="V67" s="21">
        <f t="shared" si="39"/>
        <v>85</v>
      </c>
      <c r="W67" s="15"/>
      <c r="X67" s="21">
        <f t="shared" si="35"/>
        <v>60.7</v>
      </c>
      <c r="Y67" s="21">
        <f t="shared" si="40"/>
        <v>86.7142857142857</v>
      </c>
    </row>
    <row r="68" ht="15.6" hidden="1" outlineLevel="2" spans="1:25">
      <c r="A68" s="15">
        <v>104</v>
      </c>
      <c r="B68" s="15">
        <v>43</v>
      </c>
      <c r="C68" s="14" t="s">
        <v>214</v>
      </c>
      <c r="D68" s="14" t="s">
        <v>46</v>
      </c>
      <c r="E68" s="15">
        <v>19</v>
      </c>
      <c r="F68" s="1">
        <f>LOOKUP(E68,{0,0.4,1.2,2,2.8,3.6,4.4,5.7,7,8.3,9.6,10.9,12.2,13.5,14.8,16.1,17.4,19.1,20.8,22.5,24.2},{0,10,20,30,40,50,60,62,64,66,68,70,72,74,76,78,80,85,90,95,100})</f>
        <v>80</v>
      </c>
      <c r="G68" s="15">
        <v>175</v>
      </c>
      <c r="H68" s="1">
        <f>LOOKUP(G68,{0,123,128,133,138,143,148,151,154,157,160,163,166,169,172,175,178,185,192,198,204},{0,10,20,30,40,50,60,62,64,66,68,70,72,74,76,78,80,85,90,95,100})</f>
        <v>78</v>
      </c>
      <c r="I68" s="15">
        <v>40</v>
      </c>
      <c r="J68" s="1">
        <f>LOOKUP(I68,{0,13,15,17,19,21,23,25,27,29,31,33,35,37,39,41,43,46,49,51,53},{0,10,20,30,40,50,60,62,64,66,68,70,72,74,76,78,80,85,90,95,100})</f>
        <v>76</v>
      </c>
      <c r="K68" s="20"/>
      <c r="L68" s="20"/>
      <c r="M68" s="21">
        <f t="shared" si="37"/>
        <v>76</v>
      </c>
      <c r="N68" s="15">
        <v>8.1</v>
      </c>
      <c r="O68" s="19">
        <f t="shared" si="32"/>
        <v>4.9</v>
      </c>
      <c r="P68" s="1">
        <f>LOOKUP(O68,{0,1.4,1.6,1.8,2,2.2,2.4,2.6,2.8,3,3.2,3.4,3.6,3.8,4,4.2,4.4,4.7,5,5.1,5.2},{0,10,20,30,40,50,60,62,64,66,68,70,72,74,76,78,80,85,90,95,100})</f>
        <v>85</v>
      </c>
      <c r="Q68" s="15">
        <v>3.29</v>
      </c>
      <c r="R68" s="15">
        <f t="shared" si="38"/>
        <v>6.71</v>
      </c>
      <c r="S68" s="1">
        <f>LOOKUP(R68,{0,4.7,4.8,4.9,5,5.5,5.6,5.65,5.7,5.75,5.8,5.85,5.9,5.95,6,6.45,6.5,6.57,6.64,6.7,6.76},{0,10,20,30,40,50,60,62,64,66,68,70,72,74,76,78,80,85,90,95,100})</f>
        <v>95</v>
      </c>
      <c r="T68" s="20"/>
      <c r="U68" s="20"/>
      <c r="V68" s="21">
        <f t="shared" si="39"/>
        <v>95</v>
      </c>
      <c r="W68" s="15"/>
      <c r="X68" s="21">
        <f t="shared" si="35"/>
        <v>59.4</v>
      </c>
      <c r="Y68" s="21">
        <f t="shared" si="40"/>
        <v>84.8571428571429</v>
      </c>
    </row>
    <row r="69" ht="15.6" hidden="1" outlineLevel="2" spans="1:25">
      <c r="A69" s="15">
        <v>104</v>
      </c>
      <c r="B69" s="15">
        <v>44</v>
      </c>
      <c r="C69" s="14" t="s">
        <v>215</v>
      </c>
      <c r="D69" s="14" t="s">
        <v>46</v>
      </c>
      <c r="E69" s="15">
        <v>14.8</v>
      </c>
      <c r="F69" s="1">
        <f>LOOKUP(E69,{0,0.4,1.2,2,2.8,3.6,4.4,5.7,7,8.3,9.6,10.9,12.2,13.5,14.8,16.1,17.4,19.1,20.8,22.5,24.2},{0,10,20,30,40,50,60,62,64,66,68,70,72,74,76,78,80,85,90,95,100})</f>
        <v>76</v>
      </c>
      <c r="G69" s="15">
        <v>187</v>
      </c>
      <c r="H69" s="1">
        <f>LOOKUP(G69,{0,123,128,133,138,143,148,151,154,157,160,163,166,169,172,175,178,185,192,198,204},{0,10,20,30,40,50,60,62,64,66,68,70,72,74,76,78,80,85,90,95,100})</f>
        <v>85</v>
      </c>
      <c r="I69" s="15">
        <v>44</v>
      </c>
      <c r="J69" s="1">
        <f>LOOKUP(I69,{0,13,15,17,19,21,23,25,27,29,31,33,35,37,39,41,43,46,49,51,53},{0,10,20,30,40,50,60,62,64,66,68,70,72,74,76,78,80,85,90,95,100})</f>
        <v>80</v>
      </c>
      <c r="K69" s="20"/>
      <c r="L69" s="20"/>
      <c r="M69" s="21">
        <f t="shared" si="37"/>
        <v>80</v>
      </c>
      <c r="N69" s="15">
        <v>9.1</v>
      </c>
      <c r="O69" s="19">
        <f t="shared" si="32"/>
        <v>3.9</v>
      </c>
      <c r="P69" s="1">
        <f>LOOKUP(O69,{0,1.4,1.6,1.8,2,2.2,2.4,2.6,2.8,3,3.2,3.4,3.6,3.8,4,4.2,4.4,4.7,5,5.1,5.2},{0,10,20,30,40,50,60,62,64,66,68,70,72,74,76,78,80,85,90,95,100})</f>
        <v>74</v>
      </c>
      <c r="Q69" s="15">
        <v>4.07</v>
      </c>
      <c r="R69" s="15">
        <f t="shared" si="38"/>
        <v>5.93</v>
      </c>
      <c r="S69" s="1">
        <f>LOOKUP(R69,{0,4.7,4.8,4.9,5,5.5,5.6,5.65,5.7,5.75,5.8,5.85,5.9,5.95,6,6.45,6.5,6.57,6.64,6.7,6.76},{0,10,20,30,40,50,60,62,64,66,68,70,72,74,76,78,80,85,90,95,100})</f>
        <v>72</v>
      </c>
      <c r="T69" s="20"/>
      <c r="U69" s="20"/>
      <c r="V69" s="21">
        <f t="shared" si="39"/>
        <v>72</v>
      </c>
      <c r="W69" s="15"/>
      <c r="X69" s="21">
        <f t="shared" si="35"/>
        <v>53.3</v>
      </c>
      <c r="Y69" s="21">
        <f t="shared" si="40"/>
        <v>76.1428571428572</v>
      </c>
    </row>
    <row r="70" ht="15.6" hidden="1" outlineLevel="2" spans="1:25">
      <c r="A70" s="15">
        <v>104</v>
      </c>
      <c r="B70" s="15">
        <v>45</v>
      </c>
      <c r="C70" s="14" t="s">
        <v>216</v>
      </c>
      <c r="D70" s="14" t="s">
        <v>46</v>
      </c>
      <c r="E70" s="15">
        <v>8</v>
      </c>
      <c r="F70" s="1">
        <f>LOOKUP(E70,{0,0.4,1.2,2,2.8,3.6,4.4,5.7,7,8.3,9.6,10.9,12.2,13.5,14.8,16.1,17.4,19.1,20.8,22.5,24.2},{0,10,20,30,40,50,60,62,64,66,68,70,72,74,76,78,80,85,90,95,100})</f>
        <v>64</v>
      </c>
      <c r="G70" s="15">
        <v>195</v>
      </c>
      <c r="H70" s="1">
        <f>LOOKUP(G70,{0,123,128,133,138,143,148,151,154,157,160,163,166,169,172,175,178,185,192,198,204},{0,10,20,30,40,50,60,62,64,66,68,70,72,74,76,78,80,85,90,95,100})</f>
        <v>90</v>
      </c>
      <c r="I70" s="15">
        <v>61</v>
      </c>
      <c r="J70" s="1">
        <f>LOOKUP(I70,{0,13,15,17,19,21,23,25,27,29,31,33,35,37,39,41,43,46,49,51,53},{0,10,20,30,40,50,60,62,64,66,68,70,72,74,76,78,80,85,90,95,100})</f>
        <v>100</v>
      </c>
      <c r="K70" s="20">
        <f>I70-53</f>
        <v>8</v>
      </c>
      <c r="L70" s="1">
        <f>LOOKUP(K70,{0,2,4,6,7,8,9,10,11,12,13},{0,1,2,3,4,5,6,7,8,9,10})</f>
        <v>5</v>
      </c>
      <c r="M70" s="21">
        <f t="shared" si="37"/>
        <v>105</v>
      </c>
      <c r="N70" s="15">
        <v>8.1</v>
      </c>
      <c r="O70" s="19">
        <f t="shared" si="32"/>
        <v>4.9</v>
      </c>
      <c r="P70" s="1">
        <f>LOOKUP(O70,{0,1.4,1.6,1.8,2,2.2,2.4,2.6,2.8,3,3.2,3.4,3.6,3.8,4,4.2,4.4,4.7,5,5.1,5.2},{0,10,20,30,40,50,60,62,64,66,68,70,72,74,76,78,80,85,90,95,100})</f>
        <v>85</v>
      </c>
      <c r="Q70" s="15">
        <v>3.12</v>
      </c>
      <c r="R70" s="15">
        <f t="shared" si="38"/>
        <v>6.88</v>
      </c>
      <c r="S70" s="1">
        <f>LOOKUP(R70,{0,4.7,4.8,4.9,5,5.5,5.6,5.65,5.7,5.75,5.8,5.85,5.9,5.95,6,6.45,6.5,6.57,6.64,6.7,6.76},{0,10,20,30,40,50,60,62,64,66,68,70,72,74,76,78,80,85,90,95,100})</f>
        <v>100</v>
      </c>
      <c r="T70" s="24">
        <f>3.24-Q70</f>
        <v>0.12</v>
      </c>
      <c r="U70" s="1">
        <f>LOOKUP(T70,{0,0.05,0.1,0.15,0.2,0.25,0.3,0.35,0.4,0.45,0.5},{0,1,2,3,4,5,6,7,8,9,10})</f>
        <v>2</v>
      </c>
      <c r="V70" s="21">
        <f t="shared" si="39"/>
        <v>102</v>
      </c>
      <c r="W70" s="15"/>
      <c r="X70" s="21">
        <f t="shared" si="35"/>
        <v>62.4</v>
      </c>
      <c r="Y70" s="21">
        <f t="shared" si="40"/>
        <v>96.1428571428572</v>
      </c>
    </row>
    <row r="71" ht="15.6" outlineLevel="1" collapsed="1" spans="1:25">
      <c r="A71" s="16" t="s">
        <v>845</v>
      </c>
      <c r="B71" s="15"/>
      <c r="C71" s="14"/>
      <c r="D71" s="14"/>
      <c r="E71" s="15"/>
      <c r="F71" s="1">
        <f>SUBTOTAL(1,F54:F70)</f>
        <v>89.5</v>
      </c>
      <c r="G71" s="15"/>
      <c r="H71" s="1">
        <f>SUBTOTAL(1,H54:H70)</f>
        <v>84.9375</v>
      </c>
      <c r="I71" s="15"/>
      <c r="J71" s="1">
        <f>SUBTOTAL(1,J54:J70)</f>
        <v>90.6875</v>
      </c>
      <c r="K71" s="20"/>
      <c r="L71" s="1"/>
      <c r="M71" s="21">
        <f>SUBTOTAL(1,M54:M70)</f>
        <v>91.25</v>
      </c>
      <c r="N71" s="15"/>
      <c r="O71" s="19"/>
      <c r="P71" s="1">
        <f>SUBTOTAL(1,P54:P70)</f>
        <v>81.2941176470588</v>
      </c>
      <c r="Q71" s="15"/>
      <c r="R71" s="15"/>
      <c r="S71" s="1">
        <f>SUBTOTAL(1,S54:S70)</f>
        <v>89.5625</v>
      </c>
      <c r="T71" s="24"/>
      <c r="U71" s="1"/>
      <c r="V71" s="21">
        <f>SUBTOTAL(1,V54:V70)</f>
        <v>89.875</v>
      </c>
      <c r="W71" s="15"/>
      <c r="X71" s="21">
        <f>SUBTOTAL(1,X54:X70)</f>
        <v>58.0705882352941</v>
      </c>
      <c r="Y71" s="21">
        <f>SUBTOTAL(1,Y54:Y70)</f>
        <v>85.2100840336135</v>
      </c>
    </row>
    <row r="72" ht="15.6" hidden="1" outlineLevel="2" spans="1:25">
      <c r="A72" s="15">
        <v>106</v>
      </c>
      <c r="B72" s="15">
        <v>30</v>
      </c>
      <c r="C72" s="13" t="s">
        <v>277</v>
      </c>
      <c r="D72" s="14" t="s">
        <v>46</v>
      </c>
      <c r="E72" s="15">
        <v>20.6</v>
      </c>
      <c r="F72" s="1">
        <f>LOOKUP(E72,{0,0.4,1.2,2,2.8,3.6,4.4,5.7,7,8.3,9.6,10.9,12.2,13.5,14.8,16.1,17.4,19.1,20.8,22.5,24.2},{0,10,20,30,40,50,60,62,64,66,68,70,72,74,76,78,80,85,90,95,100})</f>
        <v>85</v>
      </c>
      <c r="G72" s="15">
        <v>180</v>
      </c>
      <c r="H72" s="1">
        <f>LOOKUP(G72,{0,123,128,133,138,143,148,151,154,157,160,163,166,169,172,175,178,185,192,198,204},{0,10,20,30,40,50,60,62,64,66,68,70,72,74,76,78,80,85,90,95,100})</f>
        <v>80</v>
      </c>
      <c r="I72" s="15">
        <v>49</v>
      </c>
      <c r="J72" s="1">
        <f>LOOKUP(I72,{0,13,15,17,19,21,23,25,27,29,31,33,35,37,39,41,43,46,49,51,53},{0,10,20,30,40,50,60,62,64,66,68,70,72,74,76,78,80,85,90,95,100})</f>
        <v>90</v>
      </c>
      <c r="K72" s="20"/>
      <c r="L72" s="20"/>
      <c r="M72" s="21">
        <f t="shared" ref="M72:M80" si="41">J72+L72</f>
        <v>90</v>
      </c>
      <c r="N72" s="15">
        <v>9</v>
      </c>
      <c r="O72" s="19">
        <f t="shared" ref="O72:O90" si="42">13-N72</f>
        <v>4</v>
      </c>
      <c r="P72" s="1">
        <f>LOOKUP(O72,{0,1.4,1.6,1.8,2,2.2,2.4,2.6,2.8,3,3.2,3.4,3.6,3.8,4,4.2,4.4,4.7,5,5.1,5.2},{0,10,20,30,40,50,60,62,64,66,68,70,72,74,76,78,80,85,90,95,100})</f>
        <v>76</v>
      </c>
      <c r="Q72" s="15">
        <v>3.57</v>
      </c>
      <c r="R72" s="15">
        <f t="shared" ref="R72:R80" si="43">10-Q72</f>
        <v>6.43</v>
      </c>
      <c r="S72" s="1">
        <f>LOOKUP(R72,{0,4.7,4.8,4.9,5,5.5,5.6,5.65,5.7,5.75,5.8,5.85,5.9,5.95,6,6.45,6.5,6.57,6.64,6.7,6.76},{0,10,20,30,40,50,60,62,64,66,68,70,72,74,76,78,80,85,90,95,100})</f>
        <v>76</v>
      </c>
      <c r="T72" s="20"/>
      <c r="U72" s="20"/>
      <c r="V72" s="21">
        <f t="shared" ref="V72:V80" si="44">S72+U72</f>
        <v>76</v>
      </c>
      <c r="W72" s="15"/>
      <c r="X72" s="21">
        <f t="shared" ref="X72:X90" si="45">F72*0.1+H72*0.1+J72*0.1+P72*0.2+S72*0.2</f>
        <v>55.9</v>
      </c>
      <c r="Y72" s="21">
        <f t="shared" ref="Y72:Y80" si="46">X72/0.7+L72+U72</f>
        <v>79.8571428571429</v>
      </c>
    </row>
    <row r="73" ht="15.6" hidden="1" outlineLevel="2" spans="1:25">
      <c r="A73" s="15">
        <v>106</v>
      </c>
      <c r="B73" s="15">
        <v>31</v>
      </c>
      <c r="C73" s="14" t="s">
        <v>278</v>
      </c>
      <c r="D73" s="14" t="s">
        <v>46</v>
      </c>
      <c r="E73" s="15">
        <v>17.2</v>
      </c>
      <c r="F73" s="1">
        <f>LOOKUP(E73,{0,0.4,1.2,2,2.8,3.6,4.4,5.7,7,8.3,9.6,10.9,12.2,13.5,14.8,16.1,17.4,19.1,20.8,22.5,24.2},{0,10,20,30,40,50,60,62,64,66,68,70,72,74,76,78,80,85,90,95,100})</f>
        <v>78</v>
      </c>
      <c r="G73" s="15">
        <v>155</v>
      </c>
      <c r="H73" s="1">
        <f>LOOKUP(G73,{0,123,128,133,138,143,148,151,154,157,160,163,166,169,172,175,178,185,192,198,204},{0,10,20,30,40,50,60,62,64,66,68,70,72,74,76,78,80,85,90,95,100})</f>
        <v>64</v>
      </c>
      <c r="I73" s="15">
        <v>53</v>
      </c>
      <c r="J73" s="1">
        <f>LOOKUP(I73,{0,13,15,17,19,21,23,25,27,29,31,33,35,37,39,41,43,46,49,51,53},{0,10,20,30,40,50,60,62,64,66,68,70,72,74,76,78,80,85,90,95,100})</f>
        <v>100</v>
      </c>
      <c r="K73" s="20">
        <f t="shared" ref="K73:K77" si="47">I73-53</f>
        <v>0</v>
      </c>
      <c r="L73" s="1">
        <f>LOOKUP(K73,{0,2,4,6,7,8,9,10,11,12,13},{0,1,2,3,4,5,6,7,8,9,10})</f>
        <v>0</v>
      </c>
      <c r="M73" s="21">
        <f t="shared" si="41"/>
        <v>100</v>
      </c>
      <c r="N73" s="15">
        <v>9.2</v>
      </c>
      <c r="O73" s="19">
        <f t="shared" si="42"/>
        <v>3.8</v>
      </c>
      <c r="P73" s="1">
        <f>LOOKUP(O73,{0,1.4,1.6,1.8,2,2.2,2.4,2.6,2.8,3,3.2,3.4,3.6,3.8,4,4.2,4.4,4.7,5,5.1,5.2},{0,10,20,30,40,50,60,62,64,66,68,70,72,74,76,78,80,85,90,95,100})</f>
        <v>74</v>
      </c>
      <c r="Q73" s="15">
        <v>4.3</v>
      </c>
      <c r="R73" s="15">
        <f t="shared" si="43"/>
        <v>5.7</v>
      </c>
      <c r="S73" s="1">
        <f>LOOKUP(R73,{0,4.7,4.8,4.9,5,5.5,5.6,5.65,5.7,5.75,5.8,5.85,5.9,5.95,6,6.45,6.5,6.57,6.64,6.7,6.76},{0,10,20,30,40,50,60,62,64,66,68,70,72,74,76,78,80,85,90,95,100})</f>
        <v>64</v>
      </c>
      <c r="T73" s="20"/>
      <c r="U73" s="20"/>
      <c r="V73" s="21">
        <f t="shared" si="44"/>
        <v>64</v>
      </c>
      <c r="W73" s="15"/>
      <c r="X73" s="21">
        <f t="shared" si="45"/>
        <v>51.8</v>
      </c>
      <c r="Y73" s="21">
        <f t="shared" si="46"/>
        <v>74</v>
      </c>
    </row>
    <row r="74" ht="15.6" hidden="1" outlineLevel="2" spans="1:25">
      <c r="A74" s="15">
        <v>106</v>
      </c>
      <c r="B74" s="15">
        <v>32</v>
      </c>
      <c r="C74" s="14" t="s">
        <v>279</v>
      </c>
      <c r="D74" s="14" t="s">
        <v>46</v>
      </c>
      <c r="E74" s="15">
        <v>21.1</v>
      </c>
      <c r="F74" s="1">
        <f>LOOKUP(E74,{0,0.4,1.2,2,2.8,3.6,4.4,5.7,7,8.3,9.6,10.9,12.2,13.5,14.8,16.1,17.4,19.1,20.8,22.5,24.2},{0,10,20,30,40,50,60,62,64,66,68,70,72,74,76,78,80,85,90,95,100})</f>
        <v>90</v>
      </c>
      <c r="G74" s="15">
        <v>200</v>
      </c>
      <c r="H74" s="1">
        <f>LOOKUP(G74,{0,123,128,133,138,143,148,151,154,157,160,163,166,169,172,175,178,185,192,198,204},{0,10,20,30,40,50,60,62,64,66,68,70,72,74,76,78,80,85,90,95,100})</f>
        <v>95</v>
      </c>
      <c r="I74" s="15">
        <v>47</v>
      </c>
      <c r="J74" s="1">
        <f>LOOKUP(I74,{0,13,15,17,19,21,23,25,27,29,31,33,35,37,39,41,43,46,49,51,53},{0,10,20,30,40,50,60,62,64,66,68,70,72,74,76,78,80,85,90,95,100})</f>
        <v>85</v>
      </c>
      <c r="K74" s="20"/>
      <c r="L74" s="20"/>
      <c r="M74" s="21">
        <f t="shared" si="41"/>
        <v>85</v>
      </c>
      <c r="N74" s="15">
        <v>8.4</v>
      </c>
      <c r="O74" s="19">
        <f t="shared" si="42"/>
        <v>4.6</v>
      </c>
      <c r="P74" s="1">
        <f>LOOKUP(O74,{0,1.4,1.6,1.8,2,2.2,2.4,2.6,2.8,3,3.2,3.4,3.6,3.8,4,4.2,4.4,4.7,5,5.1,5.2},{0,10,20,30,40,50,60,62,64,66,68,70,72,74,76,78,80,85,90,95,100})</f>
        <v>80</v>
      </c>
      <c r="Q74" s="15">
        <v>3.43</v>
      </c>
      <c r="R74" s="15">
        <f t="shared" si="43"/>
        <v>6.57</v>
      </c>
      <c r="S74" s="1">
        <f>LOOKUP(R74,{0,4.7,4.8,4.9,5,5.5,5.6,5.65,5.7,5.75,5.8,5.85,5.9,5.95,6,6.45,6.5,6.57,6.64,6.7,6.76},{0,10,20,30,40,50,60,62,64,66,68,70,72,74,76,78,80,85,90,95,100})</f>
        <v>85</v>
      </c>
      <c r="T74" s="20"/>
      <c r="U74" s="20"/>
      <c r="V74" s="21">
        <f t="shared" si="44"/>
        <v>85</v>
      </c>
      <c r="W74" s="15"/>
      <c r="X74" s="21">
        <f t="shared" si="45"/>
        <v>60</v>
      </c>
      <c r="Y74" s="21">
        <f t="shared" si="46"/>
        <v>85.7142857142857</v>
      </c>
    </row>
    <row r="75" ht="15.6" hidden="1" outlineLevel="2" spans="1:25">
      <c r="A75" s="15">
        <v>106</v>
      </c>
      <c r="B75" s="15">
        <v>33</v>
      </c>
      <c r="C75" s="14" t="s">
        <v>280</v>
      </c>
      <c r="D75" s="14" t="s">
        <v>46</v>
      </c>
      <c r="E75" s="15">
        <v>22</v>
      </c>
      <c r="F75" s="1">
        <f>LOOKUP(E75,{0,0.4,1.2,2,2.8,3.6,4.4,5.7,7,8.3,9.6,10.9,12.2,13.5,14.8,16.1,17.4,19.1,20.8,22.5,24.2},{0,10,20,30,40,50,60,62,64,66,68,70,72,74,76,78,80,85,90,95,100})</f>
        <v>90</v>
      </c>
      <c r="G75" s="15">
        <v>202</v>
      </c>
      <c r="H75" s="1">
        <f>LOOKUP(G75,{0,123,128,133,138,143,148,151,154,157,160,163,166,169,172,175,178,185,192,198,204},{0,10,20,30,40,50,60,62,64,66,68,70,72,74,76,78,80,85,90,95,100})</f>
        <v>95</v>
      </c>
      <c r="I75" s="15">
        <v>50</v>
      </c>
      <c r="J75" s="1">
        <f>LOOKUP(I75,{0,13,15,17,19,21,23,25,27,29,31,33,35,37,39,41,43,46,49,51,53},{0,10,20,30,40,50,60,62,64,66,68,70,72,74,76,78,80,85,90,95,100})</f>
        <v>90</v>
      </c>
      <c r="K75" s="20"/>
      <c r="L75" s="20"/>
      <c r="M75" s="21">
        <f t="shared" si="41"/>
        <v>90</v>
      </c>
      <c r="N75" s="15">
        <v>8.4</v>
      </c>
      <c r="O75" s="19">
        <f t="shared" si="42"/>
        <v>4.6</v>
      </c>
      <c r="P75" s="1">
        <f>LOOKUP(O75,{0,1.4,1.6,1.8,2,2.2,2.4,2.6,2.8,3,3.2,3.4,3.6,3.8,4,4.2,4.4,4.7,5,5.1,5.2},{0,10,20,30,40,50,60,62,64,66,68,70,72,74,76,78,80,85,90,95,100})</f>
        <v>80</v>
      </c>
      <c r="Q75" s="15">
        <v>3.33</v>
      </c>
      <c r="R75" s="15">
        <f t="shared" si="43"/>
        <v>6.67</v>
      </c>
      <c r="S75" s="1">
        <f>LOOKUP(R75,{0,4.7,4.8,4.9,5,5.5,5.6,5.65,5.7,5.75,5.8,5.85,5.9,5.95,6,6.45,6.5,6.57,6.64,6.7,6.76},{0,10,20,30,40,50,60,62,64,66,68,70,72,74,76,78,80,85,90,95,100})</f>
        <v>90</v>
      </c>
      <c r="T75" s="20"/>
      <c r="U75" s="20"/>
      <c r="V75" s="21">
        <f t="shared" si="44"/>
        <v>90</v>
      </c>
      <c r="W75" s="15"/>
      <c r="X75" s="21">
        <f t="shared" si="45"/>
        <v>61.5</v>
      </c>
      <c r="Y75" s="21">
        <f t="shared" si="46"/>
        <v>87.8571428571429</v>
      </c>
    </row>
    <row r="76" ht="15.6" hidden="1" outlineLevel="2" spans="1:25">
      <c r="A76" s="15">
        <v>106</v>
      </c>
      <c r="B76" s="15">
        <v>34</v>
      </c>
      <c r="C76" s="14" t="s">
        <v>281</v>
      </c>
      <c r="D76" s="14" t="s">
        <v>46</v>
      </c>
      <c r="E76" s="15">
        <v>21</v>
      </c>
      <c r="F76" s="1">
        <f>LOOKUP(E76,{0,0.4,1.2,2,2.8,3.6,4.4,5.7,7,8.3,9.6,10.9,12.2,13.5,14.8,16.1,17.4,19.1,20.8,22.5,24.2},{0,10,20,30,40,50,60,62,64,66,68,70,72,74,76,78,80,85,90,95,100})</f>
        <v>90</v>
      </c>
      <c r="G76" s="15">
        <v>183</v>
      </c>
      <c r="H76" s="1">
        <f>LOOKUP(G76,{0,123,128,133,138,143,148,151,154,157,160,163,166,169,172,175,178,185,192,198,204},{0,10,20,30,40,50,60,62,64,66,68,70,72,74,76,78,80,85,90,95,100})</f>
        <v>80</v>
      </c>
      <c r="I76" s="15">
        <v>58</v>
      </c>
      <c r="J76" s="1">
        <f>LOOKUP(I76,{0,13,15,17,19,21,23,25,27,29,31,33,35,37,39,41,43,46,49,51,53},{0,10,20,30,40,50,60,62,64,66,68,70,72,74,76,78,80,85,90,95,100})</f>
        <v>100</v>
      </c>
      <c r="K76" s="20">
        <f t="shared" si="47"/>
        <v>5</v>
      </c>
      <c r="L76" s="1">
        <f>LOOKUP(K76,{0,2,4,6,7,8,9,10,11,12,13},{0,1,2,3,4,5,6,7,8,9,10})</f>
        <v>2</v>
      </c>
      <c r="M76" s="21">
        <f t="shared" si="41"/>
        <v>102</v>
      </c>
      <c r="N76" s="15">
        <v>8.3</v>
      </c>
      <c r="O76" s="19">
        <f t="shared" si="42"/>
        <v>4.7</v>
      </c>
      <c r="P76" s="1">
        <f>LOOKUP(O76,{0,1.4,1.6,1.8,2,2.2,2.4,2.6,2.8,3,3.2,3.4,3.6,3.8,4,4.2,4.4,4.7,5,5.1,5.2},{0,10,20,30,40,50,60,62,64,66,68,70,72,74,76,78,80,85,90,95,100})</f>
        <v>85</v>
      </c>
      <c r="Q76" s="15">
        <v>3.17</v>
      </c>
      <c r="R76" s="15">
        <f t="shared" si="43"/>
        <v>6.83</v>
      </c>
      <c r="S76" s="1">
        <f>LOOKUP(R76,{0,4.7,4.8,4.9,5,5.5,5.6,5.65,5.7,5.75,5.8,5.85,5.9,5.95,6,6.45,6.5,6.57,6.64,6.7,6.76},{0,10,20,30,40,50,60,62,64,66,68,70,72,74,76,78,80,85,90,95,100})</f>
        <v>100</v>
      </c>
      <c r="T76" s="24">
        <f>3.24-Q76</f>
        <v>0.0700000000000003</v>
      </c>
      <c r="U76" s="1">
        <f>LOOKUP(T76,{0,0.05,0.1,0.15,0.2,0.25,0.3,0.35,0.4,0.45,0.5},{0,1,2,3,4,5,6,7,8,9,10})</f>
        <v>1</v>
      </c>
      <c r="V76" s="21">
        <f t="shared" si="44"/>
        <v>101</v>
      </c>
      <c r="W76" s="15"/>
      <c r="X76" s="21">
        <f t="shared" si="45"/>
        <v>64</v>
      </c>
      <c r="Y76" s="21">
        <f t="shared" si="46"/>
        <v>94.4285714285714</v>
      </c>
    </row>
    <row r="77" ht="15.6" hidden="1" outlineLevel="2" spans="1:25">
      <c r="A77" s="15">
        <v>106</v>
      </c>
      <c r="B77" s="15">
        <v>35</v>
      </c>
      <c r="C77" s="14" t="s">
        <v>282</v>
      </c>
      <c r="D77" s="14" t="s">
        <v>46</v>
      </c>
      <c r="E77" s="15">
        <v>19</v>
      </c>
      <c r="F77" s="1">
        <f>LOOKUP(E77,{0,0.4,1.2,2,2.8,3.6,4.4,5.7,7,8.3,9.6,10.9,12.2,13.5,14.8,16.1,17.4,19.1,20.8,22.5,24.2},{0,10,20,30,40,50,60,62,64,66,68,70,72,74,76,78,80,85,90,95,100})</f>
        <v>80</v>
      </c>
      <c r="G77" s="15">
        <v>179</v>
      </c>
      <c r="H77" s="1">
        <f>LOOKUP(G77,{0,123,128,133,138,143,148,151,154,157,160,163,166,169,172,175,178,185,192,198,204},{0,10,20,30,40,50,60,62,64,66,68,70,72,74,76,78,80,85,90,95,100})</f>
        <v>80</v>
      </c>
      <c r="I77" s="15">
        <v>53</v>
      </c>
      <c r="J77" s="1">
        <f>LOOKUP(I77,{0,13,15,17,19,21,23,25,27,29,31,33,35,37,39,41,43,46,49,51,53},{0,10,20,30,40,50,60,62,64,66,68,70,72,74,76,78,80,85,90,95,100})</f>
        <v>100</v>
      </c>
      <c r="K77" s="20">
        <f t="shared" si="47"/>
        <v>0</v>
      </c>
      <c r="L77" s="1">
        <f>LOOKUP(K77,{0,2,4,6,7,8,9,10,11,12,13},{0,1,2,3,4,5,6,7,8,9,10})</f>
        <v>0</v>
      </c>
      <c r="M77" s="21">
        <f t="shared" si="41"/>
        <v>100</v>
      </c>
      <c r="N77" s="15">
        <v>9.1</v>
      </c>
      <c r="O77" s="19">
        <f t="shared" si="42"/>
        <v>3.9</v>
      </c>
      <c r="P77" s="1">
        <f>LOOKUP(O77,{0,1.4,1.6,1.8,2,2.2,2.4,2.6,2.8,3,3.2,3.4,3.6,3.8,4,4.2,4.4,4.7,5,5.1,5.2},{0,10,20,30,40,50,60,62,64,66,68,70,72,74,76,78,80,85,90,95,100})</f>
        <v>74</v>
      </c>
      <c r="Q77" s="15">
        <v>4.21</v>
      </c>
      <c r="R77" s="15">
        <f t="shared" si="43"/>
        <v>5.79</v>
      </c>
      <c r="S77" s="1">
        <f>LOOKUP(R77,{0,4.7,4.8,4.9,5,5.5,5.6,5.65,5.7,5.75,5.8,5.85,5.9,5.95,6,6.45,6.5,6.57,6.64,6.7,6.76},{0,10,20,30,40,50,60,62,64,66,68,70,72,74,76,78,80,85,90,95,100})</f>
        <v>66</v>
      </c>
      <c r="T77" s="20"/>
      <c r="U77" s="20"/>
      <c r="V77" s="21">
        <f t="shared" si="44"/>
        <v>66</v>
      </c>
      <c r="W77" s="15"/>
      <c r="X77" s="21">
        <f t="shared" si="45"/>
        <v>54</v>
      </c>
      <c r="Y77" s="21">
        <f t="shared" si="46"/>
        <v>77.1428571428572</v>
      </c>
    </row>
    <row r="78" ht="15.6" hidden="1" outlineLevel="2" spans="1:25">
      <c r="A78" s="15">
        <v>106</v>
      </c>
      <c r="B78" s="15">
        <v>36</v>
      </c>
      <c r="C78" s="14" t="s">
        <v>283</v>
      </c>
      <c r="D78" s="14" t="s">
        <v>46</v>
      </c>
      <c r="E78" s="15">
        <v>20</v>
      </c>
      <c r="F78" s="1">
        <f>LOOKUP(E78,{0,0.4,1.2,2,2.8,3.6,4.4,5.7,7,8.3,9.6,10.9,12.2,13.5,14.8,16.1,17.4,19.1,20.8,22.5,24.2},{0,10,20,30,40,50,60,62,64,66,68,70,72,74,76,78,80,85,90,95,100})</f>
        <v>85</v>
      </c>
      <c r="G78" s="15">
        <v>170</v>
      </c>
      <c r="H78" s="1">
        <f>LOOKUP(G78,{0,123,128,133,138,143,148,151,154,157,160,163,166,169,172,175,178,185,192,198,204},{0,10,20,30,40,50,60,62,64,66,68,70,72,74,76,78,80,85,90,95,100})</f>
        <v>74</v>
      </c>
      <c r="I78" s="15">
        <v>46</v>
      </c>
      <c r="J78" s="1">
        <f>LOOKUP(I78,{0,13,15,17,19,21,23,25,27,29,31,33,35,37,39,41,43,46,49,51,53},{0,10,20,30,40,50,60,62,64,66,68,70,72,74,76,78,80,85,90,95,100})</f>
        <v>85</v>
      </c>
      <c r="K78" s="20"/>
      <c r="L78" s="20"/>
      <c r="M78" s="21">
        <f t="shared" si="41"/>
        <v>85</v>
      </c>
      <c r="N78" s="15">
        <v>9</v>
      </c>
      <c r="O78" s="19">
        <f t="shared" si="42"/>
        <v>4</v>
      </c>
      <c r="P78" s="1">
        <f>LOOKUP(O78,{0,1.4,1.6,1.8,2,2.2,2.4,2.6,2.8,3,3.2,3.4,3.6,3.8,4,4.2,4.4,4.7,5,5.1,5.2},{0,10,20,30,40,50,60,62,64,66,68,70,72,74,76,78,80,85,90,95,100})</f>
        <v>76</v>
      </c>
      <c r="Q78" s="15">
        <v>3.48</v>
      </c>
      <c r="R78" s="15">
        <f t="shared" si="43"/>
        <v>6.52</v>
      </c>
      <c r="S78" s="1">
        <f>LOOKUP(R78,{0,4.7,4.8,4.9,5,5.5,5.6,5.65,5.7,5.75,5.8,5.85,5.9,5.95,6,6.45,6.5,6.57,6.64,6.7,6.76},{0,10,20,30,40,50,60,62,64,66,68,70,72,74,76,78,80,85,90,95,100})</f>
        <v>80</v>
      </c>
      <c r="T78" s="20"/>
      <c r="U78" s="20"/>
      <c r="V78" s="21">
        <f t="shared" si="44"/>
        <v>80</v>
      </c>
      <c r="W78" s="15"/>
      <c r="X78" s="21">
        <f t="shared" si="45"/>
        <v>55.6</v>
      </c>
      <c r="Y78" s="21">
        <f t="shared" si="46"/>
        <v>79.4285714285714</v>
      </c>
    </row>
    <row r="79" ht="15.6" hidden="1" outlineLevel="2" spans="1:25">
      <c r="A79" s="15">
        <v>106</v>
      </c>
      <c r="B79" s="15">
        <v>37</v>
      </c>
      <c r="C79" s="14" t="s">
        <v>284</v>
      </c>
      <c r="D79" s="14" t="s">
        <v>46</v>
      </c>
      <c r="E79" s="15">
        <v>12.2</v>
      </c>
      <c r="F79" s="1">
        <f>LOOKUP(E79,{0,0.4,1.2,2,2.8,3.6,4.4,5.7,7,8.3,9.6,10.9,12.2,13.5,14.8,16.1,17.4,19.1,20.8,22.5,24.2},{0,10,20,30,40,50,60,62,64,66,68,70,72,74,76,78,80,85,90,95,100})</f>
        <v>72</v>
      </c>
      <c r="G79" s="15">
        <v>165</v>
      </c>
      <c r="H79" s="1">
        <f>LOOKUP(G79,{0,123,128,133,138,143,148,151,154,157,160,163,166,169,172,175,178,185,192,198,204},{0,10,20,30,40,50,60,62,64,66,68,70,72,74,76,78,80,85,90,95,100})</f>
        <v>70</v>
      </c>
      <c r="I79" s="15">
        <v>48</v>
      </c>
      <c r="J79" s="1">
        <f>LOOKUP(I79,{0,13,15,17,19,21,23,25,27,29,31,33,35,37,39,41,43,46,49,51,53},{0,10,20,30,40,50,60,62,64,66,68,70,72,74,76,78,80,85,90,95,100})</f>
        <v>85</v>
      </c>
      <c r="K79" s="20"/>
      <c r="L79" s="20"/>
      <c r="M79" s="21">
        <f t="shared" si="41"/>
        <v>85</v>
      </c>
      <c r="N79" s="15">
        <v>8.8</v>
      </c>
      <c r="O79" s="19">
        <f t="shared" si="42"/>
        <v>4.2</v>
      </c>
      <c r="P79" s="1">
        <f>LOOKUP(O79,{0,1.4,1.6,1.8,2,2.2,2.4,2.6,2.8,3,3.2,3.4,3.6,3.8,4,4.2,4.4,4.7,5,5.1,5.2},{0,10,20,30,40,50,60,62,64,66,68,70,72,74,76,78,80,85,90,95,100})</f>
        <v>78</v>
      </c>
      <c r="Q79" s="15">
        <v>3.49</v>
      </c>
      <c r="R79" s="15">
        <f t="shared" si="43"/>
        <v>6.51</v>
      </c>
      <c r="S79" s="1">
        <f>LOOKUP(R79,{0,4.7,4.8,4.9,5,5.5,5.6,5.65,5.7,5.75,5.8,5.85,5.9,5.95,6,6.45,6.5,6.57,6.64,6.7,6.76},{0,10,20,30,40,50,60,62,64,66,68,70,72,74,76,78,80,85,90,95,100})</f>
        <v>80</v>
      </c>
      <c r="T79" s="20"/>
      <c r="U79" s="20"/>
      <c r="V79" s="21">
        <f t="shared" si="44"/>
        <v>80</v>
      </c>
      <c r="W79" s="15"/>
      <c r="X79" s="21">
        <f t="shared" si="45"/>
        <v>54.3</v>
      </c>
      <c r="Y79" s="21">
        <f t="shared" si="46"/>
        <v>77.5714285714286</v>
      </c>
    </row>
    <row r="80" ht="15.6" hidden="1" outlineLevel="2" spans="1:25">
      <c r="A80" s="15">
        <v>106</v>
      </c>
      <c r="B80" s="15">
        <v>38</v>
      </c>
      <c r="C80" s="14" t="s">
        <v>285</v>
      </c>
      <c r="D80" s="14" t="s">
        <v>46</v>
      </c>
      <c r="E80" s="15">
        <v>8.5</v>
      </c>
      <c r="F80" s="1">
        <f>LOOKUP(E80,{0,0.4,1.2,2,2.8,3.6,4.4,5.7,7,8.3,9.6,10.9,12.2,13.5,14.8,16.1,17.4,19.1,20.8,22.5,24.2},{0,10,20,30,40,50,60,62,64,66,68,70,72,74,76,78,80,85,90,95,100})</f>
        <v>66</v>
      </c>
      <c r="G80" s="15">
        <v>165</v>
      </c>
      <c r="H80" s="1">
        <f>LOOKUP(G80,{0,123,128,133,138,143,148,151,154,157,160,163,166,169,172,175,178,185,192,198,204},{0,10,20,30,40,50,60,62,64,66,68,70,72,74,76,78,80,85,90,95,100})</f>
        <v>70</v>
      </c>
      <c r="I80" s="15">
        <v>46</v>
      </c>
      <c r="J80" s="1">
        <f>LOOKUP(I80,{0,13,15,17,19,21,23,25,27,29,31,33,35,37,39,41,43,46,49,51,53},{0,10,20,30,40,50,60,62,64,66,68,70,72,74,76,78,80,85,90,95,100})</f>
        <v>85</v>
      </c>
      <c r="K80" s="20"/>
      <c r="L80" s="20"/>
      <c r="M80" s="21">
        <f t="shared" si="41"/>
        <v>85</v>
      </c>
      <c r="N80" s="15">
        <v>8.9</v>
      </c>
      <c r="O80" s="19">
        <f t="shared" si="42"/>
        <v>4.1</v>
      </c>
      <c r="P80" s="1">
        <f>LOOKUP(O80,{0,1.4,1.6,1.8,2,2.2,2.4,2.6,2.8,3,3.2,3.4,3.6,3.8,4,4.2,4.4,4.7,5,5.1,5.2},{0,10,20,30,40,50,60,62,64,66,68,70,72,74,76,78,80,85,90,95,100})</f>
        <v>76</v>
      </c>
      <c r="Q80" s="15">
        <v>4.15</v>
      </c>
      <c r="R80" s="15">
        <f t="shared" si="43"/>
        <v>5.85</v>
      </c>
      <c r="S80" s="1">
        <f>LOOKUP(R80,{0,4.7,4.8,4.9,5,5.5,5.6,5.65,5.7,5.75,5.8,5.85,5.9,5.95,6,6.45,6.5,6.57,6.64,6.7,6.76},{0,10,20,30,40,50,60,62,64,66,68,70,72,74,76,78,80,85,90,95,100})</f>
        <v>70</v>
      </c>
      <c r="T80" s="20"/>
      <c r="U80" s="20"/>
      <c r="V80" s="21">
        <f t="shared" si="44"/>
        <v>70</v>
      </c>
      <c r="W80" s="15"/>
      <c r="X80" s="21">
        <f t="shared" si="45"/>
        <v>51.3</v>
      </c>
      <c r="Y80" s="21">
        <f t="shared" si="46"/>
        <v>73.2857142857143</v>
      </c>
    </row>
    <row r="81" s="3" customFormat="1" ht="15.6" hidden="1" outlineLevel="2" spans="1:25">
      <c r="A81" s="15">
        <v>106</v>
      </c>
      <c r="B81" s="15">
        <v>39</v>
      </c>
      <c r="C81" s="14" t="s">
        <v>286</v>
      </c>
      <c r="D81" s="14" t="s">
        <v>46</v>
      </c>
      <c r="E81" s="15"/>
      <c r="F81" s="1"/>
      <c r="G81" s="15"/>
      <c r="H81" s="1"/>
      <c r="I81" s="15"/>
      <c r="J81" s="1"/>
      <c r="K81" s="20"/>
      <c r="L81" s="20"/>
      <c r="M81" s="21"/>
      <c r="N81" s="15">
        <v>8.5</v>
      </c>
      <c r="O81" s="19">
        <f t="shared" si="42"/>
        <v>4.5</v>
      </c>
      <c r="P81" s="1">
        <f>LOOKUP(O81,{0,1.4,1.6,1.8,2,2.2,2.4,2.6,2.8,3,3.2,3.4,3.6,3.8,4,4.2,4.4,4.7,5,5.1,5.2},{0,10,20,30,40,50,60,62,64,66,68,70,72,74,76,78,80,85,90,95,100})</f>
        <v>80</v>
      </c>
      <c r="Q81" s="15"/>
      <c r="R81" s="15"/>
      <c r="S81" s="1"/>
      <c r="T81" s="24"/>
      <c r="U81" s="1"/>
      <c r="V81" s="21"/>
      <c r="W81" s="15" t="s">
        <v>84</v>
      </c>
      <c r="X81" s="21">
        <f t="shared" si="45"/>
        <v>16</v>
      </c>
      <c r="Y81" s="21">
        <v>50</v>
      </c>
    </row>
    <row r="82" ht="15.6" hidden="1" outlineLevel="2" spans="1:25">
      <c r="A82" s="15">
        <v>106</v>
      </c>
      <c r="B82" s="15">
        <v>40</v>
      </c>
      <c r="C82" s="13" t="s">
        <v>288</v>
      </c>
      <c r="D82" s="14" t="s">
        <v>46</v>
      </c>
      <c r="E82" s="15">
        <v>6</v>
      </c>
      <c r="F82" s="1">
        <f>LOOKUP(E82,{0,0.4,1.2,2,2.8,3.6,4.4,5.7,7,8.3,9.6,10.9,12.2,13.5,14.8,16.1,17.4,19.1,20.8,22.5,24.2},{0,10,20,30,40,50,60,62,64,66,68,70,72,74,76,78,80,85,90,95,100})</f>
        <v>62</v>
      </c>
      <c r="G82" s="15">
        <v>159</v>
      </c>
      <c r="H82" s="1">
        <f>LOOKUP(G82,{0,123,128,133,138,143,148,151,154,157,160,163,166,169,172,175,178,185,192,198,204},{0,10,20,30,40,50,60,62,64,66,68,70,72,74,76,78,80,85,90,95,100})</f>
        <v>66</v>
      </c>
      <c r="I82" s="15">
        <v>35</v>
      </c>
      <c r="J82" s="1">
        <f>LOOKUP(I82,{0,13,15,17,19,21,23,25,27,29,31,33,35,37,39,41,43,46,49,51,53},{0,10,20,30,40,50,60,62,64,66,68,70,72,74,76,78,80,85,90,95,100})</f>
        <v>72</v>
      </c>
      <c r="K82" s="20"/>
      <c r="L82" s="20"/>
      <c r="M82" s="21">
        <f t="shared" ref="M82:M90" si="48">J82+L82</f>
        <v>72</v>
      </c>
      <c r="N82" s="15">
        <v>9.9</v>
      </c>
      <c r="O82" s="19">
        <f t="shared" si="42"/>
        <v>3.1</v>
      </c>
      <c r="P82" s="1">
        <f>LOOKUP(O82,{0,1.4,1.6,1.8,2,2.2,2.4,2.6,2.8,3,3.2,3.4,3.6,3.8,4,4.2,4.4,4.7,5,5.1,5.2},{0,10,20,30,40,50,60,62,64,66,68,70,72,74,76,78,80,85,90,95,100})</f>
        <v>66</v>
      </c>
      <c r="Q82" s="15">
        <v>4.51</v>
      </c>
      <c r="R82" s="15">
        <f t="shared" ref="R82:R86" si="49">10-Q82</f>
        <v>5.49</v>
      </c>
      <c r="S82" s="1">
        <f>LOOKUP(R82,{0,4.7,4.8,4.9,5,5.5,5.6,5.65,5.7,5.75,5.8,5.85,5.9,5.95,6,6.45,6.5,6.57,6.64,6.7,6.76},{0,10,20,30,40,50,60,62,64,66,68,70,72,74,76,78,80,85,90,95,100})</f>
        <v>40</v>
      </c>
      <c r="T82" s="20"/>
      <c r="U82" s="20"/>
      <c r="V82" s="21">
        <f t="shared" ref="V82:V86" si="50">S82+U82</f>
        <v>40</v>
      </c>
      <c r="W82" s="15"/>
      <c r="X82" s="21">
        <f t="shared" si="45"/>
        <v>41.2</v>
      </c>
      <c r="Y82" s="21">
        <f t="shared" ref="Y82:Y90" si="51">X82/0.7+L82+U82</f>
        <v>58.8571428571429</v>
      </c>
    </row>
    <row r="83" ht="15.6" hidden="1" outlineLevel="2" spans="1:25">
      <c r="A83" s="15">
        <v>106</v>
      </c>
      <c r="B83" s="15">
        <v>41</v>
      </c>
      <c r="C83" s="14" t="s">
        <v>289</v>
      </c>
      <c r="D83" s="14" t="s">
        <v>46</v>
      </c>
      <c r="E83" s="15">
        <v>21</v>
      </c>
      <c r="F83" s="1">
        <f>LOOKUP(E83,{0,0.4,1.2,2,2.8,3.6,4.4,5.7,7,8.3,9.6,10.9,12.2,13.5,14.8,16.1,17.4,19.1,20.8,22.5,24.2},{0,10,20,30,40,50,60,62,64,66,68,70,72,74,76,78,80,85,90,95,100})</f>
        <v>90</v>
      </c>
      <c r="G83" s="15">
        <v>149</v>
      </c>
      <c r="H83" s="1">
        <f>LOOKUP(G83,{0,123,128,133,138,143,148,151,154,157,160,163,166,169,172,175,178,185,192,198,204},{0,10,20,30,40,50,60,62,64,66,68,70,72,74,76,78,80,85,90,95,100})</f>
        <v>60</v>
      </c>
      <c r="I83" s="15">
        <v>50</v>
      </c>
      <c r="J83" s="1">
        <f>LOOKUP(I83,{0,13,15,17,19,21,23,25,27,29,31,33,35,37,39,41,43,46,49,51,53},{0,10,20,30,40,50,60,62,64,66,68,70,72,74,76,78,80,85,90,95,100})</f>
        <v>90</v>
      </c>
      <c r="K83" s="20"/>
      <c r="L83" s="20"/>
      <c r="M83" s="21">
        <f t="shared" si="48"/>
        <v>90</v>
      </c>
      <c r="N83" s="15">
        <v>8.5</v>
      </c>
      <c r="O83" s="19">
        <f t="shared" si="42"/>
        <v>4.5</v>
      </c>
      <c r="P83" s="1">
        <f>LOOKUP(O83,{0,1.4,1.6,1.8,2,2.2,2.4,2.6,2.8,3,3.2,3.4,3.6,3.8,4,4.2,4.4,4.7,5,5.1,5.2},{0,10,20,30,40,50,60,62,64,66,68,70,72,74,76,78,80,85,90,95,100})</f>
        <v>80</v>
      </c>
      <c r="Q83" s="15">
        <v>3.52</v>
      </c>
      <c r="R83" s="15">
        <f t="shared" si="49"/>
        <v>6.48</v>
      </c>
      <c r="S83" s="1">
        <f>LOOKUP(R83,{0,4.7,4.8,4.9,5,5.5,5.6,5.65,5.7,5.75,5.8,5.85,5.9,5.95,6,6.45,6.5,6.57,6.64,6.7,6.76},{0,10,20,30,40,50,60,62,64,66,68,70,72,74,76,78,80,85,90,95,100})</f>
        <v>78</v>
      </c>
      <c r="T83" s="20"/>
      <c r="U83" s="20"/>
      <c r="V83" s="21">
        <f t="shared" si="50"/>
        <v>78</v>
      </c>
      <c r="W83" s="15"/>
      <c r="X83" s="21">
        <f t="shared" si="45"/>
        <v>55.6</v>
      </c>
      <c r="Y83" s="21">
        <f t="shared" si="51"/>
        <v>79.4285714285714</v>
      </c>
    </row>
    <row r="84" ht="15.6" hidden="1" outlineLevel="2" spans="1:25">
      <c r="A84" s="15">
        <v>106</v>
      </c>
      <c r="B84" s="15">
        <v>42</v>
      </c>
      <c r="C84" s="14" t="s">
        <v>290</v>
      </c>
      <c r="D84" s="14" t="s">
        <v>46</v>
      </c>
      <c r="E84" s="15">
        <v>15</v>
      </c>
      <c r="F84" s="1">
        <f>LOOKUP(E84,{0,0.4,1.2,2,2.8,3.6,4.4,5.7,7,8.3,9.6,10.9,12.2,13.5,14.8,16.1,17.4,19.1,20.8,22.5,24.2},{0,10,20,30,40,50,60,62,64,66,68,70,72,74,76,78,80,85,90,95,100})</f>
        <v>76</v>
      </c>
      <c r="G84" s="15">
        <v>158</v>
      </c>
      <c r="H84" s="1">
        <f>LOOKUP(G84,{0,123,128,133,138,143,148,151,154,157,160,163,166,169,172,175,178,185,192,198,204},{0,10,20,30,40,50,60,62,64,66,68,70,72,74,76,78,80,85,90,95,100})</f>
        <v>66</v>
      </c>
      <c r="I84" s="15">
        <v>49</v>
      </c>
      <c r="J84" s="1">
        <f>LOOKUP(I84,{0,13,15,17,19,21,23,25,27,29,31,33,35,37,39,41,43,46,49,51,53},{0,10,20,30,40,50,60,62,64,66,68,70,72,74,76,78,80,85,90,95,100})</f>
        <v>90</v>
      </c>
      <c r="K84" s="20"/>
      <c r="L84" s="20"/>
      <c r="M84" s="21">
        <f t="shared" si="48"/>
        <v>90</v>
      </c>
      <c r="N84" s="15">
        <v>8.7</v>
      </c>
      <c r="O84" s="19">
        <f t="shared" si="42"/>
        <v>4.3</v>
      </c>
      <c r="P84" s="1">
        <f>LOOKUP(O84,{0,1.4,1.6,1.8,2,2.2,2.4,2.6,2.8,3,3.2,3.4,3.6,3.8,4,4.2,4.4,4.7,5,5.1,5.2},{0,10,20,30,40,50,60,62,64,66,68,70,72,74,76,78,80,85,90,95,100})</f>
        <v>78</v>
      </c>
      <c r="Q84" s="15">
        <v>3.59</v>
      </c>
      <c r="R84" s="15">
        <f t="shared" si="49"/>
        <v>6.41</v>
      </c>
      <c r="S84" s="1">
        <f>LOOKUP(R84,{0,4.7,4.8,4.9,5,5.5,5.6,5.65,5.7,5.75,5.8,5.85,5.9,5.95,6,6.45,6.5,6.57,6.64,6.7,6.76},{0,10,20,30,40,50,60,62,64,66,68,70,72,74,76,78,80,85,90,95,100})</f>
        <v>76</v>
      </c>
      <c r="T84" s="20"/>
      <c r="U84" s="20"/>
      <c r="V84" s="21">
        <f t="shared" si="50"/>
        <v>76</v>
      </c>
      <c r="W84" s="15"/>
      <c r="X84" s="21">
        <f t="shared" si="45"/>
        <v>54</v>
      </c>
      <c r="Y84" s="21">
        <f t="shared" si="51"/>
        <v>77.1428571428572</v>
      </c>
    </row>
    <row r="85" ht="15.6" hidden="1" outlineLevel="2" spans="1:25">
      <c r="A85" s="15">
        <v>106</v>
      </c>
      <c r="B85" s="15">
        <v>43</v>
      </c>
      <c r="C85" s="14" t="s">
        <v>291</v>
      </c>
      <c r="D85" s="14" t="s">
        <v>46</v>
      </c>
      <c r="E85" s="15">
        <v>17</v>
      </c>
      <c r="F85" s="1">
        <f>LOOKUP(E85,{0,0.4,1.2,2,2.8,3.6,4.4,5.7,7,8.3,9.6,10.9,12.2,13.5,14.8,16.1,17.4,19.1,20.8,22.5,24.2},{0,10,20,30,40,50,60,62,64,66,68,70,72,74,76,78,80,85,90,95,100})</f>
        <v>78</v>
      </c>
      <c r="G85" s="15">
        <v>200</v>
      </c>
      <c r="H85" s="1">
        <f>LOOKUP(G85,{0,123,128,133,138,143,148,151,154,157,160,163,166,169,172,175,178,185,192,198,204},{0,10,20,30,40,50,60,62,64,66,68,70,72,74,76,78,80,85,90,95,100})</f>
        <v>95</v>
      </c>
      <c r="I85" s="15">
        <v>50</v>
      </c>
      <c r="J85" s="1">
        <f>LOOKUP(I85,{0,13,15,17,19,21,23,25,27,29,31,33,35,37,39,41,43,46,49,51,53},{0,10,20,30,40,50,60,62,64,66,68,70,72,74,76,78,80,85,90,95,100})</f>
        <v>90</v>
      </c>
      <c r="K85" s="20"/>
      <c r="L85" s="20"/>
      <c r="M85" s="21">
        <f t="shared" si="48"/>
        <v>90</v>
      </c>
      <c r="N85" s="15">
        <v>8.9</v>
      </c>
      <c r="O85" s="19">
        <f t="shared" si="42"/>
        <v>4.1</v>
      </c>
      <c r="P85" s="1">
        <f>LOOKUP(O85,{0,1.4,1.6,1.8,2,2.2,2.4,2.6,2.8,3,3.2,3.4,3.6,3.8,4,4.2,4.4,4.7,5,5.1,5.2},{0,10,20,30,40,50,60,62,64,66,68,70,72,74,76,78,80,85,90,95,100})</f>
        <v>76</v>
      </c>
      <c r="Q85" s="15">
        <v>3.42</v>
      </c>
      <c r="R85" s="15">
        <f t="shared" si="49"/>
        <v>6.58</v>
      </c>
      <c r="S85" s="1">
        <f>LOOKUP(R85,{0,4.7,4.8,4.9,5,5.5,5.6,5.65,5.7,5.75,5.8,5.85,5.9,5.95,6,6.45,6.5,6.57,6.64,6.7,6.76},{0,10,20,30,40,50,60,62,64,66,68,70,72,74,76,78,80,85,90,95,100})</f>
        <v>85</v>
      </c>
      <c r="T85" s="20"/>
      <c r="U85" s="20"/>
      <c r="V85" s="21">
        <f t="shared" si="50"/>
        <v>85</v>
      </c>
      <c r="W85" s="15"/>
      <c r="X85" s="21">
        <f t="shared" si="45"/>
        <v>58.5</v>
      </c>
      <c r="Y85" s="21">
        <f t="shared" si="51"/>
        <v>83.5714285714286</v>
      </c>
    </row>
    <row r="86" ht="15.6" hidden="1" outlineLevel="2" spans="1:25">
      <c r="A86" s="15">
        <v>106</v>
      </c>
      <c r="B86" s="15">
        <v>44</v>
      </c>
      <c r="C86" s="14" t="s">
        <v>292</v>
      </c>
      <c r="D86" s="14" t="s">
        <v>46</v>
      </c>
      <c r="E86" s="15">
        <v>14</v>
      </c>
      <c r="F86" s="1">
        <f>LOOKUP(E86,{0,0.4,1.2,2,2.8,3.6,4.4,5.7,7,8.3,9.6,10.9,12.2,13.5,14.8,16.1,17.4,19.1,20.8,22.5,24.2},{0,10,20,30,40,50,60,62,64,66,68,70,72,74,76,78,80,85,90,95,100})</f>
        <v>74</v>
      </c>
      <c r="G86" s="15">
        <v>159</v>
      </c>
      <c r="H86" s="1">
        <f>LOOKUP(G86,{0,123,128,133,138,143,148,151,154,157,160,163,166,169,172,175,178,185,192,198,204},{0,10,20,30,40,50,60,62,64,66,68,70,72,74,76,78,80,85,90,95,100})</f>
        <v>66</v>
      </c>
      <c r="I86" s="15">
        <v>52</v>
      </c>
      <c r="J86" s="1">
        <f>LOOKUP(I86,{0,13,15,17,19,21,23,25,27,29,31,33,35,37,39,41,43,46,49,51,53},{0,10,20,30,40,50,60,62,64,66,68,70,72,74,76,78,80,85,90,95,100})</f>
        <v>95</v>
      </c>
      <c r="K86" s="20"/>
      <c r="L86" s="20"/>
      <c r="M86" s="21">
        <f t="shared" si="48"/>
        <v>95</v>
      </c>
      <c r="N86" s="15">
        <v>8.7</v>
      </c>
      <c r="O86" s="19">
        <f t="shared" si="42"/>
        <v>4.3</v>
      </c>
      <c r="P86" s="1">
        <f>LOOKUP(O86,{0,1.4,1.6,1.8,2,2.2,2.4,2.6,2.8,3,3.2,3.4,3.6,3.8,4,4.2,4.4,4.7,5,5.1,5.2},{0,10,20,30,40,50,60,62,64,66,68,70,72,74,76,78,80,85,90,95,100})</f>
        <v>78</v>
      </c>
      <c r="Q86" s="15">
        <v>3.45</v>
      </c>
      <c r="R86" s="15">
        <f t="shared" si="49"/>
        <v>6.55</v>
      </c>
      <c r="S86" s="1">
        <f>LOOKUP(R86,{0,4.7,4.8,4.9,5,5.5,5.6,5.65,5.7,5.75,5.8,5.85,5.9,5.95,6,6.45,6.5,6.57,6.64,6.7,6.76},{0,10,20,30,40,50,60,62,64,66,68,70,72,74,76,78,80,85,90,95,100})</f>
        <v>80</v>
      </c>
      <c r="T86" s="20"/>
      <c r="U86" s="20"/>
      <c r="V86" s="21">
        <f t="shared" si="50"/>
        <v>80</v>
      </c>
      <c r="W86" s="15"/>
      <c r="X86" s="21">
        <f t="shared" si="45"/>
        <v>55.1</v>
      </c>
      <c r="Y86" s="21">
        <f t="shared" si="51"/>
        <v>78.7142857142857</v>
      </c>
    </row>
    <row r="87" ht="15.6" hidden="1" outlineLevel="2" spans="1:25">
      <c r="A87" s="15">
        <v>106</v>
      </c>
      <c r="B87" s="15">
        <v>45</v>
      </c>
      <c r="C87" s="14" t="s">
        <v>293</v>
      </c>
      <c r="D87" s="14" t="s">
        <v>46</v>
      </c>
      <c r="E87" s="15">
        <v>18</v>
      </c>
      <c r="F87" s="1">
        <f>LOOKUP(E87,{0,0.4,1.2,2,2.8,3.6,4.4,5.7,7,8.3,9.6,10.9,12.2,13.5,14.8,16.1,17.4,19.1,20.8,22.5,24.2},{0,10,20,30,40,50,60,62,64,66,68,70,72,74,76,78,80,85,90,95,100})</f>
        <v>80</v>
      </c>
      <c r="G87" s="15">
        <v>155</v>
      </c>
      <c r="H87" s="1">
        <f>LOOKUP(G87,{0,123,128,133,138,143,148,151,154,157,160,163,166,169,172,175,178,185,192,198,204},{0,10,20,30,40,50,60,62,64,66,68,70,72,74,76,78,80,85,90,95,100})</f>
        <v>64</v>
      </c>
      <c r="I87" s="15">
        <v>46</v>
      </c>
      <c r="J87" s="1">
        <f>LOOKUP(I87,{0,13,15,17,19,21,23,25,27,29,31,33,35,37,39,41,43,46,49,51,53},{0,10,20,30,40,50,60,62,64,66,68,70,72,74,76,78,80,85,90,95,100})</f>
        <v>85</v>
      </c>
      <c r="K87" s="20"/>
      <c r="L87" s="20"/>
      <c r="M87" s="21">
        <f t="shared" si="48"/>
        <v>85</v>
      </c>
      <c r="N87" s="15">
        <v>8.7</v>
      </c>
      <c r="O87" s="19">
        <f t="shared" si="42"/>
        <v>4.3</v>
      </c>
      <c r="P87" s="1">
        <f>LOOKUP(O87,{0,1.4,1.6,1.8,2,2.2,2.4,2.6,2.8,3,3.2,3.4,3.6,3.8,4,4.2,4.4,4.7,5,5.1,5.2},{0,10,20,30,40,50,60,62,64,66,68,70,72,74,76,78,80,85,90,95,100})</f>
        <v>78</v>
      </c>
      <c r="Q87" s="15"/>
      <c r="R87" s="15"/>
      <c r="S87" s="1"/>
      <c r="T87" s="24"/>
      <c r="U87" s="1"/>
      <c r="V87" s="21"/>
      <c r="W87" s="15"/>
      <c r="X87" s="21">
        <f t="shared" si="45"/>
        <v>38.5</v>
      </c>
      <c r="Y87" s="21">
        <f t="shared" si="51"/>
        <v>55</v>
      </c>
    </row>
    <row r="88" ht="15.6" hidden="1" outlineLevel="2" spans="1:25">
      <c r="A88" s="15">
        <v>106</v>
      </c>
      <c r="B88" s="15">
        <v>46</v>
      </c>
      <c r="C88" s="14" t="s">
        <v>294</v>
      </c>
      <c r="D88" s="14" t="s">
        <v>46</v>
      </c>
      <c r="E88" s="15">
        <v>25</v>
      </c>
      <c r="F88" s="1">
        <f>LOOKUP(E88,{0,0.4,1.2,2,2.8,3.6,4.4,5.7,7,8.3,9.6,10.9,12.2,13.5,14.8,16.1,17.4,19.1,20.8,22.5,24.2},{0,10,20,30,40,50,60,62,64,66,68,70,72,74,76,78,80,85,90,95,100})</f>
        <v>100</v>
      </c>
      <c r="G88" s="15">
        <v>149</v>
      </c>
      <c r="H88" s="1">
        <f>LOOKUP(G88,{0,123,128,133,138,143,148,151,154,157,160,163,166,169,172,175,178,185,192,198,204},{0,10,20,30,40,50,60,62,64,66,68,70,72,74,76,78,80,85,90,95,100})</f>
        <v>60</v>
      </c>
      <c r="I88" s="15">
        <v>38</v>
      </c>
      <c r="J88" s="1">
        <f>LOOKUP(I88,{0,13,15,17,19,21,23,25,27,29,31,33,35,37,39,41,43,46,49,51,53},{0,10,20,30,40,50,60,62,64,66,68,70,72,74,76,78,80,85,90,95,100})</f>
        <v>74</v>
      </c>
      <c r="K88" s="20"/>
      <c r="L88" s="20"/>
      <c r="M88" s="21">
        <f t="shared" si="48"/>
        <v>74</v>
      </c>
      <c r="N88" s="15">
        <v>9.1</v>
      </c>
      <c r="O88" s="19">
        <f t="shared" si="42"/>
        <v>3.9</v>
      </c>
      <c r="P88" s="1">
        <f>LOOKUP(O88,{0,1.4,1.6,1.8,2,2.2,2.4,2.6,2.8,3,3.2,3.4,3.6,3.8,4,4.2,4.4,4.7,5,5.1,5.2},{0,10,20,30,40,50,60,62,64,66,68,70,72,74,76,78,80,85,90,95,100})</f>
        <v>74</v>
      </c>
      <c r="Q88" s="15">
        <v>4.39</v>
      </c>
      <c r="R88" s="15">
        <f t="shared" ref="R88:R90" si="52">10-Q88</f>
        <v>5.61</v>
      </c>
      <c r="S88" s="1">
        <f>LOOKUP(R88,{0,4.7,4.8,4.9,5,5.5,5.6,5.65,5.7,5.75,5.8,5.85,5.9,5.95,6,6.45,6.5,6.57,6.64,6.7,6.76},{0,10,20,30,40,50,60,62,64,66,68,70,72,74,76,78,80,85,90,95,100})</f>
        <v>60</v>
      </c>
      <c r="T88" s="20"/>
      <c r="U88" s="20"/>
      <c r="V88" s="21">
        <f t="shared" ref="V88:V90" si="53">S88+U88</f>
        <v>60</v>
      </c>
      <c r="W88" s="15"/>
      <c r="X88" s="21">
        <f t="shared" si="45"/>
        <v>50.2</v>
      </c>
      <c r="Y88" s="21">
        <f t="shared" si="51"/>
        <v>71.7142857142857</v>
      </c>
    </row>
    <row r="89" ht="15.6" hidden="1" outlineLevel="2" spans="1:25">
      <c r="A89" s="15">
        <v>106</v>
      </c>
      <c r="B89" s="15">
        <v>47</v>
      </c>
      <c r="C89" s="14" t="s">
        <v>295</v>
      </c>
      <c r="D89" s="14" t="s">
        <v>46</v>
      </c>
      <c r="E89" s="15">
        <v>11</v>
      </c>
      <c r="F89" s="1">
        <f>LOOKUP(E89,{0,0.4,1.2,2,2.8,3.6,4.4,5.7,7,8.3,9.6,10.9,12.2,13.5,14.8,16.1,17.4,19.1,20.8,22.5,24.2},{0,10,20,30,40,50,60,62,64,66,68,70,72,74,76,78,80,85,90,95,100})</f>
        <v>70</v>
      </c>
      <c r="G89" s="15">
        <v>145</v>
      </c>
      <c r="H89" s="1">
        <f>LOOKUP(G89,{0,123,128,133,138,143,148,151,154,157,160,163,166,169,172,175,178,185,192,198,204},{0,10,20,30,40,50,60,62,64,66,68,70,72,74,76,78,80,85,90,95,100})</f>
        <v>50</v>
      </c>
      <c r="I89" s="15">
        <v>43</v>
      </c>
      <c r="J89" s="1">
        <f>LOOKUP(I89,{0,13,15,17,19,21,23,25,27,29,31,33,35,37,39,41,43,46,49,51,53},{0,10,20,30,40,50,60,62,64,66,68,70,72,74,76,78,80,85,90,95,100})</f>
        <v>80</v>
      </c>
      <c r="K89" s="20"/>
      <c r="L89" s="20"/>
      <c r="M89" s="21">
        <f t="shared" si="48"/>
        <v>80</v>
      </c>
      <c r="N89" s="15">
        <v>9.1</v>
      </c>
      <c r="O89" s="19">
        <f t="shared" si="42"/>
        <v>3.9</v>
      </c>
      <c r="P89" s="1">
        <f>LOOKUP(O89,{0,1.4,1.6,1.8,2,2.2,2.4,2.6,2.8,3,3.2,3.4,3.6,3.8,4,4.2,4.4,4.7,5,5.1,5.2},{0,10,20,30,40,50,60,62,64,66,68,70,72,74,76,78,80,85,90,95,100})</f>
        <v>74</v>
      </c>
      <c r="Q89" s="15">
        <v>3.36</v>
      </c>
      <c r="R89" s="15">
        <f t="shared" si="52"/>
        <v>6.64</v>
      </c>
      <c r="S89" s="1">
        <f>LOOKUP(R89,{0,4.7,4.8,4.9,5,5.5,5.6,5.65,5.7,5.75,5.8,5.85,5.9,5.95,6,6.45,6.5,6.57,6.64,6.7,6.76},{0,10,20,30,40,50,60,62,64,66,68,70,72,74,76,78,80,85,90,95,100})</f>
        <v>90</v>
      </c>
      <c r="T89" s="20"/>
      <c r="U89" s="20"/>
      <c r="V89" s="21">
        <f t="shared" si="53"/>
        <v>90</v>
      </c>
      <c r="W89" s="15"/>
      <c r="X89" s="21">
        <f t="shared" si="45"/>
        <v>52.8</v>
      </c>
      <c r="Y89" s="21">
        <f t="shared" si="51"/>
        <v>75.4285714285714</v>
      </c>
    </row>
    <row r="90" ht="15.6" hidden="1" outlineLevel="2" spans="1:25">
      <c r="A90" s="15">
        <v>106</v>
      </c>
      <c r="B90" s="15">
        <v>48</v>
      </c>
      <c r="C90" s="8" t="s">
        <v>296</v>
      </c>
      <c r="D90" s="8" t="s">
        <v>46</v>
      </c>
      <c r="E90" s="15">
        <v>28</v>
      </c>
      <c r="F90" s="1">
        <f>LOOKUP(E90,{0,0.4,1.2,2,2.8,3.6,4.4,5.7,7,8.3,9.6,10.9,12.2,13.5,14.8,16.1,17.4,19.1,20.8,22.5,24.2},{0,10,20,30,40,50,60,62,64,66,68,70,72,74,76,78,80,85,90,95,100})</f>
        <v>100</v>
      </c>
      <c r="G90" s="15">
        <v>202</v>
      </c>
      <c r="H90" s="1">
        <f>LOOKUP(G90,{0,123,128,133,138,143,148,151,154,157,160,163,166,169,172,175,178,185,192,198,204},{0,10,20,30,40,50,60,62,64,66,68,70,72,74,76,78,80,85,90,95,100})</f>
        <v>95</v>
      </c>
      <c r="I90" s="15">
        <v>43</v>
      </c>
      <c r="J90" s="1">
        <f>LOOKUP(I90,{0,13,15,17,19,21,23,25,27,29,31,33,35,37,39,41,43,46,49,51,53},{0,10,20,30,40,50,60,62,64,66,68,70,72,74,76,78,80,85,90,95,100})</f>
        <v>80</v>
      </c>
      <c r="K90" s="20"/>
      <c r="L90" s="20"/>
      <c r="M90" s="21">
        <f t="shared" si="48"/>
        <v>80</v>
      </c>
      <c r="N90" s="15">
        <v>8.7</v>
      </c>
      <c r="O90" s="19">
        <f t="shared" si="42"/>
        <v>4.3</v>
      </c>
      <c r="P90" s="1">
        <f>LOOKUP(O90,{0,1.4,1.6,1.8,2,2.2,2.4,2.6,2.8,3,3.2,3.4,3.6,3.8,4,4.2,4.4,4.7,5,5.1,5.2},{0,10,20,30,40,50,60,62,64,66,68,70,72,74,76,78,80,85,90,95,100})</f>
        <v>78</v>
      </c>
      <c r="Q90" s="15">
        <v>3.32</v>
      </c>
      <c r="R90" s="15">
        <f t="shared" si="52"/>
        <v>6.68</v>
      </c>
      <c r="S90" s="1">
        <f>LOOKUP(R90,{0,4.7,4.8,4.9,5,5.5,5.6,5.65,5.7,5.75,5.8,5.85,5.9,5.95,6,6.45,6.5,6.57,6.64,6.7,6.76},{0,10,20,30,40,50,60,62,64,66,68,70,72,74,76,78,80,85,90,95,100})</f>
        <v>90</v>
      </c>
      <c r="T90" s="20"/>
      <c r="U90" s="20"/>
      <c r="V90" s="21">
        <f t="shared" si="53"/>
        <v>90</v>
      </c>
      <c r="W90" s="15"/>
      <c r="X90" s="21">
        <f t="shared" si="45"/>
        <v>61.1</v>
      </c>
      <c r="Y90" s="21">
        <f t="shared" si="51"/>
        <v>87.2857142857143</v>
      </c>
    </row>
    <row r="91" ht="15.6" outlineLevel="1" collapsed="1" spans="1:25">
      <c r="A91" s="16" t="s">
        <v>847</v>
      </c>
      <c r="B91" s="15"/>
      <c r="C91" s="8"/>
      <c r="D91" s="8"/>
      <c r="E91" s="15"/>
      <c r="F91" s="1">
        <f>SUBTOTAL(1,F72:F90)</f>
        <v>81.4444444444444</v>
      </c>
      <c r="G91" s="15"/>
      <c r="H91" s="1">
        <f>SUBTOTAL(1,H72:H90)</f>
        <v>73.8888888888889</v>
      </c>
      <c r="I91" s="15"/>
      <c r="J91" s="1">
        <f>SUBTOTAL(1,J72:J90)</f>
        <v>87.5555555555556</v>
      </c>
      <c r="K91" s="20"/>
      <c r="L91" s="20"/>
      <c r="M91" s="21">
        <f>SUBTOTAL(1,M72:M90)</f>
        <v>87.6666666666667</v>
      </c>
      <c r="N91" s="15"/>
      <c r="O91" s="19"/>
      <c r="P91" s="1">
        <f>SUBTOTAL(1,P72:P90)</f>
        <v>76.8947368421053</v>
      </c>
      <c r="Q91" s="15"/>
      <c r="R91" s="15"/>
      <c r="S91" s="1">
        <f>SUBTOTAL(1,S72:S90)</f>
        <v>77.0588235294118</v>
      </c>
      <c r="T91" s="20"/>
      <c r="U91" s="20"/>
      <c r="V91" s="21">
        <f>SUBTOTAL(1,V72:V90)</f>
        <v>77.1176470588235</v>
      </c>
      <c r="W91" s="15"/>
      <c r="X91" s="21">
        <f>SUBTOTAL(1,X72:X90)</f>
        <v>52.1789473684211</v>
      </c>
      <c r="Y91" s="21">
        <f>SUBTOTAL(1,Y72:Y90)</f>
        <v>76.1278195488722</v>
      </c>
    </row>
    <row r="92" ht="15.6" hidden="1" outlineLevel="2" spans="1:25">
      <c r="A92" s="15">
        <v>107</v>
      </c>
      <c r="B92" s="15">
        <v>30</v>
      </c>
      <c r="C92" s="13" t="s">
        <v>330</v>
      </c>
      <c r="D92" s="14" t="s">
        <v>46</v>
      </c>
      <c r="E92" s="15">
        <v>14</v>
      </c>
      <c r="F92" s="1">
        <f>LOOKUP(E92,{0,0.4,1.2,2,2.8,3.6,4.4,5.7,7,8.3,9.6,10.9,12.2,13.5,14.8,16.1,17.4,19.1,20.8,22.5,24.2},{0,10,20,30,40,50,60,62,64,66,68,70,72,74,76,78,80,85,90,95,100})</f>
        <v>74</v>
      </c>
      <c r="G92" s="15">
        <v>1.67</v>
      </c>
      <c r="H92" s="1">
        <f>LOOKUP(G92,{0,123,128,133,138,143,148,151,154,157,160,163,166,169,172,175,178,185,192,198,204},{0,10,20,30,40,50,60,62,64,66,68,70,72,74,76,78,80,85,90,95,100})</f>
        <v>0</v>
      </c>
      <c r="I92" s="15">
        <v>53</v>
      </c>
      <c r="J92" s="1">
        <f>LOOKUP(I92,{0,13,15,17,19,21,23,25,27,29,31,33,35,37,39,41,43,46,49,51,53},{0,10,20,30,40,50,60,62,64,66,68,70,72,74,76,78,80,85,90,95,100})</f>
        <v>100</v>
      </c>
      <c r="K92" s="20">
        <f>I92-53</f>
        <v>0</v>
      </c>
      <c r="L92" s="1">
        <f>LOOKUP(K92,{0,2,4,6,7,8,9,10,11,12,13},{0,1,2,3,4,5,6,7,8,9,10})</f>
        <v>0</v>
      </c>
      <c r="M92" s="21">
        <f t="shared" ref="M92:M105" si="54">J92+L92</f>
        <v>100</v>
      </c>
      <c r="N92" s="15">
        <v>9.1</v>
      </c>
      <c r="O92" s="19">
        <f t="shared" ref="O92:O95" si="55">13-N92</f>
        <v>3.9</v>
      </c>
      <c r="P92" s="1">
        <f>LOOKUP(O92,{0,1.4,1.6,1.8,2,2.2,2.4,2.6,2.8,3,3.2,3.4,3.6,3.8,4,4.2,4.4,4.7,5,5.1,5.2},{0,10,20,30,40,50,60,62,64,66,68,70,72,74,76,78,80,85,90,95,100})</f>
        <v>74</v>
      </c>
      <c r="Q92" s="15">
        <v>4.47</v>
      </c>
      <c r="R92" s="15">
        <f t="shared" ref="R92:R105" si="56">10-Q92</f>
        <v>5.53</v>
      </c>
      <c r="S92" s="1">
        <f>LOOKUP(R92,{0,4.7,4.8,4.9,5,5.5,5.6,5.65,5.7,5.75,5.8,5.85,5.9,5.95,6,6.45,6.5,6.57,6.64,6.7,6.76},{0,10,20,30,40,50,60,62,64,66,68,70,72,74,76,78,80,85,90,95,100})</f>
        <v>50</v>
      </c>
      <c r="T92" s="20"/>
      <c r="U92" s="20"/>
      <c r="V92" s="21">
        <f t="shared" ref="V92:V105" si="57">S92+U92</f>
        <v>50</v>
      </c>
      <c r="W92" s="15"/>
      <c r="X92" s="21">
        <f t="shared" ref="X92:X110" si="58">F92*0.1+H92*0.1+J92*0.1+P92*0.2+S92*0.2</f>
        <v>42.2</v>
      </c>
      <c r="Y92" s="21">
        <f t="shared" ref="Y92:Y99" si="59">X92/0.7+L92+U92</f>
        <v>60.2857142857143</v>
      </c>
    </row>
    <row r="93" ht="15.6" hidden="1" outlineLevel="2" spans="1:25">
      <c r="A93" s="15">
        <v>107</v>
      </c>
      <c r="B93" s="15">
        <v>31</v>
      </c>
      <c r="C93" s="14" t="s">
        <v>331</v>
      </c>
      <c r="D93" s="14" t="s">
        <v>46</v>
      </c>
      <c r="E93" s="15"/>
      <c r="F93" s="1"/>
      <c r="G93" s="15"/>
      <c r="H93" s="1"/>
      <c r="I93" s="15"/>
      <c r="J93" s="1"/>
      <c r="K93" s="20"/>
      <c r="L93" s="20"/>
      <c r="M93" s="21"/>
      <c r="N93" s="15"/>
      <c r="O93" s="19"/>
      <c r="P93" s="1"/>
      <c r="Q93" s="15"/>
      <c r="R93" s="15"/>
      <c r="S93" s="1"/>
      <c r="T93" s="24"/>
      <c r="U93" s="1"/>
      <c r="V93" s="21"/>
      <c r="W93" s="15" t="s">
        <v>84</v>
      </c>
      <c r="X93" s="21">
        <f t="shared" si="58"/>
        <v>0</v>
      </c>
      <c r="Y93" s="21">
        <v>50</v>
      </c>
    </row>
    <row r="94" ht="15.6" hidden="1" outlineLevel="2" spans="1:25">
      <c r="A94" s="15">
        <v>107</v>
      </c>
      <c r="B94" s="15">
        <v>32</v>
      </c>
      <c r="C94" s="14" t="s">
        <v>332</v>
      </c>
      <c r="D94" s="14" t="s">
        <v>46</v>
      </c>
      <c r="E94" s="15"/>
      <c r="F94" s="1"/>
      <c r="G94" s="15"/>
      <c r="H94" s="1"/>
      <c r="I94" s="15"/>
      <c r="J94" s="1"/>
      <c r="K94" s="20"/>
      <c r="L94" s="20"/>
      <c r="M94" s="21"/>
      <c r="N94" s="15">
        <v>8.4</v>
      </c>
      <c r="O94" s="19">
        <f t="shared" si="55"/>
        <v>4.6</v>
      </c>
      <c r="P94" s="1">
        <f>LOOKUP(O94,{0,1.4,1.6,1.8,2,2.2,2.4,2.6,2.8,3,3.2,3.4,3.6,3.8,4,4.2,4.4,4.7,5,5.1,5.2},{0,10,20,30,40,50,60,62,64,66,68,70,72,74,76,78,80,85,90,95,100})</f>
        <v>80</v>
      </c>
      <c r="Q94" s="15"/>
      <c r="R94" s="15"/>
      <c r="S94" s="1"/>
      <c r="T94" s="24"/>
      <c r="U94" s="1"/>
      <c r="V94" s="21"/>
      <c r="W94" s="15" t="s">
        <v>84</v>
      </c>
      <c r="X94" s="21">
        <f t="shared" si="58"/>
        <v>16</v>
      </c>
      <c r="Y94" s="21">
        <v>50</v>
      </c>
    </row>
    <row r="95" ht="15.6" hidden="1" outlineLevel="2" spans="1:25">
      <c r="A95" s="15">
        <v>107</v>
      </c>
      <c r="B95" s="15">
        <v>33</v>
      </c>
      <c r="C95" s="14" t="s">
        <v>333</v>
      </c>
      <c r="D95" s="14" t="s">
        <v>46</v>
      </c>
      <c r="E95" s="15">
        <v>24</v>
      </c>
      <c r="F95" s="1">
        <f>LOOKUP(E95,{0,0.4,1.2,2,2.8,3.6,4.4,5.7,7,8.3,9.6,10.9,12.2,13.5,14.8,16.1,17.4,19.1,20.8,22.5,24.2},{0,10,20,30,40,50,60,62,64,66,68,70,72,74,76,78,80,85,90,95,100})</f>
        <v>95</v>
      </c>
      <c r="G95" s="15">
        <v>1.69</v>
      </c>
      <c r="H95" s="1">
        <f>LOOKUP(G95,{0,123,128,133,138,143,148,151,154,157,160,163,166,169,172,175,178,185,192,198,204},{0,10,20,30,40,50,60,62,64,66,68,70,72,74,76,78,80,85,90,95,100})</f>
        <v>0</v>
      </c>
      <c r="I95" s="15">
        <v>43</v>
      </c>
      <c r="J95" s="1">
        <f>LOOKUP(I95,{0,13,15,17,19,21,23,25,27,29,31,33,35,37,39,41,43,46,49,51,53},{0,10,20,30,40,50,60,62,64,66,68,70,72,74,76,78,80,85,90,95,100})</f>
        <v>80</v>
      </c>
      <c r="K95" s="20"/>
      <c r="L95" s="20"/>
      <c r="M95" s="21">
        <f t="shared" si="54"/>
        <v>80</v>
      </c>
      <c r="N95" s="15">
        <v>9.4</v>
      </c>
      <c r="O95" s="19">
        <f t="shared" si="55"/>
        <v>3.6</v>
      </c>
      <c r="P95" s="1">
        <f>LOOKUP(O95,{0,1.4,1.6,1.8,2,2.2,2.4,2.6,2.8,3,3.2,3.4,3.6,3.8,4,4.2,4.4,4.7,5,5.1,5.2},{0,10,20,30,40,50,60,62,64,66,68,70,72,74,76,78,80,85,90,95,100})</f>
        <v>72</v>
      </c>
      <c r="Q95" s="15">
        <v>4.21</v>
      </c>
      <c r="R95" s="15">
        <f t="shared" si="56"/>
        <v>5.79</v>
      </c>
      <c r="S95" s="1">
        <f>LOOKUP(R95,{0,4.7,4.8,4.9,5,5.5,5.6,5.65,5.7,5.75,5.8,5.85,5.9,5.95,6,6.45,6.5,6.57,6.64,6.7,6.76},{0,10,20,30,40,50,60,62,64,66,68,70,72,74,76,78,80,85,90,95,100})</f>
        <v>66</v>
      </c>
      <c r="T95" s="20"/>
      <c r="U95" s="20"/>
      <c r="V95" s="21">
        <f t="shared" si="57"/>
        <v>66</v>
      </c>
      <c r="W95" s="15"/>
      <c r="X95" s="21">
        <f t="shared" si="58"/>
        <v>45.1</v>
      </c>
      <c r="Y95" s="21">
        <f t="shared" si="59"/>
        <v>64.4285714285714</v>
      </c>
    </row>
    <row r="96" ht="15.6" hidden="1" outlineLevel="2" spans="1:25">
      <c r="A96" s="15">
        <v>107</v>
      </c>
      <c r="B96" s="15">
        <v>34</v>
      </c>
      <c r="C96" s="14" t="s">
        <v>334</v>
      </c>
      <c r="D96" s="14" t="s">
        <v>46</v>
      </c>
      <c r="E96" s="15"/>
      <c r="F96" s="1"/>
      <c r="G96" s="15"/>
      <c r="H96" s="1"/>
      <c r="I96" s="15"/>
      <c r="J96" s="1"/>
      <c r="K96" s="20"/>
      <c r="L96" s="20"/>
      <c r="M96" s="21"/>
      <c r="N96" s="15"/>
      <c r="O96" s="19"/>
      <c r="P96" s="1"/>
      <c r="Q96" s="15"/>
      <c r="R96" s="15"/>
      <c r="S96" s="1"/>
      <c r="T96" s="24"/>
      <c r="U96" s="1"/>
      <c r="V96" s="21"/>
      <c r="W96" s="15" t="s">
        <v>84</v>
      </c>
      <c r="X96" s="21">
        <f t="shared" si="58"/>
        <v>0</v>
      </c>
      <c r="Y96" s="21">
        <v>50</v>
      </c>
    </row>
    <row r="97" ht="15.6" hidden="1" outlineLevel="2" spans="1:25">
      <c r="A97" s="25">
        <v>107</v>
      </c>
      <c r="B97" s="25">
        <v>35</v>
      </c>
      <c r="C97" s="14" t="s">
        <v>335</v>
      </c>
      <c r="D97" s="14" t="s">
        <v>46</v>
      </c>
      <c r="E97" s="25">
        <v>19.5</v>
      </c>
      <c r="F97" s="1">
        <f>LOOKUP(E97,{0,0.4,1.2,2,2.8,3.6,4.4,5.7,7,8.3,9.6,10.9,12.2,13.5,14.8,16.1,17.4,19.1,20.8,22.5,24.2},{0,10,20,30,40,50,60,62,64,66,68,70,72,74,76,78,80,85,90,95,100})</f>
        <v>85</v>
      </c>
      <c r="G97" s="25">
        <v>2.08</v>
      </c>
      <c r="H97" s="1">
        <f>LOOKUP(G97,{0,123,128,133,138,143,148,151,154,157,160,163,166,169,172,175,178,185,192,198,204},{0,10,20,30,40,50,60,62,64,66,68,70,72,74,76,78,80,85,90,95,100})</f>
        <v>0</v>
      </c>
      <c r="I97" s="25">
        <v>50</v>
      </c>
      <c r="J97" s="1">
        <f>LOOKUP(I97,{0,13,15,17,19,21,23,25,27,29,31,33,35,37,39,41,43,46,49,51,53},{0,10,20,30,40,50,60,62,64,66,68,70,72,74,76,78,80,85,90,95,100})</f>
        <v>90</v>
      </c>
      <c r="K97" s="26"/>
      <c r="L97" s="26"/>
      <c r="M97" s="21">
        <f t="shared" si="54"/>
        <v>90</v>
      </c>
      <c r="N97" s="25">
        <v>8.1</v>
      </c>
      <c r="O97" s="19">
        <f t="shared" ref="O97:O99" si="60">13-N97</f>
        <v>4.9</v>
      </c>
      <c r="P97" s="1">
        <f>LOOKUP(O97,{0,1.4,1.6,1.8,2,2.2,2.4,2.6,2.8,3,3.2,3.4,3.6,3.8,4,4.2,4.4,4.7,5,5.1,5.2},{0,10,20,30,40,50,60,62,64,66,68,70,72,74,76,78,80,85,90,95,100})</f>
        <v>85</v>
      </c>
      <c r="Q97" s="25">
        <v>3.47</v>
      </c>
      <c r="R97" s="15">
        <f t="shared" si="56"/>
        <v>6.53</v>
      </c>
      <c r="S97" s="1">
        <f>LOOKUP(R97,{0,4.7,4.8,4.9,5,5.5,5.6,5.65,5.7,5.75,5.8,5.85,5.9,5.95,6,6.45,6.5,6.57,6.64,6.7,6.76},{0,10,20,30,40,50,60,62,64,66,68,70,72,74,76,78,80,85,90,95,100})</f>
        <v>80</v>
      </c>
      <c r="T97" s="26"/>
      <c r="U97" s="26"/>
      <c r="V97" s="21">
        <f t="shared" si="57"/>
        <v>80</v>
      </c>
      <c r="W97" s="25"/>
      <c r="X97" s="21">
        <f t="shared" si="58"/>
        <v>50.5</v>
      </c>
      <c r="Y97" s="21">
        <f t="shared" si="59"/>
        <v>72.1428571428572</v>
      </c>
    </row>
    <row r="98" ht="15.6" hidden="1" outlineLevel="2" spans="1:25">
      <c r="A98" s="15">
        <v>107</v>
      </c>
      <c r="B98" s="15">
        <v>36</v>
      </c>
      <c r="C98" s="14" t="s">
        <v>336</v>
      </c>
      <c r="D98" s="14" t="s">
        <v>46</v>
      </c>
      <c r="E98" s="15">
        <v>23.5</v>
      </c>
      <c r="F98" s="1">
        <f>LOOKUP(E98,{0,0.4,1.2,2,2.8,3.6,4.4,5.7,7,8.3,9.6,10.9,12.2,13.5,14.8,16.1,17.4,19.1,20.8,22.5,24.2},{0,10,20,30,40,50,60,62,64,66,68,70,72,74,76,78,80,85,90,95,100})</f>
        <v>95</v>
      </c>
      <c r="G98" s="15">
        <v>1.92</v>
      </c>
      <c r="H98" s="1">
        <f>LOOKUP(G98,{0,123,128,133,138,143,148,151,154,157,160,163,166,169,172,175,178,185,192,198,204},{0,10,20,30,40,50,60,62,64,66,68,70,72,74,76,78,80,85,90,95,100})</f>
        <v>0</v>
      </c>
      <c r="I98" s="15">
        <v>34</v>
      </c>
      <c r="J98" s="1">
        <f>LOOKUP(I98,{0,13,15,17,19,21,23,25,27,29,31,33,35,37,39,41,43,46,49,51,53},{0,10,20,30,40,50,60,62,64,66,68,70,72,74,76,78,80,85,90,95,100})</f>
        <v>70</v>
      </c>
      <c r="K98" s="20"/>
      <c r="L98" s="20"/>
      <c r="M98" s="21">
        <f t="shared" si="54"/>
        <v>70</v>
      </c>
      <c r="N98" s="15">
        <v>8.8</v>
      </c>
      <c r="O98" s="19">
        <f t="shared" si="60"/>
        <v>4.2</v>
      </c>
      <c r="P98" s="1">
        <f>LOOKUP(O98,{0,1.4,1.6,1.8,2,2.2,2.4,2.6,2.8,3,3.2,3.4,3.6,3.8,4,4.2,4.4,4.7,5,5.1,5.2},{0,10,20,30,40,50,60,62,64,66,68,70,72,74,76,78,80,85,90,95,100})</f>
        <v>78</v>
      </c>
      <c r="Q98" s="15">
        <v>3.48</v>
      </c>
      <c r="R98" s="15">
        <f t="shared" si="56"/>
        <v>6.52</v>
      </c>
      <c r="S98" s="1">
        <f>LOOKUP(R98,{0,4.7,4.8,4.9,5,5.5,5.6,5.65,5.7,5.75,5.8,5.85,5.9,5.95,6,6.45,6.5,6.57,6.64,6.7,6.76},{0,10,20,30,40,50,60,62,64,66,68,70,72,74,76,78,80,85,90,95,100})</f>
        <v>80</v>
      </c>
      <c r="T98" s="20"/>
      <c r="U98" s="20"/>
      <c r="V98" s="21">
        <f t="shared" si="57"/>
        <v>80</v>
      </c>
      <c r="W98" s="15"/>
      <c r="X98" s="21">
        <f t="shared" si="58"/>
        <v>48.1</v>
      </c>
      <c r="Y98" s="21">
        <f t="shared" si="59"/>
        <v>68.7142857142857</v>
      </c>
    </row>
    <row r="99" ht="15.6" hidden="1" outlineLevel="2" spans="1:25">
      <c r="A99" s="15">
        <v>107</v>
      </c>
      <c r="B99" s="15">
        <v>37</v>
      </c>
      <c r="C99" s="14" t="s">
        <v>337</v>
      </c>
      <c r="D99" s="14" t="s">
        <v>46</v>
      </c>
      <c r="E99" s="15">
        <v>17.5</v>
      </c>
      <c r="F99" s="1">
        <f>LOOKUP(E99,{0,0.4,1.2,2,2.8,3.6,4.4,5.7,7,8.3,9.6,10.9,12.2,13.5,14.8,16.1,17.4,19.1,20.8,22.5,24.2},{0,10,20,30,40,50,60,62,64,66,68,70,72,74,76,78,80,85,90,95,100})</f>
        <v>80</v>
      </c>
      <c r="G99" s="15">
        <v>1.87</v>
      </c>
      <c r="H99" s="1">
        <f>LOOKUP(G99,{0,123,128,133,138,143,148,151,154,157,160,163,166,169,172,175,178,185,192,198,204},{0,10,20,30,40,50,60,62,64,66,68,70,72,74,76,78,80,85,90,95,100})</f>
        <v>0</v>
      </c>
      <c r="I99" s="15">
        <v>47</v>
      </c>
      <c r="J99" s="1">
        <f>LOOKUP(I99,{0,13,15,17,19,21,23,25,27,29,31,33,35,37,39,41,43,46,49,51,53},{0,10,20,30,40,50,60,62,64,66,68,70,72,74,76,78,80,85,90,95,100})</f>
        <v>85</v>
      </c>
      <c r="K99" s="20"/>
      <c r="L99" s="20"/>
      <c r="M99" s="21">
        <f t="shared" si="54"/>
        <v>85</v>
      </c>
      <c r="N99" s="15">
        <v>8.8</v>
      </c>
      <c r="O99" s="19">
        <f t="shared" si="60"/>
        <v>4.2</v>
      </c>
      <c r="P99" s="1">
        <f>LOOKUP(O99,{0,1.4,1.6,1.8,2,2.2,2.4,2.6,2.8,3,3.2,3.4,3.6,3.8,4,4.2,4.4,4.7,5,5.1,5.2},{0,10,20,30,40,50,60,62,64,66,68,70,72,74,76,78,80,85,90,95,100})</f>
        <v>78</v>
      </c>
      <c r="Q99" s="15">
        <v>3.43</v>
      </c>
      <c r="R99" s="15">
        <f t="shared" si="56"/>
        <v>6.57</v>
      </c>
      <c r="S99" s="1">
        <f>LOOKUP(R99,{0,4.7,4.8,4.9,5,5.5,5.6,5.65,5.7,5.75,5.8,5.85,5.9,5.95,6,6.45,6.5,6.57,6.64,6.7,6.76},{0,10,20,30,40,50,60,62,64,66,68,70,72,74,76,78,80,85,90,95,100})</f>
        <v>85</v>
      </c>
      <c r="T99" s="20"/>
      <c r="U99" s="20"/>
      <c r="V99" s="21">
        <f t="shared" si="57"/>
        <v>85</v>
      </c>
      <c r="W99" s="15"/>
      <c r="X99" s="21">
        <f t="shared" si="58"/>
        <v>49.1</v>
      </c>
      <c r="Y99" s="21">
        <f t="shared" si="59"/>
        <v>70.1428571428572</v>
      </c>
    </row>
    <row r="100" s="3" customFormat="1" ht="15.6" hidden="1" outlineLevel="2" spans="1:25">
      <c r="A100" s="15">
        <v>107</v>
      </c>
      <c r="B100" s="15">
        <v>38</v>
      </c>
      <c r="C100" s="14" t="s">
        <v>338</v>
      </c>
      <c r="D100" s="14" t="s">
        <v>46</v>
      </c>
      <c r="E100" s="15">
        <v>14</v>
      </c>
      <c r="F100" s="1">
        <f>LOOKUP(E100,{0,0.4,1.2,2,2.8,3.6,4.4,5.7,7,8.3,9.6,10.9,12.2,13.5,14.8,16.1,17.4,19.1,20.8,22.5,24.2},{0,10,20,30,40,50,60,62,64,66,68,70,72,74,76,78,80,85,90,95,100})</f>
        <v>74</v>
      </c>
      <c r="G100" s="15">
        <v>1.8</v>
      </c>
      <c r="H100" s="1">
        <f>LOOKUP(G100,{0,123,128,133,138,143,148,151,154,157,160,163,166,169,172,175,178,185,192,198,204},{0,10,20,30,40,50,60,62,64,66,68,70,72,74,76,78,80,85,90,95,100})</f>
        <v>0</v>
      </c>
      <c r="I100" s="15">
        <v>48</v>
      </c>
      <c r="J100" s="1">
        <f>LOOKUP(I100,{0,13,15,17,19,21,23,25,27,29,31,33,35,37,39,41,43,46,49,51,53},{0,10,20,30,40,50,60,62,64,66,68,70,72,74,76,78,80,85,90,95,100})</f>
        <v>85</v>
      </c>
      <c r="K100" s="20"/>
      <c r="L100" s="20"/>
      <c r="M100" s="21">
        <f t="shared" si="54"/>
        <v>85</v>
      </c>
      <c r="N100" s="15"/>
      <c r="O100" s="19"/>
      <c r="P100" s="1"/>
      <c r="Q100" s="15">
        <v>3.51</v>
      </c>
      <c r="R100" s="15">
        <f t="shared" si="56"/>
        <v>6.49</v>
      </c>
      <c r="S100" s="1">
        <f>LOOKUP(R100,{0,4.7,4.8,4.9,5,5.5,5.6,5.65,5.7,5.75,5.8,5.85,5.9,5.95,6,6.45,6.5,6.57,6.64,6.7,6.76},{0,10,20,30,40,50,60,62,64,66,68,70,72,74,76,78,80,85,90,95,100})</f>
        <v>78</v>
      </c>
      <c r="T100" s="20"/>
      <c r="U100" s="20"/>
      <c r="V100" s="21">
        <f t="shared" si="57"/>
        <v>78</v>
      </c>
      <c r="W100" s="15"/>
      <c r="X100" s="21">
        <f t="shared" si="58"/>
        <v>31.5</v>
      </c>
      <c r="Y100" s="27">
        <v>50</v>
      </c>
    </row>
    <row r="101" ht="15.6" hidden="1" outlineLevel="2" spans="1:25">
      <c r="A101" s="15">
        <v>107</v>
      </c>
      <c r="B101" s="15">
        <v>39</v>
      </c>
      <c r="C101" s="14" t="s">
        <v>339</v>
      </c>
      <c r="D101" s="14" t="s">
        <v>46</v>
      </c>
      <c r="E101" s="15">
        <v>15</v>
      </c>
      <c r="F101" s="1">
        <f>LOOKUP(E101,{0,0.4,1.2,2,2.8,3.6,4.4,5.7,7,8.3,9.6,10.9,12.2,13.5,14.8,16.1,17.4,19.1,20.8,22.5,24.2},{0,10,20,30,40,50,60,62,64,66,68,70,72,74,76,78,80,85,90,95,100})</f>
        <v>76</v>
      </c>
      <c r="G101" s="15">
        <v>1.54</v>
      </c>
      <c r="H101" s="1">
        <f>LOOKUP(G101,{0,123,128,133,138,143,148,151,154,157,160,163,166,169,172,175,178,185,192,198,204},{0,10,20,30,40,50,60,62,64,66,68,70,72,74,76,78,80,85,90,95,100})</f>
        <v>0</v>
      </c>
      <c r="I101" s="15">
        <v>44</v>
      </c>
      <c r="J101" s="1">
        <f>LOOKUP(I101,{0,13,15,17,19,21,23,25,27,29,31,33,35,37,39,41,43,46,49,51,53},{0,10,20,30,40,50,60,62,64,66,68,70,72,74,76,78,80,85,90,95,100})</f>
        <v>80</v>
      </c>
      <c r="K101" s="20"/>
      <c r="L101" s="20"/>
      <c r="M101" s="21">
        <f t="shared" si="54"/>
        <v>80</v>
      </c>
      <c r="N101" s="15">
        <v>9.4</v>
      </c>
      <c r="O101" s="19">
        <f t="shared" ref="O101:O108" si="61">13-N101</f>
        <v>3.6</v>
      </c>
      <c r="P101" s="1">
        <f>LOOKUP(O101,{0,1.4,1.6,1.8,2,2.2,2.4,2.6,2.8,3,3.2,3.4,3.6,3.8,4,4.2,4.4,4.7,5,5.1,5.2},{0,10,20,30,40,50,60,62,64,66,68,70,72,74,76,78,80,85,90,95,100})</f>
        <v>72</v>
      </c>
      <c r="Q101" s="15">
        <v>4.14</v>
      </c>
      <c r="R101" s="15">
        <f t="shared" si="56"/>
        <v>5.86</v>
      </c>
      <c r="S101" s="1">
        <f>LOOKUP(R101,{0,4.7,4.8,4.9,5,5.5,5.6,5.65,5.7,5.75,5.8,5.85,5.9,5.95,6,6.45,6.5,6.57,6.64,6.7,6.76},{0,10,20,30,40,50,60,62,64,66,68,70,72,74,76,78,80,85,90,95,100})</f>
        <v>70</v>
      </c>
      <c r="T101" s="20"/>
      <c r="U101" s="20"/>
      <c r="V101" s="21">
        <f t="shared" si="57"/>
        <v>70</v>
      </c>
      <c r="W101" s="15"/>
      <c r="X101" s="21">
        <f t="shared" si="58"/>
        <v>44</v>
      </c>
      <c r="Y101" s="21">
        <f t="shared" ref="Y101:Y105" si="62">X101/0.7+L101+U101</f>
        <v>62.8571428571429</v>
      </c>
    </row>
    <row r="102" ht="15.6" hidden="1" outlineLevel="2" spans="1:25">
      <c r="A102" s="15">
        <v>107</v>
      </c>
      <c r="B102" s="15">
        <v>40</v>
      </c>
      <c r="C102" s="13" t="s">
        <v>341</v>
      </c>
      <c r="D102" s="14" t="s">
        <v>46</v>
      </c>
      <c r="E102" s="15">
        <v>19</v>
      </c>
      <c r="F102" s="1">
        <f>LOOKUP(E102,{0,0.4,1.2,2,2.8,3.6,4.4,5.7,7,8.3,9.6,10.9,12.2,13.5,14.8,16.1,17.4,19.1,20.8,22.5,24.2},{0,10,20,30,40,50,60,62,64,66,68,70,72,74,76,78,80,85,90,95,100})</f>
        <v>80</v>
      </c>
      <c r="G102" s="15">
        <v>177</v>
      </c>
      <c r="H102" s="1">
        <f>LOOKUP(G102,{0,123,128,133,138,143,148,151,154,157,160,163,166,169,172,175,178,185,192,198,204},{0,10,20,30,40,50,60,62,64,66,68,70,72,74,76,78,80,85,90,95,100})</f>
        <v>78</v>
      </c>
      <c r="I102" s="15">
        <v>52</v>
      </c>
      <c r="J102" s="1">
        <f>LOOKUP(I102,{0,13,15,17,19,21,23,25,27,29,31,33,35,37,39,41,43,46,49,51,53},{0,10,20,30,40,50,60,62,64,66,68,70,72,74,76,78,80,85,90,95,100})</f>
        <v>95</v>
      </c>
      <c r="K102" s="20"/>
      <c r="L102" s="20"/>
      <c r="M102" s="21">
        <f t="shared" si="54"/>
        <v>95</v>
      </c>
      <c r="N102" s="15">
        <v>7.9</v>
      </c>
      <c r="O102" s="19">
        <f t="shared" si="61"/>
        <v>5.1</v>
      </c>
      <c r="P102" s="1">
        <f>LOOKUP(O102,{0,1.4,1.6,1.8,2,2.2,2.4,2.6,2.8,3,3.2,3.4,3.6,3.8,4,4.2,4.4,4.7,5,5.1,5.2},{0,10,20,30,40,50,60,62,64,66,68,70,72,74,76,78,80,85,90,95,100})</f>
        <v>95</v>
      </c>
      <c r="Q102" s="15">
        <v>3.46</v>
      </c>
      <c r="R102" s="15">
        <f t="shared" si="56"/>
        <v>6.54</v>
      </c>
      <c r="S102" s="1">
        <f>LOOKUP(R102,{0,4.7,4.8,4.9,5,5.5,5.6,5.65,5.7,5.75,5.8,5.85,5.9,5.95,6,6.45,6.5,6.57,6.64,6.7,6.76},{0,10,20,30,40,50,60,62,64,66,68,70,72,74,76,78,80,85,90,95,100})</f>
        <v>80</v>
      </c>
      <c r="T102" s="20"/>
      <c r="U102" s="20"/>
      <c r="V102" s="21">
        <f t="shared" si="57"/>
        <v>80</v>
      </c>
      <c r="W102" s="15"/>
      <c r="X102" s="21">
        <f t="shared" si="58"/>
        <v>60.3</v>
      </c>
      <c r="Y102" s="21">
        <f t="shared" si="62"/>
        <v>86.1428571428571</v>
      </c>
    </row>
    <row r="103" ht="15.6" hidden="1" outlineLevel="2" spans="1:25">
      <c r="A103" s="15">
        <v>107</v>
      </c>
      <c r="B103" s="15">
        <v>41</v>
      </c>
      <c r="C103" s="14" t="s">
        <v>342</v>
      </c>
      <c r="D103" s="14" t="s">
        <v>46</v>
      </c>
      <c r="E103" s="15">
        <v>19.2</v>
      </c>
      <c r="F103" s="1">
        <f>LOOKUP(E103,{0,0.4,1.2,2,2.8,3.6,4.4,5.7,7,8.3,9.6,10.9,12.2,13.5,14.8,16.1,17.4,19.1,20.8,22.5,24.2},{0,10,20,30,40,50,60,62,64,66,68,70,72,74,76,78,80,85,90,95,100})</f>
        <v>85</v>
      </c>
      <c r="G103" s="15">
        <v>193</v>
      </c>
      <c r="H103" s="1">
        <f>LOOKUP(G103,{0,123,128,133,138,143,148,151,154,157,160,163,166,169,172,175,178,185,192,198,204},{0,10,20,30,40,50,60,62,64,66,68,70,72,74,76,78,80,85,90,95,100})</f>
        <v>90</v>
      </c>
      <c r="I103" s="15">
        <v>36</v>
      </c>
      <c r="J103" s="1">
        <f>LOOKUP(I103,{0,13,15,17,19,21,23,25,27,29,31,33,35,37,39,41,43,46,49,51,53},{0,10,20,30,40,50,60,62,64,66,68,70,72,74,76,78,80,85,90,95,100})</f>
        <v>72</v>
      </c>
      <c r="K103" s="20"/>
      <c r="L103" s="20"/>
      <c r="M103" s="21">
        <f t="shared" si="54"/>
        <v>72</v>
      </c>
      <c r="N103" s="15">
        <v>8.4</v>
      </c>
      <c r="O103" s="19">
        <f t="shared" si="61"/>
        <v>4.6</v>
      </c>
      <c r="P103" s="1">
        <f>LOOKUP(O103,{0,1.4,1.6,1.8,2,2.2,2.4,2.6,2.8,3,3.2,3.4,3.6,3.8,4,4.2,4.4,4.7,5,5.1,5.2},{0,10,20,30,40,50,60,62,64,66,68,70,72,74,76,78,80,85,90,95,100})</f>
        <v>80</v>
      </c>
      <c r="Q103" s="15">
        <v>3.31</v>
      </c>
      <c r="R103" s="15">
        <f t="shared" si="56"/>
        <v>6.69</v>
      </c>
      <c r="S103" s="1">
        <f>LOOKUP(R103,{0,4.7,4.8,4.9,5,5.5,5.6,5.65,5.7,5.75,5.8,5.85,5.9,5.95,6,6.45,6.5,6.57,6.64,6.7,6.76},{0,10,20,30,40,50,60,62,64,66,68,70,72,74,76,78,80,85,90,95,100})</f>
        <v>90</v>
      </c>
      <c r="T103" s="20"/>
      <c r="U103" s="20"/>
      <c r="V103" s="21">
        <f t="shared" si="57"/>
        <v>90</v>
      </c>
      <c r="W103" s="15"/>
      <c r="X103" s="21">
        <f t="shared" si="58"/>
        <v>58.7</v>
      </c>
      <c r="Y103" s="21">
        <f t="shared" si="62"/>
        <v>83.8571428571429</v>
      </c>
    </row>
    <row r="104" ht="15.6" hidden="1" outlineLevel="2" spans="1:25">
      <c r="A104" s="15">
        <v>107</v>
      </c>
      <c r="B104" s="15">
        <v>42</v>
      </c>
      <c r="C104" s="14" t="s">
        <v>343</v>
      </c>
      <c r="D104" s="14" t="s">
        <v>46</v>
      </c>
      <c r="E104" s="15">
        <v>21.7</v>
      </c>
      <c r="F104" s="1">
        <f>LOOKUP(E104,{0,0.4,1.2,2,2.8,3.6,4.4,5.7,7,8.3,9.6,10.9,12.2,13.5,14.8,16.1,17.4,19.1,20.8,22.5,24.2},{0,10,20,30,40,50,60,62,64,66,68,70,72,74,76,78,80,85,90,95,100})</f>
        <v>90</v>
      </c>
      <c r="G104" s="15">
        <v>215</v>
      </c>
      <c r="H104" s="1">
        <f>LOOKUP(G104,{0,123,128,133,138,143,148,151,154,157,160,163,166,169,172,175,178,185,192,198,204},{0,10,20,30,40,50,60,62,64,66,68,70,72,74,76,78,80,85,90,95,100})</f>
        <v>100</v>
      </c>
      <c r="I104" s="15">
        <v>56</v>
      </c>
      <c r="J104" s="1">
        <f>LOOKUP(I104,{0,13,15,17,19,21,23,25,27,29,31,33,35,37,39,41,43,46,49,51,53},{0,10,20,30,40,50,60,62,64,66,68,70,72,74,76,78,80,85,90,95,100})</f>
        <v>100</v>
      </c>
      <c r="K104" s="20">
        <f>I104-53</f>
        <v>3</v>
      </c>
      <c r="L104" s="1">
        <f>LOOKUP(K104,{0,2,4,6,7,8,9,10,11,12,13},{0,1,2,3,4,5,6,7,8,9,10})</f>
        <v>1</v>
      </c>
      <c r="M104" s="21">
        <f t="shared" si="54"/>
        <v>101</v>
      </c>
      <c r="N104" s="15">
        <v>7.5</v>
      </c>
      <c r="O104" s="19">
        <f t="shared" si="61"/>
        <v>5.5</v>
      </c>
      <c r="P104" s="1">
        <f>LOOKUP(O104,{0,1.4,1.6,1.8,2,2.2,2.4,2.6,2.8,3,3.2,3.4,3.6,3.8,4,4.2,4.4,4.7,5,5.1,5.2},{0,10,20,30,40,50,60,62,64,66,68,70,72,74,76,78,80,85,90,95,100})</f>
        <v>100</v>
      </c>
      <c r="Q104" s="15">
        <v>3.16</v>
      </c>
      <c r="R104" s="15">
        <f t="shared" si="56"/>
        <v>6.84</v>
      </c>
      <c r="S104" s="1">
        <f>LOOKUP(R104,{0,4.7,4.8,4.9,5,5.5,5.6,5.65,5.7,5.75,5.8,5.85,5.9,5.95,6,6.45,6.5,6.57,6.64,6.7,6.76},{0,10,20,30,40,50,60,62,64,66,68,70,72,74,76,78,80,85,90,95,100})</f>
        <v>100</v>
      </c>
      <c r="T104" s="24">
        <f>3.24-Q104</f>
        <v>0.0800000000000001</v>
      </c>
      <c r="U104" s="1">
        <f>LOOKUP(T104,{0,0.05,0.1,0.15,0.2,0.25,0.3,0.35,0.4,0.45,0.5},{0,1,2,3,4,5,6,7,8,9,10})</f>
        <v>1</v>
      </c>
      <c r="V104" s="21">
        <f t="shared" si="57"/>
        <v>101</v>
      </c>
      <c r="W104" s="15"/>
      <c r="X104" s="21">
        <f t="shared" si="58"/>
        <v>69</v>
      </c>
      <c r="Y104" s="21">
        <f t="shared" si="62"/>
        <v>100.571428571429</v>
      </c>
    </row>
    <row r="105" ht="15.6" hidden="1" outlineLevel="2" spans="1:25">
      <c r="A105" s="15">
        <v>107</v>
      </c>
      <c r="B105" s="15">
        <v>43</v>
      </c>
      <c r="C105" s="14" t="s">
        <v>344</v>
      </c>
      <c r="D105" s="14" t="s">
        <v>46</v>
      </c>
      <c r="E105" s="15">
        <v>18.3</v>
      </c>
      <c r="F105" s="1">
        <f>LOOKUP(E105,{0,0.4,1.2,2,2.8,3.6,4.4,5.7,7,8.3,9.6,10.9,12.2,13.5,14.8,16.1,17.4,19.1,20.8,22.5,24.2},{0,10,20,30,40,50,60,62,64,66,68,70,72,74,76,78,80,85,90,95,100})</f>
        <v>80</v>
      </c>
      <c r="G105" s="15">
        <v>186</v>
      </c>
      <c r="H105" s="1">
        <f>LOOKUP(G105,{0,123,128,133,138,143,148,151,154,157,160,163,166,169,172,175,178,185,192,198,204},{0,10,20,30,40,50,60,62,64,66,68,70,72,74,76,78,80,85,90,95,100})</f>
        <v>85</v>
      </c>
      <c r="I105" s="15">
        <v>47</v>
      </c>
      <c r="J105" s="1">
        <f>LOOKUP(I105,{0,13,15,17,19,21,23,25,27,29,31,33,35,37,39,41,43,46,49,51,53},{0,10,20,30,40,50,60,62,64,66,68,70,72,74,76,78,80,85,90,95,100})</f>
        <v>85</v>
      </c>
      <c r="K105" s="20"/>
      <c r="L105" s="20"/>
      <c r="M105" s="21">
        <f t="shared" si="54"/>
        <v>85</v>
      </c>
      <c r="N105" s="15">
        <v>8.4</v>
      </c>
      <c r="O105" s="19">
        <f t="shared" si="61"/>
        <v>4.6</v>
      </c>
      <c r="P105" s="1">
        <f>LOOKUP(O105,{0,1.4,1.6,1.8,2,2.2,2.4,2.6,2.8,3,3.2,3.4,3.6,3.8,4,4.2,4.4,4.7,5,5.1,5.2},{0,10,20,30,40,50,60,62,64,66,68,70,72,74,76,78,80,85,90,95,100})</f>
        <v>80</v>
      </c>
      <c r="Q105" s="15">
        <v>3.28</v>
      </c>
      <c r="R105" s="15">
        <f t="shared" si="56"/>
        <v>6.72</v>
      </c>
      <c r="S105" s="1">
        <f>LOOKUP(R105,{0,4.7,4.8,4.9,5,5.5,5.6,5.65,5.7,5.75,5.8,5.85,5.9,5.95,6,6.45,6.5,6.57,6.64,6.7,6.76},{0,10,20,30,40,50,60,62,64,66,68,70,72,74,76,78,80,85,90,95,100})</f>
        <v>95</v>
      </c>
      <c r="T105" s="20"/>
      <c r="U105" s="20"/>
      <c r="V105" s="21">
        <f t="shared" si="57"/>
        <v>95</v>
      </c>
      <c r="W105" s="15"/>
      <c r="X105" s="21">
        <f t="shared" si="58"/>
        <v>60</v>
      </c>
      <c r="Y105" s="21">
        <f t="shared" si="62"/>
        <v>85.7142857142857</v>
      </c>
    </row>
    <row r="106" ht="15.6" hidden="1" outlineLevel="2" spans="1:25">
      <c r="A106" s="15">
        <v>107</v>
      </c>
      <c r="B106" s="15">
        <v>44</v>
      </c>
      <c r="C106" s="14" t="s">
        <v>345</v>
      </c>
      <c r="D106" s="14" t="s">
        <v>46</v>
      </c>
      <c r="E106" s="15"/>
      <c r="F106" s="1"/>
      <c r="G106" s="15"/>
      <c r="H106" s="1"/>
      <c r="I106" s="15"/>
      <c r="J106" s="1"/>
      <c r="K106" s="20"/>
      <c r="L106" s="20"/>
      <c r="M106" s="21"/>
      <c r="N106" s="15">
        <v>9.5</v>
      </c>
      <c r="O106" s="19">
        <f t="shared" si="61"/>
        <v>3.5</v>
      </c>
      <c r="P106" s="1">
        <f>LOOKUP(O106,{0,1.4,1.6,1.8,2,2.2,2.4,2.6,2.8,3,3.2,3.4,3.6,3.8,4,4.2,4.4,4.7,5,5.1,5.2},{0,10,20,30,40,50,60,62,64,66,68,70,72,74,76,78,80,85,90,95,100})</f>
        <v>70</v>
      </c>
      <c r="Q106" s="15"/>
      <c r="R106" s="15"/>
      <c r="S106" s="1"/>
      <c r="T106" s="24"/>
      <c r="U106" s="1"/>
      <c r="V106" s="21"/>
      <c r="W106" s="15" t="s">
        <v>84</v>
      </c>
      <c r="X106" s="21">
        <f t="shared" si="58"/>
        <v>14</v>
      </c>
      <c r="Y106" s="21">
        <v>50</v>
      </c>
    </row>
    <row r="107" ht="15.6" hidden="1" outlineLevel="2" spans="1:25">
      <c r="A107" s="15">
        <v>107</v>
      </c>
      <c r="B107" s="15">
        <v>45</v>
      </c>
      <c r="C107" s="14" t="s">
        <v>346</v>
      </c>
      <c r="D107" s="14" t="s">
        <v>46</v>
      </c>
      <c r="E107" s="15">
        <v>0.8</v>
      </c>
      <c r="F107" s="1">
        <f>LOOKUP(E107,{0,0.4,1.2,2,2.8,3.6,4.4,5.7,7,8.3,9.6,10.9,12.2,13.5,14.8,16.1,17.4,19.1,20.8,22.5,24.2},{0,10,20,30,40,50,60,62,64,66,68,70,72,74,76,78,80,85,90,95,100})</f>
        <v>10</v>
      </c>
      <c r="G107" s="15">
        <v>162</v>
      </c>
      <c r="H107" s="1">
        <f>LOOKUP(G107,{0,123,128,133,138,143,148,151,154,157,160,163,166,169,172,175,178,185,192,198,204},{0,10,20,30,40,50,60,62,64,66,68,70,72,74,76,78,80,85,90,95,100})</f>
        <v>68</v>
      </c>
      <c r="I107" s="15">
        <v>46</v>
      </c>
      <c r="J107" s="1">
        <f>LOOKUP(I107,{0,13,15,17,19,21,23,25,27,29,31,33,35,37,39,41,43,46,49,51,53},{0,10,20,30,40,50,60,62,64,66,68,70,72,74,76,78,80,85,90,95,100})</f>
        <v>85</v>
      </c>
      <c r="K107" s="20"/>
      <c r="L107" s="20"/>
      <c r="M107" s="21">
        <f t="shared" ref="M107:M110" si="63">J107+L107</f>
        <v>85</v>
      </c>
      <c r="N107" s="15">
        <v>9.4</v>
      </c>
      <c r="O107" s="19">
        <f t="shared" si="61"/>
        <v>3.6</v>
      </c>
      <c r="P107" s="1">
        <f>LOOKUP(O107,{0,1.4,1.6,1.8,2,2.2,2.4,2.6,2.8,3,3.2,3.4,3.6,3.8,4,4.2,4.4,4.7,5,5.1,5.2},{0,10,20,30,40,50,60,62,64,66,68,70,72,74,76,78,80,85,90,95,100})</f>
        <v>72</v>
      </c>
      <c r="Q107" s="15">
        <v>4.46</v>
      </c>
      <c r="R107" s="15">
        <f t="shared" ref="R107:R110" si="64">10-Q107</f>
        <v>5.54</v>
      </c>
      <c r="S107" s="1">
        <f>LOOKUP(R107,{0,4.7,4.8,4.9,5,5.5,5.6,5.65,5.7,5.75,5.8,5.85,5.9,5.95,6,6.45,6.5,6.57,6.64,6.7,6.76},{0,10,20,30,40,50,60,62,64,66,68,70,72,74,76,78,80,85,90,95,100})</f>
        <v>50</v>
      </c>
      <c r="T107" s="20"/>
      <c r="U107" s="20"/>
      <c r="V107" s="21">
        <f t="shared" ref="V107:V110" si="65">S107+U107</f>
        <v>50</v>
      </c>
      <c r="W107" s="15"/>
      <c r="X107" s="21">
        <f t="shared" si="58"/>
        <v>40.7</v>
      </c>
      <c r="Y107" s="21">
        <f t="shared" ref="Y107:Y110" si="66">X107/0.7+L107+U107</f>
        <v>58.1428571428572</v>
      </c>
    </row>
    <row r="108" ht="15.6" hidden="1" outlineLevel="2" spans="1:25">
      <c r="A108" s="15">
        <v>107</v>
      </c>
      <c r="B108" s="15">
        <v>46</v>
      </c>
      <c r="C108" s="14" t="s">
        <v>347</v>
      </c>
      <c r="D108" s="14" t="s">
        <v>46</v>
      </c>
      <c r="E108" s="15">
        <v>16</v>
      </c>
      <c r="F108" s="1">
        <f>LOOKUP(E108,{0,0.4,1.2,2,2.8,3.6,4.4,5.7,7,8.3,9.6,10.9,12.2,13.5,14.8,16.1,17.4,19.1,20.8,22.5,24.2},{0,10,20,30,40,50,60,62,64,66,68,70,72,74,76,78,80,85,90,95,100})</f>
        <v>76</v>
      </c>
      <c r="G108" s="15">
        <v>184</v>
      </c>
      <c r="H108" s="1">
        <f>LOOKUP(G108,{0,123,128,133,138,143,148,151,154,157,160,163,166,169,172,175,178,185,192,198,204},{0,10,20,30,40,50,60,62,64,66,68,70,72,74,76,78,80,85,90,95,100})</f>
        <v>80</v>
      </c>
      <c r="I108" s="15">
        <v>45</v>
      </c>
      <c r="J108" s="1">
        <f>LOOKUP(I108,{0,13,15,17,19,21,23,25,27,29,31,33,35,37,39,41,43,46,49,51,53},{0,10,20,30,40,50,60,62,64,66,68,70,72,74,76,78,80,85,90,95,100})</f>
        <v>80</v>
      </c>
      <c r="K108" s="20"/>
      <c r="L108" s="20"/>
      <c r="M108" s="21">
        <f t="shared" si="63"/>
        <v>80</v>
      </c>
      <c r="N108" s="15">
        <v>9</v>
      </c>
      <c r="O108" s="19">
        <f t="shared" si="61"/>
        <v>4</v>
      </c>
      <c r="P108" s="1">
        <f>LOOKUP(O108,{0,1.4,1.6,1.8,2,2.2,2.4,2.6,2.8,3,3.2,3.4,3.6,3.8,4,4.2,4.4,4.7,5,5.1,5.2},{0,10,20,30,40,50,60,62,64,66,68,70,72,74,76,78,80,85,90,95,100})</f>
        <v>76</v>
      </c>
      <c r="Q108" s="15">
        <v>3.51</v>
      </c>
      <c r="R108" s="15">
        <f t="shared" si="64"/>
        <v>6.49</v>
      </c>
      <c r="S108" s="1">
        <f>LOOKUP(R108,{0,4.7,4.8,4.9,5,5.5,5.6,5.65,5.7,5.75,5.8,5.85,5.9,5.95,6,6.45,6.5,6.57,6.64,6.7,6.76},{0,10,20,30,40,50,60,62,64,66,68,70,72,74,76,78,80,85,90,95,100})</f>
        <v>78</v>
      </c>
      <c r="T108" s="20"/>
      <c r="U108" s="20"/>
      <c r="V108" s="21">
        <f t="shared" si="65"/>
        <v>78</v>
      </c>
      <c r="W108" s="15"/>
      <c r="X108" s="21">
        <f t="shared" si="58"/>
        <v>54.4</v>
      </c>
      <c r="Y108" s="21">
        <f t="shared" si="66"/>
        <v>77.7142857142857</v>
      </c>
    </row>
    <row r="109" ht="15.6" hidden="1" outlineLevel="2" spans="1:25">
      <c r="A109" s="15">
        <v>107</v>
      </c>
      <c r="B109" s="15">
        <v>47</v>
      </c>
      <c r="C109" s="14" t="s">
        <v>348</v>
      </c>
      <c r="D109" s="14" t="s">
        <v>46</v>
      </c>
      <c r="E109" s="15"/>
      <c r="F109" s="1"/>
      <c r="G109" s="15"/>
      <c r="H109" s="1"/>
      <c r="I109" s="15"/>
      <c r="J109" s="1"/>
      <c r="K109" s="20"/>
      <c r="L109" s="20"/>
      <c r="M109" s="21"/>
      <c r="N109" s="15"/>
      <c r="O109" s="19"/>
      <c r="P109" s="1"/>
      <c r="Q109" s="15"/>
      <c r="R109" s="15"/>
      <c r="S109" s="1"/>
      <c r="T109" s="24"/>
      <c r="U109" s="1"/>
      <c r="V109" s="21"/>
      <c r="W109" s="15" t="s">
        <v>84</v>
      </c>
      <c r="X109" s="21">
        <f t="shared" si="58"/>
        <v>0</v>
      </c>
      <c r="Y109" s="21">
        <v>50</v>
      </c>
    </row>
    <row r="110" ht="15.6" hidden="1" outlineLevel="2" spans="1:25">
      <c r="A110" s="15">
        <v>107</v>
      </c>
      <c r="B110" s="15">
        <v>48</v>
      </c>
      <c r="C110" s="8" t="s">
        <v>349</v>
      </c>
      <c r="D110" s="8" t="s">
        <v>46</v>
      </c>
      <c r="E110" s="15">
        <v>25.1</v>
      </c>
      <c r="F110" s="1">
        <f>LOOKUP(E110,{0,0.4,1.2,2,2.8,3.6,4.4,5.7,7,8.3,9.6,10.9,12.2,13.5,14.8,16.1,17.4,19.1,20.8,22.5,24.2},{0,10,20,30,40,50,60,62,64,66,68,70,72,74,76,78,80,85,90,95,100})</f>
        <v>100</v>
      </c>
      <c r="G110" s="15">
        <v>181</v>
      </c>
      <c r="H110" s="1">
        <f>LOOKUP(G110,{0,123,128,133,138,143,148,151,154,157,160,163,166,169,172,175,178,185,192,198,204},{0,10,20,30,40,50,60,62,64,66,68,70,72,74,76,78,80,85,90,95,100})</f>
        <v>80</v>
      </c>
      <c r="I110" s="15">
        <v>41</v>
      </c>
      <c r="J110" s="1">
        <f>LOOKUP(I110,{0,13,15,17,19,21,23,25,27,29,31,33,35,37,39,41,43,46,49,51,53},{0,10,20,30,40,50,60,62,64,66,68,70,72,74,76,78,80,85,90,95,100})</f>
        <v>78</v>
      </c>
      <c r="K110" s="20"/>
      <c r="L110" s="20"/>
      <c r="M110" s="21">
        <f t="shared" si="63"/>
        <v>78</v>
      </c>
      <c r="N110" s="15">
        <v>9.2</v>
      </c>
      <c r="O110" s="19">
        <f>13-N110</f>
        <v>3.8</v>
      </c>
      <c r="P110" s="1">
        <f>LOOKUP(O110,{0,1.4,1.6,1.8,2,2.2,2.4,2.6,2.8,3,3.2,3.4,3.6,3.8,4,4.2,4.4,4.7,5,5.1,5.2},{0,10,20,30,40,50,60,62,64,66,68,70,72,74,76,78,80,85,90,95,100})</f>
        <v>74</v>
      </c>
      <c r="Q110" s="15">
        <v>4.46</v>
      </c>
      <c r="R110" s="15">
        <f t="shared" si="64"/>
        <v>5.54</v>
      </c>
      <c r="S110" s="1">
        <f>LOOKUP(R110,{0,4.7,4.8,4.9,5,5.5,5.6,5.65,5.7,5.75,5.8,5.85,5.9,5.95,6,6.45,6.5,6.57,6.64,6.7,6.76},{0,10,20,30,40,50,60,62,64,66,68,70,72,74,76,78,80,85,90,95,100})</f>
        <v>50</v>
      </c>
      <c r="T110" s="20"/>
      <c r="U110" s="20"/>
      <c r="V110" s="21">
        <f t="shared" si="65"/>
        <v>50</v>
      </c>
      <c r="W110" s="15"/>
      <c r="X110" s="21">
        <f t="shared" si="58"/>
        <v>50.6</v>
      </c>
      <c r="Y110" s="21">
        <f t="shared" si="66"/>
        <v>72.2857142857143</v>
      </c>
    </row>
    <row r="111" ht="15.6" outlineLevel="1" collapsed="1" spans="1:25">
      <c r="A111" s="16" t="s">
        <v>848</v>
      </c>
      <c r="B111" s="15"/>
      <c r="C111" s="8"/>
      <c r="D111" s="8"/>
      <c r="E111" s="15"/>
      <c r="F111" s="1">
        <f>SUBTOTAL(1,F92:F110)</f>
        <v>78.5714285714286</v>
      </c>
      <c r="G111" s="15"/>
      <c r="H111" s="1">
        <f>SUBTOTAL(1,H92:H110)</f>
        <v>41.5</v>
      </c>
      <c r="I111" s="15"/>
      <c r="J111" s="1">
        <f>SUBTOTAL(1,J92:J110)</f>
        <v>84.6428571428571</v>
      </c>
      <c r="K111" s="20"/>
      <c r="L111" s="20"/>
      <c r="M111" s="21">
        <f>SUBTOTAL(1,M92:M110)</f>
        <v>84.7142857142857</v>
      </c>
      <c r="N111" s="15"/>
      <c r="O111" s="19"/>
      <c r="P111" s="1">
        <f>SUBTOTAL(1,P92:P110)</f>
        <v>79.0666666666667</v>
      </c>
      <c r="Q111" s="15"/>
      <c r="R111" s="15"/>
      <c r="S111" s="1">
        <f>SUBTOTAL(1,S92:S110)</f>
        <v>75.1428571428571</v>
      </c>
      <c r="T111" s="20"/>
      <c r="U111" s="20"/>
      <c r="V111" s="21">
        <f>SUBTOTAL(1,V92:V110)</f>
        <v>75.2142857142857</v>
      </c>
      <c r="W111" s="15"/>
      <c r="X111" s="21">
        <f>SUBTOTAL(1,X92:X110)</f>
        <v>38.6421052631579</v>
      </c>
      <c r="Y111" s="21">
        <f>SUBTOTAL(1,Y92:Y110)</f>
        <v>66.4736842105263</v>
      </c>
    </row>
    <row r="112" ht="15.6" hidden="1" outlineLevel="2" spans="1:25">
      <c r="A112" s="15">
        <v>108</v>
      </c>
      <c r="B112" s="15">
        <v>30</v>
      </c>
      <c r="C112" s="13" t="s">
        <v>384</v>
      </c>
      <c r="D112" s="14" t="s">
        <v>46</v>
      </c>
      <c r="E112" s="15">
        <v>5.5</v>
      </c>
      <c r="F112" s="1">
        <f>LOOKUP(E112,{0,0.4,1.2,2,2.8,3.6,4.4,5.7,7,8.3,9.6,10.9,12.2,13.5,14.8,16.1,17.4,19.1,20.8,22.5,24.2},{0,10,20,30,40,50,60,62,64,66,68,70,72,74,76,78,80,85,90,95,100})</f>
        <v>60</v>
      </c>
      <c r="G112" s="15">
        <v>190</v>
      </c>
      <c r="H112" s="1">
        <f>LOOKUP(G112,{0,123,128,133,138,143,148,151,154,157,160,163,166,169,172,175,178,185,192,198,204},{0,10,20,30,40,50,60,62,64,66,68,70,72,74,76,78,80,85,90,95,100})</f>
        <v>85</v>
      </c>
      <c r="I112" s="15">
        <v>35</v>
      </c>
      <c r="J112" s="1">
        <f>LOOKUP(I112,{0,13,15,17,19,21,23,25,27,29,31,33,35,37,39,41,43,46,49,51,53},{0,10,20,30,40,50,60,62,64,66,68,70,72,74,76,78,80,85,90,95,100})</f>
        <v>72</v>
      </c>
      <c r="K112" s="20"/>
      <c r="L112" s="20"/>
      <c r="M112" s="21">
        <f t="shared" ref="M112:M130" si="67">J112+L112</f>
        <v>72</v>
      </c>
      <c r="N112" s="15">
        <v>8</v>
      </c>
      <c r="O112" s="19">
        <f t="shared" ref="O112:O130" si="68">13-N112</f>
        <v>5</v>
      </c>
      <c r="P112" s="1">
        <f>LOOKUP(O112,{0,1.4,1.6,1.8,2,2.2,2.4,2.6,2.8,3,3.2,3.4,3.6,3.8,4,4.2,4.4,4.7,5,5.1,5.2},{0,10,20,30,40,50,60,62,64,66,68,70,72,74,76,78,80,85,90,95,100})</f>
        <v>90</v>
      </c>
      <c r="Q112" s="15">
        <v>3.42</v>
      </c>
      <c r="R112" s="15">
        <f t="shared" ref="R112:R130" si="69">10-Q112</f>
        <v>6.58</v>
      </c>
      <c r="S112" s="1">
        <f>LOOKUP(R112,{0,4.7,4.8,4.9,5,5.5,5.6,5.65,5.7,5.75,5.8,5.85,5.9,5.95,6,6.45,6.5,6.57,6.64,6.7,6.76},{0,10,20,30,40,50,60,62,64,66,68,70,72,74,76,78,80,85,90,95,100})</f>
        <v>85</v>
      </c>
      <c r="T112" s="20"/>
      <c r="U112" s="20"/>
      <c r="V112" s="21">
        <f t="shared" ref="V112:V130" si="70">S112+U112</f>
        <v>85</v>
      </c>
      <c r="W112" s="15"/>
      <c r="X112" s="21">
        <f t="shared" ref="X112:X130" si="71">F112*0.1+H112*0.1+J112*0.1+P112*0.2+S112*0.2</f>
        <v>56.7</v>
      </c>
      <c r="Y112" s="21">
        <f t="shared" ref="Y112:Y130" si="72">X112/0.7+L112+U112</f>
        <v>81</v>
      </c>
    </row>
    <row r="113" ht="15.6" hidden="1" outlineLevel="2" spans="1:25">
      <c r="A113" s="15">
        <v>108</v>
      </c>
      <c r="B113" s="15">
        <v>31</v>
      </c>
      <c r="C113" s="14" t="s">
        <v>385</v>
      </c>
      <c r="D113" s="14" t="s">
        <v>46</v>
      </c>
      <c r="E113" s="15">
        <v>20.5</v>
      </c>
      <c r="F113" s="1">
        <f>LOOKUP(E113,{0,0.4,1.2,2,2.8,3.6,4.4,5.7,7,8.3,9.6,10.9,12.2,13.5,14.8,16.1,17.4,19.1,20.8,22.5,24.2},{0,10,20,30,40,50,60,62,64,66,68,70,72,74,76,78,80,85,90,95,100})</f>
        <v>85</v>
      </c>
      <c r="G113" s="15">
        <v>180</v>
      </c>
      <c r="H113" s="1">
        <f>LOOKUP(G113,{0,123,128,133,138,143,148,151,154,157,160,163,166,169,172,175,178,185,192,198,204},{0,10,20,30,40,50,60,62,64,66,68,70,72,74,76,78,80,85,90,95,100})</f>
        <v>80</v>
      </c>
      <c r="I113" s="15">
        <v>42</v>
      </c>
      <c r="J113" s="1">
        <f>LOOKUP(I113,{0,13,15,17,19,21,23,25,27,29,31,33,35,37,39,41,43,46,49,51,53},{0,10,20,30,40,50,60,62,64,66,68,70,72,74,76,78,80,85,90,95,100})</f>
        <v>78</v>
      </c>
      <c r="K113" s="20"/>
      <c r="L113" s="20"/>
      <c r="M113" s="21">
        <f t="shared" si="67"/>
        <v>78</v>
      </c>
      <c r="N113" s="15">
        <v>8.3</v>
      </c>
      <c r="O113" s="19">
        <f t="shared" si="68"/>
        <v>4.7</v>
      </c>
      <c r="P113" s="1">
        <f>LOOKUP(O113,{0,1.4,1.6,1.8,2,2.2,2.4,2.6,2.8,3,3.2,3.4,3.6,3.8,4,4.2,4.4,4.7,5,5.1,5.2},{0,10,20,30,40,50,60,62,64,66,68,70,72,74,76,78,80,85,90,95,100})</f>
        <v>85</v>
      </c>
      <c r="Q113" s="15">
        <v>3.37</v>
      </c>
      <c r="R113" s="15">
        <f t="shared" si="69"/>
        <v>6.63</v>
      </c>
      <c r="S113" s="1">
        <f>LOOKUP(R113,{0,4.7,4.8,4.9,5,5.5,5.6,5.65,5.7,5.75,5.8,5.85,5.9,5.95,6,6.45,6.5,6.57,6.64,6.7,6.76},{0,10,20,30,40,50,60,62,64,66,68,70,72,74,76,78,80,85,90,95,100})</f>
        <v>85</v>
      </c>
      <c r="T113" s="20"/>
      <c r="U113" s="20"/>
      <c r="V113" s="21">
        <f t="shared" si="70"/>
        <v>85</v>
      </c>
      <c r="W113" s="15"/>
      <c r="X113" s="21">
        <f t="shared" si="71"/>
        <v>58.3</v>
      </c>
      <c r="Y113" s="21">
        <f t="shared" si="72"/>
        <v>83.2857142857143</v>
      </c>
    </row>
    <row r="114" ht="15.6" hidden="1" outlineLevel="2" spans="1:25">
      <c r="A114" s="15">
        <v>108</v>
      </c>
      <c r="B114" s="15">
        <v>32</v>
      </c>
      <c r="C114" s="14" t="s">
        <v>386</v>
      </c>
      <c r="D114" s="14" t="s">
        <v>46</v>
      </c>
      <c r="E114" s="15">
        <v>7</v>
      </c>
      <c r="F114" s="1">
        <f>LOOKUP(E114,{0,0.4,1.2,2,2.8,3.6,4.4,5.7,7,8.3,9.6,10.9,12.2,13.5,14.8,16.1,17.4,19.1,20.8,22.5,24.2},{0,10,20,30,40,50,60,62,64,66,68,70,72,74,76,78,80,85,90,95,100})</f>
        <v>64</v>
      </c>
      <c r="G114" s="15">
        <v>190</v>
      </c>
      <c r="H114" s="1">
        <f>LOOKUP(G114,{0,123,128,133,138,143,148,151,154,157,160,163,166,169,172,175,178,185,192,198,204},{0,10,20,30,40,50,60,62,64,66,68,70,72,74,76,78,80,85,90,95,100})</f>
        <v>85</v>
      </c>
      <c r="I114" s="15">
        <v>46</v>
      </c>
      <c r="J114" s="1">
        <f>LOOKUP(I114,{0,13,15,17,19,21,23,25,27,29,31,33,35,37,39,41,43,46,49,51,53},{0,10,20,30,40,50,60,62,64,66,68,70,72,74,76,78,80,85,90,95,100})</f>
        <v>85</v>
      </c>
      <c r="K114" s="20"/>
      <c r="L114" s="20"/>
      <c r="M114" s="21">
        <f t="shared" si="67"/>
        <v>85</v>
      </c>
      <c r="N114" s="15">
        <v>8.8</v>
      </c>
      <c r="O114" s="19">
        <f t="shared" si="68"/>
        <v>4.2</v>
      </c>
      <c r="P114" s="1">
        <f>LOOKUP(O114,{0,1.4,1.6,1.8,2,2.2,2.4,2.6,2.8,3,3.2,3.4,3.6,3.8,4,4.2,4.4,4.7,5,5.1,5.2},{0,10,20,30,40,50,60,62,64,66,68,70,72,74,76,78,80,85,90,95,100})</f>
        <v>78</v>
      </c>
      <c r="Q114" s="15">
        <v>4.02</v>
      </c>
      <c r="R114" s="15">
        <f t="shared" si="69"/>
        <v>5.98</v>
      </c>
      <c r="S114" s="1">
        <f>LOOKUP(R114,{0,4.7,4.8,4.9,5,5.5,5.6,5.65,5.7,5.75,5.8,5.85,5.9,5.95,6,6.45,6.5,6.57,6.64,6.7,6.76},{0,10,20,30,40,50,60,62,64,66,68,70,72,74,76,78,80,85,90,95,100})</f>
        <v>74</v>
      </c>
      <c r="T114" s="20"/>
      <c r="U114" s="20"/>
      <c r="V114" s="21">
        <f t="shared" si="70"/>
        <v>74</v>
      </c>
      <c r="W114" s="15"/>
      <c r="X114" s="21">
        <f t="shared" si="71"/>
        <v>53.8</v>
      </c>
      <c r="Y114" s="21">
        <f t="shared" si="72"/>
        <v>76.8571428571429</v>
      </c>
    </row>
    <row r="115" ht="15.6" hidden="1" outlineLevel="2" spans="1:25">
      <c r="A115" s="15">
        <v>108</v>
      </c>
      <c r="B115" s="15">
        <v>33</v>
      </c>
      <c r="C115" s="14" t="s">
        <v>387</v>
      </c>
      <c r="D115" s="14" t="s">
        <v>46</v>
      </c>
      <c r="E115" s="15">
        <v>9</v>
      </c>
      <c r="F115" s="1">
        <f>LOOKUP(E115,{0,0.4,1.2,2,2.8,3.6,4.4,5.7,7,8.3,9.6,10.9,12.2,13.5,14.8,16.1,17.4,19.1,20.8,22.5,24.2},{0,10,20,30,40,50,60,62,64,66,68,70,72,74,76,78,80,85,90,95,100})</f>
        <v>66</v>
      </c>
      <c r="G115" s="15">
        <v>180</v>
      </c>
      <c r="H115" s="1">
        <f>LOOKUP(G115,{0,123,128,133,138,143,148,151,154,157,160,163,166,169,172,175,178,185,192,198,204},{0,10,20,30,40,50,60,62,64,66,68,70,72,74,76,78,80,85,90,95,100})</f>
        <v>80</v>
      </c>
      <c r="I115" s="15">
        <v>51</v>
      </c>
      <c r="J115" s="1">
        <f>LOOKUP(I115,{0,13,15,17,19,21,23,25,27,29,31,33,35,37,39,41,43,46,49,51,53},{0,10,20,30,40,50,60,62,64,66,68,70,72,74,76,78,80,85,90,95,100})</f>
        <v>95</v>
      </c>
      <c r="K115" s="20"/>
      <c r="L115" s="20"/>
      <c r="M115" s="21">
        <f t="shared" si="67"/>
        <v>95</v>
      </c>
      <c r="N115" s="15">
        <v>8.8</v>
      </c>
      <c r="O115" s="19">
        <f t="shared" si="68"/>
        <v>4.2</v>
      </c>
      <c r="P115" s="1">
        <f>LOOKUP(O115,{0,1.4,1.6,1.8,2,2.2,2.4,2.6,2.8,3,3.2,3.4,3.6,3.8,4,4.2,4.4,4.7,5,5.1,5.2},{0,10,20,30,40,50,60,62,64,66,68,70,72,74,76,78,80,85,90,95,100})</f>
        <v>78</v>
      </c>
      <c r="Q115" s="15">
        <v>3.42</v>
      </c>
      <c r="R115" s="15">
        <f t="shared" si="69"/>
        <v>6.58</v>
      </c>
      <c r="S115" s="1">
        <f>LOOKUP(R115,{0,4.7,4.8,4.9,5,5.5,5.6,5.65,5.7,5.75,5.8,5.85,5.9,5.95,6,6.45,6.5,6.57,6.64,6.7,6.76},{0,10,20,30,40,50,60,62,64,66,68,70,72,74,76,78,80,85,90,95,100})</f>
        <v>85</v>
      </c>
      <c r="T115" s="20"/>
      <c r="U115" s="20"/>
      <c r="V115" s="21">
        <f t="shared" si="70"/>
        <v>85</v>
      </c>
      <c r="W115" s="15"/>
      <c r="X115" s="21">
        <f t="shared" si="71"/>
        <v>56.7</v>
      </c>
      <c r="Y115" s="21">
        <f t="shared" si="72"/>
        <v>81</v>
      </c>
    </row>
    <row r="116" ht="15.6" hidden="1" outlineLevel="2" spans="1:25">
      <c r="A116" s="15">
        <v>108</v>
      </c>
      <c r="B116" s="15">
        <v>34</v>
      </c>
      <c r="C116" s="14" t="s">
        <v>388</v>
      </c>
      <c r="D116" s="14" t="s">
        <v>46</v>
      </c>
      <c r="E116" s="15">
        <v>2</v>
      </c>
      <c r="F116" s="1">
        <f>LOOKUP(E116,{0,0.4,1.2,2,2.8,3.6,4.4,5.7,7,8.3,9.6,10.9,12.2,13.5,14.8,16.1,17.4,19.1,20.8,22.5,24.2},{0,10,20,30,40,50,60,62,64,66,68,70,72,74,76,78,80,85,90,95,100})</f>
        <v>30</v>
      </c>
      <c r="G116" s="15">
        <v>162</v>
      </c>
      <c r="H116" s="1">
        <f>LOOKUP(G116,{0,123,128,133,138,143,148,151,154,157,160,163,166,169,172,175,178,185,192,198,204},{0,10,20,30,40,50,60,62,64,66,68,70,72,74,76,78,80,85,90,95,100})</f>
        <v>68</v>
      </c>
      <c r="I116" s="15">
        <v>40</v>
      </c>
      <c r="J116" s="1">
        <f>LOOKUP(I116,{0,13,15,17,19,21,23,25,27,29,31,33,35,37,39,41,43,46,49,51,53},{0,10,20,30,40,50,60,62,64,66,68,70,72,74,76,78,80,85,90,95,100})</f>
        <v>76</v>
      </c>
      <c r="K116" s="20"/>
      <c r="L116" s="20"/>
      <c r="M116" s="21">
        <f t="shared" si="67"/>
        <v>76</v>
      </c>
      <c r="N116" s="15">
        <v>8.8</v>
      </c>
      <c r="O116" s="19">
        <f t="shared" si="68"/>
        <v>4.2</v>
      </c>
      <c r="P116" s="1">
        <f>LOOKUP(O116,{0,1.4,1.6,1.8,2,2.2,2.4,2.6,2.8,3,3.2,3.4,3.6,3.8,4,4.2,4.4,4.7,5,5.1,5.2},{0,10,20,30,40,50,60,62,64,66,68,70,72,74,76,78,80,85,90,95,100})</f>
        <v>78</v>
      </c>
      <c r="Q116" s="15">
        <v>3.44</v>
      </c>
      <c r="R116" s="15">
        <f t="shared" si="69"/>
        <v>6.56</v>
      </c>
      <c r="S116" s="1">
        <f>LOOKUP(R116,{0,4.7,4.8,4.9,5,5.5,5.6,5.65,5.7,5.75,5.8,5.85,5.9,5.95,6,6.45,6.5,6.57,6.64,6.7,6.76},{0,10,20,30,40,50,60,62,64,66,68,70,72,74,76,78,80,85,90,95,100})</f>
        <v>80</v>
      </c>
      <c r="T116" s="20"/>
      <c r="U116" s="20"/>
      <c r="V116" s="21">
        <f t="shared" si="70"/>
        <v>80</v>
      </c>
      <c r="W116" s="15"/>
      <c r="X116" s="21">
        <f t="shared" si="71"/>
        <v>49</v>
      </c>
      <c r="Y116" s="21">
        <f t="shared" si="72"/>
        <v>70</v>
      </c>
    </row>
    <row r="117" ht="15.6" hidden="1" outlineLevel="2" spans="1:25">
      <c r="A117" s="15">
        <v>108</v>
      </c>
      <c r="B117" s="15">
        <v>35</v>
      </c>
      <c r="C117" s="14" t="s">
        <v>389</v>
      </c>
      <c r="D117" s="14" t="s">
        <v>46</v>
      </c>
      <c r="E117" s="15">
        <v>23</v>
      </c>
      <c r="F117" s="1">
        <f>LOOKUP(E117,{0,0.4,1.2,2,2.8,3.6,4.4,5.7,7,8.3,9.6,10.9,12.2,13.5,14.8,16.1,17.4,19.1,20.8,22.5,24.2},{0,10,20,30,40,50,60,62,64,66,68,70,72,74,76,78,80,85,90,95,100})</f>
        <v>95</v>
      </c>
      <c r="G117" s="15">
        <v>173</v>
      </c>
      <c r="H117" s="1">
        <f>LOOKUP(G117,{0,123,128,133,138,143,148,151,154,157,160,163,166,169,172,175,178,185,192,198,204},{0,10,20,30,40,50,60,62,64,66,68,70,72,74,76,78,80,85,90,95,100})</f>
        <v>76</v>
      </c>
      <c r="I117" s="15">
        <v>40</v>
      </c>
      <c r="J117" s="1">
        <f>LOOKUP(I117,{0,13,15,17,19,21,23,25,27,29,31,33,35,37,39,41,43,46,49,51,53},{0,10,20,30,40,50,60,62,64,66,68,70,72,74,76,78,80,85,90,95,100})</f>
        <v>76</v>
      </c>
      <c r="K117" s="20"/>
      <c r="L117" s="20"/>
      <c r="M117" s="21">
        <f t="shared" si="67"/>
        <v>76</v>
      </c>
      <c r="N117" s="15">
        <v>5.6</v>
      </c>
      <c r="O117" s="19">
        <f t="shared" si="68"/>
        <v>7.4</v>
      </c>
      <c r="P117" s="1">
        <f>LOOKUP(O117,{0,1.4,1.6,1.8,2,2.2,2.4,2.6,2.8,3,3.2,3.4,3.6,3.8,4,4.2,4.4,4.7,5,5.1,5.2},{0,10,20,30,40,50,60,62,64,66,68,70,72,74,76,78,80,85,90,95,100})</f>
        <v>100</v>
      </c>
      <c r="Q117" s="15">
        <v>4.28</v>
      </c>
      <c r="R117" s="15">
        <f t="shared" si="69"/>
        <v>5.72</v>
      </c>
      <c r="S117" s="1">
        <f>LOOKUP(R117,{0,4.7,4.8,4.9,5,5.5,5.6,5.65,5.7,5.75,5.8,5.85,5.9,5.95,6,6.45,6.5,6.57,6.64,6.7,6.76},{0,10,20,30,40,50,60,62,64,66,68,70,72,74,76,78,80,85,90,95,100})</f>
        <v>64</v>
      </c>
      <c r="T117" s="20"/>
      <c r="U117" s="20"/>
      <c r="V117" s="21">
        <f t="shared" si="70"/>
        <v>64</v>
      </c>
      <c r="W117" s="15"/>
      <c r="X117" s="21">
        <f t="shared" si="71"/>
        <v>57.5</v>
      </c>
      <c r="Y117" s="21">
        <f t="shared" si="72"/>
        <v>82.1428571428572</v>
      </c>
    </row>
    <row r="118" ht="15.6" hidden="1" outlineLevel="2" spans="1:25">
      <c r="A118" s="15">
        <v>108</v>
      </c>
      <c r="B118" s="15">
        <v>36</v>
      </c>
      <c r="C118" s="14" t="s">
        <v>390</v>
      </c>
      <c r="D118" s="14" t="s">
        <v>46</v>
      </c>
      <c r="E118" s="15">
        <v>8.5</v>
      </c>
      <c r="F118" s="1">
        <f>LOOKUP(E118,{0,0.4,1.2,2,2.8,3.6,4.4,5.7,7,8.3,9.6,10.9,12.2,13.5,14.8,16.1,17.4,19.1,20.8,22.5,24.2},{0,10,20,30,40,50,60,62,64,66,68,70,72,74,76,78,80,85,90,95,100})</f>
        <v>66</v>
      </c>
      <c r="G118" s="15">
        <v>200</v>
      </c>
      <c r="H118" s="1">
        <f>LOOKUP(G118,{0,123,128,133,138,143,148,151,154,157,160,163,166,169,172,175,178,185,192,198,204},{0,10,20,30,40,50,60,62,64,66,68,70,72,74,76,78,80,85,90,95,100})</f>
        <v>95</v>
      </c>
      <c r="I118" s="15">
        <v>52</v>
      </c>
      <c r="J118" s="1">
        <f>LOOKUP(I118,{0,13,15,17,19,21,23,25,27,29,31,33,35,37,39,41,43,46,49,51,53},{0,10,20,30,40,50,60,62,64,66,68,70,72,74,76,78,80,85,90,95,100})</f>
        <v>95</v>
      </c>
      <c r="K118" s="20"/>
      <c r="L118" s="20"/>
      <c r="M118" s="21">
        <f t="shared" si="67"/>
        <v>95</v>
      </c>
      <c r="N118" s="15">
        <v>8.3</v>
      </c>
      <c r="O118" s="19">
        <f t="shared" si="68"/>
        <v>4.7</v>
      </c>
      <c r="P118" s="1">
        <f>LOOKUP(O118,{0,1.4,1.6,1.8,2,2.2,2.4,2.6,2.8,3,3.2,3.4,3.6,3.8,4,4.2,4.4,4.7,5,5.1,5.2},{0,10,20,30,40,50,60,62,64,66,68,70,72,74,76,78,80,85,90,95,100})</f>
        <v>85</v>
      </c>
      <c r="Q118" s="15">
        <v>3.22</v>
      </c>
      <c r="R118" s="15">
        <f t="shared" si="69"/>
        <v>6.78</v>
      </c>
      <c r="S118" s="1">
        <f>LOOKUP(R118,{0,4.7,4.8,4.9,5,5.5,5.6,5.65,5.7,5.75,5.8,5.85,5.9,5.95,6,6.45,6.5,6.57,6.64,6.7,6.76},{0,10,20,30,40,50,60,62,64,66,68,70,72,74,76,78,80,85,90,95,100})</f>
        <v>100</v>
      </c>
      <c r="T118" s="24">
        <f>3.24-Q118</f>
        <v>0.02</v>
      </c>
      <c r="U118" s="1">
        <f>LOOKUP(T118,{0,0.05,0.1,0.15,0.2,0.25,0.3,0.35,0.4,0.45,0.5},{0,1,2,3,4,5,6,7,8,9,10})</f>
        <v>0</v>
      </c>
      <c r="V118" s="21">
        <f t="shared" si="70"/>
        <v>100</v>
      </c>
      <c r="W118" s="15"/>
      <c r="X118" s="21">
        <f t="shared" si="71"/>
        <v>62.6</v>
      </c>
      <c r="Y118" s="21">
        <f t="shared" si="72"/>
        <v>89.4285714285714</v>
      </c>
    </row>
    <row r="119" ht="15.6" hidden="1" outlineLevel="2" spans="1:25">
      <c r="A119" s="15">
        <v>108</v>
      </c>
      <c r="B119" s="15">
        <v>37</v>
      </c>
      <c r="C119" s="14" t="s">
        <v>391</v>
      </c>
      <c r="D119" s="14" t="s">
        <v>46</v>
      </c>
      <c r="E119" s="15">
        <v>12</v>
      </c>
      <c r="F119" s="1">
        <f>LOOKUP(E119,{0,0.4,1.2,2,2.8,3.6,4.4,5.7,7,8.3,9.6,10.9,12.2,13.5,14.8,16.1,17.4,19.1,20.8,22.5,24.2},{0,10,20,30,40,50,60,62,64,66,68,70,72,74,76,78,80,85,90,95,100})</f>
        <v>70</v>
      </c>
      <c r="G119" s="15">
        <v>155</v>
      </c>
      <c r="H119" s="1">
        <f>LOOKUP(G119,{0,123,128,133,138,143,148,151,154,157,160,163,166,169,172,175,178,185,192,198,204},{0,10,20,30,40,50,60,62,64,66,68,70,72,74,76,78,80,85,90,95,100})</f>
        <v>64</v>
      </c>
      <c r="I119" s="15">
        <v>45</v>
      </c>
      <c r="J119" s="1">
        <f>LOOKUP(I119,{0,13,15,17,19,21,23,25,27,29,31,33,35,37,39,41,43,46,49,51,53},{0,10,20,30,40,50,60,62,64,66,68,70,72,74,76,78,80,85,90,95,100})</f>
        <v>80</v>
      </c>
      <c r="K119" s="20"/>
      <c r="L119" s="20"/>
      <c r="M119" s="21">
        <f t="shared" si="67"/>
        <v>80</v>
      </c>
      <c r="N119" s="15">
        <v>9.1</v>
      </c>
      <c r="O119" s="19">
        <f t="shared" si="68"/>
        <v>3.9</v>
      </c>
      <c r="P119" s="1">
        <f>LOOKUP(O119,{0,1.4,1.6,1.8,2,2.2,2.4,2.6,2.8,3,3.2,3.4,3.6,3.8,4,4.2,4.4,4.7,5,5.1,5.2},{0,10,20,30,40,50,60,62,64,66,68,70,72,74,76,78,80,85,90,95,100})</f>
        <v>74</v>
      </c>
      <c r="Q119" s="15">
        <v>3.34</v>
      </c>
      <c r="R119" s="15">
        <f t="shared" si="69"/>
        <v>6.66</v>
      </c>
      <c r="S119" s="1">
        <f>LOOKUP(R119,{0,4.7,4.8,4.9,5,5.5,5.6,5.65,5.7,5.75,5.8,5.85,5.9,5.95,6,6.45,6.5,6.57,6.64,6.7,6.76},{0,10,20,30,40,50,60,62,64,66,68,70,72,74,76,78,80,85,90,95,100})</f>
        <v>90</v>
      </c>
      <c r="T119" s="20"/>
      <c r="U119" s="20"/>
      <c r="V119" s="21">
        <f t="shared" si="70"/>
        <v>90</v>
      </c>
      <c r="W119" s="15"/>
      <c r="X119" s="21">
        <f t="shared" si="71"/>
        <v>54.2</v>
      </c>
      <c r="Y119" s="21">
        <f t="shared" si="72"/>
        <v>77.4285714285714</v>
      </c>
    </row>
    <row r="120" s="3" customFormat="1" ht="15.6" hidden="1" outlineLevel="2" spans="1:25">
      <c r="A120" s="15">
        <v>108</v>
      </c>
      <c r="B120" s="15">
        <v>38</v>
      </c>
      <c r="C120" s="14" t="s">
        <v>392</v>
      </c>
      <c r="D120" s="14" t="s">
        <v>46</v>
      </c>
      <c r="E120" s="15">
        <v>10</v>
      </c>
      <c r="F120" s="1">
        <f>LOOKUP(E120,{0,0.4,1.2,2,2.8,3.6,4.4,5.7,7,8.3,9.6,10.9,12.2,13.5,14.8,16.1,17.4,19.1,20.8,22.5,24.2},{0,10,20,30,40,50,60,62,64,66,68,70,72,74,76,78,80,85,90,95,100})</f>
        <v>68</v>
      </c>
      <c r="G120" s="15">
        <v>170</v>
      </c>
      <c r="H120" s="1">
        <f>LOOKUP(G120,{0,123,128,133,138,143,148,151,154,157,160,163,166,169,172,175,178,185,192,198,204},{0,10,20,30,40,50,60,62,64,66,68,70,72,74,76,78,80,85,90,95,100})</f>
        <v>74</v>
      </c>
      <c r="I120" s="15">
        <v>51</v>
      </c>
      <c r="J120" s="1">
        <f>LOOKUP(I120,{0,13,15,17,19,21,23,25,27,29,31,33,35,37,39,41,43,46,49,51,53},{0,10,20,30,40,50,60,62,64,66,68,70,72,74,76,78,80,85,90,95,100})</f>
        <v>95</v>
      </c>
      <c r="K120" s="20"/>
      <c r="L120" s="20"/>
      <c r="M120" s="21">
        <f t="shared" si="67"/>
        <v>95</v>
      </c>
      <c r="N120" s="15">
        <v>8.7</v>
      </c>
      <c r="O120" s="19">
        <f t="shared" si="68"/>
        <v>4.3</v>
      </c>
      <c r="P120" s="1">
        <f>LOOKUP(O120,{0,1.4,1.6,1.8,2,2.2,2.4,2.6,2.8,3,3.2,3.4,3.6,3.8,4,4.2,4.4,4.7,5,5.1,5.2},{0,10,20,30,40,50,60,62,64,66,68,70,72,74,76,78,80,85,90,95,100})</f>
        <v>78</v>
      </c>
      <c r="Q120" s="15">
        <v>3.47</v>
      </c>
      <c r="R120" s="15">
        <f t="shared" si="69"/>
        <v>6.53</v>
      </c>
      <c r="S120" s="1">
        <f>LOOKUP(R120,{0,4.7,4.8,4.9,5,5.5,5.6,5.65,5.7,5.75,5.8,5.85,5.9,5.95,6,6.45,6.5,6.57,6.64,6.7,6.76},{0,10,20,30,40,50,60,62,64,66,68,70,72,74,76,78,80,85,90,95,100})</f>
        <v>80</v>
      </c>
      <c r="T120" s="20"/>
      <c r="U120" s="20"/>
      <c r="V120" s="21">
        <f t="shared" si="70"/>
        <v>80</v>
      </c>
      <c r="W120" s="15"/>
      <c r="X120" s="21">
        <f t="shared" si="71"/>
        <v>55.3</v>
      </c>
      <c r="Y120" s="21">
        <f t="shared" si="72"/>
        <v>79</v>
      </c>
    </row>
    <row r="121" ht="15.6" hidden="1" outlineLevel="2" spans="1:25">
      <c r="A121" s="15">
        <v>108</v>
      </c>
      <c r="B121" s="15">
        <v>39</v>
      </c>
      <c r="C121" s="14" t="s">
        <v>393</v>
      </c>
      <c r="D121" s="14" t="s">
        <v>46</v>
      </c>
      <c r="E121" s="15">
        <v>14</v>
      </c>
      <c r="F121" s="1">
        <f>LOOKUP(E121,{0,0.4,1.2,2,2.8,3.6,4.4,5.7,7,8.3,9.6,10.9,12.2,13.5,14.8,16.1,17.4,19.1,20.8,22.5,24.2},{0,10,20,30,40,50,60,62,64,66,68,70,72,74,76,78,80,85,90,95,100})</f>
        <v>74</v>
      </c>
      <c r="G121" s="15">
        <v>130</v>
      </c>
      <c r="H121" s="1">
        <f>LOOKUP(G121,{0,123,128,133,138,143,148,151,154,157,160,163,166,169,172,175,178,185,192,198,204},{0,10,20,30,40,50,60,62,64,66,68,70,72,74,76,78,80,85,90,95,100})</f>
        <v>20</v>
      </c>
      <c r="I121" s="15">
        <v>38</v>
      </c>
      <c r="J121" s="1">
        <f>LOOKUP(I121,{0,13,15,17,19,21,23,25,27,29,31,33,35,37,39,41,43,46,49,51,53},{0,10,20,30,40,50,60,62,64,66,68,70,72,74,76,78,80,85,90,95,100})</f>
        <v>74</v>
      </c>
      <c r="K121" s="20"/>
      <c r="L121" s="20"/>
      <c r="M121" s="21">
        <f t="shared" si="67"/>
        <v>74</v>
      </c>
      <c r="N121" s="15">
        <v>10.3</v>
      </c>
      <c r="O121" s="19">
        <f t="shared" si="68"/>
        <v>2.7</v>
      </c>
      <c r="P121" s="1">
        <f>LOOKUP(O121,{0,1.4,1.6,1.8,2,2.2,2.4,2.6,2.8,3,3.2,3.4,3.6,3.8,4,4.2,4.4,4.7,5,5.1,5.2},{0,10,20,30,40,50,60,62,64,66,68,70,72,74,76,78,80,85,90,95,100})</f>
        <v>62</v>
      </c>
      <c r="Q121" s="15">
        <v>4.35</v>
      </c>
      <c r="R121" s="15">
        <f t="shared" si="69"/>
        <v>5.65</v>
      </c>
      <c r="S121" s="1">
        <f>LOOKUP(R121,{0,4.7,4.8,4.9,5,5.5,5.6,5.65,5.7,5.75,5.8,5.85,5.9,5.95,6,6.45,6.5,6.57,6.64,6.7,6.76},{0,10,20,30,40,50,60,62,64,66,68,70,72,74,76,78,80,85,90,95,100})</f>
        <v>62</v>
      </c>
      <c r="T121" s="20"/>
      <c r="U121" s="20"/>
      <c r="V121" s="21">
        <f t="shared" si="70"/>
        <v>62</v>
      </c>
      <c r="W121" s="15"/>
      <c r="X121" s="21">
        <f t="shared" si="71"/>
        <v>41.6</v>
      </c>
      <c r="Y121" s="21">
        <f t="shared" si="72"/>
        <v>59.4285714285714</v>
      </c>
    </row>
    <row r="122" ht="15.6" hidden="1" outlineLevel="2" spans="1:25">
      <c r="A122" s="15">
        <v>108</v>
      </c>
      <c r="B122" s="15">
        <v>40</v>
      </c>
      <c r="C122" s="13" t="s">
        <v>395</v>
      </c>
      <c r="D122" s="14" t="s">
        <v>46</v>
      </c>
      <c r="E122" s="15">
        <v>13</v>
      </c>
      <c r="F122" s="1">
        <f>LOOKUP(E122,{0,0.4,1.2,2,2.8,3.6,4.4,5.7,7,8.3,9.6,10.9,12.2,13.5,14.8,16.1,17.4,19.1,20.8,22.5,24.2},{0,10,20,30,40,50,60,62,64,66,68,70,72,74,76,78,80,85,90,95,100})</f>
        <v>72</v>
      </c>
      <c r="G122" s="15">
        <v>180</v>
      </c>
      <c r="H122" s="1">
        <f>LOOKUP(G122,{0,123,128,133,138,143,148,151,154,157,160,163,166,169,172,175,178,185,192,198,204},{0,10,20,30,40,50,60,62,64,66,68,70,72,74,76,78,80,85,90,95,100})</f>
        <v>80</v>
      </c>
      <c r="I122" s="15">
        <v>44</v>
      </c>
      <c r="J122" s="1">
        <f>LOOKUP(I122,{0,13,15,17,19,21,23,25,27,29,31,33,35,37,39,41,43,46,49,51,53},{0,10,20,30,40,50,60,62,64,66,68,70,72,74,76,78,80,85,90,95,100})</f>
        <v>80</v>
      </c>
      <c r="K122" s="20"/>
      <c r="L122" s="20"/>
      <c r="M122" s="21">
        <f t="shared" si="67"/>
        <v>80</v>
      </c>
      <c r="N122" s="15">
        <v>9</v>
      </c>
      <c r="O122" s="19">
        <f t="shared" si="68"/>
        <v>4</v>
      </c>
      <c r="P122" s="1">
        <f>LOOKUP(O122,{0,1.4,1.6,1.8,2,2.2,2.4,2.6,2.8,3,3.2,3.4,3.6,3.8,4,4.2,4.4,4.7,5,5.1,5.2},{0,10,20,30,40,50,60,62,64,66,68,70,72,74,76,78,80,85,90,95,100})</f>
        <v>76</v>
      </c>
      <c r="Q122" s="15">
        <v>3.29</v>
      </c>
      <c r="R122" s="15">
        <f t="shared" si="69"/>
        <v>6.71</v>
      </c>
      <c r="S122" s="1">
        <f>LOOKUP(R122,{0,4.7,4.8,4.9,5,5.5,5.6,5.65,5.7,5.75,5.8,5.85,5.9,5.95,6,6.45,6.5,6.57,6.64,6.7,6.76},{0,10,20,30,40,50,60,62,64,66,68,70,72,74,76,78,80,85,90,95,100})</f>
        <v>95</v>
      </c>
      <c r="T122" s="20"/>
      <c r="U122" s="20"/>
      <c r="V122" s="21">
        <f t="shared" si="70"/>
        <v>95</v>
      </c>
      <c r="W122" s="15"/>
      <c r="X122" s="21">
        <f t="shared" si="71"/>
        <v>57.4</v>
      </c>
      <c r="Y122" s="21">
        <f t="shared" si="72"/>
        <v>82</v>
      </c>
    </row>
    <row r="123" ht="15.6" hidden="1" outlineLevel="2" spans="1:25">
      <c r="A123" s="15">
        <v>108</v>
      </c>
      <c r="B123" s="15">
        <v>41</v>
      </c>
      <c r="C123" s="14" t="s">
        <v>396</v>
      </c>
      <c r="D123" s="14" t="s">
        <v>46</v>
      </c>
      <c r="E123" s="15">
        <v>17.5</v>
      </c>
      <c r="F123" s="1">
        <f>LOOKUP(E123,{0,0.4,1.2,2,2.8,3.6,4.4,5.7,7,8.3,9.6,10.9,12.2,13.5,14.8,16.1,17.4,19.1,20.8,22.5,24.2},{0,10,20,30,40,50,60,62,64,66,68,70,72,74,76,78,80,85,90,95,100})</f>
        <v>80</v>
      </c>
      <c r="G123" s="15">
        <v>178</v>
      </c>
      <c r="H123" s="1">
        <f>LOOKUP(G123,{0,123,128,133,138,143,148,151,154,157,160,163,166,169,172,175,178,185,192,198,204},{0,10,20,30,40,50,60,62,64,66,68,70,72,74,76,78,80,85,90,95,100})</f>
        <v>80</v>
      </c>
      <c r="I123" s="15">
        <v>41</v>
      </c>
      <c r="J123" s="1">
        <f>LOOKUP(I123,{0,13,15,17,19,21,23,25,27,29,31,33,35,37,39,41,43,46,49,51,53},{0,10,20,30,40,50,60,62,64,66,68,70,72,74,76,78,80,85,90,95,100})</f>
        <v>78</v>
      </c>
      <c r="K123" s="20"/>
      <c r="L123" s="20"/>
      <c r="M123" s="21">
        <f t="shared" si="67"/>
        <v>78</v>
      </c>
      <c r="N123" s="15">
        <v>8.4</v>
      </c>
      <c r="O123" s="19">
        <f t="shared" si="68"/>
        <v>4.6</v>
      </c>
      <c r="P123" s="1">
        <f>LOOKUP(O123,{0,1.4,1.6,1.8,2,2.2,2.4,2.6,2.8,3,3.2,3.4,3.6,3.8,4,4.2,4.4,4.7,5,5.1,5.2},{0,10,20,30,40,50,60,62,64,66,68,70,72,74,76,78,80,85,90,95,100})</f>
        <v>80</v>
      </c>
      <c r="Q123" s="15">
        <v>3.34</v>
      </c>
      <c r="R123" s="15">
        <f t="shared" si="69"/>
        <v>6.66</v>
      </c>
      <c r="S123" s="1">
        <f>LOOKUP(R123,{0,4.7,4.8,4.9,5,5.5,5.6,5.65,5.7,5.75,5.8,5.85,5.9,5.95,6,6.45,6.5,6.57,6.64,6.7,6.76},{0,10,20,30,40,50,60,62,64,66,68,70,72,74,76,78,80,85,90,95,100})</f>
        <v>90</v>
      </c>
      <c r="T123" s="20"/>
      <c r="U123" s="20"/>
      <c r="V123" s="21">
        <f t="shared" si="70"/>
        <v>90</v>
      </c>
      <c r="W123" s="15"/>
      <c r="X123" s="21">
        <f t="shared" si="71"/>
        <v>57.8</v>
      </c>
      <c r="Y123" s="21">
        <f t="shared" si="72"/>
        <v>82.5714285714286</v>
      </c>
    </row>
    <row r="124" ht="15.6" hidden="1" outlineLevel="2" spans="1:25">
      <c r="A124" s="15">
        <v>108</v>
      </c>
      <c r="B124" s="15">
        <v>42</v>
      </c>
      <c r="C124" s="14" t="s">
        <v>397</v>
      </c>
      <c r="D124" s="14" t="s">
        <v>46</v>
      </c>
      <c r="E124" s="15">
        <v>24</v>
      </c>
      <c r="F124" s="1">
        <f>LOOKUP(E124,{0,0.4,1.2,2,2.8,3.6,4.4,5.7,7,8.3,9.6,10.9,12.2,13.5,14.8,16.1,17.4,19.1,20.8,22.5,24.2},{0,10,20,30,40,50,60,62,64,66,68,70,72,74,76,78,80,85,90,95,100})</f>
        <v>95</v>
      </c>
      <c r="G124" s="15">
        <v>165</v>
      </c>
      <c r="H124" s="1">
        <f>LOOKUP(G124,{0,123,128,133,138,143,148,151,154,157,160,163,166,169,172,175,178,185,192,198,204},{0,10,20,30,40,50,60,62,64,66,68,70,72,74,76,78,80,85,90,95,100})</f>
        <v>70</v>
      </c>
      <c r="I124" s="15">
        <v>48</v>
      </c>
      <c r="J124" s="1">
        <f>LOOKUP(I124,{0,13,15,17,19,21,23,25,27,29,31,33,35,37,39,41,43,46,49,51,53},{0,10,20,30,40,50,60,62,64,66,68,70,72,74,76,78,80,85,90,95,100})</f>
        <v>85</v>
      </c>
      <c r="K124" s="20"/>
      <c r="L124" s="20"/>
      <c r="M124" s="21">
        <f t="shared" si="67"/>
        <v>85</v>
      </c>
      <c r="N124" s="15">
        <v>8.8</v>
      </c>
      <c r="O124" s="19">
        <f t="shared" si="68"/>
        <v>4.2</v>
      </c>
      <c r="P124" s="1">
        <f>LOOKUP(O124,{0,1.4,1.6,1.8,2,2.2,2.4,2.6,2.8,3,3.2,3.4,3.6,3.8,4,4.2,4.4,4.7,5,5.1,5.2},{0,10,20,30,40,50,60,62,64,66,68,70,72,74,76,78,80,85,90,95,100})</f>
        <v>78</v>
      </c>
      <c r="Q124" s="15">
        <v>3.48</v>
      </c>
      <c r="R124" s="15">
        <f t="shared" si="69"/>
        <v>6.52</v>
      </c>
      <c r="S124" s="1">
        <f>LOOKUP(R124,{0,4.7,4.8,4.9,5,5.5,5.6,5.65,5.7,5.75,5.8,5.85,5.9,5.95,6,6.45,6.5,6.57,6.64,6.7,6.76},{0,10,20,30,40,50,60,62,64,66,68,70,72,74,76,78,80,85,90,95,100})</f>
        <v>80</v>
      </c>
      <c r="T124" s="20"/>
      <c r="U124" s="20"/>
      <c r="V124" s="21">
        <f t="shared" si="70"/>
        <v>80</v>
      </c>
      <c r="W124" s="15"/>
      <c r="X124" s="21">
        <f t="shared" si="71"/>
        <v>56.6</v>
      </c>
      <c r="Y124" s="21">
        <f t="shared" si="72"/>
        <v>80.8571428571429</v>
      </c>
    </row>
    <row r="125" ht="15.6" hidden="1" outlineLevel="2" spans="1:25">
      <c r="A125" s="15">
        <v>108</v>
      </c>
      <c r="B125" s="15">
        <v>43</v>
      </c>
      <c r="C125" s="14" t="s">
        <v>398</v>
      </c>
      <c r="D125" s="14" t="s">
        <v>46</v>
      </c>
      <c r="E125" s="15">
        <v>4</v>
      </c>
      <c r="F125" s="1">
        <f>LOOKUP(E125,{0,0.4,1.2,2,2.8,3.6,4.4,5.7,7,8.3,9.6,10.9,12.2,13.5,14.8,16.1,17.4,19.1,20.8,22.5,24.2},{0,10,20,30,40,50,60,62,64,66,68,70,72,74,76,78,80,85,90,95,100})</f>
        <v>50</v>
      </c>
      <c r="G125" s="15">
        <v>178</v>
      </c>
      <c r="H125" s="1">
        <f>LOOKUP(G125,{0,123,128,133,138,143,148,151,154,157,160,163,166,169,172,175,178,185,192,198,204},{0,10,20,30,40,50,60,62,64,66,68,70,72,74,76,78,80,85,90,95,100})</f>
        <v>80</v>
      </c>
      <c r="I125" s="15">
        <v>46</v>
      </c>
      <c r="J125" s="1">
        <f>LOOKUP(I125,{0,13,15,17,19,21,23,25,27,29,31,33,35,37,39,41,43,46,49,51,53},{0,10,20,30,40,50,60,62,64,66,68,70,72,74,76,78,80,85,90,95,100})</f>
        <v>85</v>
      </c>
      <c r="K125" s="20"/>
      <c r="L125" s="20"/>
      <c r="M125" s="21">
        <f t="shared" si="67"/>
        <v>85</v>
      </c>
      <c r="N125" s="15">
        <v>8.3</v>
      </c>
      <c r="O125" s="19">
        <f t="shared" si="68"/>
        <v>4.7</v>
      </c>
      <c r="P125" s="1">
        <f>LOOKUP(O125,{0,1.4,1.6,1.8,2,2.2,2.4,2.6,2.8,3,3.2,3.4,3.6,3.8,4,4.2,4.4,4.7,5,5.1,5.2},{0,10,20,30,40,50,60,62,64,66,68,70,72,74,76,78,80,85,90,95,100})</f>
        <v>85</v>
      </c>
      <c r="Q125" s="15">
        <v>3.31</v>
      </c>
      <c r="R125" s="15">
        <f t="shared" si="69"/>
        <v>6.69</v>
      </c>
      <c r="S125" s="1">
        <f>LOOKUP(R125,{0,4.7,4.8,4.9,5,5.5,5.6,5.65,5.7,5.75,5.8,5.85,5.9,5.95,6,6.45,6.5,6.57,6.64,6.7,6.76},{0,10,20,30,40,50,60,62,64,66,68,70,72,74,76,78,80,85,90,95,100})</f>
        <v>90</v>
      </c>
      <c r="T125" s="20"/>
      <c r="U125" s="20"/>
      <c r="V125" s="21">
        <f t="shared" si="70"/>
        <v>90</v>
      </c>
      <c r="W125" s="15"/>
      <c r="X125" s="21">
        <f t="shared" si="71"/>
        <v>56.5</v>
      </c>
      <c r="Y125" s="21">
        <f t="shared" si="72"/>
        <v>80.7142857142857</v>
      </c>
    </row>
    <row r="126" ht="15.6" hidden="1" outlineLevel="2" spans="1:25">
      <c r="A126" s="15">
        <v>108</v>
      </c>
      <c r="B126" s="15">
        <v>44</v>
      </c>
      <c r="C126" s="14" t="s">
        <v>399</v>
      </c>
      <c r="D126" s="14" t="s">
        <v>46</v>
      </c>
      <c r="E126" s="15">
        <v>20.5</v>
      </c>
      <c r="F126" s="1">
        <f>LOOKUP(E126,{0,0.4,1.2,2,2.8,3.6,4.4,5.7,7,8.3,9.6,10.9,12.2,13.5,14.8,16.1,17.4,19.1,20.8,22.5,24.2},{0,10,20,30,40,50,60,62,64,66,68,70,72,74,76,78,80,85,90,95,100})</f>
        <v>85</v>
      </c>
      <c r="G126" s="15">
        <v>170</v>
      </c>
      <c r="H126" s="1">
        <f>LOOKUP(G126,{0,123,128,133,138,143,148,151,154,157,160,163,166,169,172,175,178,185,192,198,204},{0,10,20,30,40,50,60,62,64,66,68,70,72,74,76,78,80,85,90,95,100})</f>
        <v>74</v>
      </c>
      <c r="I126" s="15">
        <v>44</v>
      </c>
      <c r="J126" s="1">
        <f>LOOKUP(I126,{0,13,15,17,19,21,23,25,27,29,31,33,35,37,39,41,43,46,49,51,53},{0,10,20,30,40,50,60,62,64,66,68,70,72,74,76,78,80,85,90,95,100})</f>
        <v>80</v>
      </c>
      <c r="K126" s="20"/>
      <c r="L126" s="20"/>
      <c r="M126" s="21">
        <f t="shared" si="67"/>
        <v>80</v>
      </c>
      <c r="N126" s="15">
        <v>8.9</v>
      </c>
      <c r="O126" s="19">
        <f t="shared" si="68"/>
        <v>4.1</v>
      </c>
      <c r="P126" s="1">
        <f>LOOKUP(O126,{0,1.4,1.6,1.8,2,2.2,2.4,2.6,2.8,3,3.2,3.4,3.6,3.8,4,4.2,4.4,4.7,5,5.1,5.2},{0,10,20,30,40,50,60,62,64,66,68,70,72,74,76,78,80,85,90,95,100})</f>
        <v>76</v>
      </c>
      <c r="Q126" s="15">
        <v>4.1</v>
      </c>
      <c r="R126" s="15">
        <f t="shared" si="69"/>
        <v>5.9</v>
      </c>
      <c r="S126" s="1">
        <f>LOOKUP(R126,{0,4.7,4.8,4.9,5,5.5,5.6,5.65,5.7,5.75,5.8,5.85,5.9,5.95,6,6.45,6.5,6.57,6.64,6.7,6.76},{0,10,20,30,40,50,60,62,64,66,68,70,72,74,76,78,80,85,90,95,100})</f>
        <v>72</v>
      </c>
      <c r="T126" s="20"/>
      <c r="U126" s="20"/>
      <c r="V126" s="21">
        <f t="shared" si="70"/>
        <v>72</v>
      </c>
      <c r="W126" s="15"/>
      <c r="X126" s="21">
        <f t="shared" si="71"/>
        <v>53.5</v>
      </c>
      <c r="Y126" s="21">
        <f t="shared" si="72"/>
        <v>76.4285714285714</v>
      </c>
    </row>
    <row r="127" ht="15.6" hidden="1" outlineLevel="2" spans="1:25">
      <c r="A127" s="15">
        <v>108</v>
      </c>
      <c r="B127" s="15">
        <v>45</v>
      </c>
      <c r="C127" s="14" t="s">
        <v>400</v>
      </c>
      <c r="D127" s="14" t="s">
        <v>46</v>
      </c>
      <c r="E127" s="15">
        <v>18</v>
      </c>
      <c r="F127" s="1">
        <f>LOOKUP(E127,{0,0.4,1.2,2,2.8,3.6,4.4,5.7,7,8.3,9.6,10.9,12.2,13.5,14.8,16.1,17.4,19.1,20.8,22.5,24.2},{0,10,20,30,40,50,60,62,64,66,68,70,72,74,76,78,80,85,90,95,100})</f>
        <v>80</v>
      </c>
      <c r="G127" s="15">
        <v>200</v>
      </c>
      <c r="H127" s="1">
        <f>LOOKUP(G127,{0,123,128,133,138,143,148,151,154,157,160,163,166,169,172,175,178,185,192,198,204},{0,10,20,30,40,50,60,62,64,66,68,70,72,74,76,78,80,85,90,95,100})</f>
        <v>95</v>
      </c>
      <c r="I127" s="15">
        <v>43</v>
      </c>
      <c r="J127" s="1">
        <f>LOOKUP(I127,{0,13,15,17,19,21,23,25,27,29,31,33,35,37,39,41,43,46,49,51,53},{0,10,20,30,40,50,60,62,64,66,68,70,72,74,76,78,80,85,90,95,100})</f>
        <v>80</v>
      </c>
      <c r="K127" s="20"/>
      <c r="L127" s="20"/>
      <c r="M127" s="21">
        <f t="shared" si="67"/>
        <v>80</v>
      </c>
      <c r="N127" s="15">
        <v>9</v>
      </c>
      <c r="O127" s="19">
        <f t="shared" si="68"/>
        <v>4</v>
      </c>
      <c r="P127" s="1">
        <f>LOOKUP(O127,{0,1.4,1.6,1.8,2,2.2,2.4,2.6,2.8,3,3.2,3.4,3.6,3.8,4,4.2,4.4,4.7,5,5.1,5.2},{0,10,20,30,40,50,60,62,64,66,68,70,72,74,76,78,80,85,90,95,100})</f>
        <v>76</v>
      </c>
      <c r="Q127" s="15">
        <v>5.17</v>
      </c>
      <c r="R127" s="15">
        <f t="shared" si="69"/>
        <v>4.83</v>
      </c>
      <c r="S127" s="1">
        <f>LOOKUP(R127,{0,4.7,4.8,4.9,5,5.5,5.6,5.65,5.7,5.75,5.8,5.85,5.9,5.95,6,6.45,6.5,6.57,6.64,6.7,6.76},{0,10,20,30,40,50,60,62,64,66,68,70,72,74,76,78,80,85,90,95,100})</f>
        <v>20</v>
      </c>
      <c r="T127" s="20"/>
      <c r="U127" s="20"/>
      <c r="V127" s="21">
        <f t="shared" si="70"/>
        <v>20</v>
      </c>
      <c r="W127" s="15"/>
      <c r="X127" s="21">
        <f t="shared" si="71"/>
        <v>44.7</v>
      </c>
      <c r="Y127" s="21">
        <f t="shared" si="72"/>
        <v>63.8571428571429</v>
      </c>
    </row>
    <row r="128" ht="15.6" hidden="1" outlineLevel="2" spans="1:25">
      <c r="A128" s="15">
        <v>108</v>
      </c>
      <c r="B128" s="15">
        <v>46</v>
      </c>
      <c r="C128" s="14" t="s">
        <v>401</v>
      </c>
      <c r="D128" s="14" t="s">
        <v>46</v>
      </c>
      <c r="E128" s="15">
        <v>15</v>
      </c>
      <c r="F128" s="1">
        <f>LOOKUP(E128,{0,0.4,1.2,2,2.8,3.6,4.4,5.7,7,8.3,9.6,10.9,12.2,13.5,14.8,16.1,17.4,19.1,20.8,22.5,24.2},{0,10,20,30,40,50,60,62,64,66,68,70,72,74,76,78,80,85,90,95,100})</f>
        <v>76</v>
      </c>
      <c r="G128" s="15">
        <v>184</v>
      </c>
      <c r="H128" s="1">
        <f>LOOKUP(G128,{0,123,128,133,138,143,148,151,154,157,160,163,166,169,172,175,178,185,192,198,204},{0,10,20,30,40,50,60,62,64,66,68,70,72,74,76,78,80,85,90,95,100})</f>
        <v>80</v>
      </c>
      <c r="I128" s="15">
        <v>45</v>
      </c>
      <c r="J128" s="1">
        <f>LOOKUP(I128,{0,13,15,17,19,21,23,25,27,29,31,33,35,37,39,41,43,46,49,51,53},{0,10,20,30,40,50,60,62,64,66,68,70,72,74,76,78,80,85,90,95,100})</f>
        <v>80</v>
      </c>
      <c r="K128" s="20"/>
      <c r="L128" s="20"/>
      <c r="M128" s="21">
        <f t="shared" si="67"/>
        <v>80</v>
      </c>
      <c r="N128" s="15">
        <v>8.9</v>
      </c>
      <c r="O128" s="19">
        <f t="shared" si="68"/>
        <v>4.1</v>
      </c>
      <c r="P128" s="1">
        <f>LOOKUP(O128,{0,1.4,1.6,1.8,2,2.2,2.4,2.6,2.8,3,3.2,3.4,3.6,3.8,4,4.2,4.4,4.7,5,5.1,5.2},{0,10,20,30,40,50,60,62,64,66,68,70,72,74,76,78,80,85,90,95,100})</f>
        <v>76</v>
      </c>
      <c r="Q128" s="15">
        <v>3.32</v>
      </c>
      <c r="R128" s="15">
        <f t="shared" si="69"/>
        <v>6.68</v>
      </c>
      <c r="S128" s="1">
        <f>LOOKUP(R128,{0,4.7,4.8,4.9,5,5.5,5.6,5.65,5.7,5.75,5.8,5.85,5.9,5.95,6,6.45,6.5,6.57,6.64,6.7,6.76},{0,10,20,30,40,50,60,62,64,66,68,70,72,74,76,78,80,85,90,95,100})</f>
        <v>90</v>
      </c>
      <c r="T128" s="20"/>
      <c r="U128" s="20"/>
      <c r="V128" s="21">
        <f t="shared" si="70"/>
        <v>90</v>
      </c>
      <c r="W128" s="15"/>
      <c r="X128" s="21">
        <f t="shared" si="71"/>
        <v>56.8</v>
      </c>
      <c r="Y128" s="21">
        <f t="shared" si="72"/>
        <v>81.1428571428572</v>
      </c>
    </row>
    <row r="129" ht="15.6" hidden="1" outlineLevel="2" spans="1:25">
      <c r="A129" s="15">
        <v>108</v>
      </c>
      <c r="B129" s="15">
        <v>47</v>
      </c>
      <c r="C129" s="14" t="s">
        <v>402</v>
      </c>
      <c r="D129" s="14" t="s">
        <v>46</v>
      </c>
      <c r="E129" s="15">
        <v>25.5</v>
      </c>
      <c r="F129" s="1">
        <f>LOOKUP(E129,{0,0.4,1.2,2,2.8,3.6,4.4,5.7,7,8.3,9.6,10.9,12.2,13.5,14.8,16.1,17.4,19.1,20.8,22.5,24.2},{0,10,20,30,40,50,60,62,64,66,68,70,72,74,76,78,80,85,90,95,100})</f>
        <v>100</v>
      </c>
      <c r="G129" s="15">
        <v>166</v>
      </c>
      <c r="H129" s="1">
        <f>LOOKUP(G129,{0,123,128,133,138,143,148,151,154,157,160,163,166,169,172,175,178,185,192,198,204},{0,10,20,30,40,50,60,62,64,66,68,70,72,74,76,78,80,85,90,95,100})</f>
        <v>72</v>
      </c>
      <c r="I129" s="15">
        <v>48</v>
      </c>
      <c r="J129" s="1">
        <f>LOOKUP(I129,{0,13,15,17,19,21,23,25,27,29,31,33,35,37,39,41,43,46,49,51,53},{0,10,20,30,40,50,60,62,64,66,68,70,72,74,76,78,80,85,90,95,100})</f>
        <v>85</v>
      </c>
      <c r="K129" s="20"/>
      <c r="L129" s="20"/>
      <c r="M129" s="21">
        <f t="shared" si="67"/>
        <v>85</v>
      </c>
      <c r="N129" s="15">
        <v>8.3</v>
      </c>
      <c r="O129" s="19">
        <f t="shared" si="68"/>
        <v>4.7</v>
      </c>
      <c r="P129" s="1">
        <f>LOOKUP(O129,{0,1.4,1.6,1.8,2,2.2,2.4,2.6,2.8,3,3.2,3.4,3.6,3.8,4,4.2,4.4,4.7,5,5.1,5.2},{0,10,20,30,40,50,60,62,64,66,68,70,72,74,76,78,80,85,90,95,100})</f>
        <v>85</v>
      </c>
      <c r="Q129" s="15">
        <v>4.03</v>
      </c>
      <c r="R129" s="15">
        <f t="shared" si="69"/>
        <v>5.97</v>
      </c>
      <c r="S129" s="1">
        <f>LOOKUP(R129,{0,4.7,4.8,4.9,5,5.5,5.6,5.65,5.7,5.75,5.8,5.85,5.9,5.95,6,6.45,6.5,6.57,6.64,6.7,6.76},{0,10,20,30,40,50,60,62,64,66,68,70,72,74,76,78,80,85,90,95,100})</f>
        <v>74</v>
      </c>
      <c r="T129" s="20"/>
      <c r="U129" s="20"/>
      <c r="V129" s="21">
        <f t="shared" si="70"/>
        <v>74</v>
      </c>
      <c r="W129" s="15"/>
      <c r="X129" s="21">
        <f t="shared" si="71"/>
        <v>57.5</v>
      </c>
      <c r="Y129" s="21">
        <f t="shared" si="72"/>
        <v>82.1428571428572</v>
      </c>
    </row>
    <row r="130" s="3" customFormat="1" ht="15.6" hidden="1" outlineLevel="2" spans="1:25">
      <c r="A130" s="15">
        <v>108</v>
      </c>
      <c r="B130" s="15">
        <v>48</v>
      </c>
      <c r="C130" s="14" t="s">
        <v>403</v>
      </c>
      <c r="D130" s="14" t="s">
        <v>46</v>
      </c>
      <c r="E130" s="15">
        <v>3.5</v>
      </c>
      <c r="F130" s="1">
        <f>LOOKUP(E130,{0,0.4,1.2,2,2.8,3.6,4.4,5.7,7,8.3,9.6,10.9,12.2,13.5,14.8,16.1,17.4,19.1,20.8,22.5,24.2},{0,10,20,30,40,50,60,62,64,66,68,70,72,74,76,78,80,85,90,95,100})</f>
        <v>40</v>
      </c>
      <c r="G130" s="15">
        <v>165</v>
      </c>
      <c r="H130" s="1">
        <f>LOOKUP(G130,{0,123,128,133,138,143,148,151,154,157,160,163,166,169,172,175,178,185,192,198,204},{0,10,20,30,40,50,60,62,64,66,68,70,72,74,76,78,80,85,90,95,100})</f>
        <v>70</v>
      </c>
      <c r="I130" s="15">
        <v>45</v>
      </c>
      <c r="J130" s="1">
        <f>LOOKUP(I130,{0,13,15,17,19,21,23,25,27,29,31,33,35,37,39,41,43,46,49,51,53},{0,10,20,30,40,50,60,62,64,66,68,70,72,74,76,78,80,85,90,95,100})</f>
        <v>80</v>
      </c>
      <c r="K130" s="20"/>
      <c r="L130" s="20"/>
      <c r="M130" s="21">
        <f t="shared" si="67"/>
        <v>80</v>
      </c>
      <c r="N130" s="15">
        <v>8.6</v>
      </c>
      <c r="O130" s="19">
        <f t="shared" si="68"/>
        <v>4.4</v>
      </c>
      <c r="P130" s="1">
        <f>LOOKUP(O130,{0,1.4,1.6,1.8,2,2.2,2.4,2.6,2.8,3,3.2,3.4,3.6,3.8,4,4.2,4.4,4.7,5,5.1,5.2},{0,10,20,30,40,50,60,62,64,66,68,70,72,74,76,78,80,85,90,95,100})</f>
        <v>80</v>
      </c>
      <c r="Q130" s="15">
        <v>3.27</v>
      </c>
      <c r="R130" s="15">
        <f t="shared" si="69"/>
        <v>6.73</v>
      </c>
      <c r="S130" s="1">
        <f>LOOKUP(R130,{0,4.7,4.8,4.9,5,5.5,5.6,5.65,5.7,5.75,5.8,5.85,5.9,5.95,6,6.45,6.5,6.57,6.64,6.7,6.76},{0,10,20,30,40,50,60,62,64,66,68,70,72,74,76,78,80,85,90,95,100})</f>
        <v>95</v>
      </c>
      <c r="T130" s="20"/>
      <c r="U130" s="20"/>
      <c r="V130" s="21">
        <f t="shared" si="70"/>
        <v>95</v>
      </c>
      <c r="W130" s="15"/>
      <c r="X130" s="21">
        <f t="shared" si="71"/>
        <v>54</v>
      </c>
      <c r="Y130" s="21">
        <f t="shared" si="72"/>
        <v>77.1428571428572</v>
      </c>
    </row>
    <row r="131" s="3" customFormat="1" ht="15.6" outlineLevel="1" collapsed="1" spans="1:25">
      <c r="A131" s="16" t="s">
        <v>849</v>
      </c>
      <c r="B131" s="15"/>
      <c r="C131" s="14"/>
      <c r="D131" s="14"/>
      <c r="E131" s="15"/>
      <c r="F131" s="1">
        <f>SUBTOTAL(1,F112:F130)</f>
        <v>71.3684210526316</v>
      </c>
      <c r="G131" s="15"/>
      <c r="H131" s="1">
        <f>SUBTOTAL(1,H112:H130)</f>
        <v>75.1578947368421</v>
      </c>
      <c r="I131" s="15"/>
      <c r="J131" s="1">
        <f>SUBTOTAL(1,J112:J130)</f>
        <v>82.0526315789474</v>
      </c>
      <c r="K131" s="20"/>
      <c r="L131" s="20"/>
      <c r="M131" s="21">
        <f>SUBTOTAL(1,M112:M130)</f>
        <v>82.0526315789474</v>
      </c>
      <c r="N131" s="15"/>
      <c r="O131" s="19"/>
      <c r="P131" s="1">
        <f>SUBTOTAL(1,P112:P130)</f>
        <v>80</v>
      </c>
      <c r="Q131" s="15"/>
      <c r="R131" s="15"/>
      <c r="S131" s="1">
        <f>SUBTOTAL(1,S112:S130)</f>
        <v>79.5263157894737</v>
      </c>
      <c r="T131" s="20"/>
      <c r="U131" s="20"/>
      <c r="V131" s="21">
        <f>SUBTOTAL(1,V112:V130)</f>
        <v>79.5263157894737</v>
      </c>
      <c r="W131" s="15"/>
      <c r="X131" s="21">
        <f>SUBTOTAL(1,X112:X130)</f>
        <v>54.7631578947368</v>
      </c>
      <c r="Y131" s="21">
        <f>SUBTOTAL(1,Y112:Y130)</f>
        <v>78.2330827067669</v>
      </c>
    </row>
    <row r="132" ht="15.6" hidden="1" outlineLevel="2" spans="1:25">
      <c r="A132" s="15">
        <v>109</v>
      </c>
      <c r="B132" s="15">
        <v>29</v>
      </c>
      <c r="C132" s="13" t="s">
        <v>436</v>
      </c>
      <c r="D132" s="14" t="s">
        <v>46</v>
      </c>
      <c r="E132" s="15">
        <v>15</v>
      </c>
      <c r="F132" s="1">
        <f>LOOKUP(E132,{0,0.4,1.2,2,2.8,3.6,4.4,5.7,7,8.3,9.6,10.9,12.2,13.5,14.8,16.1,17.4,19.1,20.8,22.5,24.2},{0,10,20,30,40,50,60,62,64,66,68,70,72,74,76,78,80,85,90,95,100})</f>
        <v>76</v>
      </c>
      <c r="G132" s="15">
        <v>183</v>
      </c>
      <c r="H132" s="1">
        <f>LOOKUP(G132,{0,123,128,133,138,143,148,151,154,157,160,163,166,169,172,175,178,185,192,198,204},{0,10,20,30,40,50,60,62,64,66,68,70,72,74,76,78,80,85,90,95,100})</f>
        <v>80</v>
      </c>
      <c r="I132" s="15">
        <v>53</v>
      </c>
      <c r="J132" s="1">
        <f>LOOKUP(I132,{0,13,15,17,19,21,23,25,27,29,31,33,35,37,39,41,43,46,49,51,53},{0,10,20,30,40,50,60,62,64,66,68,70,72,74,76,78,80,85,90,95,100})</f>
        <v>100</v>
      </c>
      <c r="K132" s="20">
        <f>I132-53</f>
        <v>0</v>
      </c>
      <c r="L132" s="1">
        <f>LOOKUP(K132,{0,2,4,6,7,8,9,10,11,12,13},{0,1,2,3,4,5,6,7,8,9,10})</f>
        <v>0</v>
      </c>
      <c r="M132" s="21">
        <f t="shared" ref="M132:M150" si="73">J132+L132</f>
        <v>100</v>
      </c>
      <c r="N132" s="15">
        <v>8.8</v>
      </c>
      <c r="O132" s="19">
        <f t="shared" ref="O132:O150" si="74">13-N132</f>
        <v>4.2</v>
      </c>
      <c r="P132" s="1">
        <f>LOOKUP(O132,{0,1.4,1.6,1.8,2,2.2,2.4,2.6,2.8,3,3.2,3.4,3.6,3.8,4,4.2,4.4,4.7,5,5.1,5.2},{0,10,20,30,40,50,60,62,64,66,68,70,72,74,76,78,80,85,90,95,100})</f>
        <v>78</v>
      </c>
      <c r="Q132" s="15">
        <v>3.22</v>
      </c>
      <c r="R132" s="15">
        <f t="shared" ref="R132:R150" si="75">10-Q132</f>
        <v>6.78</v>
      </c>
      <c r="S132" s="1">
        <f>LOOKUP(R132,{0,4.7,4.8,4.9,5,5.5,5.6,5.65,5.7,5.75,5.8,5.85,5.9,5.95,6,6.45,6.5,6.57,6.64,6.7,6.76},{0,10,20,30,40,50,60,62,64,66,68,70,72,74,76,78,80,85,90,95,100})</f>
        <v>100</v>
      </c>
      <c r="T132" s="24">
        <f>3.24-Q132</f>
        <v>0.02</v>
      </c>
      <c r="U132" s="1">
        <f>LOOKUP(T132,{0,0.05,0.1,0.15,0.2,0.25,0.3,0.35,0.4,0.45,0.5},{0,1,2,3,4,5,6,7,8,9,10})</f>
        <v>0</v>
      </c>
      <c r="V132" s="21">
        <f t="shared" ref="V132:V150" si="76">S132+U132</f>
        <v>100</v>
      </c>
      <c r="W132" s="15"/>
      <c r="X132" s="21">
        <f t="shared" ref="X132:X150" si="77">F132*0.1+H132*0.1+J132*0.1+P132*0.2+S132*0.2</f>
        <v>61.2</v>
      </c>
      <c r="Y132" s="21">
        <f t="shared" ref="Y132:Y150" si="78">X132/0.7+L132+U132</f>
        <v>87.4285714285714</v>
      </c>
    </row>
    <row r="133" ht="15.6" hidden="1" outlineLevel="2" spans="1:25">
      <c r="A133" s="15">
        <v>109</v>
      </c>
      <c r="B133" s="15">
        <v>30</v>
      </c>
      <c r="C133" s="14" t="s">
        <v>437</v>
      </c>
      <c r="D133" s="14" t="s">
        <v>46</v>
      </c>
      <c r="E133" s="15">
        <v>14.9</v>
      </c>
      <c r="F133" s="1">
        <f>LOOKUP(E133,{0,0.4,1.2,2,2.8,3.6,4.4,5.7,7,8.3,9.6,10.9,12.2,13.5,14.8,16.1,17.4,19.1,20.8,22.5,24.2},{0,10,20,30,40,50,60,62,64,66,68,70,72,74,76,78,80,85,90,95,100})</f>
        <v>76</v>
      </c>
      <c r="G133" s="15">
        <v>181</v>
      </c>
      <c r="H133" s="1">
        <f>LOOKUP(G133,{0,123,128,133,138,143,148,151,154,157,160,163,166,169,172,175,178,185,192,198,204},{0,10,20,30,40,50,60,62,64,66,68,70,72,74,76,78,80,85,90,95,100})</f>
        <v>80</v>
      </c>
      <c r="I133" s="15">
        <v>45</v>
      </c>
      <c r="J133" s="1">
        <f>LOOKUP(I133,{0,13,15,17,19,21,23,25,27,29,31,33,35,37,39,41,43,46,49,51,53},{0,10,20,30,40,50,60,62,64,66,68,70,72,74,76,78,80,85,90,95,100})</f>
        <v>80</v>
      </c>
      <c r="K133" s="20"/>
      <c r="L133" s="20"/>
      <c r="M133" s="21">
        <f t="shared" si="73"/>
        <v>80</v>
      </c>
      <c r="N133" s="15">
        <v>8.4</v>
      </c>
      <c r="O133" s="19">
        <f t="shared" si="74"/>
        <v>4.6</v>
      </c>
      <c r="P133" s="1">
        <f>LOOKUP(O133,{0,1.4,1.6,1.8,2,2.2,2.4,2.6,2.8,3,3.2,3.4,3.6,3.8,4,4.2,4.4,4.7,5,5.1,5.2},{0,10,20,30,40,50,60,62,64,66,68,70,72,74,76,78,80,85,90,95,100})</f>
        <v>80</v>
      </c>
      <c r="Q133" s="15">
        <v>3.48</v>
      </c>
      <c r="R133" s="15">
        <f t="shared" si="75"/>
        <v>6.52</v>
      </c>
      <c r="S133" s="1">
        <f>LOOKUP(R133,{0,4.7,4.8,4.9,5,5.5,5.6,5.65,5.7,5.75,5.8,5.85,5.9,5.95,6,6.45,6.5,6.57,6.64,6.7,6.76},{0,10,20,30,40,50,60,62,64,66,68,70,72,74,76,78,80,85,90,95,100})</f>
        <v>80</v>
      </c>
      <c r="T133" s="20"/>
      <c r="U133" s="20"/>
      <c r="V133" s="21">
        <f t="shared" si="76"/>
        <v>80</v>
      </c>
      <c r="W133" s="15"/>
      <c r="X133" s="21">
        <f t="shared" si="77"/>
        <v>55.6</v>
      </c>
      <c r="Y133" s="21">
        <f t="shared" si="78"/>
        <v>79.4285714285714</v>
      </c>
    </row>
    <row r="134" ht="15.6" hidden="1" outlineLevel="2" spans="1:25">
      <c r="A134" s="15">
        <v>109</v>
      </c>
      <c r="B134" s="15">
        <v>31</v>
      </c>
      <c r="C134" s="14" t="s">
        <v>438</v>
      </c>
      <c r="D134" s="14" t="s">
        <v>46</v>
      </c>
      <c r="E134" s="15">
        <v>12.8</v>
      </c>
      <c r="F134" s="1">
        <f>LOOKUP(E134,{0,0.4,1.2,2,2.8,3.6,4.4,5.7,7,8.3,9.6,10.9,12.2,13.5,14.8,16.1,17.4,19.1,20.8,22.5,24.2},{0,10,20,30,40,50,60,62,64,66,68,70,72,74,76,78,80,85,90,95,100})</f>
        <v>72</v>
      </c>
      <c r="G134" s="15">
        <v>162</v>
      </c>
      <c r="H134" s="1">
        <f>LOOKUP(G134,{0,123,128,133,138,143,148,151,154,157,160,163,166,169,172,175,178,185,192,198,204},{0,10,20,30,40,50,60,62,64,66,68,70,72,74,76,78,80,85,90,95,100})</f>
        <v>68</v>
      </c>
      <c r="I134" s="15">
        <v>36</v>
      </c>
      <c r="J134" s="1">
        <f>LOOKUP(I134,{0,13,15,17,19,21,23,25,27,29,31,33,35,37,39,41,43,46,49,51,53},{0,10,20,30,40,50,60,62,64,66,68,70,72,74,76,78,80,85,90,95,100})</f>
        <v>72</v>
      </c>
      <c r="K134" s="20"/>
      <c r="L134" s="20"/>
      <c r="M134" s="21">
        <f t="shared" si="73"/>
        <v>72</v>
      </c>
      <c r="N134" s="15">
        <v>9.4</v>
      </c>
      <c r="O134" s="19">
        <f t="shared" si="74"/>
        <v>3.6</v>
      </c>
      <c r="P134" s="1">
        <f>LOOKUP(O134,{0,1.4,1.6,1.8,2,2.2,2.4,2.6,2.8,3,3.2,3.4,3.6,3.8,4,4.2,4.4,4.7,5,5.1,5.2},{0,10,20,30,40,50,60,62,64,66,68,70,72,74,76,78,80,85,90,95,100})</f>
        <v>72</v>
      </c>
      <c r="Q134" s="15">
        <v>4.13</v>
      </c>
      <c r="R134" s="15">
        <f t="shared" si="75"/>
        <v>5.87</v>
      </c>
      <c r="S134" s="1">
        <f>LOOKUP(R134,{0,4.7,4.8,4.9,5,5.5,5.6,5.65,5.7,5.75,5.8,5.85,5.9,5.95,6,6.45,6.5,6.57,6.64,6.7,6.76},{0,10,20,30,40,50,60,62,64,66,68,70,72,74,76,78,80,85,90,95,100})</f>
        <v>70</v>
      </c>
      <c r="T134" s="20"/>
      <c r="U134" s="20"/>
      <c r="V134" s="21">
        <f t="shared" si="76"/>
        <v>70</v>
      </c>
      <c r="W134" s="15"/>
      <c r="X134" s="21">
        <f t="shared" si="77"/>
        <v>49.6</v>
      </c>
      <c r="Y134" s="21">
        <f t="shared" si="78"/>
        <v>70.8571428571429</v>
      </c>
    </row>
    <row r="135" ht="15.6" hidden="1" outlineLevel="2" spans="1:25">
      <c r="A135" s="15">
        <v>109</v>
      </c>
      <c r="B135" s="15">
        <v>33</v>
      </c>
      <c r="C135" s="14" t="s">
        <v>441</v>
      </c>
      <c r="D135" s="14" t="s">
        <v>46</v>
      </c>
      <c r="E135" s="15">
        <v>12.6</v>
      </c>
      <c r="F135" s="1">
        <f>LOOKUP(E135,{0,0.4,1.2,2,2.8,3.6,4.4,5.7,7,8.3,9.6,10.9,12.2,13.5,14.8,16.1,17.4,19.1,20.8,22.5,24.2},{0,10,20,30,40,50,60,62,64,66,68,70,72,74,76,78,80,85,90,95,100})</f>
        <v>72</v>
      </c>
      <c r="G135" s="15">
        <v>178</v>
      </c>
      <c r="H135" s="1">
        <f>LOOKUP(G135,{0,123,128,133,138,143,148,151,154,157,160,163,166,169,172,175,178,185,192,198,204},{0,10,20,30,40,50,60,62,64,66,68,70,72,74,76,78,80,85,90,95,100})</f>
        <v>80</v>
      </c>
      <c r="I135" s="15">
        <v>38</v>
      </c>
      <c r="J135" s="1">
        <f>LOOKUP(I135,{0,13,15,17,19,21,23,25,27,29,31,33,35,37,39,41,43,46,49,51,53},{0,10,20,30,40,50,60,62,64,66,68,70,72,74,76,78,80,85,90,95,100})</f>
        <v>74</v>
      </c>
      <c r="K135" s="20"/>
      <c r="L135" s="20"/>
      <c r="M135" s="21">
        <f t="shared" si="73"/>
        <v>74</v>
      </c>
      <c r="N135" s="15">
        <v>9.4</v>
      </c>
      <c r="O135" s="19">
        <f t="shared" si="74"/>
        <v>3.6</v>
      </c>
      <c r="P135" s="1">
        <f>LOOKUP(O135,{0,1.4,1.6,1.8,2,2.2,2.4,2.6,2.8,3,3.2,3.4,3.6,3.8,4,4.2,4.4,4.7,5,5.1,5.2},{0,10,20,30,40,50,60,62,64,66,68,70,72,74,76,78,80,85,90,95,100})</f>
        <v>72</v>
      </c>
      <c r="Q135" s="15">
        <v>4.13</v>
      </c>
      <c r="R135" s="15">
        <f t="shared" si="75"/>
        <v>5.87</v>
      </c>
      <c r="S135" s="1">
        <f>LOOKUP(R135,{0,4.7,4.8,4.9,5,5.5,5.6,5.65,5.7,5.75,5.8,5.85,5.9,5.95,6,6.45,6.5,6.57,6.64,6.7,6.76},{0,10,20,30,40,50,60,62,64,66,68,70,72,74,76,78,80,85,90,95,100})</f>
        <v>70</v>
      </c>
      <c r="T135" s="20"/>
      <c r="U135" s="20"/>
      <c r="V135" s="21">
        <f t="shared" si="76"/>
        <v>70</v>
      </c>
      <c r="W135" s="15"/>
      <c r="X135" s="21">
        <f t="shared" si="77"/>
        <v>51</v>
      </c>
      <c r="Y135" s="21">
        <f t="shared" si="78"/>
        <v>72.8571428571429</v>
      </c>
    </row>
    <row r="136" ht="15.6" hidden="1" outlineLevel="2" spans="1:25">
      <c r="A136" s="15">
        <v>109</v>
      </c>
      <c r="B136" s="15">
        <v>34</v>
      </c>
      <c r="C136" s="14" t="s">
        <v>442</v>
      </c>
      <c r="D136" s="14" t="s">
        <v>46</v>
      </c>
      <c r="E136" s="15">
        <v>17.4</v>
      </c>
      <c r="F136" s="1">
        <f>LOOKUP(E136,{0,0.4,1.2,2,2.8,3.6,4.4,5.7,7,8.3,9.6,10.9,12.2,13.5,14.8,16.1,17.4,19.1,20.8,22.5,24.2},{0,10,20,30,40,50,60,62,64,66,68,70,72,74,76,78,80,85,90,95,100})</f>
        <v>80</v>
      </c>
      <c r="G136" s="15">
        <v>192</v>
      </c>
      <c r="H136" s="1">
        <f>LOOKUP(G136,{0,123,128,133,138,143,148,151,154,157,160,163,166,169,172,175,178,185,192,198,204},{0,10,20,30,40,50,60,62,64,66,68,70,72,74,76,78,80,85,90,95,100})</f>
        <v>90</v>
      </c>
      <c r="I136" s="15">
        <v>44</v>
      </c>
      <c r="J136" s="1">
        <f>LOOKUP(I136,{0,13,15,17,19,21,23,25,27,29,31,33,35,37,39,41,43,46,49,51,53},{0,10,20,30,40,50,60,62,64,66,68,70,72,74,76,78,80,85,90,95,100})</f>
        <v>80</v>
      </c>
      <c r="K136" s="20"/>
      <c r="L136" s="20"/>
      <c r="M136" s="21">
        <f t="shared" si="73"/>
        <v>80</v>
      </c>
      <c r="N136" s="15">
        <v>8.3</v>
      </c>
      <c r="O136" s="19">
        <f t="shared" si="74"/>
        <v>4.7</v>
      </c>
      <c r="P136" s="1">
        <f>LOOKUP(O136,{0,1.4,1.6,1.8,2,2.2,2.4,2.6,2.8,3,3.2,3.4,3.6,3.8,4,4.2,4.4,4.7,5,5.1,5.2},{0,10,20,30,40,50,60,62,64,66,68,70,72,74,76,78,80,85,90,95,100})</f>
        <v>85</v>
      </c>
      <c r="Q136" s="15">
        <v>3.44</v>
      </c>
      <c r="R136" s="15">
        <f t="shared" si="75"/>
        <v>6.56</v>
      </c>
      <c r="S136" s="1">
        <f>LOOKUP(R136,{0,4.7,4.8,4.9,5,5.5,5.6,5.65,5.7,5.75,5.8,5.85,5.9,5.95,6,6.45,6.5,6.57,6.64,6.7,6.76},{0,10,20,30,40,50,60,62,64,66,68,70,72,74,76,78,80,85,90,95,100})</f>
        <v>80</v>
      </c>
      <c r="T136" s="20"/>
      <c r="U136" s="20"/>
      <c r="V136" s="21">
        <f t="shared" si="76"/>
        <v>80</v>
      </c>
      <c r="W136" s="15"/>
      <c r="X136" s="21">
        <f t="shared" si="77"/>
        <v>58</v>
      </c>
      <c r="Y136" s="21">
        <f t="shared" si="78"/>
        <v>82.8571428571429</v>
      </c>
    </row>
    <row r="137" s="3" customFormat="1" ht="15.6" hidden="1" outlineLevel="2" spans="1:25">
      <c r="A137" s="15">
        <v>109</v>
      </c>
      <c r="B137" s="15">
        <v>35</v>
      </c>
      <c r="C137" s="14" t="s">
        <v>443</v>
      </c>
      <c r="D137" s="14" t="s">
        <v>46</v>
      </c>
      <c r="E137" s="15">
        <v>17</v>
      </c>
      <c r="F137" s="1">
        <f>LOOKUP(E137,{0,0.4,1.2,2,2.8,3.6,4.4,5.7,7,8.3,9.6,10.9,12.2,13.5,14.8,16.1,17.4,19.1,20.8,22.5,24.2},{0,10,20,30,40,50,60,62,64,66,68,70,72,74,76,78,80,85,90,95,100})</f>
        <v>78</v>
      </c>
      <c r="G137" s="15">
        <v>161</v>
      </c>
      <c r="H137" s="1">
        <f>LOOKUP(G137,{0,123,128,133,138,143,148,151,154,157,160,163,166,169,172,175,178,185,192,198,204},{0,10,20,30,40,50,60,62,64,66,68,70,72,74,76,78,80,85,90,95,100})</f>
        <v>68</v>
      </c>
      <c r="I137" s="15">
        <v>33</v>
      </c>
      <c r="J137" s="1">
        <f>LOOKUP(I137,{0,13,15,17,19,21,23,25,27,29,31,33,35,37,39,41,43,46,49,51,53},{0,10,20,30,40,50,60,62,64,66,68,70,72,74,76,78,80,85,90,95,100})</f>
        <v>70</v>
      </c>
      <c r="K137" s="20"/>
      <c r="L137" s="20"/>
      <c r="M137" s="21">
        <f t="shared" si="73"/>
        <v>70</v>
      </c>
      <c r="N137" s="15">
        <v>9.5</v>
      </c>
      <c r="O137" s="19">
        <f t="shared" si="74"/>
        <v>3.5</v>
      </c>
      <c r="P137" s="1">
        <f>LOOKUP(O137,{0,1.4,1.6,1.8,2,2.2,2.4,2.6,2.8,3,3.2,3.4,3.6,3.8,4,4.2,4.4,4.7,5,5.1,5.2},{0,10,20,30,40,50,60,62,64,66,68,70,72,74,76,78,80,85,90,95,100})</f>
        <v>70</v>
      </c>
      <c r="Q137" s="15">
        <v>3.55</v>
      </c>
      <c r="R137" s="15">
        <f t="shared" si="75"/>
        <v>6.45</v>
      </c>
      <c r="S137" s="1">
        <f>LOOKUP(R137,{0,4.7,4.8,4.9,5,5.5,5.6,5.65,5.7,5.75,5.8,5.85,5.9,5.95,6,6.45,6.5,6.57,6.64,6.7,6.76},{0,10,20,30,40,50,60,62,64,66,68,70,72,74,76,78,80,85,90,95,100})</f>
        <v>78</v>
      </c>
      <c r="T137" s="20"/>
      <c r="U137" s="20"/>
      <c r="V137" s="21">
        <f t="shared" si="76"/>
        <v>78</v>
      </c>
      <c r="W137" s="15"/>
      <c r="X137" s="21">
        <f t="shared" si="77"/>
        <v>51.2</v>
      </c>
      <c r="Y137" s="21">
        <f t="shared" si="78"/>
        <v>73.1428571428572</v>
      </c>
    </row>
    <row r="138" ht="15.6" hidden="1" outlineLevel="2" spans="1:25">
      <c r="A138" s="15">
        <v>109</v>
      </c>
      <c r="B138" s="15">
        <v>36</v>
      </c>
      <c r="C138" s="14" t="s">
        <v>444</v>
      </c>
      <c r="D138" s="14" t="s">
        <v>46</v>
      </c>
      <c r="E138" s="15">
        <v>17.1</v>
      </c>
      <c r="F138" s="1">
        <f>LOOKUP(E138,{0,0.4,1.2,2,2.8,3.6,4.4,5.7,7,8.3,9.6,10.9,12.2,13.5,14.8,16.1,17.4,19.1,20.8,22.5,24.2},{0,10,20,30,40,50,60,62,64,66,68,70,72,74,76,78,80,85,90,95,100})</f>
        <v>78</v>
      </c>
      <c r="G138" s="15">
        <v>186</v>
      </c>
      <c r="H138" s="1">
        <f>LOOKUP(G138,{0,123,128,133,138,143,148,151,154,157,160,163,166,169,172,175,178,185,192,198,204},{0,10,20,30,40,50,60,62,64,66,68,70,72,74,76,78,80,85,90,95,100})</f>
        <v>85</v>
      </c>
      <c r="I138" s="15">
        <v>52</v>
      </c>
      <c r="J138" s="1">
        <f>LOOKUP(I138,{0,13,15,17,19,21,23,25,27,29,31,33,35,37,39,41,43,46,49,51,53},{0,10,20,30,40,50,60,62,64,66,68,70,72,74,76,78,80,85,90,95,100})</f>
        <v>95</v>
      </c>
      <c r="K138" s="20"/>
      <c r="L138" s="20"/>
      <c r="M138" s="21">
        <f t="shared" si="73"/>
        <v>95</v>
      </c>
      <c r="N138" s="15">
        <v>9.5</v>
      </c>
      <c r="O138" s="19">
        <f t="shared" si="74"/>
        <v>3.5</v>
      </c>
      <c r="P138" s="1">
        <f>LOOKUP(O138,{0,1.4,1.6,1.8,2,2.2,2.4,2.6,2.8,3,3.2,3.4,3.6,3.8,4,4.2,4.4,4.7,5,5.1,5.2},{0,10,20,30,40,50,60,62,64,66,68,70,72,74,76,78,80,85,90,95,100})</f>
        <v>70</v>
      </c>
      <c r="Q138" s="15">
        <v>3.37</v>
      </c>
      <c r="R138" s="15">
        <f t="shared" si="75"/>
        <v>6.63</v>
      </c>
      <c r="S138" s="1">
        <f>LOOKUP(R138,{0,4.7,4.8,4.9,5,5.5,5.6,5.65,5.7,5.75,5.8,5.85,5.9,5.95,6,6.45,6.5,6.57,6.64,6.7,6.76},{0,10,20,30,40,50,60,62,64,66,68,70,72,74,76,78,80,85,90,95,100})</f>
        <v>85</v>
      </c>
      <c r="T138" s="20"/>
      <c r="U138" s="20"/>
      <c r="V138" s="21">
        <f t="shared" si="76"/>
        <v>85</v>
      </c>
      <c r="W138" s="15"/>
      <c r="X138" s="21">
        <f t="shared" si="77"/>
        <v>56.8</v>
      </c>
      <c r="Y138" s="21">
        <f t="shared" si="78"/>
        <v>81.1428571428571</v>
      </c>
    </row>
    <row r="139" ht="15.6" hidden="1" outlineLevel="2" spans="1:25">
      <c r="A139" s="15">
        <v>109</v>
      </c>
      <c r="B139" s="15">
        <v>37</v>
      </c>
      <c r="C139" s="14" t="s">
        <v>445</v>
      </c>
      <c r="D139" s="14" t="s">
        <v>46</v>
      </c>
      <c r="E139" s="15">
        <v>20.1</v>
      </c>
      <c r="F139" s="1">
        <f>LOOKUP(E139,{0,0.4,1.2,2,2.8,3.6,4.4,5.7,7,8.3,9.6,10.9,12.2,13.5,14.8,16.1,17.4,19.1,20.8,22.5,24.2},{0,10,20,30,40,50,60,62,64,66,68,70,72,74,76,78,80,85,90,95,100})</f>
        <v>85</v>
      </c>
      <c r="G139" s="15">
        <v>173</v>
      </c>
      <c r="H139" s="1">
        <f>LOOKUP(G139,{0,123,128,133,138,143,148,151,154,157,160,163,166,169,172,175,178,185,192,198,204},{0,10,20,30,40,50,60,62,64,66,68,70,72,74,76,78,80,85,90,95,100})</f>
        <v>76</v>
      </c>
      <c r="I139" s="15">
        <v>53</v>
      </c>
      <c r="J139" s="1">
        <f>LOOKUP(I139,{0,13,15,17,19,21,23,25,27,29,31,33,35,37,39,41,43,46,49,51,53},{0,10,20,30,40,50,60,62,64,66,68,70,72,74,76,78,80,85,90,95,100})</f>
        <v>100</v>
      </c>
      <c r="K139" s="20">
        <f>I139-53</f>
        <v>0</v>
      </c>
      <c r="L139" s="1">
        <f>LOOKUP(K139,{0,2,4,6,7,8,9,10,11,12,13},{0,1,2,3,4,5,6,7,8,9,10})</f>
        <v>0</v>
      </c>
      <c r="M139" s="21">
        <f t="shared" si="73"/>
        <v>100</v>
      </c>
      <c r="N139" s="15">
        <v>9.5</v>
      </c>
      <c r="O139" s="19">
        <f t="shared" si="74"/>
        <v>3.5</v>
      </c>
      <c r="P139" s="1">
        <f>LOOKUP(O139,{0,1.4,1.6,1.8,2,2.2,2.4,2.6,2.8,3,3.2,3.4,3.6,3.8,4,4.2,4.4,4.7,5,5.1,5.2},{0,10,20,30,40,50,60,62,64,66,68,70,72,74,76,78,80,85,90,95,100})</f>
        <v>70</v>
      </c>
      <c r="Q139" s="15">
        <v>3.38</v>
      </c>
      <c r="R139" s="15">
        <f t="shared" si="75"/>
        <v>6.62</v>
      </c>
      <c r="S139" s="1">
        <f>LOOKUP(R139,{0,4.7,4.8,4.9,5,5.5,5.6,5.65,5.7,5.75,5.8,5.85,5.9,5.95,6,6.45,6.5,6.57,6.64,6.7,6.76},{0,10,20,30,40,50,60,62,64,66,68,70,72,74,76,78,80,85,90,95,100})</f>
        <v>85</v>
      </c>
      <c r="T139" s="20"/>
      <c r="U139" s="20"/>
      <c r="V139" s="21">
        <f t="shared" si="76"/>
        <v>85</v>
      </c>
      <c r="W139" s="15"/>
      <c r="X139" s="21">
        <f t="shared" si="77"/>
        <v>57.1</v>
      </c>
      <c r="Y139" s="21">
        <f t="shared" si="78"/>
        <v>81.5714285714286</v>
      </c>
    </row>
    <row r="140" ht="15.6" hidden="1" outlineLevel="2" spans="1:25">
      <c r="A140" s="15">
        <v>109</v>
      </c>
      <c r="B140" s="15">
        <v>38</v>
      </c>
      <c r="C140" s="14" t="s">
        <v>446</v>
      </c>
      <c r="D140" s="14" t="s">
        <v>46</v>
      </c>
      <c r="E140" s="15">
        <v>7</v>
      </c>
      <c r="F140" s="1">
        <f>LOOKUP(E140,{0,0.4,1.2,2,2.8,3.6,4.4,5.7,7,8.3,9.6,10.9,12.2,13.5,14.8,16.1,17.4,19.1,20.8,22.5,24.2},{0,10,20,30,40,50,60,62,64,66,68,70,72,74,76,78,80,85,90,95,100})</f>
        <v>64</v>
      </c>
      <c r="G140" s="15">
        <v>192</v>
      </c>
      <c r="H140" s="1">
        <f>LOOKUP(G140,{0,123,128,133,138,143,148,151,154,157,160,163,166,169,172,175,178,185,192,198,204},{0,10,20,30,40,50,60,62,64,66,68,70,72,74,76,78,80,85,90,95,100})</f>
        <v>90</v>
      </c>
      <c r="I140" s="15">
        <v>50</v>
      </c>
      <c r="J140" s="1">
        <f>LOOKUP(I140,{0,13,15,17,19,21,23,25,27,29,31,33,35,37,39,41,43,46,49,51,53},{0,10,20,30,40,50,60,62,64,66,68,70,72,74,76,78,80,85,90,95,100})</f>
        <v>90</v>
      </c>
      <c r="K140" s="20"/>
      <c r="L140" s="20"/>
      <c r="M140" s="21">
        <f t="shared" si="73"/>
        <v>90</v>
      </c>
      <c r="N140" s="15">
        <v>8.4</v>
      </c>
      <c r="O140" s="19">
        <f t="shared" si="74"/>
        <v>4.6</v>
      </c>
      <c r="P140" s="1">
        <f>LOOKUP(O140,{0,1.4,1.6,1.8,2,2.2,2.4,2.6,2.8,3,3.2,3.4,3.6,3.8,4,4.2,4.4,4.7,5,5.1,5.2},{0,10,20,30,40,50,60,62,64,66,68,70,72,74,76,78,80,85,90,95,100})</f>
        <v>80</v>
      </c>
      <c r="Q140" s="15">
        <v>3.12</v>
      </c>
      <c r="R140" s="15">
        <f t="shared" si="75"/>
        <v>6.88</v>
      </c>
      <c r="S140" s="1">
        <f>LOOKUP(R140,{0,4.7,4.8,4.9,5,5.5,5.6,5.65,5.7,5.75,5.8,5.85,5.9,5.95,6,6.45,6.5,6.57,6.64,6.7,6.76},{0,10,20,30,40,50,60,62,64,66,68,70,72,74,76,78,80,85,90,95,100})</f>
        <v>100</v>
      </c>
      <c r="T140" s="24">
        <f>3.24-Q140</f>
        <v>0.12</v>
      </c>
      <c r="U140" s="1">
        <f>LOOKUP(T140,{0,0.05,0.1,0.15,0.2,0.25,0.3,0.35,0.4,0.45,0.5},{0,1,2,3,4,5,6,7,8,9,10})</f>
        <v>2</v>
      </c>
      <c r="V140" s="21">
        <f t="shared" si="76"/>
        <v>102</v>
      </c>
      <c r="W140" s="15"/>
      <c r="X140" s="21">
        <f t="shared" si="77"/>
        <v>60.4</v>
      </c>
      <c r="Y140" s="21">
        <f t="shared" si="78"/>
        <v>88.2857142857143</v>
      </c>
    </row>
    <row r="141" ht="15.6" hidden="1" outlineLevel="2" spans="1:25">
      <c r="A141" s="15">
        <v>109</v>
      </c>
      <c r="B141" s="15">
        <v>39</v>
      </c>
      <c r="C141" s="13" t="s">
        <v>448</v>
      </c>
      <c r="D141" s="14" t="s">
        <v>46</v>
      </c>
      <c r="E141" s="15">
        <v>14</v>
      </c>
      <c r="F141" s="1">
        <f>LOOKUP(E141,{0,0.4,1.2,2,2.8,3.6,4.4,5.7,7,8.3,9.6,10.9,12.2,13.5,14.8,16.1,17.4,19.1,20.8,22.5,24.2},{0,10,20,30,40,50,60,62,64,66,68,70,72,74,76,78,80,85,90,95,100})</f>
        <v>74</v>
      </c>
      <c r="G141" s="15">
        <v>166</v>
      </c>
      <c r="H141" s="1">
        <f>LOOKUP(G141,{0,123,128,133,138,143,148,151,154,157,160,163,166,169,172,175,178,185,192,198,204},{0,10,20,30,40,50,60,62,64,66,68,70,72,74,76,78,80,85,90,95,100})</f>
        <v>72</v>
      </c>
      <c r="I141" s="15">
        <v>58</v>
      </c>
      <c r="J141" s="1">
        <f>LOOKUP(I141,{0,13,15,17,19,21,23,25,27,29,31,33,35,37,39,41,43,46,49,51,53},{0,10,20,30,40,50,60,62,64,66,68,70,72,74,76,78,80,85,90,95,100})</f>
        <v>100</v>
      </c>
      <c r="K141" s="20">
        <f>I141-53</f>
        <v>5</v>
      </c>
      <c r="L141" s="1">
        <f>LOOKUP(K141,{0,2,4,6,7,8,9,10,11,12,13},{0,1,2,3,4,5,6,7,8,9,10})</f>
        <v>2</v>
      </c>
      <c r="M141" s="21">
        <f t="shared" si="73"/>
        <v>102</v>
      </c>
      <c r="N141" s="15">
        <v>8.6</v>
      </c>
      <c r="O141" s="19">
        <f t="shared" si="74"/>
        <v>4.4</v>
      </c>
      <c r="P141" s="1">
        <f>LOOKUP(O141,{0,1.4,1.6,1.8,2,2.2,2.4,2.6,2.8,3,3.2,3.4,3.6,3.8,4,4.2,4.4,4.7,5,5.1,5.2},{0,10,20,30,40,50,60,62,64,66,68,70,72,74,76,78,80,85,90,95,100})</f>
        <v>80</v>
      </c>
      <c r="Q141" s="15">
        <v>3.59</v>
      </c>
      <c r="R141" s="15">
        <f t="shared" si="75"/>
        <v>6.41</v>
      </c>
      <c r="S141" s="1">
        <f>LOOKUP(R141,{0,4.7,4.8,4.9,5,5.5,5.6,5.65,5.7,5.75,5.8,5.85,5.9,5.95,6,6.45,6.5,6.57,6.64,6.7,6.76},{0,10,20,30,40,50,60,62,64,66,68,70,72,74,76,78,80,85,90,95,100})</f>
        <v>76</v>
      </c>
      <c r="T141" s="20"/>
      <c r="U141" s="20"/>
      <c r="V141" s="21">
        <f t="shared" si="76"/>
        <v>76</v>
      </c>
      <c r="W141" s="15"/>
      <c r="X141" s="21">
        <f t="shared" si="77"/>
        <v>55.8</v>
      </c>
      <c r="Y141" s="21">
        <f t="shared" si="78"/>
        <v>81.7142857142857</v>
      </c>
    </row>
    <row r="142" ht="15.6" hidden="1" outlineLevel="2" spans="1:25">
      <c r="A142" s="15">
        <v>109</v>
      </c>
      <c r="B142" s="15">
        <v>40</v>
      </c>
      <c r="C142" s="14" t="s">
        <v>449</v>
      </c>
      <c r="D142" s="14" t="s">
        <v>46</v>
      </c>
      <c r="E142" s="15">
        <v>24.4</v>
      </c>
      <c r="F142" s="1">
        <f>LOOKUP(E142,{0,0.4,1.2,2,2.8,3.6,4.4,5.7,7,8.3,9.6,10.9,12.2,13.5,14.8,16.1,17.4,19.1,20.8,22.5,24.2},{0,10,20,30,40,50,60,62,64,66,68,70,72,74,76,78,80,85,90,95,100})</f>
        <v>100</v>
      </c>
      <c r="G142" s="15">
        <v>195</v>
      </c>
      <c r="H142" s="1">
        <f>LOOKUP(G142,{0,123,128,133,138,143,148,151,154,157,160,163,166,169,172,175,178,185,192,198,204},{0,10,20,30,40,50,60,62,64,66,68,70,72,74,76,78,80,85,90,95,100})</f>
        <v>90</v>
      </c>
      <c r="I142" s="15">
        <v>39</v>
      </c>
      <c r="J142" s="1">
        <f>LOOKUP(I142,{0,13,15,17,19,21,23,25,27,29,31,33,35,37,39,41,43,46,49,51,53},{0,10,20,30,40,50,60,62,64,66,68,70,72,74,76,78,80,85,90,95,100})</f>
        <v>76</v>
      </c>
      <c r="K142" s="20"/>
      <c r="L142" s="20"/>
      <c r="M142" s="21">
        <f t="shared" si="73"/>
        <v>76</v>
      </c>
      <c r="N142" s="15">
        <v>8.5</v>
      </c>
      <c r="O142" s="19">
        <f t="shared" si="74"/>
        <v>4.5</v>
      </c>
      <c r="P142" s="1">
        <f>LOOKUP(O142,{0,1.4,1.6,1.8,2,2.2,2.4,2.6,2.8,3,3.2,3.4,3.6,3.8,4,4.2,4.4,4.7,5,5.1,5.2},{0,10,20,30,40,50,60,62,64,66,68,70,72,74,76,78,80,85,90,95,100})</f>
        <v>80</v>
      </c>
      <c r="Q142" s="15">
        <v>3.56</v>
      </c>
      <c r="R142" s="15">
        <f t="shared" si="75"/>
        <v>6.44</v>
      </c>
      <c r="S142" s="1">
        <f>LOOKUP(R142,{0,4.7,4.8,4.9,5,5.5,5.6,5.65,5.7,5.75,5.8,5.85,5.9,5.95,6,6.45,6.5,6.57,6.64,6.7,6.76},{0,10,20,30,40,50,60,62,64,66,68,70,72,74,76,78,80,85,90,95,100})</f>
        <v>76</v>
      </c>
      <c r="T142" s="20"/>
      <c r="U142" s="20"/>
      <c r="V142" s="21">
        <f t="shared" si="76"/>
        <v>76</v>
      </c>
      <c r="W142" s="15"/>
      <c r="X142" s="21">
        <f t="shared" si="77"/>
        <v>57.8</v>
      </c>
      <c r="Y142" s="21">
        <f t="shared" si="78"/>
        <v>82.5714285714286</v>
      </c>
    </row>
    <row r="143" ht="15.6" hidden="1" outlineLevel="2" spans="1:25">
      <c r="A143" s="15">
        <v>109</v>
      </c>
      <c r="B143" s="15">
        <v>41</v>
      </c>
      <c r="C143" s="14" t="s">
        <v>450</v>
      </c>
      <c r="D143" s="14" t="s">
        <v>46</v>
      </c>
      <c r="E143" s="15">
        <v>23</v>
      </c>
      <c r="F143" s="1">
        <f>LOOKUP(E143,{0,0.4,1.2,2,2.8,3.6,4.4,5.7,7,8.3,9.6,10.9,12.2,13.5,14.8,16.1,17.4,19.1,20.8,22.5,24.2},{0,10,20,30,40,50,60,62,64,66,68,70,72,74,76,78,80,85,90,95,100})</f>
        <v>95</v>
      </c>
      <c r="G143" s="15">
        <v>190</v>
      </c>
      <c r="H143" s="1">
        <f>LOOKUP(G143,{0,123,128,133,138,143,148,151,154,157,160,163,166,169,172,175,178,185,192,198,204},{0,10,20,30,40,50,60,62,64,66,68,70,72,74,76,78,80,85,90,95,100})</f>
        <v>85</v>
      </c>
      <c r="I143" s="15">
        <v>49</v>
      </c>
      <c r="J143" s="1">
        <f>LOOKUP(I143,{0,13,15,17,19,21,23,25,27,29,31,33,35,37,39,41,43,46,49,51,53},{0,10,20,30,40,50,60,62,64,66,68,70,72,74,76,78,80,85,90,95,100})</f>
        <v>90</v>
      </c>
      <c r="K143" s="20"/>
      <c r="L143" s="20"/>
      <c r="M143" s="21">
        <f t="shared" si="73"/>
        <v>90</v>
      </c>
      <c r="N143" s="15">
        <v>8.9</v>
      </c>
      <c r="O143" s="19">
        <f t="shared" si="74"/>
        <v>4.1</v>
      </c>
      <c r="P143" s="1">
        <f>LOOKUP(O143,{0,1.4,1.6,1.8,2,2.2,2.4,2.6,2.8,3,3.2,3.4,3.6,3.8,4,4.2,4.4,4.7,5,5.1,5.2},{0,10,20,30,40,50,60,62,64,66,68,70,72,74,76,78,80,85,90,95,100})</f>
        <v>76</v>
      </c>
      <c r="Q143" s="15">
        <v>3.34</v>
      </c>
      <c r="R143" s="15">
        <f t="shared" si="75"/>
        <v>6.66</v>
      </c>
      <c r="S143" s="1">
        <f>LOOKUP(R143,{0,4.7,4.8,4.9,5,5.5,5.6,5.65,5.7,5.75,5.8,5.85,5.9,5.95,6,6.45,6.5,6.57,6.64,6.7,6.76},{0,10,20,30,40,50,60,62,64,66,68,70,72,74,76,78,80,85,90,95,100})</f>
        <v>90</v>
      </c>
      <c r="T143" s="20"/>
      <c r="U143" s="20"/>
      <c r="V143" s="21">
        <f t="shared" si="76"/>
        <v>90</v>
      </c>
      <c r="W143" s="15"/>
      <c r="X143" s="21">
        <f t="shared" si="77"/>
        <v>60.2</v>
      </c>
      <c r="Y143" s="21">
        <f t="shared" si="78"/>
        <v>86</v>
      </c>
    </row>
    <row r="144" ht="15.6" hidden="1" outlineLevel="2" spans="1:25">
      <c r="A144" s="15">
        <v>109</v>
      </c>
      <c r="B144" s="15">
        <v>42</v>
      </c>
      <c r="C144" s="14" t="s">
        <v>451</v>
      </c>
      <c r="D144" s="14" t="s">
        <v>46</v>
      </c>
      <c r="E144" s="15">
        <v>9.4</v>
      </c>
      <c r="F144" s="1">
        <f>LOOKUP(E144,{0,0.4,1.2,2,2.8,3.6,4.4,5.7,7,8.3,9.6,10.9,12.2,13.5,14.8,16.1,17.4,19.1,20.8,22.5,24.2},{0,10,20,30,40,50,60,62,64,66,68,70,72,74,76,78,80,85,90,95,100})</f>
        <v>66</v>
      </c>
      <c r="G144" s="15">
        <v>181</v>
      </c>
      <c r="H144" s="1">
        <f>LOOKUP(G144,{0,123,128,133,138,143,148,151,154,157,160,163,166,169,172,175,178,185,192,198,204},{0,10,20,30,40,50,60,62,64,66,68,70,72,74,76,78,80,85,90,95,100})</f>
        <v>80</v>
      </c>
      <c r="I144" s="15">
        <v>48</v>
      </c>
      <c r="J144" s="1">
        <f>LOOKUP(I144,{0,13,15,17,19,21,23,25,27,29,31,33,35,37,39,41,43,46,49,51,53},{0,10,20,30,40,50,60,62,64,66,68,70,72,74,76,78,80,85,90,95,100})</f>
        <v>85</v>
      </c>
      <c r="K144" s="20"/>
      <c r="L144" s="20"/>
      <c r="M144" s="21">
        <f t="shared" si="73"/>
        <v>85</v>
      </c>
      <c r="N144" s="15">
        <v>8.6</v>
      </c>
      <c r="O144" s="19">
        <f t="shared" si="74"/>
        <v>4.4</v>
      </c>
      <c r="P144" s="1">
        <f>LOOKUP(O144,{0,1.4,1.6,1.8,2,2.2,2.4,2.6,2.8,3,3.2,3.4,3.6,3.8,4,4.2,4.4,4.7,5,5.1,5.2},{0,10,20,30,40,50,60,62,64,66,68,70,72,74,76,78,80,85,90,95,100})</f>
        <v>80</v>
      </c>
      <c r="Q144" s="15">
        <v>3.52</v>
      </c>
      <c r="R144" s="15">
        <f t="shared" si="75"/>
        <v>6.48</v>
      </c>
      <c r="S144" s="1">
        <f>LOOKUP(R144,{0,4.7,4.8,4.9,5,5.5,5.6,5.65,5.7,5.75,5.8,5.85,5.9,5.95,6,6.45,6.5,6.57,6.64,6.7,6.76},{0,10,20,30,40,50,60,62,64,66,68,70,72,74,76,78,80,85,90,95,100})</f>
        <v>78</v>
      </c>
      <c r="T144" s="20"/>
      <c r="U144" s="20"/>
      <c r="V144" s="21">
        <f t="shared" si="76"/>
        <v>78</v>
      </c>
      <c r="W144" s="15"/>
      <c r="X144" s="21">
        <f t="shared" si="77"/>
        <v>54.7</v>
      </c>
      <c r="Y144" s="21">
        <f t="shared" si="78"/>
        <v>78.1428571428572</v>
      </c>
    </row>
    <row r="145" ht="15.6" hidden="1" outlineLevel="2" spans="1:25">
      <c r="A145" s="15">
        <v>109</v>
      </c>
      <c r="B145" s="15">
        <v>43</v>
      </c>
      <c r="C145" s="14" t="s">
        <v>452</v>
      </c>
      <c r="D145" s="14" t="s">
        <v>46</v>
      </c>
      <c r="E145" s="15">
        <v>20</v>
      </c>
      <c r="F145" s="1">
        <f>LOOKUP(E145,{0,0.4,1.2,2,2.8,3.6,4.4,5.7,7,8.3,9.6,10.9,12.2,13.5,14.8,16.1,17.4,19.1,20.8,22.5,24.2},{0,10,20,30,40,50,60,62,64,66,68,70,72,74,76,78,80,85,90,95,100})</f>
        <v>85</v>
      </c>
      <c r="G145" s="15">
        <v>157</v>
      </c>
      <c r="H145" s="1">
        <f>LOOKUP(G145,{0,123,128,133,138,143,148,151,154,157,160,163,166,169,172,175,178,185,192,198,204},{0,10,20,30,40,50,60,62,64,66,68,70,72,74,76,78,80,85,90,95,100})</f>
        <v>66</v>
      </c>
      <c r="I145" s="15">
        <v>44</v>
      </c>
      <c r="J145" s="1">
        <f>LOOKUP(I145,{0,13,15,17,19,21,23,25,27,29,31,33,35,37,39,41,43,46,49,51,53},{0,10,20,30,40,50,60,62,64,66,68,70,72,74,76,78,80,85,90,95,100})</f>
        <v>80</v>
      </c>
      <c r="K145" s="20"/>
      <c r="L145" s="20"/>
      <c r="M145" s="21">
        <f t="shared" si="73"/>
        <v>80</v>
      </c>
      <c r="N145" s="15">
        <v>9.1</v>
      </c>
      <c r="O145" s="19">
        <f t="shared" si="74"/>
        <v>3.9</v>
      </c>
      <c r="P145" s="1">
        <f>LOOKUP(O145,{0,1.4,1.6,1.8,2,2.2,2.4,2.6,2.8,3,3.2,3.4,3.6,3.8,4,4.2,4.4,4.7,5,5.1,5.2},{0,10,20,30,40,50,60,62,64,66,68,70,72,74,76,78,80,85,90,95,100})</f>
        <v>74</v>
      </c>
      <c r="Q145" s="15">
        <v>3.5</v>
      </c>
      <c r="R145" s="15">
        <f t="shared" si="75"/>
        <v>6.5</v>
      </c>
      <c r="S145" s="1">
        <f>LOOKUP(R145,{0,4.7,4.8,4.9,5,5.5,5.6,5.65,5.7,5.75,5.8,5.85,5.9,5.95,6,6.45,6.5,6.57,6.64,6.7,6.76},{0,10,20,30,40,50,60,62,64,66,68,70,72,74,76,78,80,85,90,95,100})</f>
        <v>80</v>
      </c>
      <c r="T145" s="20"/>
      <c r="U145" s="20"/>
      <c r="V145" s="21">
        <f t="shared" si="76"/>
        <v>80</v>
      </c>
      <c r="W145" s="15"/>
      <c r="X145" s="21">
        <f t="shared" si="77"/>
        <v>53.9</v>
      </c>
      <c r="Y145" s="21">
        <f t="shared" si="78"/>
        <v>77</v>
      </c>
    </row>
    <row r="146" ht="15.6" hidden="1" outlineLevel="2" spans="1:25">
      <c r="A146" s="15">
        <v>109</v>
      </c>
      <c r="B146" s="15">
        <v>44</v>
      </c>
      <c r="C146" s="14" t="s">
        <v>453</v>
      </c>
      <c r="D146" s="14" t="s">
        <v>46</v>
      </c>
      <c r="E146" s="15">
        <v>15.8</v>
      </c>
      <c r="F146" s="1">
        <f>LOOKUP(E146,{0,0.4,1.2,2,2.8,3.6,4.4,5.7,7,8.3,9.6,10.9,12.2,13.5,14.8,16.1,17.4,19.1,20.8,22.5,24.2},{0,10,20,30,40,50,60,62,64,66,68,70,72,74,76,78,80,85,90,95,100})</f>
        <v>76</v>
      </c>
      <c r="G146" s="15">
        <v>180</v>
      </c>
      <c r="H146" s="1">
        <f>LOOKUP(G146,{0,123,128,133,138,143,148,151,154,157,160,163,166,169,172,175,178,185,192,198,204},{0,10,20,30,40,50,60,62,64,66,68,70,72,74,76,78,80,85,90,95,100})</f>
        <v>80</v>
      </c>
      <c r="I146" s="15">
        <v>46</v>
      </c>
      <c r="J146" s="1">
        <f>LOOKUP(I146,{0,13,15,17,19,21,23,25,27,29,31,33,35,37,39,41,43,46,49,51,53},{0,10,20,30,40,50,60,62,64,66,68,70,72,74,76,78,80,85,90,95,100})</f>
        <v>85</v>
      </c>
      <c r="K146" s="20"/>
      <c r="L146" s="20"/>
      <c r="M146" s="21">
        <f t="shared" si="73"/>
        <v>85</v>
      </c>
      <c r="N146" s="15">
        <v>8.5</v>
      </c>
      <c r="O146" s="19">
        <f t="shared" si="74"/>
        <v>4.5</v>
      </c>
      <c r="P146" s="1">
        <f>LOOKUP(O146,{0,1.4,1.6,1.8,2,2.2,2.4,2.6,2.8,3,3.2,3.4,3.6,3.8,4,4.2,4.4,4.7,5,5.1,5.2},{0,10,20,30,40,50,60,62,64,66,68,70,72,74,76,78,80,85,90,95,100})</f>
        <v>80</v>
      </c>
      <c r="Q146" s="15">
        <v>3.46</v>
      </c>
      <c r="R146" s="15">
        <f t="shared" si="75"/>
        <v>6.54</v>
      </c>
      <c r="S146" s="1">
        <f>LOOKUP(R146,{0,4.7,4.8,4.9,5,5.5,5.6,5.65,5.7,5.75,5.8,5.85,5.9,5.95,6,6.45,6.5,6.57,6.64,6.7,6.76},{0,10,20,30,40,50,60,62,64,66,68,70,72,74,76,78,80,85,90,95,100})</f>
        <v>80</v>
      </c>
      <c r="T146" s="20"/>
      <c r="U146" s="20"/>
      <c r="V146" s="21">
        <f t="shared" si="76"/>
        <v>80</v>
      </c>
      <c r="W146" s="15"/>
      <c r="X146" s="21">
        <f t="shared" si="77"/>
        <v>56.1</v>
      </c>
      <c r="Y146" s="21">
        <f t="shared" si="78"/>
        <v>80.1428571428572</v>
      </c>
    </row>
    <row r="147" ht="15.6" hidden="1" outlineLevel="2" spans="1:25">
      <c r="A147" s="15">
        <v>109</v>
      </c>
      <c r="B147" s="15">
        <v>45</v>
      </c>
      <c r="C147" s="14" t="s">
        <v>454</v>
      </c>
      <c r="D147" s="14" t="s">
        <v>46</v>
      </c>
      <c r="E147" s="15">
        <v>25.3</v>
      </c>
      <c r="F147" s="1">
        <f>LOOKUP(E147,{0,0.4,1.2,2,2.8,3.6,4.4,5.7,7,8.3,9.6,10.9,12.2,13.5,14.8,16.1,17.4,19.1,20.8,22.5,24.2},{0,10,20,30,40,50,60,62,64,66,68,70,72,74,76,78,80,85,90,95,100})</f>
        <v>100</v>
      </c>
      <c r="G147" s="15">
        <v>145</v>
      </c>
      <c r="H147" s="1">
        <f>LOOKUP(G147,{0,123,128,133,138,143,148,151,154,157,160,163,166,169,172,175,178,185,192,198,204},{0,10,20,30,40,50,60,62,64,66,68,70,72,74,76,78,80,85,90,95,100})</f>
        <v>50</v>
      </c>
      <c r="I147" s="15">
        <v>49</v>
      </c>
      <c r="J147" s="1">
        <f>LOOKUP(I147,{0,13,15,17,19,21,23,25,27,29,31,33,35,37,39,41,43,46,49,51,53},{0,10,20,30,40,50,60,62,64,66,68,70,72,74,76,78,80,85,90,95,100})</f>
        <v>90</v>
      </c>
      <c r="K147" s="20"/>
      <c r="L147" s="20"/>
      <c r="M147" s="21">
        <f t="shared" si="73"/>
        <v>90</v>
      </c>
      <c r="N147" s="15">
        <v>9.4</v>
      </c>
      <c r="O147" s="19">
        <f t="shared" si="74"/>
        <v>3.6</v>
      </c>
      <c r="P147" s="1">
        <f>LOOKUP(O147,{0,1.4,1.6,1.8,2,2.2,2.4,2.6,2.8,3,3.2,3.4,3.6,3.8,4,4.2,4.4,4.7,5,5.1,5.2},{0,10,20,30,40,50,60,62,64,66,68,70,72,74,76,78,80,85,90,95,100})</f>
        <v>72</v>
      </c>
      <c r="Q147" s="15">
        <v>4.02</v>
      </c>
      <c r="R147" s="15">
        <f t="shared" si="75"/>
        <v>5.98</v>
      </c>
      <c r="S147" s="1">
        <f>LOOKUP(R147,{0,4.7,4.8,4.9,5,5.5,5.6,5.65,5.7,5.75,5.8,5.85,5.9,5.95,6,6.45,6.5,6.57,6.64,6.7,6.76},{0,10,20,30,40,50,60,62,64,66,68,70,72,74,76,78,80,85,90,95,100})</f>
        <v>74</v>
      </c>
      <c r="T147" s="20"/>
      <c r="U147" s="20"/>
      <c r="V147" s="21">
        <f t="shared" si="76"/>
        <v>74</v>
      </c>
      <c r="W147" s="15"/>
      <c r="X147" s="21">
        <f t="shared" si="77"/>
        <v>53.2</v>
      </c>
      <c r="Y147" s="21">
        <f t="shared" si="78"/>
        <v>76</v>
      </c>
    </row>
    <row r="148" ht="15.6" hidden="1" outlineLevel="2" spans="1:25">
      <c r="A148" s="15">
        <v>109</v>
      </c>
      <c r="B148" s="15">
        <v>46</v>
      </c>
      <c r="C148" s="14" t="s">
        <v>455</v>
      </c>
      <c r="D148" s="14" t="s">
        <v>46</v>
      </c>
      <c r="E148" s="15">
        <v>12</v>
      </c>
      <c r="F148" s="1">
        <f>LOOKUP(E148,{0,0.4,1.2,2,2.8,3.6,4.4,5.7,7,8.3,9.6,10.9,12.2,13.5,14.8,16.1,17.4,19.1,20.8,22.5,24.2},{0,10,20,30,40,50,60,62,64,66,68,70,72,74,76,78,80,85,90,95,100})</f>
        <v>70</v>
      </c>
      <c r="G148" s="15">
        <v>160</v>
      </c>
      <c r="H148" s="1">
        <f>LOOKUP(G148,{0,123,128,133,138,143,148,151,154,157,160,163,166,169,172,175,178,185,192,198,204},{0,10,20,30,40,50,60,62,64,66,68,70,72,74,76,78,80,85,90,95,100})</f>
        <v>68</v>
      </c>
      <c r="I148" s="15">
        <v>48</v>
      </c>
      <c r="J148" s="1">
        <f>LOOKUP(I148,{0,13,15,17,19,21,23,25,27,29,31,33,35,37,39,41,43,46,49,51,53},{0,10,20,30,40,50,60,62,64,66,68,70,72,74,76,78,80,85,90,95,100})</f>
        <v>85</v>
      </c>
      <c r="K148" s="20"/>
      <c r="L148" s="20"/>
      <c r="M148" s="21">
        <f t="shared" si="73"/>
        <v>85</v>
      </c>
      <c r="N148" s="15">
        <v>9.6</v>
      </c>
      <c r="O148" s="19">
        <f t="shared" si="74"/>
        <v>3.4</v>
      </c>
      <c r="P148" s="1">
        <f>LOOKUP(O148,{0,1.4,1.6,1.8,2,2.2,2.4,2.6,2.8,3,3.2,3.4,3.6,3.8,4,4.2,4.4,4.7,5,5.1,5.2},{0,10,20,30,40,50,60,62,64,66,68,70,72,74,76,78,80,85,90,95,100})</f>
        <v>70</v>
      </c>
      <c r="Q148" s="15">
        <v>4.3</v>
      </c>
      <c r="R148" s="15">
        <f t="shared" si="75"/>
        <v>5.7</v>
      </c>
      <c r="S148" s="1">
        <f>LOOKUP(R148,{0,4.7,4.8,4.9,5,5.5,5.6,5.65,5.7,5.75,5.8,5.85,5.9,5.95,6,6.45,6.5,6.57,6.64,6.7,6.76},{0,10,20,30,40,50,60,62,64,66,68,70,72,74,76,78,80,85,90,95,100})</f>
        <v>64</v>
      </c>
      <c r="T148" s="20"/>
      <c r="U148" s="20"/>
      <c r="V148" s="21">
        <f t="shared" si="76"/>
        <v>64</v>
      </c>
      <c r="W148" s="15"/>
      <c r="X148" s="21">
        <f t="shared" si="77"/>
        <v>49.1</v>
      </c>
      <c r="Y148" s="21">
        <f t="shared" si="78"/>
        <v>70.1428571428571</v>
      </c>
    </row>
    <row r="149" ht="15.6" hidden="1" outlineLevel="2" spans="1:25">
      <c r="A149" s="15">
        <v>109</v>
      </c>
      <c r="B149" s="15">
        <v>47</v>
      </c>
      <c r="C149" s="14" t="s">
        <v>456</v>
      </c>
      <c r="D149" s="14" t="s">
        <v>46</v>
      </c>
      <c r="E149" s="15">
        <v>13.9</v>
      </c>
      <c r="F149" s="1">
        <f>LOOKUP(E149,{0,0.4,1.2,2,2.8,3.6,4.4,5.7,7,8.3,9.6,10.9,12.2,13.5,14.8,16.1,17.4,19.1,20.8,22.5,24.2},{0,10,20,30,40,50,60,62,64,66,68,70,72,74,76,78,80,85,90,95,100})</f>
        <v>74</v>
      </c>
      <c r="G149" s="15">
        <v>175</v>
      </c>
      <c r="H149" s="1">
        <f>LOOKUP(G149,{0,123,128,133,138,143,148,151,154,157,160,163,166,169,172,175,178,185,192,198,204},{0,10,20,30,40,50,60,62,64,66,68,70,72,74,76,78,80,85,90,95,100})</f>
        <v>78</v>
      </c>
      <c r="I149" s="15">
        <v>53</v>
      </c>
      <c r="J149" s="1">
        <f>LOOKUP(I149,{0,13,15,17,19,21,23,25,27,29,31,33,35,37,39,41,43,46,49,51,53},{0,10,20,30,40,50,60,62,64,66,68,70,72,74,76,78,80,85,90,95,100})</f>
        <v>100</v>
      </c>
      <c r="K149" s="20">
        <f>I149-53</f>
        <v>0</v>
      </c>
      <c r="L149" s="1">
        <f>LOOKUP(K149,{0,2,4,6,7,8,9,10,11,12,13},{0,1,2,3,4,5,6,7,8,9,10})</f>
        <v>0</v>
      </c>
      <c r="M149" s="21">
        <f t="shared" si="73"/>
        <v>100</v>
      </c>
      <c r="N149" s="15">
        <v>7.9</v>
      </c>
      <c r="O149" s="19">
        <f t="shared" si="74"/>
        <v>5.1</v>
      </c>
      <c r="P149" s="1">
        <f>LOOKUP(O149,{0,1.4,1.6,1.8,2,2.2,2.4,2.6,2.8,3,3.2,3.4,3.6,3.8,4,4.2,4.4,4.7,5,5.1,5.2},{0,10,20,30,40,50,60,62,64,66,68,70,72,74,76,78,80,85,90,95,100})</f>
        <v>95</v>
      </c>
      <c r="Q149" s="15">
        <v>3.11</v>
      </c>
      <c r="R149" s="15">
        <f t="shared" si="75"/>
        <v>6.89</v>
      </c>
      <c r="S149" s="1">
        <f>LOOKUP(R149,{0,4.7,4.8,4.9,5,5.5,5.6,5.65,5.7,5.75,5.8,5.85,5.9,5.95,6,6.45,6.5,6.57,6.64,6.7,6.76},{0,10,20,30,40,50,60,62,64,66,68,70,72,74,76,78,80,85,90,95,100})</f>
        <v>100</v>
      </c>
      <c r="T149" s="24">
        <f>3.24-Q149</f>
        <v>0.13</v>
      </c>
      <c r="U149" s="1">
        <f>LOOKUP(T149,{0,0.05,0.1,0.15,0.2,0.25,0.3,0.35,0.4,0.45,0.5},{0,1,2,3,4,5,6,7,8,9,10})</f>
        <v>2</v>
      </c>
      <c r="V149" s="21">
        <f t="shared" si="76"/>
        <v>102</v>
      </c>
      <c r="W149" s="15"/>
      <c r="X149" s="21">
        <f t="shared" si="77"/>
        <v>64.2</v>
      </c>
      <c r="Y149" s="21">
        <f t="shared" si="78"/>
        <v>93.7142857142857</v>
      </c>
    </row>
    <row r="150" s="3" customFormat="1" ht="15.6" hidden="1" outlineLevel="2" spans="1:25">
      <c r="A150" s="15">
        <v>109</v>
      </c>
      <c r="B150" s="15">
        <v>48</v>
      </c>
      <c r="C150" s="8" t="s">
        <v>457</v>
      </c>
      <c r="D150" s="8" t="s">
        <v>46</v>
      </c>
      <c r="E150" s="15">
        <v>24.5</v>
      </c>
      <c r="F150" s="1">
        <f>LOOKUP(E150,{0,0.4,1.2,2,2.8,3.6,4.4,5.7,7,8.3,9.6,10.9,12.2,13.5,14.8,16.1,17.4,19.1,20.8,22.5,24.2},{0,10,20,30,40,50,60,62,64,66,68,70,72,74,76,78,80,85,90,95,100})</f>
        <v>100</v>
      </c>
      <c r="G150" s="15">
        <v>160</v>
      </c>
      <c r="H150" s="1">
        <f>LOOKUP(G150,{0,123,128,133,138,143,148,151,154,157,160,163,166,169,172,175,178,185,192,198,204},{0,10,20,30,40,50,60,62,64,66,68,70,72,74,76,78,80,85,90,95,100})</f>
        <v>68</v>
      </c>
      <c r="I150" s="15">
        <v>37</v>
      </c>
      <c r="J150" s="1">
        <f>LOOKUP(I150,{0,13,15,17,19,21,23,25,27,29,31,33,35,37,39,41,43,46,49,51,53},{0,10,20,30,40,50,60,62,64,66,68,70,72,74,76,78,80,85,90,95,100})</f>
        <v>74</v>
      </c>
      <c r="K150" s="20"/>
      <c r="L150" s="20"/>
      <c r="M150" s="21">
        <f t="shared" si="73"/>
        <v>74</v>
      </c>
      <c r="N150" s="15">
        <v>9.3</v>
      </c>
      <c r="O150" s="19">
        <f t="shared" si="74"/>
        <v>3.7</v>
      </c>
      <c r="P150" s="1">
        <f>LOOKUP(O150,{0,1.4,1.6,1.8,2,2.2,2.4,2.6,2.8,3,3.2,3.4,3.6,3.8,4,4.2,4.4,4.7,5,5.1,5.2},{0,10,20,30,40,50,60,62,64,66,68,70,72,74,76,78,80,85,90,95,100})</f>
        <v>72</v>
      </c>
      <c r="Q150" s="15">
        <v>4.23</v>
      </c>
      <c r="R150" s="15">
        <f t="shared" si="75"/>
        <v>5.77</v>
      </c>
      <c r="S150" s="1">
        <f>LOOKUP(R150,{0,4.7,4.8,4.9,5,5.5,5.6,5.65,5.7,5.75,5.8,5.85,5.9,5.95,6,6.45,6.5,6.57,6.64,6.7,6.76},{0,10,20,30,40,50,60,62,64,66,68,70,72,74,76,78,80,85,90,95,100})</f>
        <v>66</v>
      </c>
      <c r="T150" s="20"/>
      <c r="U150" s="20"/>
      <c r="V150" s="21">
        <f t="shared" si="76"/>
        <v>66</v>
      </c>
      <c r="W150" s="15"/>
      <c r="X150" s="21">
        <f t="shared" si="77"/>
        <v>51.8</v>
      </c>
      <c r="Y150" s="21">
        <f t="shared" si="78"/>
        <v>74</v>
      </c>
    </row>
    <row r="151" s="3" customFormat="1" ht="15.6" outlineLevel="1" collapsed="1" spans="1:25">
      <c r="A151" s="16" t="s">
        <v>850</v>
      </c>
      <c r="B151" s="15"/>
      <c r="C151" s="8"/>
      <c r="D151" s="8"/>
      <c r="E151" s="15"/>
      <c r="F151" s="1">
        <f>SUBTOTAL(1,F132:F150)</f>
        <v>80.0526315789474</v>
      </c>
      <c r="G151" s="15"/>
      <c r="H151" s="1">
        <f>SUBTOTAL(1,H132:H150)</f>
        <v>76.5263157894737</v>
      </c>
      <c r="I151" s="15"/>
      <c r="J151" s="1">
        <f>SUBTOTAL(1,J132:J150)</f>
        <v>85.5789473684211</v>
      </c>
      <c r="K151" s="20"/>
      <c r="L151" s="20"/>
      <c r="M151" s="21">
        <f>SUBTOTAL(1,M132:M150)</f>
        <v>85.6842105263158</v>
      </c>
      <c r="N151" s="15"/>
      <c r="O151" s="19"/>
      <c r="P151" s="1">
        <f>SUBTOTAL(1,P132:P150)</f>
        <v>76.6315789473684</v>
      </c>
      <c r="Q151" s="15"/>
      <c r="R151" s="15"/>
      <c r="S151" s="1">
        <f>SUBTOTAL(1,S132:S150)</f>
        <v>80.6315789473684</v>
      </c>
      <c r="T151" s="20"/>
      <c r="U151" s="20"/>
      <c r="V151" s="21">
        <f>SUBTOTAL(1,V132:V150)</f>
        <v>80.8421052631579</v>
      </c>
      <c r="W151" s="15"/>
      <c r="X151" s="21">
        <f>SUBTOTAL(1,X132:X150)</f>
        <v>55.6684210526316</v>
      </c>
      <c r="Y151" s="21">
        <f>SUBTOTAL(1,Y132:Y150)</f>
        <v>79.8421052631579</v>
      </c>
    </row>
    <row r="152" ht="15.6" hidden="1" outlineLevel="2" spans="1:25">
      <c r="A152" s="15">
        <v>110</v>
      </c>
      <c r="B152" s="15">
        <v>29</v>
      </c>
      <c r="C152" s="13" t="s">
        <v>491</v>
      </c>
      <c r="D152" s="14" t="s">
        <v>46</v>
      </c>
      <c r="E152" s="15">
        <v>18</v>
      </c>
      <c r="F152" s="1">
        <f>LOOKUP(E152,{0,0.4,1.2,2,2.8,3.6,4.4,5.7,7,8.3,9.6,10.9,12.2,13.5,14.8,16.1,17.4,19.1,20.8,22.5,24.2},{0,10,20,30,40,50,60,62,64,66,68,70,72,74,76,78,80,85,90,95,100})</f>
        <v>80</v>
      </c>
      <c r="G152" s="15">
        <v>170</v>
      </c>
      <c r="H152" s="1">
        <f>LOOKUP(G152,{0,123,128,133,138,143,148,151,154,157,160,163,166,169,172,175,178,185,192,198,204},{0,10,20,30,40,50,60,62,64,66,68,70,72,74,76,78,80,85,90,95,100})</f>
        <v>74</v>
      </c>
      <c r="I152" s="15">
        <v>45</v>
      </c>
      <c r="J152" s="1">
        <f>LOOKUP(I152,{0,13,15,17,19,21,23,25,27,29,31,33,35,37,39,41,43,46,49,51,53},{0,10,20,30,40,50,60,62,64,66,68,70,72,74,76,78,80,85,90,95,100})</f>
        <v>80</v>
      </c>
      <c r="K152" s="20"/>
      <c r="L152" s="20"/>
      <c r="M152" s="21">
        <f t="shared" ref="M152:M170" si="79">J152+L152</f>
        <v>80</v>
      </c>
      <c r="N152" s="15">
        <v>8.7</v>
      </c>
      <c r="O152" s="19">
        <f t="shared" ref="O152:O171" si="80">13-N152</f>
        <v>4.3</v>
      </c>
      <c r="P152" s="1">
        <f>LOOKUP(O152,{0,1.4,1.6,1.8,2,2.2,2.4,2.6,2.8,3,3.2,3.4,3.6,3.8,4,4.2,4.4,4.7,5,5.1,5.2},{0,10,20,30,40,50,60,62,64,66,68,70,72,74,76,78,80,85,90,95,100})</f>
        <v>78</v>
      </c>
      <c r="Q152" s="15">
        <v>3.56</v>
      </c>
      <c r="R152" s="15">
        <f t="shared" ref="R152:R156" si="81">10-Q152</f>
        <v>6.44</v>
      </c>
      <c r="S152" s="1">
        <f>LOOKUP(R152,{0,4.7,4.8,4.9,5,5.5,5.6,5.65,5.7,5.75,5.8,5.85,5.9,5.95,6,6.45,6.5,6.57,6.64,6.7,6.76},{0,10,20,30,40,50,60,62,64,66,68,70,72,74,76,78,80,85,90,95,100})</f>
        <v>76</v>
      </c>
      <c r="T152" s="20"/>
      <c r="U152" s="20"/>
      <c r="V152" s="21">
        <f t="shared" ref="V152:V156" si="82">S152+U152</f>
        <v>76</v>
      </c>
      <c r="W152" s="15"/>
      <c r="X152" s="21">
        <f t="shared" ref="X152:X171" si="83">F152*0.1+H152*0.1+J152*0.1+P152*0.2+S152*0.2</f>
        <v>54.2</v>
      </c>
      <c r="Y152" s="21">
        <f t="shared" ref="Y152:Y170" si="84">X152/0.7+L152+U152</f>
        <v>77.4285714285714</v>
      </c>
    </row>
    <row r="153" ht="15.6" hidden="1" outlineLevel="2" spans="1:25">
      <c r="A153" s="15">
        <v>110</v>
      </c>
      <c r="B153" s="15">
        <v>30</v>
      </c>
      <c r="C153" s="14" t="s">
        <v>492</v>
      </c>
      <c r="D153" s="14" t="s">
        <v>46</v>
      </c>
      <c r="E153" s="15">
        <v>17</v>
      </c>
      <c r="F153" s="1">
        <f>LOOKUP(E153,{0,0.4,1.2,2,2.8,3.6,4.4,5.7,7,8.3,9.6,10.9,12.2,13.5,14.8,16.1,17.4,19.1,20.8,22.5,24.2},{0,10,20,30,40,50,60,62,64,66,68,70,72,74,76,78,80,85,90,95,100})</f>
        <v>78</v>
      </c>
      <c r="G153" s="15">
        <v>177</v>
      </c>
      <c r="H153" s="1">
        <f>LOOKUP(G153,{0,123,128,133,138,143,148,151,154,157,160,163,166,169,172,175,178,185,192,198,204},{0,10,20,30,40,50,60,62,64,66,68,70,72,74,76,78,80,85,90,95,100})</f>
        <v>78</v>
      </c>
      <c r="I153" s="15">
        <v>47</v>
      </c>
      <c r="J153" s="1">
        <f>LOOKUP(I153,{0,13,15,17,19,21,23,25,27,29,31,33,35,37,39,41,43,46,49,51,53},{0,10,20,30,40,50,60,62,64,66,68,70,72,74,76,78,80,85,90,95,100})</f>
        <v>85</v>
      </c>
      <c r="K153" s="20"/>
      <c r="L153" s="20"/>
      <c r="M153" s="21">
        <f t="shared" si="79"/>
        <v>85</v>
      </c>
      <c r="N153" s="15">
        <v>8.7</v>
      </c>
      <c r="O153" s="19">
        <f t="shared" si="80"/>
        <v>4.3</v>
      </c>
      <c r="P153" s="1">
        <f>LOOKUP(O153,{0,1.4,1.6,1.8,2,2.2,2.4,2.6,2.8,3,3.2,3.4,3.6,3.8,4,4.2,4.4,4.7,5,5.1,5.2},{0,10,20,30,40,50,60,62,64,66,68,70,72,74,76,78,80,85,90,95,100})</f>
        <v>78</v>
      </c>
      <c r="Q153" s="15">
        <v>3.52</v>
      </c>
      <c r="R153" s="15">
        <f t="shared" si="81"/>
        <v>6.48</v>
      </c>
      <c r="S153" s="1">
        <f>LOOKUP(R153,{0,4.7,4.8,4.9,5,5.5,5.6,5.65,5.7,5.75,5.8,5.85,5.9,5.95,6,6.45,6.5,6.57,6.64,6.7,6.76},{0,10,20,30,40,50,60,62,64,66,68,70,72,74,76,78,80,85,90,95,100})</f>
        <v>78</v>
      </c>
      <c r="T153" s="20"/>
      <c r="U153" s="20"/>
      <c r="V153" s="21">
        <f t="shared" si="82"/>
        <v>78</v>
      </c>
      <c r="W153" s="15"/>
      <c r="X153" s="21">
        <f t="shared" si="83"/>
        <v>55.3</v>
      </c>
      <c r="Y153" s="21">
        <f t="shared" si="84"/>
        <v>79</v>
      </c>
    </row>
    <row r="154" ht="15.6" hidden="1" outlineLevel="2" spans="1:25">
      <c r="A154" s="15">
        <v>110</v>
      </c>
      <c r="B154" s="15">
        <v>31</v>
      </c>
      <c r="C154" s="14" t="s">
        <v>493</v>
      </c>
      <c r="D154" s="14" t="s">
        <v>46</v>
      </c>
      <c r="E154" s="15">
        <v>15</v>
      </c>
      <c r="F154" s="1">
        <f>LOOKUP(E154,{0,0.4,1.2,2,2.8,3.6,4.4,5.7,7,8.3,9.6,10.9,12.2,13.5,14.8,16.1,17.4,19.1,20.8,22.5,24.2},{0,10,20,30,40,50,60,62,64,66,68,70,72,74,76,78,80,85,90,95,100})</f>
        <v>76</v>
      </c>
      <c r="G154" s="15">
        <v>160</v>
      </c>
      <c r="H154" s="1">
        <f>LOOKUP(G154,{0,123,128,133,138,143,148,151,154,157,160,163,166,169,172,175,178,185,192,198,204},{0,10,20,30,40,50,60,62,64,66,68,70,72,74,76,78,80,85,90,95,100})</f>
        <v>68</v>
      </c>
      <c r="I154" s="15">
        <v>44</v>
      </c>
      <c r="J154" s="1">
        <f>LOOKUP(I154,{0,13,15,17,19,21,23,25,27,29,31,33,35,37,39,41,43,46,49,51,53},{0,10,20,30,40,50,60,62,64,66,68,70,72,74,76,78,80,85,90,95,100})</f>
        <v>80</v>
      </c>
      <c r="K154" s="20"/>
      <c r="L154" s="20"/>
      <c r="M154" s="21">
        <f t="shared" si="79"/>
        <v>80</v>
      </c>
      <c r="N154" s="15">
        <v>10.4</v>
      </c>
      <c r="O154" s="19">
        <f t="shared" si="80"/>
        <v>2.6</v>
      </c>
      <c r="P154" s="1">
        <f>LOOKUP(O154,{0,1.4,1.6,1.8,2,2.2,2.4,2.6,2.8,3,3.2,3.4,3.6,3.8,4,4.2,4.4,4.7,5,5.1,5.2},{0,10,20,30,40,50,60,62,64,66,68,70,72,74,76,78,80,85,90,95,100})</f>
        <v>62</v>
      </c>
      <c r="Q154" s="15">
        <v>4.32</v>
      </c>
      <c r="R154" s="15">
        <f t="shared" si="81"/>
        <v>5.68</v>
      </c>
      <c r="S154" s="1">
        <f>LOOKUP(R154,{0,4.7,4.8,4.9,5,5.5,5.6,5.65,5.7,5.75,5.8,5.85,5.9,5.95,6,6.45,6.5,6.57,6.64,6.7,6.76},{0,10,20,30,40,50,60,62,64,66,68,70,72,74,76,78,80,85,90,95,100})</f>
        <v>62</v>
      </c>
      <c r="T154" s="20"/>
      <c r="U154" s="20"/>
      <c r="V154" s="21">
        <f t="shared" si="82"/>
        <v>62</v>
      </c>
      <c r="W154" s="15"/>
      <c r="X154" s="21">
        <f t="shared" si="83"/>
        <v>47.2</v>
      </c>
      <c r="Y154" s="21">
        <f t="shared" si="84"/>
        <v>67.4285714285714</v>
      </c>
    </row>
    <row r="155" ht="15.6" hidden="1" outlineLevel="2" spans="1:25">
      <c r="A155" s="15">
        <v>110</v>
      </c>
      <c r="B155" s="15">
        <v>32</v>
      </c>
      <c r="C155" s="14" t="s">
        <v>494</v>
      </c>
      <c r="D155" s="14" t="s">
        <v>46</v>
      </c>
      <c r="E155" s="15">
        <v>15</v>
      </c>
      <c r="F155" s="1">
        <f>LOOKUP(E155,{0,0.4,1.2,2,2.8,3.6,4.4,5.7,7,8.3,9.6,10.9,12.2,13.5,14.8,16.1,17.4,19.1,20.8,22.5,24.2},{0,10,20,30,40,50,60,62,64,66,68,70,72,74,76,78,80,85,90,95,100})</f>
        <v>76</v>
      </c>
      <c r="G155" s="15">
        <v>169</v>
      </c>
      <c r="H155" s="1">
        <f>LOOKUP(G155,{0,123,128,133,138,143,148,151,154,157,160,163,166,169,172,175,178,185,192,198,204},{0,10,20,30,40,50,60,62,64,66,68,70,72,74,76,78,80,85,90,95,100})</f>
        <v>74</v>
      </c>
      <c r="I155" s="15">
        <v>44</v>
      </c>
      <c r="J155" s="1">
        <f>LOOKUP(I155,{0,13,15,17,19,21,23,25,27,29,31,33,35,37,39,41,43,46,49,51,53},{0,10,20,30,40,50,60,62,64,66,68,70,72,74,76,78,80,85,90,95,100})</f>
        <v>80</v>
      </c>
      <c r="K155" s="20"/>
      <c r="L155" s="20"/>
      <c r="M155" s="21">
        <f t="shared" si="79"/>
        <v>80</v>
      </c>
      <c r="N155" s="15">
        <v>9</v>
      </c>
      <c r="O155" s="19">
        <f t="shared" si="80"/>
        <v>4</v>
      </c>
      <c r="P155" s="1">
        <f>LOOKUP(O155,{0,1.4,1.6,1.8,2,2.2,2.4,2.6,2.8,3,3.2,3.4,3.6,3.8,4,4.2,4.4,4.7,5,5.1,5.2},{0,10,20,30,40,50,60,62,64,66,68,70,72,74,76,78,80,85,90,95,100})</f>
        <v>76</v>
      </c>
      <c r="Q155" s="15">
        <v>4.07</v>
      </c>
      <c r="R155" s="15">
        <f t="shared" si="81"/>
        <v>5.93</v>
      </c>
      <c r="S155" s="1">
        <f>LOOKUP(R155,{0,4.7,4.8,4.9,5,5.5,5.6,5.65,5.7,5.75,5.8,5.85,5.9,5.95,6,6.45,6.5,6.57,6.64,6.7,6.76},{0,10,20,30,40,50,60,62,64,66,68,70,72,74,76,78,80,85,90,95,100})</f>
        <v>72</v>
      </c>
      <c r="T155" s="20"/>
      <c r="U155" s="20"/>
      <c r="V155" s="21">
        <f t="shared" si="82"/>
        <v>72</v>
      </c>
      <c r="W155" s="15"/>
      <c r="X155" s="21">
        <f t="shared" si="83"/>
        <v>52.6</v>
      </c>
      <c r="Y155" s="21">
        <f t="shared" si="84"/>
        <v>75.1428571428572</v>
      </c>
    </row>
    <row r="156" ht="15.6" hidden="1" outlineLevel="2" spans="1:25">
      <c r="A156" s="15">
        <v>110</v>
      </c>
      <c r="B156" s="15">
        <v>33</v>
      </c>
      <c r="C156" s="14" t="s">
        <v>495</v>
      </c>
      <c r="D156" s="14" t="s">
        <v>46</v>
      </c>
      <c r="E156" s="15">
        <v>14</v>
      </c>
      <c r="F156" s="1">
        <f>LOOKUP(E156,{0,0.4,1.2,2,2.8,3.6,4.4,5.7,7,8.3,9.6,10.9,12.2,13.5,14.8,16.1,17.4,19.1,20.8,22.5,24.2},{0,10,20,30,40,50,60,62,64,66,68,70,72,74,76,78,80,85,90,95,100})</f>
        <v>74</v>
      </c>
      <c r="G156" s="15">
        <v>150</v>
      </c>
      <c r="H156" s="1">
        <f>LOOKUP(G156,{0,123,128,133,138,143,148,151,154,157,160,163,166,169,172,175,178,185,192,198,204},{0,10,20,30,40,50,60,62,64,66,68,70,72,74,76,78,80,85,90,95,100})</f>
        <v>60</v>
      </c>
      <c r="I156" s="15">
        <v>32</v>
      </c>
      <c r="J156" s="1">
        <f>LOOKUP(I156,{0,13,15,17,19,21,23,25,27,29,31,33,35,37,39,41,43,46,49,51,53},{0,10,20,30,40,50,60,62,64,66,68,70,72,74,76,78,80,85,90,95,100})</f>
        <v>68</v>
      </c>
      <c r="K156" s="20"/>
      <c r="L156" s="20"/>
      <c r="M156" s="21">
        <f t="shared" si="79"/>
        <v>68</v>
      </c>
      <c r="N156" s="15">
        <v>9.7</v>
      </c>
      <c r="O156" s="19">
        <f t="shared" si="80"/>
        <v>3.3</v>
      </c>
      <c r="P156" s="1">
        <f>LOOKUP(O156,{0,1.4,1.6,1.8,2,2.2,2.4,2.6,2.8,3,3.2,3.4,3.6,3.8,4,4.2,4.4,4.7,5,5.1,5.2},{0,10,20,30,40,50,60,62,64,66,68,70,72,74,76,78,80,85,90,95,100})</f>
        <v>68</v>
      </c>
      <c r="Q156" s="15">
        <v>5.09</v>
      </c>
      <c r="R156" s="15">
        <f t="shared" si="81"/>
        <v>4.91</v>
      </c>
      <c r="S156" s="1">
        <f>LOOKUP(R156,{0,4.7,4.8,4.9,5,5.5,5.6,5.65,5.7,5.75,5.8,5.85,5.9,5.95,6,6.45,6.5,6.57,6.64,6.7,6.76},{0,10,20,30,40,50,60,62,64,66,68,70,72,74,76,78,80,85,90,95,100})</f>
        <v>30</v>
      </c>
      <c r="T156" s="20"/>
      <c r="U156" s="20"/>
      <c r="V156" s="21">
        <f t="shared" si="82"/>
        <v>30</v>
      </c>
      <c r="W156" s="15"/>
      <c r="X156" s="21">
        <f t="shared" si="83"/>
        <v>39.8</v>
      </c>
      <c r="Y156" s="21">
        <f t="shared" si="84"/>
        <v>56.8571428571429</v>
      </c>
    </row>
    <row r="157" s="3" customFormat="1" ht="15.6" hidden="1" outlineLevel="2" spans="1:25">
      <c r="A157" s="15">
        <v>110</v>
      </c>
      <c r="B157" s="15">
        <v>34</v>
      </c>
      <c r="C157" s="14" t="s">
        <v>496</v>
      </c>
      <c r="D157" s="14" t="s">
        <v>46</v>
      </c>
      <c r="E157" s="15">
        <v>21</v>
      </c>
      <c r="F157" s="1">
        <f>LOOKUP(E157,{0,0.4,1.2,2,2.8,3.6,4.4,5.7,7,8.3,9.6,10.9,12.2,13.5,14.8,16.1,17.4,19.1,20.8,22.5,24.2},{0,10,20,30,40,50,60,62,64,66,68,70,72,74,76,78,80,85,90,95,100})</f>
        <v>90</v>
      </c>
      <c r="G157" s="15">
        <v>196</v>
      </c>
      <c r="H157" s="1">
        <f>LOOKUP(G157,{0,123,128,133,138,143,148,151,154,157,160,163,166,169,172,175,178,185,192,198,204},{0,10,20,30,40,50,60,62,64,66,68,70,72,74,76,78,80,85,90,95,100})</f>
        <v>90</v>
      </c>
      <c r="I157" s="15">
        <v>50</v>
      </c>
      <c r="J157" s="1">
        <f>LOOKUP(I157,{0,13,15,17,19,21,23,25,27,29,31,33,35,37,39,41,43,46,49,51,53},{0,10,20,30,40,50,60,62,64,66,68,70,72,74,76,78,80,85,90,95,100})</f>
        <v>90</v>
      </c>
      <c r="K157" s="20"/>
      <c r="L157" s="20"/>
      <c r="M157" s="21">
        <f t="shared" si="79"/>
        <v>90</v>
      </c>
      <c r="N157" s="15">
        <v>8.5</v>
      </c>
      <c r="O157" s="19">
        <f t="shared" si="80"/>
        <v>4.5</v>
      </c>
      <c r="P157" s="1">
        <f>LOOKUP(O157,{0,1.4,1.6,1.8,2,2.2,2.4,2.6,2.8,3,3.2,3.4,3.6,3.8,4,4.2,4.4,4.7,5,5.1,5.2},{0,10,20,30,40,50,60,62,64,66,68,70,72,74,76,78,80,85,90,95,100})</f>
        <v>80</v>
      </c>
      <c r="Q157" s="15"/>
      <c r="R157" s="15"/>
      <c r="S157" s="1"/>
      <c r="T157" s="24"/>
      <c r="U157" s="1"/>
      <c r="V157" s="21"/>
      <c r="W157" s="15" t="s">
        <v>497</v>
      </c>
      <c r="X157" s="21">
        <f t="shared" si="83"/>
        <v>43</v>
      </c>
      <c r="Y157" s="21">
        <f t="shared" si="84"/>
        <v>61.4285714285714</v>
      </c>
    </row>
    <row r="158" ht="15.6" hidden="1" outlineLevel="2" spans="1:25">
      <c r="A158" s="15">
        <v>110</v>
      </c>
      <c r="B158" s="15">
        <v>35</v>
      </c>
      <c r="C158" s="14" t="s">
        <v>498</v>
      </c>
      <c r="D158" s="14" t="s">
        <v>46</v>
      </c>
      <c r="E158" s="15">
        <v>19</v>
      </c>
      <c r="F158" s="1">
        <f>LOOKUP(E158,{0,0.4,1.2,2,2.8,3.6,4.4,5.7,7,8.3,9.6,10.9,12.2,13.5,14.8,16.1,17.4,19.1,20.8,22.5,24.2},{0,10,20,30,40,50,60,62,64,66,68,70,72,74,76,78,80,85,90,95,100})</f>
        <v>80</v>
      </c>
      <c r="G158" s="15">
        <v>153</v>
      </c>
      <c r="H158" s="1">
        <f>LOOKUP(G158,{0,123,128,133,138,143,148,151,154,157,160,163,166,169,172,175,178,185,192,198,204},{0,10,20,30,40,50,60,62,64,66,68,70,72,74,76,78,80,85,90,95,100})</f>
        <v>62</v>
      </c>
      <c r="I158" s="15">
        <v>43</v>
      </c>
      <c r="J158" s="1">
        <f>LOOKUP(I158,{0,13,15,17,19,21,23,25,27,29,31,33,35,37,39,41,43,46,49,51,53},{0,10,20,30,40,50,60,62,64,66,68,70,72,74,76,78,80,85,90,95,100})</f>
        <v>80</v>
      </c>
      <c r="K158" s="20"/>
      <c r="L158" s="20"/>
      <c r="M158" s="21">
        <f t="shared" si="79"/>
        <v>80</v>
      </c>
      <c r="N158" s="15">
        <v>9</v>
      </c>
      <c r="O158" s="19">
        <f t="shared" si="80"/>
        <v>4</v>
      </c>
      <c r="P158" s="1">
        <f>LOOKUP(O158,{0,1.4,1.6,1.8,2,2.2,2.4,2.6,2.8,3,3.2,3.4,3.6,3.8,4,4.2,4.4,4.7,5,5.1,5.2},{0,10,20,30,40,50,60,62,64,66,68,70,72,74,76,78,80,85,90,95,100})</f>
        <v>76</v>
      </c>
      <c r="Q158" s="15">
        <v>3.42</v>
      </c>
      <c r="R158" s="15">
        <f t="shared" ref="R158:R170" si="85">10-Q158</f>
        <v>6.58</v>
      </c>
      <c r="S158" s="1">
        <f>LOOKUP(R158,{0,4.7,4.8,4.9,5,5.5,5.6,5.65,5.7,5.75,5.8,5.85,5.9,5.95,6,6.45,6.5,6.57,6.64,6.7,6.76},{0,10,20,30,40,50,60,62,64,66,68,70,72,74,76,78,80,85,90,95,100})</f>
        <v>85</v>
      </c>
      <c r="T158" s="20"/>
      <c r="U158" s="20"/>
      <c r="V158" s="21">
        <f t="shared" ref="V158:V170" si="86">S158+U158</f>
        <v>85</v>
      </c>
      <c r="W158" s="15"/>
      <c r="X158" s="21">
        <f t="shared" si="83"/>
        <v>54.4</v>
      </c>
      <c r="Y158" s="21">
        <f t="shared" si="84"/>
        <v>77.7142857142857</v>
      </c>
    </row>
    <row r="159" ht="15.6" hidden="1" outlineLevel="2" spans="1:25">
      <c r="A159" s="15">
        <v>110</v>
      </c>
      <c r="B159" s="15">
        <v>36</v>
      </c>
      <c r="C159" s="14" t="s">
        <v>499</v>
      </c>
      <c r="D159" s="14" t="s">
        <v>46</v>
      </c>
      <c r="E159" s="15">
        <v>15</v>
      </c>
      <c r="F159" s="1">
        <f>LOOKUP(E159,{0,0.4,1.2,2,2.8,3.6,4.4,5.7,7,8.3,9.6,10.9,12.2,13.5,14.8,16.1,17.4,19.1,20.8,22.5,24.2},{0,10,20,30,40,50,60,62,64,66,68,70,72,74,76,78,80,85,90,95,100})</f>
        <v>76</v>
      </c>
      <c r="G159" s="15">
        <v>163</v>
      </c>
      <c r="H159" s="1">
        <f>LOOKUP(G159,{0,123,128,133,138,143,148,151,154,157,160,163,166,169,172,175,178,185,192,198,204},{0,10,20,30,40,50,60,62,64,66,68,70,72,74,76,78,80,85,90,95,100})</f>
        <v>70</v>
      </c>
      <c r="I159" s="15">
        <v>53</v>
      </c>
      <c r="J159" s="1">
        <f>LOOKUP(I159,{0,13,15,17,19,21,23,25,27,29,31,33,35,37,39,41,43,46,49,51,53},{0,10,20,30,40,50,60,62,64,66,68,70,72,74,76,78,80,85,90,95,100})</f>
        <v>100</v>
      </c>
      <c r="K159" s="20">
        <f>I159-53</f>
        <v>0</v>
      </c>
      <c r="L159" s="1">
        <f>LOOKUP(K159,{0,2,4,6,7,8,9,10,11,12,13},{0,1,2,3,4,5,6,7,8,9,10})</f>
        <v>0</v>
      </c>
      <c r="M159" s="21">
        <f t="shared" si="79"/>
        <v>100</v>
      </c>
      <c r="N159" s="15">
        <v>8.3</v>
      </c>
      <c r="O159" s="19">
        <f t="shared" si="80"/>
        <v>4.7</v>
      </c>
      <c r="P159" s="1">
        <f>LOOKUP(O159,{0,1.4,1.6,1.8,2,2.2,2.4,2.6,2.8,3,3.2,3.4,3.6,3.8,4,4.2,4.4,4.7,5,5.1,5.2},{0,10,20,30,40,50,60,62,64,66,68,70,72,74,76,78,80,85,90,95,100})</f>
        <v>85</v>
      </c>
      <c r="Q159" s="15">
        <v>3.26</v>
      </c>
      <c r="R159" s="15">
        <f t="shared" si="85"/>
        <v>6.74</v>
      </c>
      <c r="S159" s="1">
        <f>LOOKUP(R159,{0,4.7,4.8,4.9,5,5.5,5.6,5.65,5.7,5.75,5.8,5.85,5.9,5.95,6,6.45,6.5,6.57,6.64,6.7,6.76},{0,10,20,30,40,50,60,62,64,66,68,70,72,74,76,78,80,85,90,95,100})</f>
        <v>95</v>
      </c>
      <c r="T159" s="20"/>
      <c r="U159" s="20"/>
      <c r="V159" s="21">
        <f t="shared" si="86"/>
        <v>95</v>
      </c>
      <c r="W159" s="15"/>
      <c r="X159" s="21">
        <f t="shared" si="83"/>
        <v>60.6</v>
      </c>
      <c r="Y159" s="21">
        <f t="shared" si="84"/>
        <v>86.5714285714286</v>
      </c>
    </row>
    <row r="160" ht="15.6" hidden="1" outlineLevel="2" spans="1:25">
      <c r="A160" s="15">
        <v>110</v>
      </c>
      <c r="B160" s="15">
        <v>37</v>
      </c>
      <c r="C160" s="14" t="s">
        <v>500</v>
      </c>
      <c r="D160" s="14" t="s">
        <v>46</v>
      </c>
      <c r="E160" s="15">
        <v>15</v>
      </c>
      <c r="F160" s="1">
        <f>LOOKUP(E160,{0,0.4,1.2,2,2.8,3.6,4.4,5.7,7,8.3,9.6,10.9,12.2,13.5,14.8,16.1,17.4,19.1,20.8,22.5,24.2},{0,10,20,30,40,50,60,62,64,66,68,70,72,74,76,78,80,85,90,95,100})</f>
        <v>76</v>
      </c>
      <c r="G160" s="15">
        <v>180</v>
      </c>
      <c r="H160" s="1">
        <f>LOOKUP(G160,{0,123,128,133,138,143,148,151,154,157,160,163,166,169,172,175,178,185,192,198,204},{0,10,20,30,40,50,60,62,64,66,68,70,72,74,76,78,80,85,90,95,100})</f>
        <v>80</v>
      </c>
      <c r="I160" s="15">
        <v>43</v>
      </c>
      <c r="J160" s="1">
        <f>LOOKUP(I160,{0,13,15,17,19,21,23,25,27,29,31,33,35,37,39,41,43,46,49,51,53},{0,10,20,30,40,50,60,62,64,66,68,70,72,74,76,78,80,85,90,95,100})</f>
        <v>80</v>
      </c>
      <c r="K160" s="20"/>
      <c r="L160" s="20"/>
      <c r="M160" s="21">
        <f t="shared" si="79"/>
        <v>80</v>
      </c>
      <c r="N160" s="15">
        <v>8.8</v>
      </c>
      <c r="O160" s="19">
        <f t="shared" si="80"/>
        <v>4.2</v>
      </c>
      <c r="P160" s="1">
        <f>LOOKUP(O160,{0,1.4,1.6,1.8,2,2.2,2.4,2.6,2.8,3,3.2,3.4,3.6,3.8,4,4.2,4.4,4.7,5,5.1,5.2},{0,10,20,30,40,50,60,62,64,66,68,70,72,74,76,78,80,85,90,95,100})</f>
        <v>78</v>
      </c>
      <c r="Q160" s="15">
        <v>3.55</v>
      </c>
      <c r="R160" s="15">
        <f t="shared" si="85"/>
        <v>6.45</v>
      </c>
      <c r="S160" s="1">
        <f>LOOKUP(R160,{0,4.7,4.8,4.9,5,5.5,5.6,5.65,5.7,5.75,5.8,5.85,5.9,5.95,6,6.45,6.5,6.57,6.64,6.7,6.76},{0,10,20,30,40,50,60,62,64,66,68,70,72,74,76,78,80,85,90,95,100})</f>
        <v>78</v>
      </c>
      <c r="T160" s="20"/>
      <c r="U160" s="20"/>
      <c r="V160" s="21">
        <f t="shared" si="86"/>
        <v>78</v>
      </c>
      <c r="W160" s="15"/>
      <c r="X160" s="21">
        <f t="shared" si="83"/>
        <v>54.8</v>
      </c>
      <c r="Y160" s="21">
        <f t="shared" si="84"/>
        <v>78.2857142857143</v>
      </c>
    </row>
    <row r="161" ht="15.6" hidden="1" outlineLevel="2" spans="1:25">
      <c r="A161" s="15">
        <v>110</v>
      </c>
      <c r="B161" s="15">
        <v>38</v>
      </c>
      <c r="C161" s="14" t="s">
        <v>501</v>
      </c>
      <c r="D161" s="14" t="s">
        <v>46</v>
      </c>
      <c r="E161" s="15">
        <v>17</v>
      </c>
      <c r="F161" s="1">
        <f>LOOKUP(E161,{0,0.4,1.2,2,2.8,3.6,4.4,5.7,7,8.3,9.6,10.9,12.2,13.5,14.8,16.1,17.4,19.1,20.8,22.5,24.2},{0,10,20,30,40,50,60,62,64,66,68,70,72,74,76,78,80,85,90,95,100})</f>
        <v>78</v>
      </c>
      <c r="G161" s="15">
        <v>176</v>
      </c>
      <c r="H161" s="1">
        <f>LOOKUP(G161,{0,123,128,133,138,143,148,151,154,157,160,163,166,169,172,175,178,185,192,198,204},{0,10,20,30,40,50,60,62,64,66,68,70,72,74,76,78,80,85,90,95,100})</f>
        <v>78</v>
      </c>
      <c r="I161" s="15">
        <v>46</v>
      </c>
      <c r="J161" s="1">
        <f>LOOKUP(I161,{0,13,15,17,19,21,23,25,27,29,31,33,35,37,39,41,43,46,49,51,53},{0,10,20,30,40,50,60,62,64,66,68,70,72,74,76,78,80,85,90,95,100})</f>
        <v>85</v>
      </c>
      <c r="K161" s="20"/>
      <c r="L161" s="20"/>
      <c r="M161" s="21">
        <f t="shared" si="79"/>
        <v>85</v>
      </c>
      <c r="N161" s="15">
        <v>8.6</v>
      </c>
      <c r="O161" s="19">
        <f t="shared" si="80"/>
        <v>4.4</v>
      </c>
      <c r="P161" s="1">
        <f>LOOKUP(O161,{0,1.4,1.6,1.8,2,2.2,2.4,2.6,2.8,3,3.2,3.4,3.6,3.8,4,4.2,4.4,4.7,5,5.1,5.2},{0,10,20,30,40,50,60,62,64,66,68,70,72,74,76,78,80,85,90,95,100})</f>
        <v>80</v>
      </c>
      <c r="Q161" s="15">
        <v>3.43</v>
      </c>
      <c r="R161" s="15">
        <f t="shared" si="85"/>
        <v>6.57</v>
      </c>
      <c r="S161" s="1">
        <f>LOOKUP(R161,{0,4.7,4.8,4.9,5,5.5,5.6,5.65,5.7,5.75,5.8,5.85,5.9,5.95,6,6.45,6.5,6.57,6.64,6.7,6.76},{0,10,20,30,40,50,60,62,64,66,68,70,72,74,76,78,80,85,90,95,100})</f>
        <v>85</v>
      </c>
      <c r="T161" s="20"/>
      <c r="U161" s="20"/>
      <c r="V161" s="21">
        <f t="shared" si="86"/>
        <v>85</v>
      </c>
      <c r="W161" s="15"/>
      <c r="X161" s="21">
        <f t="shared" si="83"/>
        <v>57.1</v>
      </c>
      <c r="Y161" s="21">
        <f t="shared" si="84"/>
        <v>81.5714285714286</v>
      </c>
    </row>
    <row r="162" s="5" customFormat="1" ht="15.6" hidden="1" outlineLevel="2" spans="1:25">
      <c r="A162" s="15">
        <v>110</v>
      </c>
      <c r="B162" s="15">
        <v>39</v>
      </c>
      <c r="C162" s="14" t="s">
        <v>502</v>
      </c>
      <c r="D162" s="14" t="s">
        <v>46</v>
      </c>
      <c r="E162" s="15">
        <v>11</v>
      </c>
      <c r="F162" s="1">
        <f>LOOKUP(E162,{0,0.4,1.2,2,2.8,3.6,4.4,5.7,7,8.3,9.6,10.9,12.2,13.5,14.8,16.1,17.4,19.1,20.8,22.5,24.2},{0,10,20,30,40,50,60,62,64,66,68,70,72,74,76,78,80,85,90,95,100})</f>
        <v>70</v>
      </c>
      <c r="G162" s="15">
        <v>145</v>
      </c>
      <c r="H162" s="1">
        <f>LOOKUP(G162,{0,123,128,133,138,143,148,151,154,157,160,163,166,169,172,175,178,185,192,198,204},{0,10,20,30,40,50,60,62,64,66,68,70,72,74,76,78,80,85,90,95,100})</f>
        <v>50</v>
      </c>
      <c r="I162" s="15">
        <v>47</v>
      </c>
      <c r="J162" s="1">
        <f>LOOKUP(I162,{0,13,15,17,19,21,23,25,27,29,31,33,35,37,39,41,43,46,49,51,53},{0,10,20,30,40,50,60,62,64,66,68,70,72,74,76,78,80,85,90,95,100})</f>
        <v>85</v>
      </c>
      <c r="K162" s="20"/>
      <c r="L162" s="20"/>
      <c r="M162" s="21">
        <f t="shared" si="79"/>
        <v>85</v>
      </c>
      <c r="N162" s="15">
        <v>9.7</v>
      </c>
      <c r="O162" s="19">
        <f t="shared" si="80"/>
        <v>3.3</v>
      </c>
      <c r="P162" s="1">
        <f>LOOKUP(O162,{0,1.4,1.6,1.8,2,2.2,2.4,2.6,2.8,3,3.2,3.4,3.6,3.8,4,4.2,4.4,4.7,5,5.1,5.2},{0,10,20,30,40,50,60,62,64,66,68,70,72,74,76,78,80,85,90,95,100})</f>
        <v>68</v>
      </c>
      <c r="Q162" s="15">
        <v>4.19</v>
      </c>
      <c r="R162" s="15">
        <f t="shared" si="85"/>
        <v>5.81</v>
      </c>
      <c r="S162" s="1">
        <f>LOOKUP(R162,{0,4.7,4.8,4.9,5,5.5,5.6,5.65,5.7,5.75,5.8,5.85,5.9,5.95,6,6.45,6.5,6.57,6.64,6.7,6.76},{0,10,20,30,40,50,60,62,64,66,68,70,72,74,76,78,80,85,90,95,100})</f>
        <v>68</v>
      </c>
      <c r="T162" s="20"/>
      <c r="U162" s="20"/>
      <c r="V162" s="21">
        <f t="shared" si="86"/>
        <v>68</v>
      </c>
      <c r="W162" s="15"/>
      <c r="X162" s="21">
        <f t="shared" si="83"/>
        <v>47.7</v>
      </c>
      <c r="Y162" s="21">
        <f t="shared" si="84"/>
        <v>68.1428571428572</v>
      </c>
    </row>
    <row r="163" s="5" customFormat="1" ht="15.6" hidden="1" outlineLevel="2" spans="1:25">
      <c r="A163" s="15">
        <v>110</v>
      </c>
      <c r="B163" s="15">
        <v>40</v>
      </c>
      <c r="C163" s="13" t="s">
        <v>504</v>
      </c>
      <c r="D163" s="14" t="s">
        <v>46</v>
      </c>
      <c r="E163" s="15">
        <v>30</v>
      </c>
      <c r="F163" s="1">
        <f>LOOKUP(E163,{0,0.4,1.2,2,2.8,3.6,4.4,5.7,7,8.3,9.6,10.9,12.2,13.5,14.8,16.1,17.4,19.1,20.8,22.5,24.2},{0,10,20,30,40,50,60,62,64,66,68,70,72,74,76,78,80,85,90,95,100})</f>
        <v>100</v>
      </c>
      <c r="G163" s="15">
        <v>208</v>
      </c>
      <c r="H163" s="1">
        <f>LOOKUP(G163,{0,123,128,133,138,143,148,151,154,157,160,163,166,169,172,175,178,185,192,198,204},{0,10,20,30,40,50,60,62,64,66,68,70,72,74,76,78,80,85,90,95,100})</f>
        <v>100</v>
      </c>
      <c r="I163" s="15">
        <v>38</v>
      </c>
      <c r="J163" s="1">
        <f>LOOKUP(I163,{0,13,15,17,19,21,23,25,27,29,31,33,35,37,39,41,43,46,49,51,53},{0,10,20,30,40,50,60,62,64,66,68,70,72,74,76,78,80,85,90,95,100})</f>
        <v>74</v>
      </c>
      <c r="K163" s="20"/>
      <c r="L163" s="20"/>
      <c r="M163" s="21">
        <f t="shared" si="79"/>
        <v>74</v>
      </c>
      <c r="N163" s="15">
        <v>9</v>
      </c>
      <c r="O163" s="19">
        <f t="shared" si="80"/>
        <v>4</v>
      </c>
      <c r="P163" s="1">
        <f>LOOKUP(O163,{0,1.4,1.6,1.8,2,2.2,2.4,2.6,2.8,3,3.2,3.4,3.6,3.8,4,4.2,4.4,4.7,5,5.1,5.2},{0,10,20,30,40,50,60,62,64,66,68,70,72,74,76,78,80,85,90,95,100})</f>
        <v>76</v>
      </c>
      <c r="Q163" s="15">
        <v>3.19</v>
      </c>
      <c r="R163" s="15">
        <f t="shared" si="85"/>
        <v>6.81</v>
      </c>
      <c r="S163" s="1">
        <f>LOOKUP(R163,{0,4.7,4.8,4.9,5,5.5,5.6,5.65,5.7,5.75,5.8,5.85,5.9,5.95,6,6.45,6.5,6.57,6.64,6.7,6.76},{0,10,20,30,40,50,60,62,64,66,68,70,72,74,76,78,80,85,90,95,100})</f>
        <v>100</v>
      </c>
      <c r="T163" s="24">
        <f>3.24-Q163</f>
        <v>0.0500000000000003</v>
      </c>
      <c r="U163" s="1">
        <f>LOOKUP(T163,{0,0.05,0.1,0.15,0.2,0.25,0.3,0.35,0.4,0.45,0.5},{0,1,2,3,4,5,6,7,8,9,10})</f>
        <v>1</v>
      </c>
      <c r="V163" s="21">
        <f t="shared" si="86"/>
        <v>101</v>
      </c>
      <c r="W163" s="15"/>
      <c r="X163" s="21">
        <f t="shared" si="83"/>
        <v>62.6</v>
      </c>
      <c r="Y163" s="21">
        <f t="shared" si="84"/>
        <v>90.4285714285714</v>
      </c>
    </row>
    <row r="164" ht="15.6" hidden="1" outlineLevel="2" spans="1:25">
      <c r="A164" s="15">
        <v>110</v>
      </c>
      <c r="B164" s="15">
        <v>41</v>
      </c>
      <c r="C164" s="14" t="s">
        <v>505</v>
      </c>
      <c r="D164" s="14" t="s">
        <v>46</v>
      </c>
      <c r="E164" s="15">
        <v>24</v>
      </c>
      <c r="F164" s="1">
        <f>LOOKUP(E164,{0,0.4,1.2,2,2.8,3.6,4.4,5.7,7,8.3,9.6,10.9,12.2,13.5,14.8,16.1,17.4,19.1,20.8,22.5,24.2},{0,10,20,30,40,50,60,62,64,66,68,70,72,74,76,78,80,85,90,95,100})</f>
        <v>95</v>
      </c>
      <c r="G164" s="15">
        <v>196</v>
      </c>
      <c r="H164" s="1">
        <f>LOOKUP(G164,{0,123,128,133,138,143,148,151,154,157,160,163,166,169,172,175,178,185,192,198,204},{0,10,20,30,40,50,60,62,64,66,68,70,72,74,76,78,80,85,90,95,100})</f>
        <v>90</v>
      </c>
      <c r="I164" s="15">
        <v>33</v>
      </c>
      <c r="J164" s="1">
        <f>LOOKUP(I164,{0,13,15,17,19,21,23,25,27,29,31,33,35,37,39,41,43,46,49,51,53},{0,10,20,30,40,50,60,62,64,66,68,70,72,74,76,78,80,85,90,95,100})</f>
        <v>70</v>
      </c>
      <c r="K164" s="20"/>
      <c r="L164" s="20"/>
      <c r="M164" s="21">
        <f t="shared" si="79"/>
        <v>70</v>
      </c>
      <c r="N164" s="15">
        <v>8.8</v>
      </c>
      <c r="O164" s="19">
        <f t="shared" si="80"/>
        <v>4.2</v>
      </c>
      <c r="P164" s="1">
        <f>LOOKUP(O164,{0,1.4,1.6,1.8,2,2.2,2.4,2.6,2.8,3,3.2,3.4,3.6,3.8,4,4.2,4.4,4.7,5,5.1,5.2},{0,10,20,30,40,50,60,62,64,66,68,70,72,74,76,78,80,85,90,95,100})</f>
        <v>78</v>
      </c>
      <c r="Q164" s="15">
        <v>3.23</v>
      </c>
      <c r="R164" s="15">
        <f t="shared" si="85"/>
        <v>6.77</v>
      </c>
      <c r="S164" s="1">
        <f>LOOKUP(R164,{0,4.7,4.8,4.9,5,5.5,5.6,5.65,5.7,5.75,5.8,5.85,5.9,5.95,6,6.45,6.5,6.57,6.64,6.7,6.76},{0,10,20,30,40,50,60,62,64,66,68,70,72,74,76,78,80,85,90,95,100})</f>
        <v>100</v>
      </c>
      <c r="T164" s="24">
        <f>3.24-Q164</f>
        <v>0.0100000000000002</v>
      </c>
      <c r="U164" s="1">
        <f>LOOKUP(T164,{0,0.05,0.1,0.15,0.2,0.25,0.3,0.35,0.4,0.45,0.5},{0,1,2,3,4,5,6,7,8,9,10})</f>
        <v>0</v>
      </c>
      <c r="V164" s="21">
        <f t="shared" si="86"/>
        <v>100</v>
      </c>
      <c r="W164" s="15"/>
      <c r="X164" s="21">
        <f t="shared" si="83"/>
        <v>61.1</v>
      </c>
      <c r="Y164" s="21">
        <f t="shared" si="84"/>
        <v>87.2857142857143</v>
      </c>
    </row>
    <row r="165" ht="15.6" hidden="1" outlineLevel="2" spans="1:25">
      <c r="A165" s="15">
        <v>110</v>
      </c>
      <c r="B165" s="15">
        <v>42</v>
      </c>
      <c r="C165" s="14" t="s">
        <v>506</v>
      </c>
      <c r="D165" s="14" t="s">
        <v>46</v>
      </c>
      <c r="E165" s="15">
        <v>8</v>
      </c>
      <c r="F165" s="1">
        <f>LOOKUP(E165,{0,0.4,1.2,2,2.8,3.6,4.4,5.7,7,8.3,9.6,10.9,12.2,13.5,14.8,16.1,17.4,19.1,20.8,22.5,24.2},{0,10,20,30,40,50,60,62,64,66,68,70,72,74,76,78,80,85,90,95,100})</f>
        <v>64</v>
      </c>
      <c r="G165" s="15">
        <v>172</v>
      </c>
      <c r="H165" s="1">
        <f>LOOKUP(G165,{0,123,128,133,138,143,148,151,154,157,160,163,166,169,172,175,178,185,192,198,204},{0,10,20,30,40,50,60,62,64,66,68,70,72,74,76,78,80,85,90,95,100})</f>
        <v>76</v>
      </c>
      <c r="I165" s="15">
        <v>46</v>
      </c>
      <c r="J165" s="1">
        <f>LOOKUP(I165,{0,13,15,17,19,21,23,25,27,29,31,33,35,37,39,41,43,46,49,51,53},{0,10,20,30,40,50,60,62,64,66,68,70,72,74,76,78,80,85,90,95,100})</f>
        <v>85</v>
      </c>
      <c r="K165" s="20"/>
      <c r="L165" s="20"/>
      <c r="M165" s="21">
        <f t="shared" si="79"/>
        <v>85</v>
      </c>
      <c r="N165" s="15">
        <v>9</v>
      </c>
      <c r="O165" s="19">
        <f t="shared" si="80"/>
        <v>4</v>
      </c>
      <c r="P165" s="1">
        <f>LOOKUP(O165,{0,1.4,1.6,1.8,2,2.2,2.4,2.6,2.8,3,3.2,3.4,3.6,3.8,4,4.2,4.4,4.7,5,5.1,5.2},{0,10,20,30,40,50,60,62,64,66,68,70,72,74,76,78,80,85,90,95,100})</f>
        <v>76</v>
      </c>
      <c r="Q165" s="15">
        <v>3.52</v>
      </c>
      <c r="R165" s="15">
        <f t="shared" si="85"/>
        <v>6.48</v>
      </c>
      <c r="S165" s="1">
        <f>LOOKUP(R165,{0,4.7,4.8,4.9,5,5.5,5.6,5.65,5.7,5.75,5.8,5.85,5.9,5.95,6,6.45,6.5,6.57,6.64,6.7,6.76},{0,10,20,30,40,50,60,62,64,66,68,70,72,74,76,78,80,85,90,95,100})</f>
        <v>78</v>
      </c>
      <c r="T165" s="20"/>
      <c r="U165" s="20"/>
      <c r="V165" s="21">
        <f t="shared" si="86"/>
        <v>78</v>
      </c>
      <c r="W165" s="15"/>
      <c r="X165" s="21">
        <f t="shared" si="83"/>
        <v>53.3</v>
      </c>
      <c r="Y165" s="21">
        <f t="shared" si="84"/>
        <v>76.1428571428572</v>
      </c>
    </row>
    <row r="166" ht="15.6" hidden="1" outlineLevel="2" spans="1:25">
      <c r="A166" s="15">
        <v>110</v>
      </c>
      <c r="B166" s="15">
        <v>43</v>
      </c>
      <c r="C166" s="14" t="s">
        <v>507</v>
      </c>
      <c r="D166" s="14" t="s">
        <v>46</v>
      </c>
      <c r="E166" s="15">
        <v>15</v>
      </c>
      <c r="F166" s="1">
        <f>LOOKUP(E166,{0,0.4,1.2,2,2.8,3.6,4.4,5.7,7,8.3,9.6,10.9,12.2,13.5,14.8,16.1,17.4,19.1,20.8,22.5,24.2},{0,10,20,30,40,50,60,62,64,66,68,70,72,74,76,78,80,85,90,95,100})</f>
        <v>76</v>
      </c>
      <c r="G166" s="15">
        <v>180</v>
      </c>
      <c r="H166" s="1">
        <f>LOOKUP(G166,{0,123,128,133,138,143,148,151,154,157,160,163,166,169,172,175,178,185,192,198,204},{0,10,20,30,40,50,60,62,64,66,68,70,72,74,76,78,80,85,90,95,100})</f>
        <v>80</v>
      </c>
      <c r="I166" s="15">
        <v>54</v>
      </c>
      <c r="J166" s="1">
        <f>LOOKUP(I166,{0,13,15,17,19,21,23,25,27,29,31,33,35,37,39,41,43,46,49,51,53},{0,10,20,30,40,50,60,62,64,66,68,70,72,74,76,78,80,85,90,95,100})</f>
        <v>100</v>
      </c>
      <c r="K166" s="20">
        <f>I166-53</f>
        <v>1</v>
      </c>
      <c r="L166" s="1">
        <f>LOOKUP(K166,{0,2,4,6,7,8,9,10,11,12,13},{0,1,2,3,4,5,6,7,8,9,10})</f>
        <v>0</v>
      </c>
      <c r="M166" s="21">
        <f t="shared" si="79"/>
        <v>100</v>
      </c>
      <c r="N166" s="15">
        <v>8.6</v>
      </c>
      <c r="O166" s="19">
        <f t="shared" si="80"/>
        <v>4.4</v>
      </c>
      <c r="P166" s="1">
        <f>LOOKUP(O166,{0,1.4,1.6,1.8,2,2.2,2.4,2.6,2.8,3,3.2,3.4,3.6,3.8,4,4.2,4.4,4.7,5,5.1,5.2},{0,10,20,30,40,50,60,62,64,66,68,70,72,74,76,78,80,85,90,95,100})</f>
        <v>80</v>
      </c>
      <c r="Q166" s="15">
        <v>3.37</v>
      </c>
      <c r="R166" s="15">
        <f t="shared" si="85"/>
        <v>6.63</v>
      </c>
      <c r="S166" s="1">
        <f>LOOKUP(R166,{0,4.7,4.8,4.9,5,5.5,5.6,5.65,5.7,5.75,5.8,5.85,5.9,5.95,6,6.45,6.5,6.57,6.64,6.7,6.76},{0,10,20,30,40,50,60,62,64,66,68,70,72,74,76,78,80,85,90,95,100})</f>
        <v>85</v>
      </c>
      <c r="T166" s="20"/>
      <c r="U166" s="20"/>
      <c r="V166" s="21">
        <f t="shared" si="86"/>
        <v>85</v>
      </c>
      <c r="W166" s="15"/>
      <c r="X166" s="21">
        <f t="shared" si="83"/>
        <v>58.6</v>
      </c>
      <c r="Y166" s="21">
        <f t="shared" si="84"/>
        <v>83.7142857142857</v>
      </c>
    </row>
    <row r="167" ht="15.6" hidden="1" outlineLevel="2" spans="1:25">
      <c r="A167" s="15">
        <v>110</v>
      </c>
      <c r="B167" s="15">
        <v>44</v>
      </c>
      <c r="C167" s="14" t="s">
        <v>508</v>
      </c>
      <c r="D167" s="14" t="s">
        <v>46</v>
      </c>
      <c r="E167" s="15">
        <v>12</v>
      </c>
      <c r="F167" s="1">
        <f>LOOKUP(E167,{0,0.4,1.2,2,2.8,3.6,4.4,5.7,7,8.3,9.6,10.9,12.2,13.5,14.8,16.1,17.4,19.1,20.8,22.5,24.2},{0,10,20,30,40,50,60,62,64,66,68,70,72,74,76,78,80,85,90,95,100})</f>
        <v>70</v>
      </c>
      <c r="G167" s="15">
        <v>173</v>
      </c>
      <c r="H167" s="1">
        <f>LOOKUP(G167,{0,123,128,133,138,143,148,151,154,157,160,163,166,169,172,175,178,185,192,198,204},{0,10,20,30,40,50,60,62,64,66,68,70,72,74,76,78,80,85,90,95,100})</f>
        <v>76</v>
      </c>
      <c r="I167" s="15">
        <v>47</v>
      </c>
      <c r="J167" s="1">
        <f>LOOKUP(I167,{0,13,15,17,19,21,23,25,27,29,31,33,35,37,39,41,43,46,49,51,53},{0,10,20,30,40,50,60,62,64,66,68,70,72,74,76,78,80,85,90,95,100})</f>
        <v>85</v>
      </c>
      <c r="K167" s="20"/>
      <c r="L167" s="20"/>
      <c r="M167" s="21">
        <f t="shared" si="79"/>
        <v>85</v>
      </c>
      <c r="N167" s="15">
        <v>8.8</v>
      </c>
      <c r="O167" s="19">
        <f t="shared" si="80"/>
        <v>4.2</v>
      </c>
      <c r="P167" s="1">
        <f>LOOKUP(O167,{0,1.4,1.6,1.8,2,2.2,2.4,2.6,2.8,3,3.2,3.4,3.6,3.8,4,4.2,4.4,4.7,5,5.1,5.2},{0,10,20,30,40,50,60,62,64,66,68,70,72,74,76,78,80,85,90,95,100})</f>
        <v>78</v>
      </c>
      <c r="Q167" s="15">
        <v>3.39</v>
      </c>
      <c r="R167" s="15">
        <f t="shared" si="85"/>
        <v>6.61</v>
      </c>
      <c r="S167" s="1">
        <f>LOOKUP(R167,{0,4.7,4.8,4.9,5,5.5,5.6,5.65,5.7,5.75,5.8,5.85,5.9,5.95,6,6.45,6.5,6.57,6.64,6.7,6.76},{0,10,20,30,40,50,60,62,64,66,68,70,72,74,76,78,80,85,90,95,100})</f>
        <v>85</v>
      </c>
      <c r="T167" s="20"/>
      <c r="U167" s="20"/>
      <c r="V167" s="21">
        <f t="shared" si="86"/>
        <v>85</v>
      </c>
      <c r="W167" s="15"/>
      <c r="X167" s="21">
        <f t="shared" si="83"/>
        <v>55.7</v>
      </c>
      <c r="Y167" s="21">
        <f t="shared" si="84"/>
        <v>79.5714285714286</v>
      </c>
    </row>
    <row r="168" ht="15.6" hidden="1" outlineLevel="2" spans="1:25">
      <c r="A168" s="15">
        <v>110</v>
      </c>
      <c r="B168" s="15">
        <v>45</v>
      </c>
      <c r="C168" s="14" t="s">
        <v>509</v>
      </c>
      <c r="D168" s="14" t="s">
        <v>46</v>
      </c>
      <c r="E168" s="15">
        <v>17</v>
      </c>
      <c r="F168" s="1">
        <f>LOOKUP(E168,{0,0.4,1.2,2,2.8,3.6,4.4,5.7,7,8.3,9.6,10.9,12.2,13.5,14.8,16.1,17.4,19.1,20.8,22.5,24.2},{0,10,20,30,40,50,60,62,64,66,68,70,72,74,76,78,80,85,90,95,100})</f>
        <v>78</v>
      </c>
      <c r="G168" s="15">
        <v>196</v>
      </c>
      <c r="H168" s="1">
        <f>LOOKUP(G168,{0,123,128,133,138,143,148,151,154,157,160,163,166,169,172,175,178,185,192,198,204},{0,10,20,30,40,50,60,62,64,66,68,70,72,74,76,78,80,85,90,95,100})</f>
        <v>90</v>
      </c>
      <c r="I168" s="15">
        <v>54</v>
      </c>
      <c r="J168" s="1">
        <f>LOOKUP(I168,{0,13,15,17,19,21,23,25,27,29,31,33,35,37,39,41,43,46,49,51,53},{0,10,20,30,40,50,60,62,64,66,68,70,72,74,76,78,80,85,90,95,100})</f>
        <v>100</v>
      </c>
      <c r="K168" s="20">
        <f>I168-53</f>
        <v>1</v>
      </c>
      <c r="L168" s="1">
        <f>LOOKUP(K168,{0,2,4,6,7,8,9,10,11,12,13},{0,1,2,3,4,5,6,7,8,9,10})</f>
        <v>0</v>
      </c>
      <c r="M168" s="21">
        <f t="shared" si="79"/>
        <v>100</v>
      </c>
      <c r="N168" s="15">
        <v>9.2</v>
      </c>
      <c r="O168" s="19">
        <f t="shared" si="80"/>
        <v>3.8</v>
      </c>
      <c r="P168" s="1">
        <f>LOOKUP(O168,{0,1.4,1.6,1.8,2,2.2,2.4,2.6,2.8,3,3.2,3.4,3.6,3.8,4,4.2,4.4,4.7,5,5.1,5.2},{0,10,20,30,40,50,60,62,64,66,68,70,72,74,76,78,80,85,90,95,100})</f>
        <v>74</v>
      </c>
      <c r="Q168" s="15">
        <v>4.22</v>
      </c>
      <c r="R168" s="15">
        <f t="shared" si="85"/>
        <v>5.78</v>
      </c>
      <c r="S168" s="1">
        <f>LOOKUP(R168,{0,4.7,4.8,4.9,5,5.5,5.6,5.65,5.7,5.75,5.8,5.85,5.9,5.95,6,6.45,6.5,6.57,6.64,6.7,6.76},{0,10,20,30,40,50,60,62,64,66,68,70,72,74,76,78,80,85,90,95,100})</f>
        <v>66</v>
      </c>
      <c r="T168" s="20"/>
      <c r="U168" s="20"/>
      <c r="V168" s="21">
        <f t="shared" si="86"/>
        <v>66</v>
      </c>
      <c r="W168" s="15"/>
      <c r="X168" s="21">
        <f t="shared" si="83"/>
        <v>54.8</v>
      </c>
      <c r="Y168" s="21">
        <f t="shared" si="84"/>
        <v>78.2857142857143</v>
      </c>
    </row>
    <row r="169" ht="15.6" hidden="1" outlineLevel="2" spans="1:25">
      <c r="A169" s="15">
        <v>110</v>
      </c>
      <c r="B169" s="15">
        <v>46</v>
      </c>
      <c r="C169" s="14" t="s">
        <v>510</v>
      </c>
      <c r="D169" s="14" t="s">
        <v>46</v>
      </c>
      <c r="E169" s="15">
        <v>10</v>
      </c>
      <c r="F169" s="1">
        <f>LOOKUP(E169,{0,0.4,1.2,2,2.8,3.6,4.4,5.7,7,8.3,9.6,10.9,12.2,13.5,14.8,16.1,17.4,19.1,20.8,22.5,24.2},{0,10,20,30,40,50,60,62,64,66,68,70,72,74,76,78,80,85,90,95,100})</f>
        <v>68</v>
      </c>
      <c r="G169" s="15">
        <v>178</v>
      </c>
      <c r="H169" s="1">
        <f>LOOKUP(G169,{0,123,128,133,138,143,148,151,154,157,160,163,166,169,172,175,178,185,192,198,204},{0,10,20,30,40,50,60,62,64,66,68,70,72,74,76,78,80,85,90,95,100})</f>
        <v>80</v>
      </c>
      <c r="I169" s="15">
        <v>45</v>
      </c>
      <c r="J169" s="1">
        <f>LOOKUP(I169,{0,13,15,17,19,21,23,25,27,29,31,33,35,37,39,41,43,46,49,51,53},{0,10,20,30,40,50,60,62,64,66,68,70,72,74,76,78,80,85,90,95,100})</f>
        <v>80</v>
      </c>
      <c r="K169" s="20"/>
      <c r="L169" s="20"/>
      <c r="M169" s="21">
        <f t="shared" si="79"/>
        <v>80</v>
      </c>
      <c r="N169" s="15">
        <v>8.8</v>
      </c>
      <c r="O169" s="19">
        <f t="shared" si="80"/>
        <v>4.2</v>
      </c>
      <c r="P169" s="1">
        <f>LOOKUP(O169,{0,1.4,1.6,1.8,2,2.2,2.4,2.6,2.8,3,3.2,3.4,3.6,3.8,4,4.2,4.4,4.7,5,5.1,5.2},{0,10,20,30,40,50,60,62,64,66,68,70,72,74,76,78,80,85,90,95,100})</f>
        <v>78</v>
      </c>
      <c r="Q169" s="15">
        <v>4.04</v>
      </c>
      <c r="R169" s="15">
        <f t="shared" si="85"/>
        <v>5.96</v>
      </c>
      <c r="S169" s="1">
        <f>LOOKUP(R169,{0,4.7,4.8,4.9,5,5.5,5.6,5.65,5.7,5.75,5.8,5.85,5.9,5.95,6,6.45,6.5,6.57,6.64,6.7,6.76},{0,10,20,30,40,50,60,62,64,66,68,70,72,74,76,78,80,85,90,95,100})</f>
        <v>74</v>
      </c>
      <c r="T169" s="20"/>
      <c r="U169" s="20"/>
      <c r="V169" s="21">
        <f t="shared" si="86"/>
        <v>74</v>
      </c>
      <c r="W169" s="15"/>
      <c r="X169" s="21">
        <f t="shared" si="83"/>
        <v>53.2</v>
      </c>
      <c r="Y169" s="21">
        <f t="shared" si="84"/>
        <v>76</v>
      </c>
    </row>
    <row r="170" s="3" customFormat="1" ht="15.6" hidden="1" outlineLevel="2" spans="1:25">
      <c r="A170" s="15">
        <v>110</v>
      </c>
      <c r="B170" s="15">
        <v>47</v>
      </c>
      <c r="C170" s="14" t="s">
        <v>511</v>
      </c>
      <c r="D170" s="14" t="s">
        <v>46</v>
      </c>
      <c r="E170" s="15">
        <v>-4</v>
      </c>
      <c r="F170" s="1">
        <v>0</v>
      </c>
      <c r="G170" s="15">
        <v>145</v>
      </c>
      <c r="H170" s="1">
        <f>LOOKUP(G170,{0,123,128,133,138,143,148,151,154,157,160,163,166,169,172,175,178,185,192,198,204},{0,10,20,30,40,50,60,62,64,66,68,70,72,74,76,78,80,85,90,95,100})</f>
        <v>50</v>
      </c>
      <c r="I170" s="15">
        <v>31</v>
      </c>
      <c r="J170" s="1">
        <f>LOOKUP(I170,{0,13,15,17,19,21,23,25,27,29,31,33,35,37,39,41,43,46,49,51,53},{0,10,20,30,40,50,60,62,64,66,68,70,72,74,76,78,80,85,90,95,100})</f>
        <v>68</v>
      </c>
      <c r="K170" s="20"/>
      <c r="L170" s="20"/>
      <c r="M170" s="21">
        <f t="shared" si="79"/>
        <v>68</v>
      </c>
      <c r="N170" s="15">
        <v>9.5</v>
      </c>
      <c r="O170" s="19">
        <f t="shared" si="80"/>
        <v>3.5</v>
      </c>
      <c r="P170" s="1">
        <f>LOOKUP(O170,{0,1.4,1.6,1.8,2,2.2,2.4,2.6,2.8,3,3.2,3.4,3.6,3.8,4,4.2,4.4,4.7,5,5.1,5.2},{0,10,20,30,40,50,60,62,64,66,68,70,72,74,76,78,80,85,90,95,100})</f>
        <v>70</v>
      </c>
      <c r="Q170" s="15">
        <v>4.38</v>
      </c>
      <c r="R170" s="15">
        <f t="shared" si="85"/>
        <v>5.62</v>
      </c>
      <c r="S170" s="1">
        <f>LOOKUP(R170,{0,4.7,4.8,4.9,5,5.5,5.6,5.65,5.7,5.75,5.8,5.85,5.9,5.95,6,6.45,6.5,6.57,6.64,6.7,6.76},{0,10,20,30,40,50,60,62,64,66,68,70,72,74,76,78,80,85,90,95,100})</f>
        <v>60</v>
      </c>
      <c r="T170" s="20"/>
      <c r="U170" s="20"/>
      <c r="V170" s="21">
        <f t="shared" si="86"/>
        <v>60</v>
      </c>
      <c r="W170" s="15"/>
      <c r="X170" s="21">
        <f t="shared" si="83"/>
        <v>37.8</v>
      </c>
      <c r="Y170" s="21">
        <f t="shared" si="84"/>
        <v>54</v>
      </c>
    </row>
    <row r="171" ht="15.6" hidden="1" outlineLevel="2" spans="1:25">
      <c r="A171" s="15">
        <v>110</v>
      </c>
      <c r="B171" s="15">
        <v>48</v>
      </c>
      <c r="C171" s="8" t="s">
        <v>512</v>
      </c>
      <c r="D171" s="8" t="s">
        <v>46</v>
      </c>
      <c r="E171" s="15"/>
      <c r="F171" s="1"/>
      <c r="G171" s="15"/>
      <c r="H171" s="1"/>
      <c r="I171" s="15"/>
      <c r="J171" s="1"/>
      <c r="K171" s="20"/>
      <c r="L171" s="20"/>
      <c r="M171" s="21"/>
      <c r="N171" s="15">
        <v>10.1</v>
      </c>
      <c r="O171" s="19">
        <f t="shared" si="80"/>
        <v>2.9</v>
      </c>
      <c r="P171" s="1">
        <f>LOOKUP(O171,{0,1.4,1.6,1.8,2,2.2,2.4,2.6,2.8,3,3.2,3.4,3.6,3.8,4,4.2,4.4,4.7,5,5.1,5.2},{0,10,20,30,40,50,60,62,64,66,68,70,72,74,76,78,80,85,90,95,100})</f>
        <v>64</v>
      </c>
      <c r="Q171" s="15"/>
      <c r="R171" s="15"/>
      <c r="S171" s="1"/>
      <c r="T171" s="24"/>
      <c r="U171" s="1"/>
      <c r="V171" s="21"/>
      <c r="W171" s="15" t="s">
        <v>513</v>
      </c>
      <c r="X171" s="21">
        <f t="shared" si="83"/>
        <v>12.8</v>
      </c>
      <c r="Y171" s="21">
        <v>50</v>
      </c>
    </row>
    <row r="172" ht="15.6" outlineLevel="1" collapsed="1" spans="1:25">
      <c r="A172" s="16" t="s">
        <v>851</v>
      </c>
      <c r="B172" s="15"/>
      <c r="C172" s="8"/>
      <c r="D172" s="8"/>
      <c r="E172" s="15"/>
      <c r="F172" s="1">
        <f>SUBTOTAL(1,F152:F171)</f>
        <v>73.9473684210526</v>
      </c>
      <c r="G172" s="15"/>
      <c r="H172" s="1">
        <f>SUBTOTAL(1,H152:H171)</f>
        <v>75.0526315789474</v>
      </c>
      <c r="I172" s="15"/>
      <c r="J172" s="1">
        <f>SUBTOTAL(1,J152:J171)</f>
        <v>82.8947368421053</v>
      </c>
      <c r="K172" s="20"/>
      <c r="L172" s="20"/>
      <c r="M172" s="21">
        <f>SUBTOTAL(1,M152:M171)</f>
        <v>82.8947368421053</v>
      </c>
      <c r="N172" s="15"/>
      <c r="O172" s="19"/>
      <c r="P172" s="1">
        <f>SUBTOTAL(1,P152:P171)</f>
        <v>75.15</v>
      </c>
      <c r="Q172" s="15"/>
      <c r="R172" s="15"/>
      <c r="S172" s="1">
        <f>SUBTOTAL(1,S152:S171)</f>
        <v>76.5</v>
      </c>
      <c r="T172" s="24"/>
      <c r="U172" s="1"/>
      <c r="V172" s="21">
        <f>SUBTOTAL(1,V152:V171)</f>
        <v>76.5555555555556</v>
      </c>
      <c r="W172" s="15"/>
      <c r="X172" s="21">
        <f>SUBTOTAL(1,X152:X171)</f>
        <v>50.83</v>
      </c>
      <c r="Y172" s="21">
        <f>SUBTOTAL(1,Y152:Y171)</f>
        <v>74.25</v>
      </c>
    </row>
    <row r="173" ht="15.6" hidden="1" outlineLevel="2" spans="1:25">
      <c r="A173" s="25">
        <v>111</v>
      </c>
      <c r="B173" s="25">
        <v>27</v>
      </c>
      <c r="C173" s="13" t="s">
        <v>544</v>
      </c>
      <c r="D173" s="14" t="s">
        <v>46</v>
      </c>
      <c r="E173" s="25">
        <v>16</v>
      </c>
      <c r="F173" s="1">
        <f>LOOKUP(E173,{0,0.4,1.2,2,2.8,3.6,4.4,5.7,7,8.3,9.6,10.9,12.2,13.5,14.8,16.1,17.4,19.1,20.8,22.5,24.2},{0,10,20,30,40,50,60,62,64,66,68,70,72,74,76,78,80,85,90,95,100})</f>
        <v>76</v>
      </c>
      <c r="G173" s="25">
        <v>180</v>
      </c>
      <c r="H173" s="1">
        <f>LOOKUP(G173,{0,123,128,133,138,143,148,151,154,157,160,163,166,169,172,175,178,185,192,198,204},{0,10,20,30,40,50,60,62,64,66,68,70,72,74,76,78,80,85,90,95,100})</f>
        <v>80</v>
      </c>
      <c r="I173" s="25">
        <v>41</v>
      </c>
      <c r="J173" s="1">
        <f>LOOKUP(I173,{0,13,15,17,19,21,23,25,27,29,31,33,35,37,39,41,43,46,49,51,53},{0,10,20,30,40,50,60,62,64,66,68,70,72,74,76,78,80,85,90,95,100})</f>
        <v>78</v>
      </c>
      <c r="K173" s="26"/>
      <c r="L173" s="26"/>
      <c r="M173" s="21">
        <f t="shared" ref="M173:M195" si="87">J173+L173</f>
        <v>78</v>
      </c>
      <c r="N173" s="25">
        <v>8.7</v>
      </c>
      <c r="O173" s="19">
        <f t="shared" ref="O173:O195" si="88">13-N173</f>
        <v>4.3</v>
      </c>
      <c r="P173" s="1">
        <f>LOOKUP(O173,{0,1.4,1.6,1.8,2,2.2,2.4,2.6,2.8,3,3.2,3.4,3.6,3.8,4,4.2,4.4,4.7,5,5.1,5.2},{0,10,20,30,40,50,60,62,64,66,68,70,72,74,76,78,80,85,90,95,100})</f>
        <v>78</v>
      </c>
      <c r="Q173" s="25">
        <v>3.34</v>
      </c>
      <c r="R173" s="15">
        <f t="shared" ref="R173:R194" si="89">10-Q173</f>
        <v>6.66</v>
      </c>
      <c r="S173" s="1">
        <f>LOOKUP(R173,{0,4.7,4.8,4.9,5,5.5,5.6,5.65,5.7,5.75,5.8,5.85,5.9,5.95,6,6.45,6.5,6.57,6.64,6.7,6.76},{0,10,20,30,40,50,60,62,64,66,68,70,72,74,76,78,80,85,90,95,100})</f>
        <v>90</v>
      </c>
      <c r="T173" s="26"/>
      <c r="U173" s="26"/>
      <c r="V173" s="21">
        <f t="shared" ref="V173:V194" si="90">S173+U173</f>
        <v>90</v>
      </c>
      <c r="W173" s="25"/>
      <c r="X173" s="21">
        <f t="shared" ref="X173:X195" si="91">F173*0.1+H173*0.1+J173*0.1+P173*0.2+S173*0.2</f>
        <v>57</v>
      </c>
      <c r="Y173" s="21">
        <f t="shared" ref="Y173:Y195" si="92">X173/0.7+L173+U173</f>
        <v>81.4285714285714</v>
      </c>
    </row>
    <row r="174" ht="15.6" hidden="1" outlineLevel="2" spans="1:25">
      <c r="A174" s="15">
        <v>111</v>
      </c>
      <c r="B174" s="15">
        <v>28</v>
      </c>
      <c r="C174" s="14" t="s">
        <v>545</v>
      </c>
      <c r="D174" s="14" t="s">
        <v>46</v>
      </c>
      <c r="E174" s="15">
        <v>17</v>
      </c>
      <c r="F174" s="1">
        <f>LOOKUP(E174,{0,0.4,1.2,2,2.8,3.6,4.4,5.7,7,8.3,9.6,10.9,12.2,13.5,14.8,16.1,17.4,19.1,20.8,22.5,24.2},{0,10,20,30,40,50,60,62,64,66,68,70,72,74,76,78,80,85,90,95,100})</f>
        <v>78</v>
      </c>
      <c r="G174" s="15">
        <v>230</v>
      </c>
      <c r="H174" s="1">
        <f>LOOKUP(G174,{0,123,128,133,138,143,148,151,154,157,160,163,166,169,172,175,178,185,192,198,204},{0,10,20,30,40,50,60,62,64,66,68,70,72,74,76,78,80,85,90,95,100})</f>
        <v>100</v>
      </c>
      <c r="I174" s="15">
        <v>57</v>
      </c>
      <c r="J174" s="1">
        <f>LOOKUP(I174,{0,13,15,17,19,21,23,25,27,29,31,33,35,37,39,41,43,46,49,51,53},{0,10,20,30,40,50,60,62,64,66,68,70,72,74,76,78,80,85,90,95,100})</f>
        <v>100</v>
      </c>
      <c r="K174" s="20">
        <f>I174-53</f>
        <v>4</v>
      </c>
      <c r="L174" s="1">
        <f>LOOKUP(K174,{0,2,4,6,7,8,9,10,11,12,13},{0,1,2,3,4,5,6,7,8,9,10})</f>
        <v>2</v>
      </c>
      <c r="M174" s="21">
        <f t="shared" si="87"/>
        <v>102</v>
      </c>
      <c r="N174" s="15"/>
      <c r="O174" s="19"/>
      <c r="P174" s="1"/>
      <c r="Q174" s="15">
        <v>3.17</v>
      </c>
      <c r="R174" s="15">
        <f t="shared" si="89"/>
        <v>6.83</v>
      </c>
      <c r="S174" s="1">
        <f>LOOKUP(R174,{0,4.7,4.8,4.9,5,5.5,5.6,5.65,5.7,5.75,5.8,5.85,5.9,5.95,6,6.45,6.5,6.57,6.64,6.7,6.76},{0,10,20,30,40,50,60,62,64,66,68,70,72,74,76,78,80,85,90,95,100})</f>
        <v>100</v>
      </c>
      <c r="T174" s="24">
        <f>3.24-Q174</f>
        <v>0.0700000000000003</v>
      </c>
      <c r="U174" s="1">
        <f>LOOKUP(T174,{0,0.05,0.1,0.15,0.2,0.25,0.3,0.35,0.4,0.45,0.5},{0,1,2,3,4,5,6,7,8,9,10})</f>
        <v>1</v>
      </c>
      <c r="V174" s="21">
        <f t="shared" si="90"/>
        <v>101</v>
      </c>
      <c r="W174" s="15"/>
      <c r="X174" s="21">
        <f t="shared" si="91"/>
        <v>47.8</v>
      </c>
      <c r="Y174" s="21">
        <f t="shared" si="92"/>
        <v>71.2857142857143</v>
      </c>
    </row>
    <row r="175" ht="15.6" hidden="1" outlineLevel="2" spans="1:25">
      <c r="A175" s="15">
        <v>111</v>
      </c>
      <c r="B175" s="15">
        <v>29</v>
      </c>
      <c r="C175" s="14" t="s">
        <v>546</v>
      </c>
      <c r="D175" s="14" t="s">
        <v>46</v>
      </c>
      <c r="E175" s="15">
        <v>25</v>
      </c>
      <c r="F175" s="1">
        <f>LOOKUP(E175,{0,0.4,1.2,2,2.8,3.6,4.4,5.7,7,8.3,9.6,10.9,12.2,13.5,14.8,16.1,17.4,19.1,20.8,22.5,24.2},{0,10,20,30,40,50,60,62,64,66,68,70,72,74,76,78,80,85,90,95,100})</f>
        <v>100</v>
      </c>
      <c r="G175" s="15">
        <v>200</v>
      </c>
      <c r="H175" s="1">
        <f>LOOKUP(G175,{0,123,128,133,138,143,148,151,154,157,160,163,166,169,172,175,178,185,192,198,204},{0,10,20,30,40,50,60,62,64,66,68,70,72,74,76,78,80,85,90,95,100})</f>
        <v>95</v>
      </c>
      <c r="I175" s="15">
        <v>52</v>
      </c>
      <c r="J175" s="1">
        <f>LOOKUP(I175,{0,13,15,17,19,21,23,25,27,29,31,33,35,37,39,41,43,46,49,51,53},{0,10,20,30,40,50,60,62,64,66,68,70,72,74,76,78,80,85,90,95,100})</f>
        <v>95</v>
      </c>
      <c r="K175" s="20"/>
      <c r="L175" s="20"/>
      <c r="M175" s="21">
        <f t="shared" si="87"/>
        <v>95</v>
      </c>
      <c r="N175" s="15">
        <v>8</v>
      </c>
      <c r="O175" s="19">
        <f t="shared" si="88"/>
        <v>5</v>
      </c>
      <c r="P175" s="1">
        <f>LOOKUP(O175,{0,1.4,1.6,1.8,2,2.2,2.4,2.6,2.8,3,3.2,3.4,3.6,3.8,4,4.2,4.4,4.7,5,5.1,5.2},{0,10,20,30,40,50,60,62,64,66,68,70,72,74,76,78,80,85,90,95,100})</f>
        <v>90</v>
      </c>
      <c r="Q175" s="15">
        <v>3.26</v>
      </c>
      <c r="R175" s="15">
        <f t="shared" si="89"/>
        <v>6.74</v>
      </c>
      <c r="S175" s="1">
        <f>LOOKUP(R175,{0,4.7,4.8,4.9,5,5.5,5.6,5.65,5.7,5.75,5.8,5.85,5.9,5.95,6,6.45,6.5,6.57,6.64,6.7,6.76},{0,10,20,30,40,50,60,62,64,66,68,70,72,74,76,78,80,85,90,95,100})</f>
        <v>95</v>
      </c>
      <c r="T175" s="20"/>
      <c r="U175" s="20"/>
      <c r="V175" s="21">
        <f t="shared" si="90"/>
        <v>95</v>
      </c>
      <c r="W175" s="15"/>
      <c r="X175" s="21">
        <f t="shared" si="91"/>
        <v>66</v>
      </c>
      <c r="Y175" s="21">
        <f t="shared" si="92"/>
        <v>94.2857142857143</v>
      </c>
    </row>
    <row r="176" ht="15.6" hidden="1" outlineLevel="2" spans="1:25">
      <c r="A176" s="15">
        <v>111</v>
      </c>
      <c r="B176" s="15">
        <v>30</v>
      </c>
      <c r="C176" s="14" t="s">
        <v>547</v>
      </c>
      <c r="D176" s="14" t="s">
        <v>46</v>
      </c>
      <c r="E176" s="15">
        <v>7</v>
      </c>
      <c r="F176" s="1">
        <f>LOOKUP(E176,{0,0.4,1.2,2,2.8,3.6,4.4,5.7,7,8.3,9.6,10.9,12.2,13.5,14.8,16.1,17.4,19.1,20.8,22.5,24.2},{0,10,20,30,40,50,60,62,64,66,68,70,72,74,76,78,80,85,90,95,100})</f>
        <v>64</v>
      </c>
      <c r="G176" s="15">
        <v>185</v>
      </c>
      <c r="H176" s="1">
        <f>LOOKUP(G176,{0,123,128,133,138,143,148,151,154,157,160,163,166,169,172,175,178,185,192,198,204},{0,10,20,30,40,50,60,62,64,66,68,70,72,74,76,78,80,85,90,95,100})</f>
        <v>85</v>
      </c>
      <c r="I176" s="15">
        <v>48</v>
      </c>
      <c r="J176" s="1">
        <f>LOOKUP(I176,{0,13,15,17,19,21,23,25,27,29,31,33,35,37,39,41,43,46,49,51,53},{0,10,20,30,40,50,60,62,64,66,68,70,72,74,76,78,80,85,90,95,100})</f>
        <v>85</v>
      </c>
      <c r="K176" s="20"/>
      <c r="L176" s="20"/>
      <c r="M176" s="21">
        <f t="shared" si="87"/>
        <v>85</v>
      </c>
      <c r="N176" s="15">
        <v>8.6</v>
      </c>
      <c r="O176" s="19">
        <f t="shared" si="88"/>
        <v>4.4</v>
      </c>
      <c r="P176" s="1">
        <f>LOOKUP(O176,{0,1.4,1.6,1.8,2,2.2,2.4,2.6,2.8,3,3.2,3.4,3.6,3.8,4,4.2,4.4,4.7,5,5.1,5.2},{0,10,20,30,40,50,60,62,64,66,68,70,72,74,76,78,80,85,90,95,100})</f>
        <v>80</v>
      </c>
      <c r="Q176" s="15">
        <v>3.41</v>
      </c>
      <c r="R176" s="15">
        <f t="shared" si="89"/>
        <v>6.59</v>
      </c>
      <c r="S176" s="1">
        <f>LOOKUP(R176,{0,4.7,4.8,4.9,5,5.5,5.6,5.65,5.7,5.75,5.8,5.85,5.9,5.95,6,6.45,6.5,6.57,6.64,6.7,6.76},{0,10,20,30,40,50,60,62,64,66,68,70,72,74,76,78,80,85,90,95,100})</f>
        <v>85</v>
      </c>
      <c r="T176" s="20"/>
      <c r="U176" s="20"/>
      <c r="V176" s="21">
        <f t="shared" si="90"/>
        <v>85</v>
      </c>
      <c r="W176" s="15"/>
      <c r="X176" s="21">
        <f t="shared" si="91"/>
        <v>56.4</v>
      </c>
      <c r="Y176" s="21">
        <f t="shared" si="92"/>
        <v>80.5714285714286</v>
      </c>
    </row>
    <row r="177" ht="15.6" hidden="1" outlineLevel="2" spans="1:25">
      <c r="A177" s="15">
        <v>111</v>
      </c>
      <c r="B177" s="15">
        <v>31</v>
      </c>
      <c r="C177" s="14" t="s">
        <v>548</v>
      </c>
      <c r="D177" s="14" t="s">
        <v>46</v>
      </c>
      <c r="E177" s="15">
        <v>22</v>
      </c>
      <c r="F177" s="1">
        <f>LOOKUP(E177,{0,0.4,1.2,2,2.8,3.6,4.4,5.7,7,8.3,9.6,10.9,12.2,13.5,14.8,16.1,17.4,19.1,20.8,22.5,24.2},{0,10,20,30,40,50,60,62,64,66,68,70,72,74,76,78,80,85,90,95,100})</f>
        <v>90</v>
      </c>
      <c r="G177" s="15">
        <v>135</v>
      </c>
      <c r="H177" s="1">
        <f>LOOKUP(G177,{0,123,128,133,138,143,148,151,154,157,160,163,166,169,172,175,178,185,192,198,204},{0,10,20,30,40,50,60,62,64,66,68,70,72,74,76,78,80,85,90,95,100})</f>
        <v>30</v>
      </c>
      <c r="I177" s="15">
        <v>46</v>
      </c>
      <c r="J177" s="1">
        <f>LOOKUP(I177,{0,13,15,17,19,21,23,25,27,29,31,33,35,37,39,41,43,46,49,51,53},{0,10,20,30,40,50,60,62,64,66,68,70,72,74,76,78,80,85,90,95,100})</f>
        <v>85</v>
      </c>
      <c r="K177" s="20"/>
      <c r="L177" s="20"/>
      <c r="M177" s="21">
        <f t="shared" si="87"/>
        <v>85</v>
      </c>
      <c r="N177" s="15">
        <v>10</v>
      </c>
      <c r="O177" s="19">
        <f t="shared" si="88"/>
        <v>3</v>
      </c>
      <c r="P177" s="1">
        <f>LOOKUP(O177,{0,1.4,1.6,1.8,2,2.2,2.4,2.6,2.8,3,3.2,3.4,3.6,3.8,4,4.2,4.4,4.7,5,5.1,5.2},{0,10,20,30,40,50,60,62,64,66,68,70,72,74,76,78,80,85,90,95,100})</f>
        <v>66</v>
      </c>
      <c r="Q177" s="15">
        <v>3.43</v>
      </c>
      <c r="R177" s="15">
        <f t="shared" si="89"/>
        <v>6.57</v>
      </c>
      <c r="S177" s="1">
        <f>LOOKUP(R177,{0,4.7,4.8,4.9,5,5.5,5.6,5.65,5.7,5.75,5.8,5.85,5.9,5.95,6,6.45,6.5,6.57,6.64,6.7,6.76},{0,10,20,30,40,50,60,62,64,66,68,70,72,74,76,78,80,85,90,95,100})</f>
        <v>85</v>
      </c>
      <c r="T177" s="20"/>
      <c r="U177" s="20"/>
      <c r="V177" s="21">
        <f t="shared" si="90"/>
        <v>85</v>
      </c>
      <c r="W177" s="15"/>
      <c r="X177" s="21">
        <f t="shared" si="91"/>
        <v>50.7</v>
      </c>
      <c r="Y177" s="21">
        <f t="shared" si="92"/>
        <v>72.4285714285714</v>
      </c>
    </row>
    <row r="178" ht="15.6" hidden="1" outlineLevel="2" spans="1:25">
      <c r="A178" s="15">
        <v>111</v>
      </c>
      <c r="B178" s="15">
        <v>32</v>
      </c>
      <c r="C178" s="14" t="s">
        <v>549</v>
      </c>
      <c r="D178" s="14" t="s">
        <v>46</v>
      </c>
      <c r="E178" s="15">
        <v>10</v>
      </c>
      <c r="F178" s="1">
        <f>LOOKUP(E178,{0,0.4,1.2,2,2.8,3.6,4.4,5.7,7,8.3,9.6,10.9,12.2,13.5,14.8,16.1,17.4,19.1,20.8,22.5,24.2},{0,10,20,30,40,50,60,62,64,66,68,70,72,74,76,78,80,85,90,95,100})</f>
        <v>68</v>
      </c>
      <c r="G178" s="15">
        <v>170</v>
      </c>
      <c r="H178" s="1">
        <f>LOOKUP(G178,{0,123,128,133,138,143,148,151,154,157,160,163,166,169,172,175,178,185,192,198,204},{0,10,20,30,40,50,60,62,64,66,68,70,72,74,76,78,80,85,90,95,100})</f>
        <v>74</v>
      </c>
      <c r="I178" s="15">
        <v>56</v>
      </c>
      <c r="J178" s="1">
        <f>LOOKUP(I178,{0,13,15,17,19,21,23,25,27,29,31,33,35,37,39,41,43,46,49,51,53},{0,10,20,30,40,50,60,62,64,66,68,70,72,74,76,78,80,85,90,95,100})</f>
        <v>100</v>
      </c>
      <c r="K178" s="20">
        <f>I178-53</f>
        <v>3</v>
      </c>
      <c r="L178" s="1">
        <f>LOOKUP(K178,{0,2,4,6,7,8,9,10,11,12,13},{0,1,2,3,4,5,6,7,8,9,10})</f>
        <v>1</v>
      </c>
      <c r="M178" s="21">
        <f t="shared" si="87"/>
        <v>101</v>
      </c>
      <c r="N178" s="15">
        <v>8.2</v>
      </c>
      <c r="O178" s="19">
        <f t="shared" si="88"/>
        <v>4.8</v>
      </c>
      <c r="P178" s="1">
        <f>LOOKUP(O178,{0,1.4,1.6,1.8,2,2.2,2.4,2.6,2.8,3,3.2,3.4,3.6,3.8,4,4.2,4.4,4.7,5,5.1,5.2},{0,10,20,30,40,50,60,62,64,66,68,70,72,74,76,78,80,85,90,95,100})</f>
        <v>85</v>
      </c>
      <c r="Q178" s="15">
        <v>3.5</v>
      </c>
      <c r="R178" s="15">
        <f t="shared" si="89"/>
        <v>6.5</v>
      </c>
      <c r="S178" s="1">
        <f>LOOKUP(R178,{0,4.7,4.8,4.9,5,5.5,5.6,5.65,5.7,5.75,5.8,5.85,5.9,5.95,6,6.45,6.5,6.57,6.64,6.7,6.76},{0,10,20,30,40,50,60,62,64,66,68,70,72,74,76,78,80,85,90,95,100})</f>
        <v>80</v>
      </c>
      <c r="T178" s="20"/>
      <c r="U178" s="20"/>
      <c r="V178" s="21">
        <f t="shared" si="90"/>
        <v>80</v>
      </c>
      <c r="W178" s="15"/>
      <c r="X178" s="21">
        <f t="shared" si="91"/>
        <v>57.2</v>
      </c>
      <c r="Y178" s="21">
        <f t="shared" si="92"/>
        <v>82.7142857142857</v>
      </c>
    </row>
    <row r="179" s="3" customFormat="1" ht="15.6" hidden="1" outlineLevel="2" spans="1:25">
      <c r="A179" s="15">
        <v>111</v>
      </c>
      <c r="B179" s="15">
        <v>33</v>
      </c>
      <c r="C179" s="14" t="s">
        <v>550</v>
      </c>
      <c r="D179" s="14" t="s">
        <v>46</v>
      </c>
      <c r="E179" s="15">
        <v>22</v>
      </c>
      <c r="F179" s="1">
        <f>LOOKUP(E179,{0,0.4,1.2,2,2.8,3.6,4.4,5.7,7,8.3,9.6,10.9,12.2,13.5,14.8,16.1,17.4,19.1,20.8,22.5,24.2},{0,10,20,30,40,50,60,62,64,66,68,70,72,74,76,78,80,85,90,95,100})</f>
        <v>90</v>
      </c>
      <c r="G179" s="15">
        <v>176</v>
      </c>
      <c r="H179" s="1">
        <f>LOOKUP(G179,{0,123,128,133,138,143,148,151,154,157,160,163,166,169,172,175,178,185,192,198,204},{0,10,20,30,40,50,60,62,64,66,68,70,72,74,76,78,80,85,90,95,100})</f>
        <v>78</v>
      </c>
      <c r="I179" s="15">
        <v>45</v>
      </c>
      <c r="J179" s="1">
        <f>LOOKUP(I179,{0,13,15,17,19,21,23,25,27,29,31,33,35,37,39,41,43,46,49,51,53},{0,10,20,30,40,50,60,62,64,66,68,70,72,74,76,78,80,85,90,95,100})</f>
        <v>80</v>
      </c>
      <c r="K179" s="20"/>
      <c r="L179" s="20"/>
      <c r="M179" s="21">
        <f t="shared" si="87"/>
        <v>80</v>
      </c>
      <c r="N179" s="15">
        <v>8.9</v>
      </c>
      <c r="O179" s="19">
        <f t="shared" si="88"/>
        <v>4.1</v>
      </c>
      <c r="P179" s="1">
        <f>LOOKUP(O179,{0,1.4,1.6,1.8,2,2.2,2.4,2.6,2.8,3,3.2,3.4,3.6,3.8,4,4.2,4.4,4.7,5,5.1,5.2},{0,10,20,30,40,50,60,62,64,66,68,70,72,74,76,78,80,85,90,95,100})</f>
        <v>76</v>
      </c>
      <c r="Q179" s="15">
        <v>3.42</v>
      </c>
      <c r="R179" s="15">
        <f t="shared" si="89"/>
        <v>6.58</v>
      </c>
      <c r="S179" s="1">
        <f>LOOKUP(R179,{0,4.7,4.8,4.9,5,5.5,5.6,5.65,5.7,5.75,5.8,5.85,5.9,5.95,6,6.45,6.5,6.57,6.64,6.7,6.76},{0,10,20,30,40,50,60,62,64,66,68,70,72,74,76,78,80,85,90,95,100})</f>
        <v>85</v>
      </c>
      <c r="T179" s="20"/>
      <c r="U179" s="20"/>
      <c r="V179" s="21">
        <f t="shared" si="90"/>
        <v>85</v>
      </c>
      <c r="W179" s="15"/>
      <c r="X179" s="21">
        <f t="shared" si="91"/>
        <v>57</v>
      </c>
      <c r="Y179" s="21">
        <f t="shared" si="92"/>
        <v>81.4285714285714</v>
      </c>
    </row>
    <row r="180" ht="15.6" hidden="1" outlineLevel="2" spans="1:25">
      <c r="A180" s="15">
        <v>111</v>
      </c>
      <c r="B180" s="15">
        <v>34</v>
      </c>
      <c r="C180" s="14" t="s">
        <v>551</v>
      </c>
      <c r="D180" s="14" t="s">
        <v>46</v>
      </c>
      <c r="E180" s="15">
        <v>14</v>
      </c>
      <c r="F180" s="1">
        <f>LOOKUP(E180,{0,0.4,1.2,2,2.8,3.6,4.4,5.7,7,8.3,9.6,10.9,12.2,13.5,14.8,16.1,17.4,19.1,20.8,22.5,24.2},{0,10,20,30,40,50,60,62,64,66,68,70,72,74,76,78,80,85,90,95,100})</f>
        <v>74</v>
      </c>
      <c r="G180" s="15">
        <v>155</v>
      </c>
      <c r="H180" s="1">
        <f>LOOKUP(G180,{0,123,128,133,138,143,148,151,154,157,160,163,166,169,172,175,178,185,192,198,204},{0,10,20,30,40,50,60,62,64,66,68,70,72,74,76,78,80,85,90,95,100})</f>
        <v>64</v>
      </c>
      <c r="I180" s="15">
        <v>30</v>
      </c>
      <c r="J180" s="1">
        <f>LOOKUP(I180,{0,13,15,17,19,21,23,25,27,29,31,33,35,37,39,41,43,46,49,51,53},{0,10,20,30,40,50,60,62,64,66,68,70,72,74,76,78,80,85,90,95,100})</f>
        <v>66</v>
      </c>
      <c r="K180" s="20"/>
      <c r="L180" s="20"/>
      <c r="M180" s="21">
        <f t="shared" si="87"/>
        <v>66</v>
      </c>
      <c r="N180" s="15">
        <v>10.2</v>
      </c>
      <c r="O180" s="19">
        <f t="shared" si="88"/>
        <v>2.8</v>
      </c>
      <c r="P180" s="1">
        <f>LOOKUP(O180,{0,1.4,1.6,1.8,2,2.2,2.4,2.6,2.8,3,3.2,3.4,3.6,3.8,4,4.2,4.4,4.7,5,5.1,5.2},{0,10,20,30,40,50,60,62,64,66,68,70,72,74,76,78,80,85,90,95,100})</f>
        <v>64</v>
      </c>
      <c r="Q180" s="15">
        <v>4.35</v>
      </c>
      <c r="R180" s="15">
        <f t="shared" si="89"/>
        <v>5.65</v>
      </c>
      <c r="S180" s="1">
        <f>LOOKUP(R180,{0,4.7,4.8,4.9,5,5.5,5.6,5.65,5.7,5.75,5.8,5.85,5.9,5.95,6,6.45,6.5,6.57,6.64,6.7,6.76},{0,10,20,30,40,50,60,62,64,66,68,70,72,74,76,78,80,85,90,95,100})</f>
        <v>62</v>
      </c>
      <c r="T180" s="20"/>
      <c r="U180" s="20"/>
      <c r="V180" s="21">
        <f t="shared" si="90"/>
        <v>62</v>
      </c>
      <c r="W180" s="15"/>
      <c r="X180" s="21">
        <f t="shared" si="91"/>
        <v>45.6</v>
      </c>
      <c r="Y180" s="21">
        <f t="shared" si="92"/>
        <v>65.1428571428572</v>
      </c>
    </row>
    <row r="181" ht="15.6" hidden="1" outlineLevel="2" spans="1:25">
      <c r="A181" s="15">
        <v>111</v>
      </c>
      <c r="B181" s="15">
        <v>35</v>
      </c>
      <c r="C181" s="14" t="s">
        <v>552</v>
      </c>
      <c r="D181" s="14" t="s">
        <v>46</v>
      </c>
      <c r="E181" s="15">
        <v>12.5</v>
      </c>
      <c r="F181" s="1">
        <f>LOOKUP(E181,{0,0.4,1.2,2,2.8,3.6,4.4,5.7,7,8.3,9.6,10.9,12.2,13.5,14.8,16.1,17.4,19.1,20.8,22.5,24.2},{0,10,20,30,40,50,60,62,64,66,68,70,72,74,76,78,80,85,90,95,100})</f>
        <v>72</v>
      </c>
      <c r="G181" s="15">
        <v>180</v>
      </c>
      <c r="H181" s="1">
        <f>LOOKUP(G181,{0,123,128,133,138,143,148,151,154,157,160,163,166,169,172,175,178,185,192,198,204},{0,10,20,30,40,50,60,62,64,66,68,70,72,74,76,78,80,85,90,95,100})</f>
        <v>80</v>
      </c>
      <c r="I181" s="15">
        <v>47</v>
      </c>
      <c r="J181" s="1">
        <f>LOOKUP(I181,{0,13,15,17,19,21,23,25,27,29,31,33,35,37,39,41,43,46,49,51,53},{0,10,20,30,40,50,60,62,64,66,68,70,72,74,76,78,80,85,90,95,100})</f>
        <v>85</v>
      </c>
      <c r="K181" s="20"/>
      <c r="L181" s="20"/>
      <c r="M181" s="21">
        <f t="shared" si="87"/>
        <v>85</v>
      </c>
      <c r="N181" s="15">
        <v>8.6</v>
      </c>
      <c r="O181" s="19">
        <f t="shared" si="88"/>
        <v>4.4</v>
      </c>
      <c r="P181" s="1">
        <f>LOOKUP(O181,{0,1.4,1.6,1.8,2,2.2,2.4,2.6,2.8,3,3.2,3.4,3.6,3.8,4,4.2,4.4,4.7,5,5.1,5.2},{0,10,20,30,40,50,60,62,64,66,68,70,72,74,76,78,80,85,90,95,100})</f>
        <v>80</v>
      </c>
      <c r="Q181" s="15">
        <v>3.32</v>
      </c>
      <c r="R181" s="15">
        <f t="shared" si="89"/>
        <v>6.68</v>
      </c>
      <c r="S181" s="1">
        <f>LOOKUP(R181,{0,4.7,4.8,4.9,5,5.5,5.6,5.65,5.7,5.75,5.8,5.85,5.9,5.95,6,6.45,6.5,6.57,6.64,6.7,6.76},{0,10,20,30,40,50,60,62,64,66,68,70,72,74,76,78,80,85,90,95,100})</f>
        <v>90</v>
      </c>
      <c r="T181" s="20"/>
      <c r="U181" s="20"/>
      <c r="V181" s="21">
        <f t="shared" si="90"/>
        <v>90</v>
      </c>
      <c r="W181" s="15"/>
      <c r="X181" s="21">
        <f t="shared" si="91"/>
        <v>57.7</v>
      </c>
      <c r="Y181" s="21">
        <f t="shared" si="92"/>
        <v>82.4285714285714</v>
      </c>
    </row>
    <row r="182" ht="15.6" hidden="1" outlineLevel="2" spans="1:25">
      <c r="A182" s="15">
        <v>111</v>
      </c>
      <c r="B182" s="15">
        <v>36</v>
      </c>
      <c r="C182" s="14" t="s">
        <v>553</v>
      </c>
      <c r="D182" s="14" t="s">
        <v>46</v>
      </c>
      <c r="E182" s="15">
        <v>22</v>
      </c>
      <c r="F182" s="1">
        <f>LOOKUP(E182,{0,0.4,1.2,2,2.8,3.6,4.4,5.7,7,8.3,9.6,10.9,12.2,13.5,14.8,16.1,17.4,19.1,20.8,22.5,24.2},{0,10,20,30,40,50,60,62,64,66,68,70,72,74,76,78,80,85,90,95,100})</f>
        <v>90</v>
      </c>
      <c r="G182" s="15">
        <v>216</v>
      </c>
      <c r="H182" s="1">
        <f>LOOKUP(G182,{0,123,128,133,138,143,148,151,154,157,160,163,166,169,172,175,178,185,192,198,204},{0,10,20,30,40,50,60,62,64,66,68,70,72,74,76,78,80,85,90,95,100})</f>
        <v>100</v>
      </c>
      <c r="I182" s="15">
        <v>50</v>
      </c>
      <c r="J182" s="1">
        <f>LOOKUP(I182,{0,13,15,17,19,21,23,25,27,29,31,33,35,37,39,41,43,46,49,51,53},{0,10,20,30,40,50,60,62,64,66,68,70,72,74,76,78,80,85,90,95,100})</f>
        <v>90</v>
      </c>
      <c r="K182" s="20"/>
      <c r="L182" s="20"/>
      <c r="M182" s="21">
        <f t="shared" si="87"/>
        <v>90</v>
      </c>
      <c r="N182" s="15">
        <v>8.2</v>
      </c>
      <c r="O182" s="19">
        <f t="shared" si="88"/>
        <v>4.8</v>
      </c>
      <c r="P182" s="1">
        <f>LOOKUP(O182,{0,1.4,1.6,1.8,2,2.2,2.4,2.6,2.8,3,3.2,3.4,3.6,3.8,4,4.2,4.4,4.7,5,5.1,5.2},{0,10,20,30,40,50,60,62,64,66,68,70,72,74,76,78,80,85,90,95,100})</f>
        <v>85</v>
      </c>
      <c r="Q182" s="15">
        <v>3.13</v>
      </c>
      <c r="R182" s="15">
        <f t="shared" si="89"/>
        <v>6.87</v>
      </c>
      <c r="S182" s="1">
        <f>LOOKUP(R182,{0,4.7,4.8,4.9,5,5.5,5.6,5.65,5.7,5.75,5.8,5.85,5.9,5.95,6,6.45,6.5,6.57,6.64,6.7,6.76},{0,10,20,30,40,50,60,62,64,66,68,70,72,74,76,78,80,85,90,95,100})</f>
        <v>100</v>
      </c>
      <c r="T182" s="24">
        <f>3.24-Q182</f>
        <v>0.11</v>
      </c>
      <c r="U182" s="1">
        <f>LOOKUP(T182,{0,0.05,0.1,0.15,0.2,0.25,0.3,0.35,0.4,0.45,0.5},{0,1,2,3,4,5,6,7,8,9,10})</f>
        <v>2</v>
      </c>
      <c r="V182" s="21">
        <f t="shared" si="90"/>
        <v>102</v>
      </c>
      <c r="W182" s="15"/>
      <c r="X182" s="21">
        <f t="shared" si="91"/>
        <v>65</v>
      </c>
      <c r="Y182" s="21">
        <f t="shared" si="92"/>
        <v>94.8571428571429</v>
      </c>
    </row>
    <row r="183" ht="15.6" hidden="1" outlineLevel="2" spans="1:25">
      <c r="A183" s="15">
        <v>111</v>
      </c>
      <c r="B183" s="15">
        <v>37</v>
      </c>
      <c r="C183" s="14" t="s">
        <v>554</v>
      </c>
      <c r="D183" s="14" t="s">
        <v>46</v>
      </c>
      <c r="E183" s="15">
        <v>23.5</v>
      </c>
      <c r="F183" s="1">
        <f>LOOKUP(E183,{0,0.4,1.2,2,2.8,3.6,4.4,5.7,7,8.3,9.6,10.9,12.2,13.5,14.8,16.1,17.4,19.1,20.8,22.5,24.2},{0,10,20,30,40,50,60,62,64,66,68,70,72,74,76,78,80,85,90,95,100})</f>
        <v>95</v>
      </c>
      <c r="G183" s="15">
        <v>203</v>
      </c>
      <c r="H183" s="1">
        <f>LOOKUP(G183,{0,123,128,133,138,143,148,151,154,157,160,163,166,169,172,175,178,185,192,198,204},{0,10,20,30,40,50,60,62,64,66,68,70,72,74,76,78,80,85,90,95,100})</f>
        <v>95</v>
      </c>
      <c r="I183" s="15">
        <v>46</v>
      </c>
      <c r="J183" s="1">
        <f>LOOKUP(I183,{0,13,15,17,19,21,23,25,27,29,31,33,35,37,39,41,43,46,49,51,53},{0,10,20,30,40,50,60,62,64,66,68,70,72,74,76,78,80,85,90,95,100})</f>
        <v>85</v>
      </c>
      <c r="K183" s="20"/>
      <c r="L183" s="20"/>
      <c r="M183" s="21">
        <f t="shared" si="87"/>
        <v>85</v>
      </c>
      <c r="N183" s="15">
        <v>8.7</v>
      </c>
      <c r="O183" s="19">
        <f t="shared" si="88"/>
        <v>4.3</v>
      </c>
      <c r="P183" s="1">
        <f>LOOKUP(O183,{0,1.4,1.6,1.8,2,2.2,2.4,2.6,2.8,3,3.2,3.4,3.6,3.8,4,4.2,4.4,4.7,5,5.1,5.2},{0,10,20,30,40,50,60,62,64,66,68,70,72,74,76,78,80,85,90,95,100})</f>
        <v>78</v>
      </c>
      <c r="Q183" s="15">
        <v>3.42</v>
      </c>
      <c r="R183" s="15">
        <f t="shared" si="89"/>
        <v>6.58</v>
      </c>
      <c r="S183" s="1">
        <f>LOOKUP(R183,{0,4.7,4.8,4.9,5,5.5,5.6,5.65,5.7,5.75,5.8,5.85,5.9,5.95,6,6.45,6.5,6.57,6.64,6.7,6.76},{0,10,20,30,40,50,60,62,64,66,68,70,72,74,76,78,80,85,90,95,100})</f>
        <v>85</v>
      </c>
      <c r="T183" s="20"/>
      <c r="U183" s="20"/>
      <c r="V183" s="21">
        <f t="shared" si="90"/>
        <v>85</v>
      </c>
      <c r="W183" s="15"/>
      <c r="X183" s="21">
        <f t="shared" si="91"/>
        <v>60.1</v>
      </c>
      <c r="Y183" s="21">
        <f t="shared" si="92"/>
        <v>85.8571428571429</v>
      </c>
    </row>
    <row r="184" ht="15.6" hidden="1" outlineLevel="2" spans="1:25">
      <c r="A184" s="15">
        <v>111</v>
      </c>
      <c r="B184" s="15">
        <v>38</v>
      </c>
      <c r="C184" s="13" t="s">
        <v>556</v>
      </c>
      <c r="D184" s="14" t="s">
        <v>46</v>
      </c>
      <c r="E184" s="15">
        <v>16.5</v>
      </c>
      <c r="F184" s="1">
        <f>LOOKUP(E184,{0,0.4,1.2,2,2.8,3.6,4.4,5.7,7,8.3,9.6,10.9,12.2,13.5,14.8,16.1,17.4,19.1,20.8,22.5,24.2},{0,10,20,30,40,50,60,62,64,66,68,70,72,74,76,78,80,85,90,95,100})</f>
        <v>78</v>
      </c>
      <c r="G184" s="15">
        <v>185</v>
      </c>
      <c r="H184" s="1">
        <f>LOOKUP(G184,{0,123,128,133,138,143,148,151,154,157,160,163,166,169,172,175,178,185,192,198,204},{0,10,20,30,40,50,60,62,64,66,68,70,72,74,76,78,80,85,90,95,100})</f>
        <v>85</v>
      </c>
      <c r="I184" s="15">
        <v>47</v>
      </c>
      <c r="J184" s="1">
        <f>LOOKUP(I184,{0,13,15,17,19,21,23,25,27,29,31,33,35,37,39,41,43,46,49,51,53},{0,10,20,30,40,50,60,62,64,66,68,70,72,74,76,78,80,85,90,95,100})</f>
        <v>85</v>
      </c>
      <c r="K184" s="20"/>
      <c r="L184" s="20"/>
      <c r="M184" s="21">
        <f t="shared" si="87"/>
        <v>85</v>
      </c>
      <c r="N184" s="15">
        <v>8.2</v>
      </c>
      <c r="O184" s="19">
        <f t="shared" si="88"/>
        <v>4.8</v>
      </c>
      <c r="P184" s="1">
        <f>LOOKUP(O184,{0,1.4,1.6,1.8,2,2.2,2.4,2.6,2.8,3,3.2,3.4,3.6,3.8,4,4.2,4.4,4.7,5,5.1,5.2},{0,10,20,30,40,50,60,62,64,66,68,70,72,74,76,78,80,85,90,95,100})</f>
        <v>85</v>
      </c>
      <c r="Q184" s="15">
        <v>3.35</v>
      </c>
      <c r="R184" s="15">
        <f t="shared" si="89"/>
        <v>6.65</v>
      </c>
      <c r="S184" s="1">
        <f>LOOKUP(R184,{0,4.7,4.8,4.9,5,5.5,5.6,5.65,5.7,5.75,5.8,5.85,5.9,5.95,6,6.45,6.5,6.57,6.64,6.7,6.76},{0,10,20,30,40,50,60,62,64,66,68,70,72,74,76,78,80,85,90,95,100})</f>
        <v>90</v>
      </c>
      <c r="T184" s="20"/>
      <c r="U184" s="20"/>
      <c r="V184" s="21">
        <f t="shared" si="90"/>
        <v>90</v>
      </c>
      <c r="W184" s="15"/>
      <c r="X184" s="21">
        <f t="shared" si="91"/>
        <v>59.8</v>
      </c>
      <c r="Y184" s="21">
        <f t="shared" si="92"/>
        <v>85.4285714285714</v>
      </c>
    </row>
    <row r="185" ht="15.6" hidden="1" outlineLevel="2" spans="1:25">
      <c r="A185" s="15">
        <v>111</v>
      </c>
      <c r="B185" s="15">
        <v>39</v>
      </c>
      <c r="C185" s="14" t="s">
        <v>557</v>
      </c>
      <c r="D185" s="14" t="s">
        <v>46</v>
      </c>
      <c r="E185" s="15">
        <v>21</v>
      </c>
      <c r="F185" s="1">
        <f>LOOKUP(E185,{0,0.4,1.2,2,2.8,3.6,4.4,5.7,7,8.3,9.6,10.9,12.2,13.5,14.8,16.1,17.4,19.1,20.8,22.5,24.2},{0,10,20,30,40,50,60,62,64,66,68,70,72,74,76,78,80,85,90,95,100})</f>
        <v>90</v>
      </c>
      <c r="G185" s="15">
        <v>195</v>
      </c>
      <c r="H185" s="1">
        <f>LOOKUP(G185,{0,123,128,133,138,143,148,151,154,157,160,163,166,169,172,175,178,185,192,198,204},{0,10,20,30,40,50,60,62,64,66,68,70,72,74,76,78,80,85,90,95,100})</f>
        <v>90</v>
      </c>
      <c r="I185" s="15">
        <v>46</v>
      </c>
      <c r="J185" s="1">
        <f>LOOKUP(I185,{0,13,15,17,19,21,23,25,27,29,31,33,35,37,39,41,43,46,49,51,53},{0,10,20,30,40,50,60,62,64,66,68,70,72,74,76,78,80,85,90,95,100})</f>
        <v>85</v>
      </c>
      <c r="K185" s="20"/>
      <c r="L185" s="20"/>
      <c r="M185" s="21">
        <f t="shared" si="87"/>
        <v>85</v>
      </c>
      <c r="N185" s="15">
        <v>8.3</v>
      </c>
      <c r="O185" s="19">
        <f t="shared" si="88"/>
        <v>4.7</v>
      </c>
      <c r="P185" s="1">
        <f>LOOKUP(O185,{0,1.4,1.6,1.8,2,2.2,2.4,2.6,2.8,3,3.2,3.4,3.6,3.8,4,4.2,4.4,4.7,5,5.1,5.2},{0,10,20,30,40,50,60,62,64,66,68,70,72,74,76,78,80,85,90,95,100})</f>
        <v>85</v>
      </c>
      <c r="Q185" s="15">
        <v>3.43</v>
      </c>
      <c r="R185" s="15">
        <f t="shared" si="89"/>
        <v>6.57</v>
      </c>
      <c r="S185" s="1">
        <f>LOOKUP(R185,{0,4.7,4.8,4.9,5,5.5,5.6,5.65,5.7,5.75,5.8,5.85,5.9,5.95,6,6.45,6.5,6.57,6.64,6.7,6.76},{0,10,20,30,40,50,60,62,64,66,68,70,72,74,76,78,80,85,90,95,100})</f>
        <v>85</v>
      </c>
      <c r="T185" s="20"/>
      <c r="U185" s="20"/>
      <c r="V185" s="21">
        <f t="shared" si="90"/>
        <v>85</v>
      </c>
      <c r="W185" s="15"/>
      <c r="X185" s="21">
        <f t="shared" si="91"/>
        <v>60.5</v>
      </c>
      <c r="Y185" s="21">
        <f t="shared" si="92"/>
        <v>86.4285714285714</v>
      </c>
    </row>
    <row r="186" ht="15.6" hidden="1" outlineLevel="2" spans="1:25">
      <c r="A186" s="15">
        <v>111</v>
      </c>
      <c r="B186" s="15">
        <v>40</v>
      </c>
      <c r="C186" s="14" t="s">
        <v>558</v>
      </c>
      <c r="D186" s="14" t="s">
        <v>46</v>
      </c>
      <c r="E186" s="15">
        <v>26.5</v>
      </c>
      <c r="F186" s="1">
        <f>LOOKUP(E186,{0,0.4,1.2,2,2.8,3.6,4.4,5.7,7,8.3,9.6,10.9,12.2,13.5,14.8,16.1,17.4,19.1,20.8,22.5,24.2},{0,10,20,30,40,50,60,62,64,66,68,70,72,74,76,78,80,85,90,95,100})</f>
        <v>100</v>
      </c>
      <c r="G186" s="15">
        <v>185</v>
      </c>
      <c r="H186" s="1">
        <f>LOOKUP(G186,{0,123,128,133,138,143,148,151,154,157,160,163,166,169,172,175,178,185,192,198,204},{0,10,20,30,40,50,60,62,64,66,68,70,72,74,76,78,80,85,90,95,100})</f>
        <v>85</v>
      </c>
      <c r="I186" s="15">
        <v>45</v>
      </c>
      <c r="J186" s="1">
        <f>LOOKUP(I186,{0,13,15,17,19,21,23,25,27,29,31,33,35,37,39,41,43,46,49,51,53},{0,10,20,30,40,50,60,62,64,66,68,70,72,74,76,78,80,85,90,95,100})</f>
        <v>80</v>
      </c>
      <c r="K186" s="20"/>
      <c r="L186" s="20"/>
      <c r="M186" s="21">
        <f t="shared" si="87"/>
        <v>80</v>
      </c>
      <c r="N186" s="15">
        <v>8.6</v>
      </c>
      <c r="O186" s="19">
        <f t="shared" si="88"/>
        <v>4.4</v>
      </c>
      <c r="P186" s="1">
        <f>LOOKUP(O186,{0,1.4,1.6,1.8,2,2.2,2.4,2.6,2.8,3,3.2,3.4,3.6,3.8,4,4.2,4.4,4.7,5,5.1,5.2},{0,10,20,30,40,50,60,62,64,66,68,70,72,74,76,78,80,85,90,95,100})</f>
        <v>80</v>
      </c>
      <c r="Q186" s="15">
        <v>3.31</v>
      </c>
      <c r="R186" s="15">
        <f t="shared" si="89"/>
        <v>6.69</v>
      </c>
      <c r="S186" s="1">
        <f>LOOKUP(R186,{0,4.7,4.8,4.9,5,5.5,5.6,5.65,5.7,5.75,5.8,5.85,5.9,5.95,6,6.45,6.5,6.57,6.64,6.7,6.76},{0,10,20,30,40,50,60,62,64,66,68,70,72,74,76,78,80,85,90,95,100})</f>
        <v>90</v>
      </c>
      <c r="T186" s="20"/>
      <c r="U186" s="20"/>
      <c r="V186" s="21">
        <f t="shared" si="90"/>
        <v>90</v>
      </c>
      <c r="W186" s="15"/>
      <c r="X186" s="21">
        <f t="shared" si="91"/>
        <v>60.5</v>
      </c>
      <c r="Y186" s="21">
        <f t="shared" si="92"/>
        <v>86.4285714285714</v>
      </c>
    </row>
    <row r="187" ht="15.6" hidden="1" outlineLevel="2" spans="1:25">
      <c r="A187" s="15">
        <v>111</v>
      </c>
      <c r="B187" s="15">
        <v>41</v>
      </c>
      <c r="C187" s="14" t="s">
        <v>559</v>
      </c>
      <c r="D187" s="14" t="s">
        <v>46</v>
      </c>
      <c r="E187" s="15">
        <v>11.5</v>
      </c>
      <c r="F187" s="1">
        <f>LOOKUP(E187,{0,0.4,1.2,2,2.8,3.6,4.4,5.7,7,8.3,9.6,10.9,12.2,13.5,14.8,16.1,17.4,19.1,20.8,22.5,24.2},{0,10,20,30,40,50,60,62,64,66,68,70,72,74,76,78,80,85,90,95,100})</f>
        <v>70</v>
      </c>
      <c r="G187" s="15">
        <v>195</v>
      </c>
      <c r="H187" s="1">
        <f>LOOKUP(G187,{0,123,128,133,138,143,148,151,154,157,160,163,166,169,172,175,178,185,192,198,204},{0,10,20,30,40,50,60,62,64,66,68,70,72,74,76,78,80,85,90,95,100})</f>
        <v>90</v>
      </c>
      <c r="I187" s="15">
        <v>51</v>
      </c>
      <c r="J187" s="1">
        <f>LOOKUP(I187,{0,13,15,17,19,21,23,25,27,29,31,33,35,37,39,41,43,46,49,51,53},{0,10,20,30,40,50,60,62,64,66,68,70,72,74,76,78,80,85,90,95,100})</f>
        <v>95</v>
      </c>
      <c r="K187" s="20"/>
      <c r="L187" s="20"/>
      <c r="M187" s="21">
        <f t="shared" si="87"/>
        <v>95</v>
      </c>
      <c r="N187" s="15">
        <v>9</v>
      </c>
      <c r="O187" s="19">
        <f t="shared" si="88"/>
        <v>4</v>
      </c>
      <c r="P187" s="1">
        <f>LOOKUP(O187,{0,1.4,1.6,1.8,2,2.2,2.4,2.6,2.8,3,3.2,3.4,3.6,3.8,4,4.2,4.4,4.7,5,5.1,5.2},{0,10,20,30,40,50,60,62,64,66,68,70,72,74,76,78,80,85,90,95,100})</f>
        <v>76</v>
      </c>
      <c r="Q187" s="15">
        <v>3.31</v>
      </c>
      <c r="R187" s="15">
        <f t="shared" si="89"/>
        <v>6.69</v>
      </c>
      <c r="S187" s="1">
        <f>LOOKUP(R187,{0,4.7,4.8,4.9,5,5.5,5.6,5.65,5.7,5.75,5.8,5.85,5.9,5.95,6,6.45,6.5,6.57,6.64,6.7,6.76},{0,10,20,30,40,50,60,62,64,66,68,70,72,74,76,78,80,85,90,95,100})</f>
        <v>90</v>
      </c>
      <c r="T187" s="20"/>
      <c r="U187" s="20"/>
      <c r="V187" s="21">
        <f t="shared" si="90"/>
        <v>90</v>
      </c>
      <c r="W187" s="15"/>
      <c r="X187" s="21">
        <f t="shared" si="91"/>
        <v>58.7</v>
      </c>
      <c r="Y187" s="21">
        <f t="shared" si="92"/>
        <v>83.8571428571429</v>
      </c>
    </row>
    <row r="188" ht="15.6" hidden="1" outlineLevel="2" spans="1:25">
      <c r="A188" s="15">
        <v>111</v>
      </c>
      <c r="B188" s="15">
        <v>42</v>
      </c>
      <c r="C188" s="14" t="s">
        <v>560</v>
      </c>
      <c r="D188" s="14" t="s">
        <v>46</v>
      </c>
      <c r="E188" s="15">
        <v>22</v>
      </c>
      <c r="F188" s="1">
        <f>LOOKUP(E188,{0,0.4,1.2,2,2.8,3.6,4.4,5.7,7,8.3,9.6,10.9,12.2,13.5,14.8,16.1,17.4,19.1,20.8,22.5,24.2},{0,10,20,30,40,50,60,62,64,66,68,70,72,74,76,78,80,85,90,95,100})</f>
        <v>90</v>
      </c>
      <c r="G188" s="15">
        <v>185</v>
      </c>
      <c r="H188" s="1">
        <f>LOOKUP(G188,{0,123,128,133,138,143,148,151,154,157,160,163,166,169,172,175,178,185,192,198,204},{0,10,20,30,40,50,60,62,64,66,68,70,72,74,76,78,80,85,90,95,100})</f>
        <v>85</v>
      </c>
      <c r="I188" s="15">
        <v>52</v>
      </c>
      <c r="J188" s="1">
        <f>LOOKUP(I188,{0,13,15,17,19,21,23,25,27,29,31,33,35,37,39,41,43,46,49,51,53},{0,10,20,30,40,50,60,62,64,66,68,70,72,74,76,78,80,85,90,95,100})</f>
        <v>95</v>
      </c>
      <c r="K188" s="20"/>
      <c r="L188" s="20"/>
      <c r="M188" s="21">
        <f t="shared" si="87"/>
        <v>95</v>
      </c>
      <c r="N188" s="15">
        <v>8</v>
      </c>
      <c r="O188" s="19">
        <f t="shared" si="88"/>
        <v>5</v>
      </c>
      <c r="P188" s="1">
        <f>LOOKUP(O188,{0,1.4,1.6,1.8,2,2.2,2.4,2.6,2.8,3,3.2,3.4,3.6,3.8,4,4.2,4.4,4.7,5,5.1,5.2},{0,10,20,30,40,50,60,62,64,66,68,70,72,74,76,78,80,85,90,95,100})</f>
        <v>90</v>
      </c>
      <c r="Q188" s="15">
        <v>3.43</v>
      </c>
      <c r="R188" s="15">
        <f t="shared" si="89"/>
        <v>6.57</v>
      </c>
      <c r="S188" s="1">
        <f>LOOKUP(R188,{0,4.7,4.8,4.9,5,5.5,5.6,5.65,5.7,5.75,5.8,5.85,5.9,5.95,6,6.45,6.5,6.57,6.64,6.7,6.76},{0,10,20,30,40,50,60,62,64,66,68,70,72,74,76,78,80,85,90,95,100})</f>
        <v>85</v>
      </c>
      <c r="T188" s="20"/>
      <c r="U188" s="20"/>
      <c r="V188" s="21">
        <f t="shared" si="90"/>
        <v>85</v>
      </c>
      <c r="W188" s="15"/>
      <c r="X188" s="21">
        <f t="shared" si="91"/>
        <v>62</v>
      </c>
      <c r="Y188" s="21">
        <f t="shared" si="92"/>
        <v>88.5714285714286</v>
      </c>
    </row>
    <row r="189" ht="15.6" hidden="1" outlineLevel="2" spans="1:25">
      <c r="A189" s="15">
        <v>111</v>
      </c>
      <c r="B189" s="15">
        <v>43</v>
      </c>
      <c r="C189" s="14" t="s">
        <v>561</v>
      </c>
      <c r="D189" s="14" t="s">
        <v>46</v>
      </c>
      <c r="E189" s="15">
        <v>22</v>
      </c>
      <c r="F189" s="1">
        <f>LOOKUP(E189,{0,0.4,1.2,2,2.8,3.6,4.4,5.7,7,8.3,9.6,10.9,12.2,13.5,14.8,16.1,17.4,19.1,20.8,22.5,24.2},{0,10,20,30,40,50,60,62,64,66,68,70,72,74,76,78,80,85,90,95,100})</f>
        <v>90</v>
      </c>
      <c r="G189" s="15">
        <v>155</v>
      </c>
      <c r="H189" s="1">
        <f>LOOKUP(G189,{0,123,128,133,138,143,148,151,154,157,160,163,166,169,172,175,178,185,192,198,204},{0,10,20,30,40,50,60,62,64,66,68,70,72,74,76,78,80,85,90,95,100})</f>
        <v>64</v>
      </c>
      <c r="I189" s="15">
        <v>45</v>
      </c>
      <c r="J189" s="1">
        <f>LOOKUP(I189,{0,13,15,17,19,21,23,25,27,29,31,33,35,37,39,41,43,46,49,51,53},{0,10,20,30,40,50,60,62,64,66,68,70,72,74,76,78,80,85,90,95,100})</f>
        <v>80</v>
      </c>
      <c r="K189" s="20"/>
      <c r="L189" s="20"/>
      <c r="M189" s="21">
        <f t="shared" si="87"/>
        <v>80</v>
      </c>
      <c r="N189" s="15">
        <v>8.6</v>
      </c>
      <c r="O189" s="19">
        <f t="shared" si="88"/>
        <v>4.4</v>
      </c>
      <c r="P189" s="1">
        <f>LOOKUP(O189,{0,1.4,1.6,1.8,2,2.2,2.4,2.6,2.8,3,3.2,3.4,3.6,3.8,4,4.2,4.4,4.7,5,5.1,5.2},{0,10,20,30,40,50,60,62,64,66,68,70,72,74,76,78,80,85,90,95,100})</f>
        <v>80</v>
      </c>
      <c r="Q189" s="15">
        <v>3.32</v>
      </c>
      <c r="R189" s="15">
        <f t="shared" si="89"/>
        <v>6.68</v>
      </c>
      <c r="S189" s="1">
        <f>LOOKUP(R189,{0,4.7,4.8,4.9,5,5.5,5.6,5.65,5.7,5.75,5.8,5.85,5.9,5.95,6,6.45,6.5,6.57,6.64,6.7,6.76},{0,10,20,30,40,50,60,62,64,66,68,70,72,74,76,78,80,85,90,95,100})</f>
        <v>90</v>
      </c>
      <c r="T189" s="20"/>
      <c r="U189" s="20"/>
      <c r="V189" s="21">
        <f t="shared" si="90"/>
        <v>90</v>
      </c>
      <c r="W189" s="15"/>
      <c r="X189" s="21">
        <f t="shared" si="91"/>
        <v>57.4</v>
      </c>
      <c r="Y189" s="21">
        <f t="shared" si="92"/>
        <v>82</v>
      </c>
    </row>
    <row r="190" s="3" customFormat="1" ht="15.6" hidden="1" outlineLevel="2" spans="1:25">
      <c r="A190" s="15">
        <v>111</v>
      </c>
      <c r="B190" s="15">
        <v>44</v>
      </c>
      <c r="C190" s="14" t="s">
        <v>562</v>
      </c>
      <c r="D190" s="14" t="s">
        <v>46</v>
      </c>
      <c r="E190" s="15">
        <v>37.5</v>
      </c>
      <c r="F190" s="1">
        <f>LOOKUP(E190,{0,0.4,1.2,2,2.8,3.6,4.4,5.7,7,8.3,9.6,10.9,12.2,13.5,14.8,16.1,17.4,19.1,20.8,22.5,24.2},{0,10,20,30,40,50,60,62,64,66,68,70,72,74,76,78,80,85,90,95,100})</f>
        <v>100</v>
      </c>
      <c r="G190" s="15">
        <v>200</v>
      </c>
      <c r="H190" s="1">
        <f>LOOKUP(G190,{0,123,128,133,138,143,148,151,154,157,160,163,166,169,172,175,178,185,192,198,204},{0,10,20,30,40,50,60,62,64,66,68,70,72,74,76,78,80,85,90,95,100})</f>
        <v>95</v>
      </c>
      <c r="I190" s="15">
        <v>49</v>
      </c>
      <c r="J190" s="1">
        <f>LOOKUP(I190,{0,13,15,17,19,21,23,25,27,29,31,33,35,37,39,41,43,46,49,51,53},{0,10,20,30,40,50,60,62,64,66,68,70,72,74,76,78,80,85,90,95,100})</f>
        <v>90</v>
      </c>
      <c r="K190" s="20"/>
      <c r="L190" s="20"/>
      <c r="M190" s="21">
        <f t="shared" si="87"/>
        <v>90</v>
      </c>
      <c r="N190" s="15">
        <v>8.2</v>
      </c>
      <c r="O190" s="19">
        <f t="shared" si="88"/>
        <v>4.8</v>
      </c>
      <c r="P190" s="1">
        <f>LOOKUP(O190,{0,1.4,1.6,1.8,2,2.2,2.4,2.6,2.8,3,3.2,3.4,3.6,3.8,4,4.2,4.4,4.7,5,5.1,5.2},{0,10,20,30,40,50,60,62,64,66,68,70,72,74,76,78,80,85,90,95,100})</f>
        <v>85</v>
      </c>
      <c r="Q190" s="15">
        <v>3.35</v>
      </c>
      <c r="R190" s="15">
        <f t="shared" si="89"/>
        <v>6.65</v>
      </c>
      <c r="S190" s="1">
        <f>LOOKUP(R190,{0,4.7,4.8,4.9,5,5.5,5.6,5.65,5.7,5.75,5.8,5.85,5.9,5.95,6,6.45,6.5,6.57,6.64,6.7,6.76},{0,10,20,30,40,50,60,62,64,66,68,70,72,74,76,78,80,85,90,95,100})</f>
        <v>90</v>
      </c>
      <c r="T190" s="20"/>
      <c r="U190" s="20"/>
      <c r="V190" s="21">
        <f t="shared" si="90"/>
        <v>90</v>
      </c>
      <c r="W190" s="15"/>
      <c r="X190" s="21">
        <f t="shared" si="91"/>
        <v>63.5</v>
      </c>
      <c r="Y190" s="21">
        <f t="shared" si="92"/>
        <v>90.7142857142857</v>
      </c>
    </row>
    <row r="191" ht="15.6" hidden="1" outlineLevel="2" spans="1:25">
      <c r="A191" s="15">
        <v>111</v>
      </c>
      <c r="B191" s="15">
        <v>45</v>
      </c>
      <c r="C191" s="14" t="s">
        <v>563</v>
      </c>
      <c r="D191" s="14" t="s">
        <v>46</v>
      </c>
      <c r="E191" s="15">
        <v>15.5</v>
      </c>
      <c r="F191" s="1">
        <f>LOOKUP(E191,{0,0.4,1.2,2,2.8,3.6,4.4,5.7,7,8.3,9.6,10.9,12.2,13.5,14.8,16.1,17.4,19.1,20.8,22.5,24.2},{0,10,20,30,40,50,60,62,64,66,68,70,72,74,76,78,80,85,90,95,100})</f>
        <v>76</v>
      </c>
      <c r="G191" s="15">
        <v>175</v>
      </c>
      <c r="H191" s="1">
        <f>LOOKUP(G191,{0,123,128,133,138,143,148,151,154,157,160,163,166,169,172,175,178,185,192,198,204},{0,10,20,30,40,50,60,62,64,66,68,70,72,74,76,78,80,85,90,95,100})</f>
        <v>78</v>
      </c>
      <c r="I191" s="15">
        <v>53</v>
      </c>
      <c r="J191" s="1">
        <f>LOOKUP(I191,{0,13,15,17,19,21,23,25,27,29,31,33,35,37,39,41,43,46,49,51,53},{0,10,20,30,40,50,60,62,64,66,68,70,72,74,76,78,80,85,90,95,100})</f>
        <v>100</v>
      </c>
      <c r="K191" s="20">
        <f t="shared" ref="K191:K194" si="93">I191-53</f>
        <v>0</v>
      </c>
      <c r="L191" s="1">
        <f>LOOKUP(K191,{0,2,4,6,7,8,9,10,11,12,13},{0,1,2,3,4,5,6,7,8,9,10})</f>
        <v>0</v>
      </c>
      <c r="M191" s="21">
        <f t="shared" si="87"/>
        <v>100</v>
      </c>
      <c r="N191" s="15">
        <v>8.8</v>
      </c>
      <c r="O191" s="19">
        <f t="shared" si="88"/>
        <v>4.2</v>
      </c>
      <c r="P191" s="1">
        <f>LOOKUP(O191,{0,1.4,1.6,1.8,2,2.2,2.4,2.6,2.8,3,3.2,3.4,3.6,3.8,4,4.2,4.4,4.7,5,5.1,5.2},{0,10,20,30,40,50,60,62,64,66,68,70,72,74,76,78,80,85,90,95,100})</f>
        <v>78</v>
      </c>
      <c r="Q191" s="15">
        <v>3.4</v>
      </c>
      <c r="R191" s="15">
        <f t="shared" si="89"/>
        <v>6.6</v>
      </c>
      <c r="S191" s="1">
        <f>LOOKUP(R191,{0,4.7,4.8,4.9,5,5.5,5.6,5.65,5.7,5.75,5.8,5.85,5.9,5.95,6,6.45,6.5,6.57,6.64,6.7,6.76},{0,10,20,30,40,50,60,62,64,66,68,70,72,74,76,78,80,85,90,95,100})</f>
        <v>85</v>
      </c>
      <c r="T191" s="20"/>
      <c r="U191" s="20"/>
      <c r="V191" s="21">
        <f t="shared" si="90"/>
        <v>85</v>
      </c>
      <c r="W191" s="15"/>
      <c r="X191" s="21">
        <f t="shared" si="91"/>
        <v>58</v>
      </c>
      <c r="Y191" s="21">
        <f t="shared" si="92"/>
        <v>82.8571428571429</v>
      </c>
    </row>
    <row r="192" ht="15.6" hidden="1" outlineLevel="2" spans="1:25">
      <c r="A192" s="15">
        <v>111</v>
      </c>
      <c r="B192" s="15">
        <v>46</v>
      </c>
      <c r="C192" s="14" t="s">
        <v>564</v>
      </c>
      <c r="D192" s="14" t="s">
        <v>46</v>
      </c>
      <c r="E192" s="15">
        <v>20</v>
      </c>
      <c r="F192" s="1">
        <f>LOOKUP(E192,{0,0.4,1.2,2,2.8,3.6,4.4,5.7,7,8.3,9.6,10.9,12.2,13.5,14.8,16.1,17.4,19.1,20.8,22.5,24.2},{0,10,20,30,40,50,60,62,64,66,68,70,72,74,76,78,80,85,90,95,100})</f>
        <v>85</v>
      </c>
      <c r="G192" s="15">
        <v>156</v>
      </c>
      <c r="H192" s="1">
        <f>LOOKUP(G192,{0,123,128,133,138,143,148,151,154,157,160,163,166,169,172,175,178,185,192,198,204},{0,10,20,30,40,50,60,62,64,66,68,70,72,74,76,78,80,85,90,95,100})</f>
        <v>64</v>
      </c>
      <c r="I192" s="15">
        <v>53</v>
      </c>
      <c r="J192" s="1">
        <f>LOOKUP(I192,{0,13,15,17,19,21,23,25,27,29,31,33,35,37,39,41,43,46,49,51,53},{0,10,20,30,40,50,60,62,64,66,68,70,72,74,76,78,80,85,90,95,100})</f>
        <v>100</v>
      </c>
      <c r="K192" s="20">
        <f t="shared" si="93"/>
        <v>0</v>
      </c>
      <c r="L192" s="1">
        <f>LOOKUP(K192,{0,2,4,6,7,8,9,10,11,12,13},{0,1,2,3,4,5,6,7,8,9,10})</f>
        <v>0</v>
      </c>
      <c r="M192" s="21">
        <f t="shared" si="87"/>
        <v>100</v>
      </c>
      <c r="N192" s="15">
        <v>8.9</v>
      </c>
      <c r="O192" s="19">
        <f t="shared" si="88"/>
        <v>4.1</v>
      </c>
      <c r="P192" s="1">
        <f>LOOKUP(O192,{0,1.4,1.6,1.8,2,2.2,2.4,2.6,2.8,3,3.2,3.4,3.6,3.8,4,4.2,4.4,4.7,5,5.1,5.2},{0,10,20,30,40,50,60,62,64,66,68,70,72,74,76,78,80,85,90,95,100})</f>
        <v>76</v>
      </c>
      <c r="Q192" s="15">
        <v>3.4</v>
      </c>
      <c r="R192" s="15">
        <f t="shared" si="89"/>
        <v>6.6</v>
      </c>
      <c r="S192" s="1">
        <f>LOOKUP(R192,{0,4.7,4.8,4.9,5,5.5,5.6,5.65,5.7,5.75,5.8,5.85,5.9,5.95,6,6.45,6.5,6.57,6.64,6.7,6.76},{0,10,20,30,40,50,60,62,64,66,68,70,72,74,76,78,80,85,90,95,100})</f>
        <v>85</v>
      </c>
      <c r="T192" s="20"/>
      <c r="U192" s="20"/>
      <c r="V192" s="21">
        <f t="shared" si="90"/>
        <v>85</v>
      </c>
      <c r="W192" s="15"/>
      <c r="X192" s="21">
        <f t="shared" si="91"/>
        <v>57.1</v>
      </c>
      <c r="Y192" s="21">
        <f t="shared" si="92"/>
        <v>81.5714285714286</v>
      </c>
    </row>
    <row r="193" ht="15.6" hidden="1" outlineLevel="2" spans="1:25">
      <c r="A193" s="15">
        <v>111</v>
      </c>
      <c r="B193" s="15">
        <v>47</v>
      </c>
      <c r="C193" s="14" t="s">
        <v>565</v>
      </c>
      <c r="D193" s="14" t="s">
        <v>46</v>
      </c>
      <c r="E193" s="15">
        <v>9.1</v>
      </c>
      <c r="F193" s="1">
        <f>LOOKUP(E193,{0,0.4,1.2,2,2.8,3.6,4.4,5.7,7,8.3,9.6,10.9,12.2,13.5,14.8,16.1,17.4,19.1,20.8,22.5,24.2},{0,10,20,30,40,50,60,62,64,66,68,70,72,74,76,78,80,85,90,95,100})</f>
        <v>66</v>
      </c>
      <c r="G193" s="15">
        <v>165</v>
      </c>
      <c r="H193" s="1">
        <f>LOOKUP(G193,{0,123,128,133,138,143,148,151,154,157,160,163,166,169,172,175,178,185,192,198,204},{0,10,20,30,40,50,60,62,64,66,68,70,72,74,76,78,80,85,90,95,100})</f>
        <v>70</v>
      </c>
      <c r="I193" s="15">
        <v>49</v>
      </c>
      <c r="J193" s="1">
        <f>LOOKUP(I193,{0,13,15,17,19,21,23,25,27,29,31,33,35,37,39,41,43,46,49,51,53},{0,10,20,30,40,50,60,62,64,66,68,70,72,74,76,78,80,85,90,95,100})</f>
        <v>90</v>
      </c>
      <c r="K193" s="20"/>
      <c r="L193" s="20"/>
      <c r="M193" s="21">
        <f t="shared" si="87"/>
        <v>90</v>
      </c>
      <c r="N193" s="15">
        <v>8.5</v>
      </c>
      <c r="O193" s="19">
        <f t="shared" si="88"/>
        <v>4.5</v>
      </c>
      <c r="P193" s="1">
        <f>LOOKUP(O193,{0,1.4,1.6,1.8,2,2.2,2.4,2.6,2.8,3,3.2,3.4,3.6,3.8,4,4.2,4.4,4.7,5,5.1,5.2},{0,10,20,30,40,50,60,62,64,66,68,70,72,74,76,78,80,85,90,95,100})</f>
        <v>80</v>
      </c>
      <c r="Q193" s="15">
        <v>3.42</v>
      </c>
      <c r="R193" s="15">
        <f t="shared" si="89"/>
        <v>6.58</v>
      </c>
      <c r="S193" s="1">
        <f>LOOKUP(R193,{0,4.7,4.8,4.9,5,5.5,5.6,5.65,5.7,5.75,5.8,5.85,5.9,5.95,6,6.45,6.5,6.57,6.64,6.7,6.76},{0,10,20,30,40,50,60,62,64,66,68,70,72,74,76,78,80,85,90,95,100})</f>
        <v>85</v>
      </c>
      <c r="T193" s="20"/>
      <c r="U193" s="20"/>
      <c r="V193" s="21">
        <f t="shared" si="90"/>
        <v>85</v>
      </c>
      <c r="W193" s="15"/>
      <c r="X193" s="21">
        <f t="shared" si="91"/>
        <v>55.6</v>
      </c>
      <c r="Y193" s="21">
        <f t="shared" si="92"/>
        <v>79.4285714285714</v>
      </c>
    </row>
    <row r="194" ht="15.6" hidden="1" outlineLevel="2" spans="1:25">
      <c r="A194" s="15">
        <v>111</v>
      </c>
      <c r="B194" s="15">
        <v>48</v>
      </c>
      <c r="C194" s="14" t="s">
        <v>566</v>
      </c>
      <c r="D194" s="14" t="s">
        <v>46</v>
      </c>
      <c r="E194" s="15">
        <v>20.5</v>
      </c>
      <c r="F194" s="1">
        <f>LOOKUP(E194,{0,0.4,1.2,2,2.8,3.6,4.4,5.7,7,8.3,9.6,10.9,12.2,13.5,14.8,16.1,17.4,19.1,20.8,22.5,24.2},{0,10,20,30,40,50,60,62,64,66,68,70,72,74,76,78,80,85,90,95,100})</f>
        <v>85</v>
      </c>
      <c r="G194" s="15">
        <v>193</v>
      </c>
      <c r="H194" s="1">
        <f>LOOKUP(G194,{0,123,128,133,138,143,148,151,154,157,160,163,166,169,172,175,178,185,192,198,204},{0,10,20,30,40,50,60,62,64,66,68,70,72,74,76,78,80,85,90,95,100})</f>
        <v>90</v>
      </c>
      <c r="I194" s="15">
        <v>54</v>
      </c>
      <c r="J194" s="1">
        <f>LOOKUP(I194,{0,13,15,17,19,21,23,25,27,29,31,33,35,37,39,41,43,46,49,51,53},{0,10,20,30,40,50,60,62,64,66,68,70,72,74,76,78,80,85,90,95,100})</f>
        <v>100</v>
      </c>
      <c r="K194" s="20">
        <f t="shared" si="93"/>
        <v>1</v>
      </c>
      <c r="L194" s="1">
        <f>LOOKUP(K194,{0,2,4,6,7,8,9,10,11,12,13},{0,1,2,3,4,5,6,7,8,9,10})</f>
        <v>0</v>
      </c>
      <c r="M194" s="21">
        <f t="shared" si="87"/>
        <v>100</v>
      </c>
      <c r="N194" s="15">
        <v>8.2</v>
      </c>
      <c r="O194" s="19">
        <f t="shared" si="88"/>
        <v>4.8</v>
      </c>
      <c r="P194" s="1">
        <f>LOOKUP(O194,{0,1.4,1.6,1.8,2,2.2,2.4,2.6,2.8,3,3.2,3.4,3.6,3.8,4,4.2,4.4,4.7,5,5.1,5.2},{0,10,20,30,40,50,60,62,64,66,68,70,72,74,76,78,80,85,90,95,100})</f>
        <v>85</v>
      </c>
      <c r="Q194" s="15">
        <v>3.27</v>
      </c>
      <c r="R194" s="15">
        <f t="shared" si="89"/>
        <v>6.73</v>
      </c>
      <c r="S194" s="1">
        <f>LOOKUP(R194,{0,4.7,4.8,4.9,5,5.5,5.6,5.65,5.7,5.75,5.8,5.85,5.9,5.95,6,6.45,6.5,6.57,6.64,6.7,6.76},{0,10,20,30,40,50,60,62,64,66,68,70,72,74,76,78,80,85,90,95,100})</f>
        <v>95</v>
      </c>
      <c r="T194" s="20"/>
      <c r="U194" s="20"/>
      <c r="V194" s="21">
        <f t="shared" si="90"/>
        <v>95</v>
      </c>
      <c r="W194" s="15"/>
      <c r="X194" s="21">
        <f t="shared" si="91"/>
        <v>63.5</v>
      </c>
      <c r="Y194" s="21">
        <f t="shared" si="92"/>
        <v>90.7142857142857</v>
      </c>
    </row>
    <row r="195" ht="15.6" hidden="1" outlineLevel="2" spans="1:25">
      <c r="A195" s="15">
        <v>111</v>
      </c>
      <c r="B195" s="15">
        <v>49</v>
      </c>
      <c r="C195" s="14" t="s">
        <v>567</v>
      </c>
      <c r="D195" s="14" t="s">
        <v>46</v>
      </c>
      <c r="E195" s="15">
        <v>17.5</v>
      </c>
      <c r="F195" s="1">
        <f>LOOKUP(E195,{0,0.4,1.2,2,2.8,3.6,4.4,5.7,7,8.3,9.6,10.9,12.2,13.5,14.8,16.1,17.4,19.1,20.8,22.5,24.2},{0,10,20,30,40,50,60,62,64,66,68,70,72,74,76,78,80,85,90,95,100})</f>
        <v>80</v>
      </c>
      <c r="G195" s="15">
        <v>181</v>
      </c>
      <c r="H195" s="1">
        <f>LOOKUP(G195,{0,123,128,133,138,143,148,151,154,157,160,163,166,169,172,175,178,185,192,198,204},{0,10,20,30,40,50,60,62,64,66,68,70,72,74,76,78,80,85,90,95,100})</f>
        <v>80</v>
      </c>
      <c r="I195" s="15">
        <v>52</v>
      </c>
      <c r="J195" s="1">
        <f>LOOKUP(I195,{0,13,15,17,19,21,23,25,27,29,31,33,35,37,39,41,43,46,49,51,53},{0,10,20,30,40,50,60,62,64,66,68,70,72,74,76,78,80,85,90,95,100})</f>
        <v>95</v>
      </c>
      <c r="K195" s="20"/>
      <c r="L195" s="20"/>
      <c r="M195" s="21">
        <f t="shared" si="87"/>
        <v>95</v>
      </c>
      <c r="N195" s="15">
        <v>8.7</v>
      </c>
      <c r="O195" s="19">
        <f t="shared" si="88"/>
        <v>4.3</v>
      </c>
      <c r="P195" s="1">
        <f>LOOKUP(O195,{0,1.4,1.6,1.8,2,2.2,2.4,2.6,2.8,3,3.2,3.4,3.6,3.8,4,4.2,4.4,4.7,5,5.1,5.2},{0,10,20,30,40,50,60,62,64,66,68,70,72,74,76,78,80,85,90,95,100})</f>
        <v>78</v>
      </c>
      <c r="Q195" s="15"/>
      <c r="R195" s="15"/>
      <c r="S195" s="1"/>
      <c r="T195" s="24"/>
      <c r="U195" s="1"/>
      <c r="V195" s="21"/>
      <c r="W195" s="15" t="s">
        <v>513</v>
      </c>
      <c r="X195" s="21">
        <f t="shared" si="91"/>
        <v>41.1</v>
      </c>
      <c r="Y195" s="21">
        <f t="shared" si="92"/>
        <v>58.7142857142857</v>
      </c>
    </row>
    <row r="196" ht="15.6" outlineLevel="1" collapsed="1" spans="1:25">
      <c r="A196" s="16" t="s">
        <v>852</v>
      </c>
      <c r="B196" s="15"/>
      <c r="C196" s="14"/>
      <c r="D196" s="14"/>
      <c r="E196" s="15"/>
      <c r="F196" s="1">
        <f>SUBTOTAL(1,F173:F195)</f>
        <v>82.9130434782609</v>
      </c>
      <c r="G196" s="15"/>
      <c r="H196" s="1">
        <f>SUBTOTAL(1,H173:H195)</f>
        <v>80.7391304347826</v>
      </c>
      <c r="I196" s="15"/>
      <c r="J196" s="1">
        <f>SUBTOTAL(1,J173:J195)</f>
        <v>88.8695652173913</v>
      </c>
      <c r="K196" s="20"/>
      <c r="L196" s="20"/>
      <c r="M196" s="21">
        <f>SUBTOTAL(1,M173:M195)</f>
        <v>89</v>
      </c>
      <c r="N196" s="15"/>
      <c r="O196" s="19"/>
      <c r="P196" s="1">
        <f>SUBTOTAL(1,P173:P195)</f>
        <v>80</v>
      </c>
      <c r="Q196" s="15"/>
      <c r="R196" s="15"/>
      <c r="S196" s="1">
        <f>SUBTOTAL(1,S173:S195)</f>
        <v>87.5909090909091</v>
      </c>
      <c r="T196" s="24"/>
      <c r="U196" s="1"/>
      <c r="V196" s="21">
        <f>SUBTOTAL(1,V173:V195)</f>
        <v>87.7272727272727</v>
      </c>
      <c r="W196" s="15"/>
      <c r="X196" s="21">
        <f>SUBTOTAL(1,X173:X195)</f>
        <v>57.3130434782609</v>
      </c>
      <c r="Y196" s="21">
        <f>SUBTOTAL(1,Y173:Y195)</f>
        <v>82.1366459627329</v>
      </c>
    </row>
    <row r="197" ht="15.6" hidden="1" outlineLevel="2" spans="1:25">
      <c r="A197" s="15">
        <v>112</v>
      </c>
      <c r="B197" s="15">
        <v>28</v>
      </c>
      <c r="C197" s="13" t="s">
        <v>599</v>
      </c>
      <c r="D197" s="14" t="s">
        <v>46</v>
      </c>
      <c r="E197" s="15">
        <v>17</v>
      </c>
      <c r="F197" s="1">
        <f>LOOKUP(E197,{0,0.4,1.2,2,2.8,3.6,4.4,5.7,7,8.3,9.6,10.9,12.2,13.5,14.8,16.1,17.4,19.1,20.8,22.5,24.2},{0,10,20,30,40,50,60,62,64,66,68,70,72,74,76,78,80,85,90,95,100})</f>
        <v>78</v>
      </c>
      <c r="G197" s="15">
        <v>203</v>
      </c>
      <c r="H197" s="1">
        <f>LOOKUP(G197,{0,123,128,133,138,143,148,151,154,157,160,163,166,169,172,175,178,185,192,198,204},{0,10,20,30,40,50,60,62,64,66,68,70,72,74,76,78,80,85,90,95,100})</f>
        <v>95</v>
      </c>
      <c r="I197" s="15">
        <v>53</v>
      </c>
      <c r="J197" s="1">
        <f>LOOKUP(I197,{0,13,15,17,19,21,23,25,27,29,31,33,35,37,39,41,43,46,49,51,53},{0,10,20,30,40,50,60,62,64,66,68,70,72,74,76,78,80,85,90,95,100})</f>
        <v>100</v>
      </c>
      <c r="K197" s="20">
        <f t="shared" ref="K197:K203" si="94">I197-53</f>
        <v>0</v>
      </c>
      <c r="L197" s="1">
        <f>LOOKUP(K197,{0,2,4,6,7,8,9,10,11,12,13},{0,1,2,3,4,5,6,7,8,9,10})</f>
        <v>0</v>
      </c>
      <c r="M197" s="21">
        <f t="shared" ref="M197:M219" si="95">J197+L197</f>
        <v>100</v>
      </c>
      <c r="N197" s="15"/>
      <c r="O197" s="19"/>
      <c r="P197" s="1"/>
      <c r="Q197" s="15">
        <v>3.38</v>
      </c>
      <c r="R197" s="15">
        <f t="shared" ref="R197:R219" si="96">10-Q197</f>
        <v>6.62</v>
      </c>
      <c r="S197" s="1">
        <f>LOOKUP(R197,{0,4.7,4.8,4.9,5,5.5,5.6,5.65,5.7,5.75,5.8,5.85,5.9,5.95,6,6.45,6.5,6.57,6.64,6.7,6.76},{0,10,20,30,40,50,60,62,64,66,68,70,72,74,76,78,80,85,90,95,100})</f>
        <v>85</v>
      </c>
      <c r="T197" s="20"/>
      <c r="U197" s="20"/>
      <c r="V197" s="21">
        <f t="shared" ref="V197:V219" si="97">S197+U197</f>
        <v>85</v>
      </c>
      <c r="W197" s="15"/>
      <c r="X197" s="21">
        <f t="shared" ref="X197:X219" si="98">F197*0.1+H197*0.1+J197*0.1+P197*0.2+S197*0.2</f>
        <v>44.3</v>
      </c>
      <c r="Y197" s="21">
        <f t="shared" ref="Y197:Y219" si="99">X197/0.7+L197+U197</f>
        <v>63.2857142857143</v>
      </c>
    </row>
    <row r="198" ht="15.6" hidden="1" outlineLevel="2" spans="1:25">
      <c r="A198" s="15">
        <v>112</v>
      </c>
      <c r="B198" s="15">
        <v>29</v>
      </c>
      <c r="C198" s="14" t="s">
        <v>600</v>
      </c>
      <c r="D198" s="14" t="s">
        <v>46</v>
      </c>
      <c r="E198" s="15">
        <v>19.5</v>
      </c>
      <c r="F198" s="1">
        <f>LOOKUP(E198,{0,0.4,1.2,2,2.8,3.6,4.4,5.7,7,8.3,9.6,10.9,12.2,13.5,14.8,16.1,17.4,19.1,20.8,22.5,24.2},{0,10,20,30,40,50,60,62,64,66,68,70,72,74,76,78,80,85,90,95,100})</f>
        <v>85</v>
      </c>
      <c r="G198" s="15">
        <v>195</v>
      </c>
      <c r="H198" s="1">
        <f>LOOKUP(G198,{0,123,128,133,138,143,148,151,154,157,160,163,166,169,172,175,178,185,192,198,204},{0,10,20,30,40,50,60,62,64,66,68,70,72,74,76,78,80,85,90,95,100})</f>
        <v>90</v>
      </c>
      <c r="I198" s="15">
        <v>50</v>
      </c>
      <c r="J198" s="1">
        <f>LOOKUP(I198,{0,13,15,17,19,21,23,25,27,29,31,33,35,37,39,41,43,46,49,51,53},{0,10,20,30,40,50,60,62,64,66,68,70,72,74,76,78,80,85,90,95,100})</f>
        <v>90</v>
      </c>
      <c r="K198" s="20"/>
      <c r="L198" s="20"/>
      <c r="M198" s="21">
        <f t="shared" si="95"/>
        <v>90</v>
      </c>
      <c r="N198" s="15">
        <v>9.2</v>
      </c>
      <c r="O198" s="19">
        <f t="shared" ref="O198:O219" si="100">13-N198</f>
        <v>3.8</v>
      </c>
      <c r="P198" s="1">
        <f>LOOKUP(O198,{0,1.4,1.6,1.8,2,2.2,2.4,2.6,2.8,3,3.2,3.4,3.6,3.8,4,4.2,4.4,4.7,5,5.1,5.2},{0,10,20,30,40,50,60,62,64,66,68,70,72,74,76,78,80,85,90,95,100})</f>
        <v>74</v>
      </c>
      <c r="Q198" s="15">
        <v>3.55</v>
      </c>
      <c r="R198" s="15">
        <f t="shared" si="96"/>
        <v>6.45</v>
      </c>
      <c r="S198" s="1">
        <f>LOOKUP(R198,{0,4.7,4.8,4.9,5,5.5,5.6,5.65,5.7,5.75,5.8,5.85,5.9,5.95,6,6.45,6.5,6.57,6.64,6.7,6.76},{0,10,20,30,40,50,60,62,64,66,68,70,72,74,76,78,80,85,90,95,100})</f>
        <v>78</v>
      </c>
      <c r="T198" s="20"/>
      <c r="U198" s="20"/>
      <c r="V198" s="21">
        <f t="shared" si="97"/>
        <v>78</v>
      </c>
      <c r="W198" s="15"/>
      <c r="X198" s="21">
        <f t="shared" si="98"/>
        <v>56.9</v>
      </c>
      <c r="Y198" s="21">
        <f t="shared" si="99"/>
        <v>81.2857142857143</v>
      </c>
    </row>
    <row r="199" s="3" customFormat="1" ht="15.6" hidden="1" outlineLevel="2" spans="1:25">
      <c r="A199" s="15">
        <v>112</v>
      </c>
      <c r="B199" s="15">
        <v>30</v>
      </c>
      <c r="C199" s="14" t="s">
        <v>601</v>
      </c>
      <c r="D199" s="14" t="s">
        <v>46</v>
      </c>
      <c r="E199" s="15">
        <v>10.5</v>
      </c>
      <c r="F199" s="1">
        <f>LOOKUP(E199,{0,0.4,1.2,2,2.8,3.6,4.4,5.7,7,8.3,9.6,10.9,12.2,13.5,14.8,16.1,17.4,19.1,20.8,22.5,24.2},{0,10,20,30,40,50,60,62,64,66,68,70,72,74,76,78,80,85,90,95,100})</f>
        <v>68</v>
      </c>
      <c r="G199" s="15">
        <v>175</v>
      </c>
      <c r="H199" s="1">
        <f>LOOKUP(G199,{0,123,128,133,138,143,148,151,154,157,160,163,166,169,172,175,178,185,192,198,204},{0,10,20,30,40,50,60,62,64,66,68,70,72,74,76,78,80,85,90,95,100})</f>
        <v>78</v>
      </c>
      <c r="I199" s="15">
        <v>52</v>
      </c>
      <c r="J199" s="1">
        <f>LOOKUP(I199,{0,13,15,17,19,21,23,25,27,29,31,33,35,37,39,41,43,46,49,51,53},{0,10,20,30,40,50,60,62,64,66,68,70,72,74,76,78,80,85,90,95,100})</f>
        <v>95</v>
      </c>
      <c r="K199" s="20"/>
      <c r="L199" s="20"/>
      <c r="M199" s="21">
        <f t="shared" si="95"/>
        <v>95</v>
      </c>
      <c r="N199" s="15">
        <v>8.6</v>
      </c>
      <c r="O199" s="19">
        <f t="shared" si="100"/>
        <v>4.4</v>
      </c>
      <c r="P199" s="1">
        <f>LOOKUP(O199,{0,1.4,1.6,1.8,2,2.2,2.4,2.6,2.8,3,3.2,3.4,3.6,3.8,4,4.2,4.4,4.7,5,5.1,5.2},{0,10,20,30,40,50,60,62,64,66,68,70,72,74,76,78,80,85,90,95,100})</f>
        <v>80</v>
      </c>
      <c r="Q199" s="15">
        <v>3.56</v>
      </c>
      <c r="R199" s="15">
        <f t="shared" si="96"/>
        <v>6.44</v>
      </c>
      <c r="S199" s="1">
        <f>LOOKUP(R199,{0,4.7,4.8,4.9,5,5.5,5.6,5.65,5.7,5.75,5.8,5.85,5.9,5.95,6,6.45,6.5,6.57,6.64,6.7,6.76},{0,10,20,30,40,50,60,62,64,66,68,70,72,74,76,78,80,85,90,95,100})</f>
        <v>76</v>
      </c>
      <c r="T199" s="20"/>
      <c r="U199" s="20"/>
      <c r="V199" s="21">
        <f t="shared" si="97"/>
        <v>76</v>
      </c>
      <c r="W199" s="15"/>
      <c r="X199" s="21">
        <f t="shared" si="98"/>
        <v>55.3</v>
      </c>
      <c r="Y199" s="21">
        <f t="shared" si="99"/>
        <v>79</v>
      </c>
    </row>
    <row r="200" ht="15.6" hidden="1" outlineLevel="2" spans="1:25">
      <c r="A200" s="15">
        <v>112</v>
      </c>
      <c r="B200" s="15">
        <v>31</v>
      </c>
      <c r="C200" s="14" t="s">
        <v>602</v>
      </c>
      <c r="D200" s="14" t="s">
        <v>46</v>
      </c>
      <c r="E200" s="15">
        <v>19.5</v>
      </c>
      <c r="F200" s="1">
        <f>LOOKUP(E200,{0,0.4,1.2,2,2.8,3.6,4.4,5.7,7,8.3,9.6,10.9,12.2,13.5,14.8,16.1,17.4,19.1,20.8,22.5,24.2},{0,10,20,30,40,50,60,62,64,66,68,70,72,74,76,78,80,85,90,95,100})</f>
        <v>85</v>
      </c>
      <c r="G200" s="15">
        <v>165</v>
      </c>
      <c r="H200" s="1">
        <f>LOOKUP(G200,{0,123,128,133,138,143,148,151,154,157,160,163,166,169,172,175,178,185,192,198,204},{0,10,20,30,40,50,60,62,64,66,68,70,72,74,76,78,80,85,90,95,100})</f>
        <v>70</v>
      </c>
      <c r="I200" s="15">
        <v>52</v>
      </c>
      <c r="J200" s="1">
        <f>LOOKUP(I200,{0,13,15,17,19,21,23,25,27,29,31,33,35,37,39,41,43,46,49,51,53},{0,10,20,30,40,50,60,62,64,66,68,70,72,74,76,78,80,85,90,95,100})</f>
        <v>95</v>
      </c>
      <c r="K200" s="20"/>
      <c r="L200" s="20"/>
      <c r="M200" s="21">
        <f t="shared" si="95"/>
        <v>95</v>
      </c>
      <c r="N200" s="15">
        <v>9.3</v>
      </c>
      <c r="O200" s="19">
        <f t="shared" si="100"/>
        <v>3.7</v>
      </c>
      <c r="P200" s="1">
        <f>LOOKUP(O200,{0,1.4,1.6,1.8,2,2.2,2.4,2.6,2.8,3,3.2,3.4,3.6,3.8,4,4.2,4.4,4.7,5,5.1,5.2},{0,10,20,30,40,50,60,62,64,66,68,70,72,74,76,78,80,85,90,95,100})</f>
        <v>72</v>
      </c>
      <c r="Q200" s="15">
        <v>3.49</v>
      </c>
      <c r="R200" s="15">
        <f t="shared" si="96"/>
        <v>6.51</v>
      </c>
      <c r="S200" s="1">
        <f>LOOKUP(R200,{0,4.7,4.8,4.9,5,5.5,5.6,5.65,5.7,5.75,5.8,5.85,5.9,5.95,6,6.45,6.5,6.57,6.64,6.7,6.76},{0,10,20,30,40,50,60,62,64,66,68,70,72,74,76,78,80,85,90,95,100})</f>
        <v>80</v>
      </c>
      <c r="T200" s="20"/>
      <c r="U200" s="20"/>
      <c r="V200" s="21">
        <f t="shared" si="97"/>
        <v>80</v>
      </c>
      <c r="W200" s="15"/>
      <c r="X200" s="21">
        <f t="shared" si="98"/>
        <v>55.4</v>
      </c>
      <c r="Y200" s="21">
        <f t="shared" si="99"/>
        <v>79.1428571428571</v>
      </c>
    </row>
    <row r="201" ht="15.6" hidden="1" outlineLevel="2" spans="1:25">
      <c r="A201" s="15">
        <v>112</v>
      </c>
      <c r="B201" s="15">
        <v>32</v>
      </c>
      <c r="C201" s="14" t="s">
        <v>603</v>
      </c>
      <c r="D201" s="14" t="s">
        <v>46</v>
      </c>
      <c r="E201" s="15">
        <v>12.5</v>
      </c>
      <c r="F201" s="1">
        <f>LOOKUP(E201,{0,0.4,1.2,2,2.8,3.6,4.4,5.7,7,8.3,9.6,10.9,12.2,13.5,14.8,16.1,17.4,19.1,20.8,22.5,24.2},{0,10,20,30,40,50,60,62,64,66,68,70,72,74,76,78,80,85,90,95,100})</f>
        <v>72</v>
      </c>
      <c r="G201" s="15">
        <v>162</v>
      </c>
      <c r="H201" s="1">
        <f>LOOKUP(G201,{0,123,128,133,138,143,148,151,154,157,160,163,166,169,172,175,178,185,192,198,204},{0,10,20,30,40,50,60,62,64,66,68,70,72,74,76,78,80,85,90,95,100})</f>
        <v>68</v>
      </c>
      <c r="I201" s="15">
        <v>53</v>
      </c>
      <c r="J201" s="1">
        <f>LOOKUP(I201,{0,13,15,17,19,21,23,25,27,29,31,33,35,37,39,41,43,46,49,51,53},{0,10,20,30,40,50,60,62,64,66,68,70,72,74,76,78,80,85,90,95,100})</f>
        <v>100</v>
      </c>
      <c r="K201" s="20">
        <f t="shared" si="94"/>
        <v>0</v>
      </c>
      <c r="L201" s="1">
        <f>LOOKUP(K201,{0,2,4,6,7,8,9,10,11,12,13},{0,1,2,3,4,5,6,7,8,9,10})</f>
        <v>0</v>
      </c>
      <c r="M201" s="21">
        <f t="shared" si="95"/>
        <v>100</v>
      </c>
      <c r="N201" s="15">
        <v>8.7</v>
      </c>
      <c r="O201" s="19">
        <f t="shared" si="100"/>
        <v>4.3</v>
      </c>
      <c r="P201" s="1">
        <f>LOOKUP(O201,{0,1.4,1.6,1.8,2,2.2,2.4,2.6,2.8,3,3.2,3.4,3.6,3.8,4,4.2,4.4,4.7,5,5.1,5.2},{0,10,20,30,40,50,60,62,64,66,68,70,72,74,76,78,80,85,90,95,100})</f>
        <v>78</v>
      </c>
      <c r="Q201" s="15">
        <v>3.34</v>
      </c>
      <c r="R201" s="15">
        <f t="shared" si="96"/>
        <v>6.66</v>
      </c>
      <c r="S201" s="1">
        <f>LOOKUP(R201,{0,4.7,4.8,4.9,5,5.5,5.6,5.65,5.7,5.75,5.8,5.85,5.9,5.95,6,6.45,6.5,6.57,6.64,6.7,6.76},{0,10,20,30,40,50,60,62,64,66,68,70,72,74,76,78,80,85,90,95,100})</f>
        <v>90</v>
      </c>
      <c r="T201" s="20"/>
      <c r="U201" s="20"/>
      <c r="V201" s="21">
        <f t="shared" si="97"/>
        <v>90</v>
      </c>
      <c r="W201" s="15"/>
      <c r="X201" s="21">
        <f t="shared" si="98"/>
        <v>57.6</v>
      </c>
      <c r="Y201" s="21">
        <f t="shared" si="99"/>
        <v>82.2857142857143</v>
      </c>
    </row>
    <row r="202" ht="15.6" hidden="1" outlineLevel="2" spans="1:25">
      <c r="A202" s="15">
        <v>112</v>
      </c>
      <c r="B202" s="15">
        <v>33</v>
      </c>
      <c r="C202" s="14" t="s">
        <v>604</v>
      </c>
      <c r="D202" s="14" t="s">
        <v>46</v>
      </c>
      <c r="E202" s="15">
        <v>20</v>
      </c>
      <c r="F202" s="1">
        <f>LOOKUP(E202,{0,0.4,1.2,2,2.8,3.6,4.4,5.7,7,8.3,9.6,10.9,12.2,13.5,14.8,16.1,17.4,19.1,20.8,22.5,24.2},{0,10,20,30,40,50,60,62,64,66,68,70,72,74,76,78,80,85,90,95,100})</f>
        <v>85</v>
      </c>
      <c r="G202" s="15">
        <v>202</v>
      </c>
      <c r="H202" s="1">
        <f>LOOKUP(G202,{0,123,128,133,138,143,148,151,154,157,160,163,166,169,172,175,178,185,192,198,204},{0,10,20,30,40,50,60,62,64,66,68,70,72,74,76,78,80,85,90,95,100})</f>
        <v>95</v>
      </c>
      <c r="I202" s="15">
        <v>60</v>
      </c>
      <c r="J202" s="1">
        <f>LOOKUP(I202,{0,13,15,17,19,21,23,25,27,29,31,33,35,37,39,41,43,46,49,51,53},{0,10,20,30,40,50,60,62,64,66,68,70,72,74,76,78,80,85,90,95,100})</f>
        <v>100</v>
      </c>
      <c r="K202" s="20">
        <f t="shared" si="94"/>
        <v>7</v>
      </c>
      <c r="L202" s="1">
        <f>LOOKUP(K202,{0,2,4,6,7,8,9,10,11,12,13},{0,1,2,3,4,5,6,7,8,9,10})</f>
        <v>4</v>
      </c>
      <c r="M202" s="21">
        <f t="shared" si="95"/>
        <v>104</v>
      </c>
      <c r="N202" s="15">
        <v>7.6</v>
      </c>
      <c r="O202" s="19">
        <f t="shared" si="100"/>
        <v>5.4</v>
      </c>
      <c r="P202" s="1">
        <f>LOOKUP(O202,{0,1.4,1.6,1.8,2,2.2,2.4,2.6,2.8,3,3.2,3.4,3.6,3.8,4,4.2,4.4,4.7,5,5.1,5.2},{0,10,20,30,40,50,60,62,64,66,68,70,72,74,76,78,80,85,90,95,100})</f>
        <v>100</v>
      </c>
      <c r="Q202" s="15">
        <v>3.1</v>
      </c>
      <c r="R202" s="15">
        <f t="shared" si="96"/>
        <v>6.9</v>
      </c>
      <c r="S202" s="1">
        <f>LOOKUP(R202,{0,4.7,4.8,4.9,5,5.5,5.6,5.65,5.7,5.75,5.8,5.85,5.9,5.95,6,6.45,6.5,6.57,6.64,6.7,6.76},{0,10,20,30,40,50,60,62,64,66,68,70,72,74,76,78,80,85,90,95,100})</f>
        <v>100</v>
      </c>
      <c r="T202" s="24">
        <f t="shared" ref="T202:T205" si="101">3.24-Q202</f>
        <v>0.14</v>
      </c>
      <c r="U202" s="1">
        <f>LOOKUP(T202,{0,0.05,0.1,0.15,0.2,0.25,0.3,0.35,0.4,0.45,0.5},{0,1,2,3,4,5,6,7,8,9,10})</f>
        <v>2</v>
      </c>
      <c r="V202" s="21">
        <f t="shared" si="97"/>
        <v>102</v>
      </c>
      <c r="W202" s="15"/>
      <c r="X202" s="21">
        <f t="shared" si="98"/>
        <v>68</v>
      </c>
      <c r="Y202" s="21">
        <f t="shared" si="99"/>
        <v>103.142857142857</v>
      </c>
    </row>
    <row r="203" ht="15.6" hidden="1" outlineLevel="2" spans="1:25">
      <c r="A203" s="15">
        <v>112</v>
      </c>
      <c r="B203" s="15">
        <v>34</v>
      </c>
      <c r="C203" s="14" t="s">
        <v>605</v>
      </c>
      <c r="D203" s="14" t="s">
        <v>46</v>
      </c>
      <c r="E203" s="15">
        <v>13</v>
      </c>
      <c r="F203" s="1">
        <f>LOOKUP(E203,{0,0.4,1.2,2,2.8,3.6,4.4,5.7,7,8.3,9.6,10.9,12.2,13.5,14.8,16.1,17.4,19.1,20.8,22.5,24.2},{0,10,20,30,40,50,60,62,64,66,68,70,72,74,76,78,80,85,90,95,100})</f>
        <v>72</v>
      </c>
      <c r="G203" s="15">
        <v>175</v>
      </c>
      <c r="H203" s="1">
        <f>LOOKUP(G203,{0,123,128,133,138,143,148,151,154,157,160,163,166,169,172,175,178,185,192,198,204},{0,10,20,30,40,50,60,62,64,66,68,70,72,74,76,78,80,85,90,95,100})</f>
        <v>78</v>
      </c>
      <c r="I203" s="15">
        <v>53</v>
      </c>
      <c r="J203" s="1">
        <f>LOOKUP(I203,{0,13,15,17,19,21,23,25,27,29,31,33,35,37,39,41,43,46,49,51,53},{0,10,20,30,40,50,60,62,64,66,68,70,72,74,76,78,80,85,90,95,100})</f>
        <v>100</v>
      </c>
      <c r="K203" s="20">
        <f t="shared" si="94"/>
        <v>0</v>
      </c>
      <c r="L203" s="1">
        <f>LOOKUP(K203,{0,2,4,6,7,8,9,10,11,12,13},{0,1,2,3,4,5,6,7,8,9,10})</f>
        <v>0</v>
      </c>
      <c r="M203" s="21">
        <f t="shared" si="95"/>
        <v>100</v>
      </c>
      <c r="N203" s="15">
        <v>8.2</v>
      </c>
      <c r="O203" s="19">
        <f t="shared" si="100"/>
        <v>4.8</v>
      </c>
      <c r="P203" s="1">
        <f>LOOKUP(O203,{0,1.4,1.6,1.8,2,2.2,2.4,2.6,2.8,3,3.2,3.4,3.6,3.8,4,4.2,4.4,4.7,5,5.1,5.2},{0,10,20,30,40,50,60,62,64,66,68,70,72,74,76,78,80,85,90,95,100})</f>
        <v>85</v>
      </c>
      <c r="Q203" s="15">
        <v>3.11</v>
      </c>
      <c r="R203" s="15">
        <f t="shared" si="96"/>
        <v>6.89</v>
      </c>
      <c r="S203" s="1">
        <f>LOOKUP(R203,{0,4.7,4.8,4.9,5,5.5,5.6,5.65,5.7,5.75,5.8,5.85,5.9,5.95,6,6.45,6.5,6.57,6.64,6.7,6.76},{0,10,20,30,40,50,60,62,64,66,68,70,72,74,76,78,80,85,90,95,100})</f>
        <v>100</v>
      </c>
      <c r="T203" s="24">
        <f t="shared" si="101"/>
        <v>0.13</v>
      </c>
      <c r="U203" s="1">
        <f>LOOKUP(T203,{0,0.05,0.1,0.15,0.2,0.25,0.3,0.35,0.4,0.45,0.5},{0,1,2,3,4,5,6,7,8,9,10})</f>
        <v>2</v>
      </c>
      <c r="V203" s="21">
        <f t="shared" si="97"/>
        <v>102</v>
      </c>
      <c r="W203" s="15"/>
      <c r="X203" s="21">
        <f t="shared" si="98"/>
        <v>62</v>
      </c>
      <c r="Y203" s="21">
        <f t="shared" si="99"/>
        <v>90.5714285714286</v>
      </c>
    </row>
    <row r="204" ht="15.6" hidden="1" outlineLevel="2" spans="1:25">
      <c r="A204" s="15">
        <v>112</v>
      </c>
      <c r="B204" s="15">
        <v>35</v>
      </c>
      <c r="C204" s="14" t="s">
        <v>606</v>
      </c>
      <c r="D204" s="14" t="s">
        <v>46</v>
      </c>
      <c r="E204" s="15">
        <v>27.5</v>
      </c>
      <c r="F204" s="1">
        <f>LOOKUP(E204,{0,0.4,1.2,2,2.8,3.6,4.4,5.7,7,8.3,9.6,10.9,12.2,13.5,14.8,16.1,17.4,19.1,20.8,22.5,24.2},{0,10,20,30,40,50,60,62,64,66,68,70,72,74,76,78,80,85,90,95,100})</f>
        <v>100</v>
      </c>
      <c r="G204" s="15">
        <v>165</v>
      </c>
      <c r="H204" s="1">
        <f>LOOKUP(G204,{0,123,128,133,138,143,148,151,154,157,160,163,166,169,172,175,178,185,192,198,204},{0,10,20,30,40,50,60,62,64,66,68,70,72,74,76,78,80,85,90,95,100})</f>
        <v>70</v>
      </c>
      <c r="I204" s="15">
        <v>48</v>
      </c>
      <c r="J204" s="1">
        <f>LOOKUP(I204,{0,13,15,17,19,21,23,25,27,29,31,33,35,37,39,41,43,46,49,51,53},{0,10,20,30,40,50,60,62,64,66,68,70,72,74,76,78,80,85,90,95,100})</f>
        <v>85</v>
      </c>
      <c r="K204" s="20"/>
      <c r="L204" s="20"/>
      <c r="M204" s="21">
        <f t="shared" si="95"/>
        <v>85</v>
      </c>
      <c r="N204" s="15">
        <v>8.9</v>
      </c>
      <c r="O204" s="19">
        <f t="shared" si="100"/>
        <v>4.1</v>
      </c>
      <c r="P204" s="1">
        <f>LOOKUP(O204,{0,1.4,1.6,1.8,2,2.2,2.4,2.6,2.8,3,3.2,3.4,3.6,3.8,4,4.2,4.4,4.7,5,5.1,5.2},{0,10,20,30,40,50,60,62,64,66,68,70,72,74,76,78,80,85,90,95,100})</f>
        <v>76</v>
      </c>
      <c r="Q204" s="15">
        <v>4.06</v>
      </c>
      <c r="R204" s="15">
        <f t="shared" si="96"/>
        <v>5.94</v>
      </c>
      <c r="S204" s="1">
        <f>LOOKUP(R204,{0,4.7,4.8,4.9,5,5.5,5.6,5.65,5.7,5.75,5.8,5.85,5.9,5.95,6,6.45,6.5,6.57,6.64,6.7,6.76},{0,10,20,30,40,50,60,62,64,66,68,70,72,74,76,78,80,85,90,95,100})</f>
        <v>72</v>
      </c>
      <c r="T204" s="20"/>
      <c r="U204" s="20"/>
      <c r="V204" s="21">
        <f t="shared" si="97"/>
        <v>72</v>
      </c>
      <c r="W204" s="15"/>
      <c r="X204" s="21">
        <f t="shared" si="98"/>
        <v>55.1</v>
      </c>
      <c r="Y204" s="21">
        <f t="shared" si="99"/>
        <v>78.7142857142857</v>
      </c>
    </row>
    <row r="205" ht="15.6" hidden="1" outlineLevel="2" spans="1:25">
      <c r="A205" s="15">
        <v>112</v>
      </c>
      <c r="B205" s="15">
        <v>36</v>
      </c>
      <c r="C205" s="14" t="s">
        <v>607</v>
      </c>
      <c r="D205" s="14" t="s">
        <v>46</v>
      </c>
      <c r="E205" s="15">
        <v>8.5</v>
      </c>
      <c r="F205" s="1">
        <f>LOOKUP(E205,{0,0.4,1.2,2,2.8,3.6,4.4,5.7,7,8.3,9.6,10.9,12.2,13.5,14.8,16.1,17.4,19.1,20.8,22.5,24.2},{0,10,20,30,40,50,60,62,64,66,68,70,72,74,76,78,80,85,90,95,100})</f>
        <v>66</v>
      </c>
      <c r="G205" s="15">
        <v>210</v>
      </c>
      <c r="H205" s="1">
        <f>LOOKUP(G205,{0,123,128,133,138,143,148,151,154,157,160,163,166,169,172,175,178,185,192,198,204},{0,10,20,30,40,50,60,62,64,66,68,70,72,74,76,78,80,85,90,95,100})</f>
        <v>100</v>
      </c>
      <c r="I205" s="15">
        <v>44</v>
      </c>
      <c r="J205" s="1">
        <f>LOOKUP(I205,{0,13,15,17,19,21,23,25,27,29,31,33,35,37,39,41,43,46,49,51,53},{0,10,20,30,40,50,60,62,64,66,68,70,72,74,76,78,80,85,90,95,100})</f>
        <v>80</v>
      </c>
      <c r="K205" s="20"/>
      <c r="L205" s="20"/>
      <c r="M205" s="21">
        <f t="shared" si="95"/>
        <v>80</v>
      </c>
      <c r="N205" s="15">
        <v>8.6</v>
      </c>
      <c r="O205" s="19">
        <f t="shared" si="100"/>
        <v>4.4</v>
      </c>
      <c r="P205" s="1">
        <f>LOOKUP(O205,{0,1.4,1.6,1.8,2,2.2,2.4,2.6,2.8,3,3.2,3.4,3.6,3.8,4,4.2,4.4,4.7,5,5.1,5.2},{0,10,20,30,40,50,60,62,64,66,68,70,72,74,76,78,80,85,90,95,100})</f>
        <v>80</v>
      </c>
      <c r="Q205" s="15">
        <v>3.22</v>
      </c>
      <c r="R205" s="15">
        <f t="shared" si="96"/>
        <v>6.78</v>
      </c>
      <c r="S205" s="1">
        <f>LOOKUP(R205,{0,4.7,4.8,4.9,5,5.5,5.6,5.65,5.7,5.75,5.8,5.85,5.9,5.95,6,6.45,6.5,6.57,6.64,6.7,6.76},{0,10,20,30,40,50,60,62,64,66,68,70,72,74,76,78,80,85,90,95,100})</f>
        <v>100</v>
      </c>
      <c r="T205" s="24">
        <f t="shared" si="101"/>
        <v>0.02</v>
      </c>
      <c r="U205" s="1">
        <f>LOOKUP(T205,{0,0.05,0.1,0.15,0.2,0.25,0.3,0.35,0.4,0.45,0.5},{0,1,2,3,4,5,6,7,8,9,10})</f>
        <v>0</v>
      </c>
      <c r="V205" s="21">
        <f t="shared" si="97"/>
        <v>100</v>
      </c>
      <c r="W205" s="15"/>
      <c r="X205" s="21">
        <f t="shared" si="98"/>
        <v>60.6</v>
      </c>
      <c r="Y205" s="21">
        <f t="shared" si="99"/>
        <v>86.5714285714286</v>
      </c>
    </row>
    <row r="206" ht="15.6" hidden="1" outlineLevel="2" spans="1:25">
      <c r="A206" s="15">
        <v>112</v>
      </c>
      <c r="B206" s="15">
        <v>37</v>
      </c>
      <c r="C206" s="14" t="s">
        <v>608</v>
      </c>
      <c r="D206" s="14" t="s">
        <v>46</v>
      </c>
      <c r="E206" s="15">
        <v>23</v>
      </c>
      <c r="F206" s="1">
        <f>LOOKUP(E206,{0,0.4,1.2,2,2.8,3.6,4.4,5.7,7,8.3,9.6,10.9,12.2,13.5,14.8,16.1,17.4,19.1,20.8,22.5,24.2},{0,10,20,30,40,50,60,62,64,66,68,70,72,74,76,78,80,85,90,95,100})</f>
        <v>95</v>
      </c>
      <c r="G206" s="15">
        <v>170</v>
      </c>
      <c r="H206" s="1">
        <f>LOOKUP(G206,{0,123,128,133,138,143,148,151,154,157,160,163,166,169,172,175,178,185,192,198,204},{0,10,20,30,40,50,60,62,64,66,68,70,72,74,76,78,80,85,90,95,100})</f>
        <v>74</v>
      </c>
      <c r="I206" s="15">
        <v>36</v>
      </c>
      <c r="J206" s="1">
        <f>LOOKUP(I206,{0,13,15,17,19,21,23,25,27,29,31,33,35,37,39,41,43,46,49,51,53},{0,10,20,30,40,50,60,62,64,66,68,70,72,74,76,78,80,85,90,95,100})</f>
        <v>72</v>
      </c>
      <c r="K206" s="20"/>
      <c r="L206" s="20"/>
      <c r="M206" s="21">
        <f t="shared" si="95"/>
        <v>72</v>
      </c>
      <c r="N206" s="15">
        <v>8.7</v>
      </c>
      <c r="O206" s="19">
        <f t="shared" si="100"/>
        <v>4.3</v>
      </c>
      <c r="P206" s="1">
        <f>LOOKUP(O206,{0,1.4,1.6,1.8,2,2.2,2.4,2.6,2.8,3,3.2,3.4,3.6,3.8,4,4.2,4.4,4.7,5,5.1,5.2},{0,10,20,30,40,50,60,62,64,66,68,70,72,74,76,78,80,85,90,95,100})</f>
        <v>78</v>
      </c>
      <c r="Q206" s="15">
        <v>3.57</v>
      </c>
      <c r="R206" s="15">
        <f t="shared" si="96"/>
        <v>6.43</v>
      </c>
      <c r="S206" s="1">
        <f>LOOKUP(R206,{0,4.7,4.8,4.9,5,5.5,5.6,5.65,5.7,5.75,5.8,5.85,5.9,5.95,6,6.45,6.5,6.57,6.64,6.7,6.76},{0,10,20,30,40,50,60,62,64,66,68,70,72,74,76,78,80,85,90,95,100})</f>
        <v>76</v>
      </c>
      <c r="T206" s="20"/>
      <c r="U206" s="20"/>
      <c r="V206" s="21">
        <f t="shared" si="97"/>
        <v>76</v>
      </c>
      <c r="W206" s="15"/>
      <c r="X206" s="21">
        <f t="shared" si="98"/>
        <v>54.9</v>
      </c>
      <c r="Y206" s="21">
        <f t="shared" si="99"/>
        <v>78.4285714285714</v>
      </c>
    </row>
    <row r="207" ht="15.6" hidden="1" outlineLevel="2" spans="1:25">
      <c r="A207" s="15">
        <v>112</v>
      </c>
      <c r="B207" s="15">
        <v>38</v>
      </c>
      <c r="C207" s="14" t="s">
        <v>609</v>
      </c>
      <c r="D207" s="14" t="s">
        <v>46</v>
      </c>
      <c r="E207" s="15">
        <v>22.5</v>
      </c>
      <c r="F207" s="1">
        <f>LOOKUP(E207,{0,0.4,1.2,2,2.8,3.6,4.4,5.7,7,8.3,9.6,10.9,12.2,13.5,14.8,16.1,17.4,19.1,20.8,22.5,24.2},{0,10,20,30,40,50,60,62,64,66,68,70,72,74,76,78,80,85,90,95,100})</f>
        <v>95</v>
      </c>
      <c r="G207" s="15">
        <v>185</v>
      </c>
      <c r="H207" s="1">
        <f>LOOKUP(G207,{0,123,128,133,138,143,148,151,154,157,160,163,166,169,172,175,178,185,192,198,204},{0,10,20,30,40,50,60,62,64,66,68,70,72,74,76,78,80,85,90,95,100})</f>
        <v>85</v>
      </c>
      <c r="I207" s="15">
        <v>43</v>
      </c>
      <c r="J207" s="1">
        <f>LOOKUP(I207,{0,13,15,17,19,21,23,25,27,29,31,33,35,37,39,41,43,46,49,51,53},{0,10,20,30,40,50,60,62,64,66,68,70,72,74,76,78,80,85,90,95,100})</f>
        <v>80</v>
      </c>
      <c r="K207" s="20"/>
      <c r="L207" s="20"/>
      <c r="M207" s="21">
        <f t="shared" si="95"/>
        <v>80</v>
      </c>
      <c r="N207" s="15">
        <v>8.7</v>
      </c>
      <c r="O207" s="19">
        <f t="shared" si="100"/>
        <v>4.3</v>
      </c>
      <c r="P207" s="1">
        <f>LOOKUP(O207,{0,1.4,1.6,1.8,2,2.2,2.4,2.6,2.8,3,3.2,3.4,3.6,3.8,4,4.2,4.4,4.7,5,5.1,5.2},{0,10,20,30,40,50,60,62,64,66,68,70,72,74,76,78,80,85,90,95,100})</f>
        <v>78</v>
      </c>
      <c r="Q207" s="15">
        <v>3.53</v>
      </c>
      <c r="R207" s="15">
        <f t="shared" si="96"/>
        <v>6.47</v>
      </c>
      <c r="S207" s="1">
        <f>LOOKUP(R207,{0,4.7,4.8,4.9,5,5.5,5.6,5.65,5.7,5.75,5.8,5.85,5.9,5.95,6,6.45,6.5,6.57,6.64,6.7,6.76},{0,10,20,30,40,50,60,62,64,66,68,70,72,74,76,78,80,85,90,95,100})</f>
        <v>78</v>
      </c>
      <c r="T207" s="20"/>
      <c r="U207" s="20"/>
      <c r="V207" s="21">
        <f t="shared" si="97"/>
        <v>78</v>
      </c>
      <c r="W207" s="15"/>
      <c r="X207" s="21">
        <f t="shared" si="98"/>
        <v>57.2</v>
      </c>
      <c r="Y207" s="21">
        <f t="shared" si="99"/>
        <v>81.7142857142857</v>
      </c>
    </row>
    <row r="208" ht="15.6" hidden="1" outlineLevel="2" spans="1:25">
      <c r="A208" s="15">
        <v>112</v>
      </c>
      <c r="B208" s="15">
        <v>39</v>
      </c>
      <c r="C208" s="13" t="s">
        <v>611</v>
      </c>
      <c r="D208" s="14" t="s">
        <v>46</v>
      </c>
      <c r="E208" s="15">
        <v>28.3</v>
      </c>
      <c r="F208" s="1">
        <f>LOOKUP(E208,{0,0.4,1.2,2,2.8,3.6,4.4,5.7,7,8.3,9.6,10.9,12.2,13.5,14.8,16.1,17.4,19.1,20.8,22.5,24.2},{0,10,20,30,40,50,60,62,64,66,68,70,72,74,76,78,80,85,90,95,100})</f>
        <v>100</v>
      </c>
      <c r="G208" s="15">
        <v>180</v>
      </c>
      <c r="H208" s="1">
        <f>LOOKUP(G208,{0,123,128,133,138,143,148,151,154,157,160,163,166,169,172,175,178,185,192,198,204},{0,10,20,30,40,50,60,62,64,66,68,70,72,74,76,78,80,85,90,95,100})</f>
        <v>80</v>
      </c>
      <c r="I208" s="15">
        <v>44</v>
      </c>
      <c r="J208" s="1">
        <f>LOOKUP(I208,{0,13,15,17,19,21,23,25,27,29,31,33,35,37,39,41,43,46,49,51,53},{0,10,20,30,40,50,60,62,64,66,68,70,72,74,76,78,80,85,90,95,100})</f>
        <v>80</v>
      </c>
      <c r="K208" s="20"/>
      <c r="L208" s="20"/>
      <c r="M208" s="21">
        <f t="shared" si="95"/>
        <v>80</v>
      </c>
      <c r="N208" s="15">
        <v>8.7</v>
      </c>
      <c r="O208" s="19">
        <f t="shared" si="100"/>
        <v>4.3</v>
      </c>
      <c r="P208" s="1">
        <f>LOOKUP(O208,{0,1.4,1.6,1.8,2,2.2,2.4,2.6,2.8,3,3.2,3.4,3.6,3.8,4,4.2,4.4,4.7,5,5.1,5.2},{0,10,20,30,40,50,60,62,64,66,68,70,72,74,76,78,80,85,90,95,100})</f>
        <v>78</v>
      </c>
      <c r="Q208" s="15">
        <v>3.47</v>
      </c>
      <c r="R208" s="15">
        <f t="shared" si="96"/>
        <v>6.53</v>
      </c>
      <c r="S208" s="1">
        <f>LOOKUP(R208,{0,4.7,4.8,4.9,5,5.5,5.6,5.65,5.7,5.75,5.8,5.85,5.9,5.95,6,6.45,6.5,6.57,6.64,6.7,6.76},{0,10,20,30,40,50,60,62,64,66,68,70,72,74,76,78,80,85,90,95,100})</f>
        <v>80</v>
      </c>
      <c r="T208" s="20"/>
      <c r="U208" s="20"/>
      <c r="V208" s="21">
        <f t="shared" si="97"/>
        <v>80</v>
      </c>
      <c r="W208" s="15"/>
      <c r="X208" s="21">
        <f t="shared" si="98"/>
        <v>57.6</v>
      </c>
      <c r="Y208" s="21">
        <f t="shared" si="99"/>
        <v>82.2857142857143</v>
      </c>
    </row>
    <row r="209" ht="15.6" hidden="1" outlineLevel="2" spans="1:25">
      <c r="A209" s="15">
        <v>112</v>
      </c>
      <c r="B209" s="15">
        <v>40</v>
      </c>
      <c r="C209" s="14" t="s">
        <v>612</v>
      </c>
      <c r="D209" s="14" t="s">
        <v>46</v>
      </c>
      <c r="E209" s="15">
        <v>17.5</v>
      </c>
      <c r="F209" s="1">
        <f>LOOKUP(E209,{0,0.4,1.2,2,2.8,3.6,4.4,5.7,7,8.3,9.6,10.9,12.2,13.5,14.8,16.1,17.4,19.1,20.8,22.5,24.2},{0,10,20,30,40,50,60,62,64,66,68,70,72,74,76,78,80,85,90,95,100})</f>
        <v>80</v>
      </c>
      <c r="G209" s="15">
        <v>220</v>
      </c>
      <c r="H209" s="1">
        <f>LOOKUP(G209,{0,123,128,133,138,143,148,151,154,157,160,163,166,169,172,175,178,185,192,198,204},{0,10,20,30,40,50,60,62,64,66,68,70,72,74,76,78,80,85,90,95,100})</f>
        <v>100</v>
      </c>
      <c r="I209" s="15">
        <v>51</v>
      </c>
      <c r="J209" s="1">
        <f>LOOKUP(I209,{0,13,15,17,19,21,23,25,27,29,31,33,35,37,39,41,43,46,49,51,53},{0,10,20,30,40,50,60,62,64,66,68,70,72,74,76,78,80,85,90,95,100})</f>
        <v>95</v>
      </c>
      <c r="K209" s="20"/>
      <c r="L209" s="20"/>
      <c r="M209" s="21">
        <f t="shared" si="95"/>
        <v>95</v>
      </c>
      <c r="N209" s="15">
        <v>7.2</v>
      </c>
      <c r="O209" s="19">
        <f t="shared" si="100"/>
        <v>5.8</v>
      </c>
      <c r="P209" s="1">
        <f>LOOKUP(O209,{0,1.4,1.6,1.8,2,2.2,2.4,2.6,2.8,3,3.2,3.4,3.6,3.8,4,4.2,4.4,4.7,5,5.1,5.2},{0,10,20,30,40,50,60,62,64,66,68,70,72,74,76,78,80,85,90,95,100})</f>
        <v>100</v>
      </c>
      <c r="Q209" s="15">
        <v>3</v>
      </c>
      <c r="R209" s="15">
        <f t="shared" si="96"/>
        <v>7</v>
      </c>
      <c r="S209" s="1">
        <f>LOOKUP(R209,{0,4.7,4.8,4.9,5,5.5,5.6,5.65,5.7,5.75,5.8,5.85,5.9,5.95,6,6.45,6.5,6.57,6.64,6.7,6.76},{0,10,20,30,40,50,60,62,64,66,68,70,72,74,76,78,80,85,90,95,100})</f>
        <v>100</v>
      </c>
      <c r="T209" s="24">
        <f>3.24-Q209</f>
        <v>0.24</v>
      </c>
      <c r="U209" s="1">
        <f>LOOKUP(T209,{0,0.05,0.1,0.15,0.2,0.25,0.3,0.35,0.4,0.45,0.5},{0,1,2,3,4,5,6,7,8,9,10})</f>
        <v>4</v>
      </c>
      <c r="V209" s="21">
        <f t="shared" si="97"/>
        <v>104</v>
      </c>
      <c r="W209" s="15"/>
      <c r="X209" s="21">
        <f t="shared" si="98"/>
        <v>67.5</v>
      </c>
      <c r="Y209" s="21">
        <f t="shared" si="99"/>
        <v>100.428571428571</v>
      </c>
    </row>
    <row r="210" ht="15.6" hidden="1" outlineLevel="2" spans="1:25">
      <c r="A210" s="15">
        <v>112</v>
      </c>
      <c r="B210" s="15">
        <v>41</v>
      </c>
      <c r="C210" s="14" t="s">
        <v>613</v>
      </c>
      <c r="D210" s="14" t="s">
        <v>46</v>
      </c>
      <c r="E210" s="15">
        <v>23</v>
      </c>
      <c r="F210" s="1">
        <f>LOOKUP(E210,{0,0.4,1.2,2,2.8,3.6,4.4,5.7,7,8.3,9.6,10.9,12.2,13.5,14.8,16.1,17.4,19.1,20.8,22.5,24.2},{0,10,20,30,40,50,60,62,64,66,68,70,72,74,76,78,80,85,90,95,100})</f>
        <v>95</v>
      </c>
      <c r="G210" s="15">
        <v>189</v>
      </c>
      <c r="H210" s="1">
        <f>LOOKUP(G210,{0,123,128,133,138,143,148,151,154,157,160,163,166,169,172,175,178,185,192,198,204},{0,10,20,30,40,50,60,62,64,66,68,70,72,74,76,78,80,85,90,95,100})</f>
        <v>85</v>
      </c>
      <c r="I210" s="15">
        <v>57</v>
      </c>
      <c r="J210" s="1">
        <f>LOOKUP(I210,{0,13,15,17,19,21,23,25,27,29,31,33,35,37,39,41,43,46,49,51,53},{0,10,20,30,40,50,60,62,64,66,68,70,72,74,76,78,80,85,90,95,100})</f>
        <v>100</v>
      </c>
      <c r="K210" s="20">
        <f>I210-53</f>
        <v>4</v>
      </c>
      <c r="L210" s="1">
        <f>LOOKUP(K210,{0,2,4,6,7,8,9,10,11,12,13},{0,1,2,3,4,5,6,7,8,9,10})</f>
        <v>2</v>
      </c>
      <c r="M210" s="21">
        <f t="shared" si="95"/>
        <v>102</v>
      </c>
      <c r="N210" s="15">
        <v>8.4</v>
      </c>
      <c r="O210" s="19">
        <f t="shared" si="100"/>
        <v>4.6</v>
      </c>
      <c r="P210" s="1">
        <f>LOOKUP(O210,{0,1.4,1.6,1.8,2,2.2,2.4,2.6,2.8,3,3.2,3.4,3.6,3.8,4,4.2,4.4,4.7,5,5.1,5.2},{0,10,20,30,40,50,60,62,64,66,68,70,72,74,76,78,80,85,90,95,100})</f>
        <v>80</v>
      </c>
      <c r="Q210" s="15">
        <v>3.54</v>
      </c>
      <c r="R210" s="15">
        <f t="shared" si="96"/>
        <v>6.46</v>
      </c>
      <c r="S210" s="1">
        <f>LOOKUP(R210,{0,4.7,4.8,4.9,5,5.5,5.6,5.65,5.7,5.75,5.8,5.85,5.9,5.95,6,6.45,6.5,6.57,6.64,6.7,6.76},{0,10,20,30,40,50,60,62,64,66,68,70,72,74,76,78,80,85,90,95,100})</f>
        <v>78</v>
      </c>
      <c r="T210" s="20"/>
      <c r="U210" s="20"/>
      <c r="V210" s="21">
        <f t="shared" si="97"/>
        <v>78</v>
      </c>
      <c r="W210" s="15"/>
      <c r="X210" s="21">
        <f t="shared" si="98"/>
        <v>59.6</v>
      </c>
      <c r="Y210" s="21">
        <f t="shared" si="99"/>
        <v>87.1428571428572</v>
      </c>
    </row>
    <row r="211" ht="15.6" hidden="1" outlineLevel="2" spans="1:25">
      <c r="A211" s="15">
        <v>112</v>
      </c>
      <c r="B211" s="15">
        <v>42</v>
      </c>
      <c r="C211" s="14" t="s">
        <v>333</v>
      </c>
      <c r="D211" s="14" t="s">
        <v>46</v>
      </c>
      <c r="E211" s="15">
        <v>3</v>
      </c>
      <c r="F211" s="1">
        <f>LOOKUP(E211,{0,0.4,1.2,2,2.8,3.6,4.4,5.7,7,8.3,9.6,10.9,12.2,13.5,14.8,16.1,17.4,19.1,20.8,22.5,24.2},{0,10,20,30,40,50,60,62,64,66,68,70,72,74,76,78,80,85,90,95,100})</f>
        <v>40</v>
      </c>
      <c r="G211" s="15">
        <v>161</v>
      </c>
      <c r="H211" s="1">
        <f>LOOKUP(G211,{0,123,128,133,138,143,148,151,154,157,160,163,166,169,172,175,178,185,192,198,204},{0,10,20,30,40,50,60,62,64,66,68,70,72,74,76,78,80,85,90,95,100})</f>
        <v>68</v>
      </c>
      <c r="I211" s="15">
        <v>37</v>
      </c>
      <c r="J211" s="1">
        <f>LOOKUP(I211,{0,13,15,17,19,21,23,25,27,29,31,33,35,37,39,41,43,46,49,51,53},{0,10,20,30,40,50,60,62,64,66,68,70,72,74,76,78,80,85,90,95,100})</f>
        <v>74</v>
      </c>
      <c r="K211" s="20"/>
      <c r="L211" s="20"/>
      <c r="M211" s="21">
        <f t="shared" si="95"/>
        <v>74</v>
      </c>
      <c r="N211" s="15">
        <v>9</v>
      </c>
      <c r="O211" s="19">
        <f t="shared" si="100"/>
        <v>4</v>
      </c>
      <c r="P211" s="1">
        <f>LOOKUP(O211,{0,1.4,1.6,1.8,2,2.2,2.4,2.6,2.8,3,3.2,3.4,3.6,3.8,4,4.2,4.4,4.7,5,5.1,5.2},{0,10,20,30,40,50,60,62,64,66,68,70,72,74,76,78,80,85,90,95,100})</f>
        <v>76</v>
      </c>
      <c r="Q211" s="15">
        <v>3.42</v>
      </c>
      <c r="R211" s="15">
        <f t="shared" si="96"/>
        <v>6.58</v>
      </c>
      <c r="S211" s="1">
        <f>LOOKUP(R211,{0,4.7,4.8,4.9,5,5.5,5.6,5.65,5.7,5.75,5.8,5.85,5.9,5.95,6,6.45,6.5,6.57,6.64,6.7,6.76},{0,10,20,30,40,50,60,62,64,66,68,70,72,74,76,78,80,85,90,95,100})</f>
        <v>85</v>
      </c>
      <c r="T211" s="20"/>
      <c r="U211" s="20"/>
      <c r="V211" s="21">
        <f t="shared" si="97"/>
        <v>85</v>
      </c>
      <c r="W211" s="15"/>
      <c r="X211" s="21">
        <f t="shared" si="98"/>
        <v>50.4</v>
      </c>
      <c r="Y211" s="21">
        <f t="shared" si="99"/>
        <v>72</v>
      </c>
    </row>
    <row r="212" ht="15.6" hidden="1" outlineLevel="2" spans="1:25">
      <c r="A212" s="15">
        <v>112</v>
      </c>
      <c r="B212" s="15">
        <v>43</v>
      </c>
      <c r="C212" s="14" t="s">
        <v>614</v>
      </c>
      <c r="D212" s="14" t="s">
        <v>46</v>
      </c>
      <c r="E212" s="15">
        <v>16.5</v>
      </c>
      <c r="F212" s="1">
        <f>LOOKUP(E212,{0,0.4,1.2,2,2.8,3.6,4.4,5.7,7,8.3,9.6,10.9,12.2,13.5,14.8,16.1,17.4,19.1,20.8,22.5,24.2},{0,10,20,30,40,50,60,62,64,66,68,70,72,74,76,78,80,85,90,95,100})</f>
        <v>78</v>
      </c>
      <c r="G212" s="15">
        <v>159</v>
      </c>
      <c r="H212" s="1">
        <f>LOOKUP(G212,{0,123,128,133,138,143,148,151,154,157,160,163,166,169,172,175,178,185,192,198,204},{0,10,20,30,40,50,60,62,64,66,68,70,72,74,76,78,80,85,90,95,100})</f>
        <v>66</v>
      </c>
      <c r="I212" s="15">
        <v>50</v>
      </c>
      <c r="J212" s="1">
        <f>LOOKUP(I212,{0,13,15,17,19,21,23,25,27,29,31,33,35,37,39,41,43,46,49,51,53},{0,10,20,30,40,50,60,62,64,66,68,70,72,74,76,78,80,85,90,95,100})</f>
        <v>90</v>
      </c>
      <c r="K212" s="20"/>
      <c r="L212" s="20"/>
      <c r="M212" s="21">
        <f t="shared" si="95"/>
        <v>90</v>
      </c>
      <c r="N212" s="15">
        <v>9.2</v>
      </c>
      <c r="O212" s="19">
        <f t="shared" si="100"/>
        <v>3.8</v>
      </c>
      <c r="P212" s="1">
        <f>LOOKUP(O212,{0,1.4,1.6,1.8,2,2.2,2.4,2.6,2.8,3,3.2,3.4,3.6,3.8,4,4.2,4.4,4.7,5,5.1,5.2},{0,10,20,30,40,50,60,62,64,66,68,70,72,74,76,78,80,85,90,95,100})</f>
        <v>74</v>
      </c>
      <c r="Q212" s="15">
        <v>3.59</v>
      </c>
      <c r="R212" s="15">
        <f t="shared" si="96"/>
        <v>6.41</v>
      </c>
      <c r="S212" s="1">
        <f>LOOKUP(R212,{0,4.7,4.8,4.9,5,5.5,5.6,5.65,5.7,5.75,5.8,5.85,5.9,5.95,6,6.45,6.5,6.57,6.64,6.7,6.76},{0,10,20,30,40,50,60,62,64,66,68,70,72,74,76,78,80,85,90,95,100})</f>
        <v>76</v>
      </c>
      <c r="T212" s="20"/>
      <c r="U212" s="20"/>
      <c r="V212" s="21">
        <f t="shared" si="97"/>
        <v>76</v>
      </c>
      <c r="W212" s="15"/>
      <c r="X212" s="21">
        <f t="shared" si="98"/>
        <v>53.4</v>
      </c>
      <c r="Y212" s="21">
        <f t="shared" si="99"/>
        <v>76.2857142857143</v>
      </c>
    </row>
    <row r="213" ht="15.6" hidden="1" outlineLevel="2" spans="1:25">
      <c r="A213" s="15">
        <v>112</v>
      </c>
      <c r="B213" s="15">
        <v>44</v>
      </c>
      <c r="C213" s="14" t="s">
        <v>615</v>
      </c>
      <c r="D213" s="14" t="s">
        <v>46</v>
      </c>
      <c r="E213" s="15">
        <v>14</v>
      </c>
      <c r="F213" s="1">
        <f>LOOKUP(E213,{0,0.4,1.2,2,2.8,3.6,4.4,5.7,7,8.3,9.6,10.9,12.2,13.5,14.8,16.1,17.4,19.1,20.8,22.5,24.2},{0,10,20,30,40,50,60,62,64,66,68,70,72,74,76,78,80,85,90,95,100})</f>
        <v>74</v>
      </c>
      <c r="G213" s="15">
        <v>200</v>
      </c>
      <c r="H213" s="1">
        <f>LOOKUP(G213,{0,123,128,133,138,143,148,151,154,157,160,163,166,169,172,175,178,185,192,198,204},{0,10,20,30,40,50,60,62,64,66,68,70,72,74,76,78,80,85,90,95,100})</f>
        <v>95</v>
      </c>
      <c r="I213" s="15">
        <v>46</v>
      </c>
      <c r="J213" s="1">
        <f>LOOKUP(I213,{0,13,15,17,19,21,23,25,27,29,31,33,35,37,39,41,43,46,49,51,53},{0,10,20,30,40,50,60,62,64,66,68,70,72,74,76,78,80,85,90,95,100})</f>
        <v>85</v>
      </c>
      <c r="K213" s="20"/>
      <c r="L213" s="20"/>
      <c r="M213" s="21">
        <f t="shared" si="95"/>
        <v>85</v>
      </c>
      <c r="N213" s="15">
        <v>7.8</v>
      </c>
      <c r="O213" s="19">
        <f t="shared" si="100"/>
        <v>5.2</v>
      </c>
      <c r="P213" s="1">
        <f>LOOKUP(O213,{0,1.4,1.6,1.8,2,2.2,2.4,2.6,2.8,3,3.2,3.4,3.6,3.8,4,4.2,4.4,4.7,5,5.1,5.2},{0,10,20,30,40,50,60,62,64,66,68,70,72,74,76,78,80,85,90,95,100})</f>
        <v>100</v>
      </c>
      <c r="Q213" s="15">
        <v>3.39</v>
      </c>
      <c r="R213" s="15">
        <f t="shared" si="96"/>
        <v>6.61</v>
      </c>
      <c r="S213" s="1">
        <f>LOOKUP(R213,{0,4.7,4.8,4.9,5,5.5,5.6,5.65,5.7,5.75,5.8,5.85,5.9,5.95,6,6.45,6.5,6.57,6.64,6.7,6.76},{0,10,20,30,40,50,60,62,64,66,68,70,72,74,76,78,80,85,90,95,100})</f>
        <v>85</v>
      </c>
      <c r="T213" s="20"/>
      <c r="U213" s="20"/>
      <c r="V213" s="21">
        <f t="shared" si="97"/>
        <v>85</v>
      </c>
      <c r="W213" s="15"/>
      <c r="X213" s="21">
        <f t="shared" si="98"/>
        <v>62.4</v>
      </c>
      <c r="Y213" s="21">
        <f t="shared" si="99"/>
        <v>89.1428571428572</v>
      </c>
    </row>
    <row r="214" ht="15.6" hidden="1" outlineLevel="2" spans="1:25">
      <c r="A214" s="15">
        <v>112</v>
      </c>
      <c r="B214" s="15">
        <v>45</v>
      </c>
      <c r="C214" s="14" t="s">
        <v>616</v>
      </c>
      <c r="D214" s="14" t="s">
        <v>46</v>
      </c>
      <c r="E214" s="15">
        <v>15.7</v>
      </c>
      <c r="F214" s="1">
        <f>LOOKUP(E214,{0,0.4,1.2,2,2.8,3.6,4.4,5.7,7,8.3,9.6,10.9,12.2,13.5,14.8,16.1,17.4,19.1,20.8,22.5,24.2},{0,10,20,30,40,50,60,62,64,66,68,70,72,74,76,78,80,85,90,95,100})</f>
        <v>76</v>
      </c>
      <c r="G214" s="15">
        <v>174</v>
      </c>
      <c r="H214" s="1">
        <f>LOOKUP(G214,{0,123,128,133,138,143,148,151,154,157,160,163,166,169,172,175,178,185,192,198,204},{0,10,20,30,40,50,60,62,64,66,68,70,72,74,76,78,80,85,90,95,100})</f>
        <v>76</v>
      </c>
      <c r="I214" s="15">
        <v>52</v>
      </c>
      <c r="J214" s="1">
        <f>LOOKUP(I214,{0,13,15,17,19,21,23,25,27,29,31,33,35,37,39,41,43,46,49,51,53},{0,10,20,30,40,50,60,62,64,66,68,70,72,74,76,78,80,85,90,95,100})</f>
        <v>95</v>
      </c>
      <c r="K214" s="20"/>
      <c r="L214" s="20"/>
      <c r="M214" s="21">
        <f t="shared" si="95"/>
        <v>95</v>
      </c>
      <c r="N214" s="15">
        <v>8.4</v>
      </c>
      <c r="O214" s="19">
        <f t="shared" si="100"/>
        <v>4.6</v>
      </c>
      <c r="P214" s="1">
        <f>LOOKUP(O214,{0,1.4,1.6,1.8,2,2.2,2.4,2.6,2.8,3,3.2,3.4,3.6,3.8,4,4.2,4.4,4.7,5,5.1,5.2},{0,10,20,30,40,50,60,62,64,66,68,70,72,74,76,78,80,85,90,95,100})</f>
        <v>80</v>
      </c>
      <c r="Q214" s="15">
        <v>4.19</v>
      </c>
      <c r="R214" s="15">
        <f t="shared" si="96"/>
        <v>5.81</v>
      </c>
      <c r="S214" s="1">
        <f>LOOKUP(R214,{0,4.7,4.8,4.9,5,5.5,5.6,5.65,5.7,5.75,5.8,5.85,5.9,5.95,6,6.45,6.5,6.57,6.64,6.7,6.76},{0,10,20,30,40,50,60,62,64,66,68,70,72,74,76,78,80,85,90,95,100})</f>
        <v>68</v>
      </c>
      <c r="T214" s="20"/>
      <c r="U214" s="20"/>
      <c r="V214" s="21">
        <f t="shared" si="97"/>
        <v>68</v>
      </c>
      <c r="W214" s="15"/>
      <c r="X214" s="21">
        <f t="shared" si="98"/>
        <v>54.3</v>
      </c>
      <c r="Y214" s="21">
        <f t="shared" si="99"/>
        <v>77.5714285714286</v>
      </c>
    </row>
    <row r="215" ht="15.6" hidden="1" outlineLevel="2" spans="1:25">
      <c r="A215" s="15">
        <v>112</v>
      </c>
      <c r="B215" s="15">
        <v>46</v>
      </c>
      <c r="C215" s="14" t="s">
        <v>617</v>
      </c>
      <c r="D215" s="14" t="s">
        <v>46</v>
      </c>
      <c r="E215" s="15">
        <v>21</v>
      </c>
      <c r="F215" s="1">
        <f>LOOKUP(E215,{0,0.4,1.2,2,2.8,3.6,4.4,5.7,7,8.3,9.6,10.9,12.2,13.5,14.8,16.1,17.4,19.1,20.8,22.5,24.2},{0,10,20,30,40,50,60,62,64,66,68,70,72,74,76,78,80,85,90,95,100})</f>
        <v>90</v>
      </c>
      <c r="G215" s="15">
        <v>195</v>
      </c>
      <c r="H215" s="1">
        <f>LOOKUP(G215,{0,123,128,133,138,143,148,151,154,157,160,163,166,169,172,175,178,185,192,198,204},{0,10,20,30,40,50,60,62,64,66,68,70,72,74,76,78,80,85,90,95,100})</f>
        <v>90</v>
      </c>
      <c r="I215" s="15">
        <v>51</v>
      </c>
      <c r="J215" s="1">
        <f>LOOKUP(I215,{0,13,15,17,19,21,23,25,27,29,31,33,35,37,39,41,43,46,49,51,53},{0,10,20,30,40,50,60,62,64,66,68,70,72,74,76,78,80,85,90,95,100})</f>
        <v>95</v>
      </c>
      <c r="K215" s="20"/>
      <c r="L215" s="20"/>
      <c r="M215" s="21">
        <f t="shared" si="95"/>
        <v>95</v>
      </c>
      <c r="N215" s="15">
        <v>9.2</v>
      </c>
      <c r="O215" s="19">
        <f t="shared" si="100"/>
        <v>3.8</v>
      </c>
      <c r="P215" s="1">
        <f>LOOKUP(O215,{0,1.4,1.6,1.8,2,2.2,2.4,2.6,2.8,3,3.2,3.4,3.6,3.8,4,4.2,4.4,4.7,5,5.1,5.2},{0,10,20,30,40,50,60,62,64,66,68,70,72,74,76,78,80,85,90,95,100})</f>
        <v>74</v>
      </c>
      <c r="Q215" s="15">
        <v>4.04</v>
      </c>
      <c r="R215" s="15">
        <f t="shared" si="96"/>
        <v>5.96</v>
      </c>
      <c r="S215" s="1">
        <f>LOOKUP(R215,{0,4.7,4.8,4.9,5,5.5,5.6,5.65,5.7,5.75,5.8,5.85,5.9,5.95,6,6.45,6.5,6.57,6.64,6.7,6.76},{0,10,20,30,40,50,60,62,64,66,68,70,72,74,76,78,80,85,90,95,100})</f>
        <v>74</v>
      </c>
      <c r="T215" s="20"/>
      <c r="U215" s="20"/>
      <c r="V215" s="21">
        <f t="shared" si="97"/>
        <v>74</v>
      </c>
      <c r="W215" s="15"/>
      <c r="X215" s="21">
        <f t="shared" si="98"/>
        <v>57.1</v>
      </c>
      <c r="Y215" s="21">
        <f t="shared" si="99"/>
        <v>81.5714285714286</v>
      </c>
    </row>
    <row r="216" ht="15.6" hidden="1" outlineLevel="2" spans="1:25">
      <c r="A216" s="15">
        <v>112</v>
      </c>
      <c r="B216" s="15">
        <v>47</v>
      </c>
      <c r="C216" s="14" t="s">
        <v>618</v>
      </c>
      <c r="D216" s="14" t="s">
        <v>46</v>
      </c>
      <c r="E216" s="15">
        <v>17</v>
      </c>
      <c r="F216" s="1">
        <f>LOOKUP(E216,{0,0.4,1.2,2,2.8,3.6,4.4,5.7,7,8.3,9.6,10.9,12.2,13.5,14.8,16.1,17.4,19.1,20.8,22.5,24.2},{0,10,20,30,40,50,60,62,64,66,68,70,72,74,76,78,80,85,90,95,100})</f>
        <v>78</v>
      </c>
      <c r="G216" s="15">
        <v>155</v>
      </c>
      <c r="H216" s="1">
        <f>LOOKUP(G216,{0,123,128,133,138,143,148,151,154,157,160,163,166,169,172,175,178,185,192,198,204},{0,10,20,30,40,50,60,62,64,66,68,70,72,74,76,78,80,85,90,95,100})</f>
        <v>64</v>
      </c>
      <c r="I216" s="15">
        <v>50</v>
      </c>
      <c r="J216" s="1">
        <f>LOOKUP(I216,{0,13,15,17,19,21,23,25,27,29,31,33,35,37,39,41,43,46,49,51,53},{0,10,20,30,40,50,60,62,64,66,68,70,72,74,76,78,80,85,90,95,100})</f>
        <v>90</v>
      </c>
      <c r="K216" s="20"/>
      <c r="L216" s="20"/>
      <c r="M216" s="21">
        <f t="shared" si="95"/>
        <v>90</v>
      </c>
      <c r="N216" s="15">
        <v>10</v>
      </c>
      <c r="O216" s="19">
        <f t="shared" si="100"/>
        <v>3</v>
      </c>
      <c r="P216" s="1">
        <f>LOOKUP(O216,{0,1.4,1.6,1.8,2,2.2,2.4,2.6,2.8,3,3.2,3.4,3.6,3.8,4,4.2,4.4,4.7,5,5.1,5.2},{0,10,20,30,40,50,60,62,64,66,68,70,72,74,76,78,80,85,90,95,100})</f>
        <v>66</v>
      </c>
      <c r="Q216" s="15">
        <v>4.5</v>
      </c>
      <c r="R216" s="15">
        <f t="shared" si="96"/>
        <v>5.5</v>
      </c>
      <c r="S216" s="1">
        <f>LOOKUP(R216,{0,4.7,4.8,4.9,5,5.5,5.6,5.65,5.7,5.75,5.8,5.85,5.9,5.95,6,6.45,6.5,6.57,6.64,6.7,6.76},{0,10,20,30,40,50,60,62,64,66,68,70,72,74,76,78,80,85,90,95,100})</f>
        <v>50</v>
      </c>
      <c r="T216" s="20"/>
      <c r="U216" s="20"/>
      <c r="V216" s="21">
        <f t="shared" si="97"/>
        <v>50</v>
      </c>
      <c r="W216" s="15"/>
      <c r="X216" s="21">
        <f t="shared" si="98"/>
        <v>46.4</v>
      </c>
      <c r="Y216" s="21">
        <f t="shared" si="99"/>
        <v>66.2857142857143</v>
      </c>
    </row>
    <row r="217" ht="15.6" hidden="1" outlineLevel="2" spans="1:25">
      <c r="A217" s="15">
        <v>112</v>
      </c>
      <c r="B217" s="15">
        <v>48</v>
      </c>
      <c r="C217" s="14" t="s">
        <v>619</v>
      </c>
      <c r="D217" s="14" t="s">
        <v>46</v>
      </c>
      <c r="E217" s="15">
        <v>6.2</v>
      </c>
      <c r="F217" s="1">
        <f>LOOKUP(E217,{0,0.4,1.2,2,2.8,3.6,4.4,5.7,7,8.3,9.6,10.9,12.2,13.5,14.8,16.1,17.4,19.1,20.8,22.5,24.2},{0,10,20,30,40,50,60,62,64,66,68,70,72,74,76,78,80,85,90,95,100})</f>
        <v>62</v>
      </c>
      <c r="G217" s="15">
        <v>167</v>
      </c>
      <c r="H217" s="1">
        <f>LOOKUP(G217,{0,123,128,133,138,143,148,151,154,157,160,163,166,169,172,175,178,185,192,198,204},{0,10,20,30,40,50,60,62,64,66,68,70,72,74,76,78,80,85,90,95,100})</f>
        <v>72</v>
      </c>
      <c r="I217" s="15">
        <v>46</v>
      </c>
      <c r="J217" s="1">
        <f>LOOKUP(I217,{0,13,15,17,19,21,23,25,27,29,31,33,35,37,39,41,43,46,49,51,53},{0,10,20,30,40,50,60,62,64,66,68,70,72,74,76,78,80,85,90,95,100})</f>
        <v>85</v>
      </c>
      <c r="K217" s="20"/>
      <c r="L217" s="20"/>
      <c r="M217" s="21">
        <f t="shared" si="95"/>
        <v>85</v>
      </c>
      <c r="N217" s="15">
        <v>8.1</v>
      </c>
      <c r="O217" s="19">
        <f t="shared" si="100"/>
        <v>4.9</v>
      </c>
      <c r="P217" s="1">
        <f>LOOKUP(O217,{0,1.4,1.6,1.8,2,2.2,2.4,2.6,2.8,3,3.2,3.4,3.6,3.8,4,4.2,4.4,4.7,5,5.1,5.2},{0,10,20,30,40,50,60,62,64,66,68,70,72,74,76,78,80,85,90,95,100})</f>
        <v>85</v>
      </c>
      <c r="Q217" s="15">
        <v>3.22</v>
      </c>
      <c r="R217" s="15">
        <f t="shared" si="96"/>
        <v>6.78</v>
      </c>
      <c r="S217" s="1">
        <f>LOOKUP(R217,{0,4.7,4.8,4.9,5,5.5,5.6,5.65,5.7,5.75,5.8,5.85,5.9,5.95,6,6.45,6.5,6.57,6.64,6.7,6.76},{0,10,20,30,40,50,60,62,64,66,68,70,72,74,76,78,80,85,90,95,100})</f>
        <v>100</v>
      </c>
      <c r="T217" s="24">
        <f>3.24-Q217</f>
        <v>0.02</v>
      </c>
      <c r="U217" s="1">
        <f>LOOKUP(T217,{0,0.05,0.1,0.15,0.2,0.25,0.3,0.35,0.4,0.45,0.5},{0,1,2,3,4,5,6,7,8,9,10})</f>
        <v>0</v>
      </c>
      <c r="V217" s="21">
        <f t="shared" si="97"/>
        <v>100</v>
      </c>
      <c r="W217" s="15"/>
      <c r="X217" s="21">
        <f t="shared" si="98"/>
        <v>58.9</v>
      </c>
      <c r="Y217" s="21">
        <f t="shared" si="99"/>
        <v>84.1428571428572</v>
      </c>
    </row>
    <row r="218" ht="15.6" hidden="1" outlineLevel="2" spans="1:25">
      <c r="A218" s="15">
        <v>112</v>
      </c>
      <c r="B218" s="15">
        <v>49</v>
      </c>
      <c r="C218" s="14" t="s">
        <v>620</v>
      </c>
      <c r="D218" s="14" t="s">
        <v>46</v>
      </c>
      <c r="E218" s="15">
        <v>14.5</v>
      </c>
      <c r="F218" s="1">
        <f>LOOKUP(E218,{0,0.4,1.2,2,2.8,3.6,4.4,5.7,7,8.3,9.6,10.9,12.2,13.5,14.8,16.1,17.4,19.1,20.8,22.5,24.2},{0,10,20,30,40,50,60,62,64,66,68,70,72,74,76,78,80,85,90,95,100})</f>
        <v>74</v>
      </c>
      <c r="G218" s="15">
        <v>157</v>
      </c>
      <c r="H218" s="1">
        <f>LOOKUP(G218,{0,123,128,133,138,143,148,151,154,157,160,163,166,169,172,175,178,185,192,198,204},{0,10,20,30,40,50,60,62,64,66,68,70,72,74,76,78,80,85,90,95,100})</f>
        <v>66</v>
      </c>
      <c r="I218" s="15">
        <v>39</v>
      </c>
      <c r="J218" s="1">
        <f>LOOKUP(I218,{0,13,15,17,19,21,23,25,27,29,31,33,35,37,39,41,43,46,49,51,53},{0,10,20,30,40,50,60,62,64,66,68,70,72,74,76,78,80,85,90,95,100})</f>
        <v>76</v>
      </c>
      <c r="K218" s="20"/>
      <c r="L218" s="20"/>
      <c r="M218" s="21">
        <f t="shared" si="95"/>
        <v>76</v>
      </c>
      <c r="N218" s="15">
        <v>8.9</v>
      </c>
      <c r="O218" s="19">
        <f t="shared" si="100"/>
        <v>4.1</v>
      </c>
      <c r="P218" s="1">
        <f>LOOKUP(O218,{0,1.4,1.6,1.8,2,2.2,2.4,2.6,2.8,3,3.2,3.4,3.6,3.8,4,4.2,4.4,4.7,5,5.1,5.2},{0,10,20,30,40,50,60,62,64,66,68,70,72,74,76,78,80,85,90,95,100})</f>
        <v>76</v>
      </c>
      <c r="Q218" s="15">
        <v>4</v>
      </c>
      <c r="R218" s="15">
        <f t="shared" si="96"/>
        <v>6</v>
      </c>
      <c r="S218" s="1">
        <f>LOOKUP(R218,{0,4.7,4.8,4.9,5,5.5,5.6,5.65,5.7,5.75,5.8,5.85,5.9,5.95,6,6.45,6.5,6.57,6.64,6.7,6.76},{0,10,20,30,40,50,60,62,64,66,68,70,72,74,76,78,80,85,90,95,100})</f>
        <v>76</v>
      </c>
      <c r="T218" s="20"/>
      <c r="U218" s="20"/>
      <c r="V218" s="21">
        <f t="shared" si="97"/>
        <v>76</v>
      </c>
      <c r="W218" s="15"/>
      <c r="X218" s="21">
        <f t="shared" si="98"/>
        <v>52</v>
      </c>
      <c r="Y218" s="21">
        <f t="shared" si="99"/>
        <v>74.2857142857143</v>
      </c>
    </row>
    <row r="219" ht="15.6" hidden="1" outlineLevel="2" spans="1:25">
      <c r="A219" s="15">
        <v>112</v>
      </c>
      <c r="B219" s="15">
        <v>50</v>
      </c>
      <c r="C219" s="14" t="s">
        <v>621</v>
      </c>
      <c r="D219" s="14" t="s">
        <v>46</v>
      </c>
      <c r="E219" s="15">
        <v>11.7</v>
      </c>
      <c r="F219" s="1">
        <f>LOOKUP(E219,{0,0.4,1.2,2,2.8,3.6,4.4,5.7,7,8.3,9.6,10.9,12.2,13.5,14.8,16.1,17.4,19.1,20.8,22.5,24.2},{0,10,20,30,40,50,60,62,64,66,68,70,72,74,76,78,80,85,90,95,100})</f>
        <v>70</v>
      </c>
      <c r="G219" s="15">
        <v>181</v>
      </c>
      <c r="H219" s="1">
        <f>LOOKUP(G219,{0,123,128,133,138,143,148,151,154,157,160,163,166,169,172,175,178,185,192,198,204},{0,10,20,30,40,50,60,62,64,66,68,70,72,74,76,78,80,85,90,95,100})</f>
        <v>80</v>
      </c>
      <c r="I219" s="15">
        <v>49</v>
      </c>
      <c r="J219" s="1">
        <f>LOOKUP(I219,{0,13,15,17,19,21,23,25,27,29,31,33,35,37,39,41,43,46,49,51,53},{0,10,20,30,40,50,60,62,64,66,68,70,72,74,76,78,80,85,90,95,100})</f>
        <v>90</v>
      </c>
      <c r="K219" s="20"/>
      <c r="L219" s="20"/>
      <c r="M219" s="21">
        <f t="shared" si="95"/>
        <v>90</v>
      </c>
      <c r="N219" s="15">
        <v>8.2</v>
      </c>
      <c r="O219" s="19">
        <f t="shared" si="100"/>
        <v>4.8</v>
      </c>
      <c r="P219" s="1">
        <f>LOOKUP(O219,{0,1.4,1.6,1.8,2,2.2,2.4,2.6,2.8,3,3.2,3.4,3.6,3.8,4,4.2,4.4,4.7,5,5.1,5.2},{0,10,20,30,40,50,60,62,64,66,68,70,72,74,76,78,80,85,90,95,100})</f>
        <v>85</v>
      </c>
      <c r="Q219" s="15">
        <v>3.39</v>
      </c>
      <c r="R219" s="15">
        <f t="shared" si="96"/>
        <v>6.61</v>
      </c>
      <c r="S219" s="1">
        <f>LOOKUP(R219,{0,4.7,4.8,4.9,5,5.5,5.6,5.65,5.7,5.75,5.8,5.85,5.9,5.95,6,6.45,6.5,6.57,6.64,6.7,6.76},{0,10,20,30,40,50,60,62,64,66,68,70,72,74,76,78,80,85,90,95,100})</f>
        <v>85</v>
      </c>
      <c r="T219" s="20"/>
      <c r="U219" s="20"/>
      <c r="V219" s="21">
        <f t="shared" si="97"/>
        <v>85</v>
      </c>
      <c r="W219" s="15"/>
      <c r="X219" s="21">
        <f t="shared" si="98"/>
        <v>58</v>
      </c>
      <c r="Y219" s="21">
        <f t="shared" si="99"/>
        <v>82.8571428571429</v>
      </c>
    </row>
    <row r="220" ht="15.6" outlineLevel="1" collapsed="1" spans="1:25">
      <c r="A220" s="16" t="s">
        <v>853</v>
      </c>
      <c r="B220" s="15"/>
      <c r="C220" s="14"/>
      <c r="D220" s="14"/>
      <c r="E220" s="15"/>
      <c r="F220" s="1">
        <f>SUBTOTAL(1,F197:F219)</f>
        <v>79.0434782608696</v>
      </c>
      <c r="G220" s="15"/>
      <c r="H220" s="1">
        <f>SUBTOTAL(1,H197:H219)</f>
        <v>80.2173913043478</v>
      </c>
      <c r="I220" s="15"/>
      <c r="J220" s="1">
        <f>SUBTOTAL(1,J197:J219)</f>
        <v>89.2173913043478</v>
      </c>
      <c r="K220" s="20"/>
      <c r="L220" s="20"/>
      <c r="M220" s="21">
        <f>SUBTOTAL(1,M197:M219)</f>
        <v>89.4782608695652</v>
      </c>
      <c r="N220" s="15"/>
      <c r="O220" s="19"/>
      <c r="P220" s="1">
        <f>SUBTOTAL(1,P197:P219)</f>
        <v>80.6818181818182</v>
      </c>
      <c r="Q220" s="15"/>
      <c r="R220" s="15"/>
      <c r="S220" s="1">
        <f>SUBTOTAL(1,S197:S219)</f>
        <v>82.2608695652174</v>
      </c>
      <c r="T220" s="20"/>
      <c r="U220" s="20"/>
      <c r="V220" s="21">
        <f>SUBTOTAL(1,V197:V219)</f>
        <v>82.6086956521739</v>
      </c>
      <c r="W220" s="15"/>
      <c r="X220" s="21">
        <f>SUBTOTAL(1,X197:X219)</f>
        <v>56.7347826086957</v>
      </c>
      <c r="Y220" s="21">
        <f>SUBTOTAL(1,Y197:Y219)</f>
        <v>81.6583850931677</v>
      </c>
    </row>
    <row r="221" ht="15.6" hidden="1" outlineLevel="2" spans="1:25">
      <c r="A221" s="15">
        <v>113</v>
      </c>
      <c r="B221" s="15">
        <v>26</v>
      </c>
      <c r="C221" s="13" t="s">
        <v>650</v>
      </c>
      <c r="D221" s="14" t="s">
        <v>46</v>
      </c>
      <c r="E221" s="15"/>
      <c r="F221" s="1"/>
      <c r="G221" s="15"/>
      <c r="H221" s="1"/>
      <c r="I221" s="15"/>
      <c r="J221" s="1"/>
      <c r="K221" s="20"/>
      <c r="L221" s="20"/>
      <c r="M221" s="21"/>
      <c r="N221" s="15"/>
      <c r="O221" s="19"/>
      <c r="P221" s="1"/>
      <c r="Q221" s="15"/>
      <c r="R221" s="15"/>
      <c r="S221" s="1"/>
      <c r="T221" s="24"/>
      <c r="U221" s="1"/>
      <c r="V221" s="21"/>
      <c r="W221" s="15" t="s">
        <v>513</v>
      </c>
      <c r="X221" s="21">
        <f t="shared" ref="X221:X245" si="102">F221*0.1+H221*0.1+J221*0.1+P221*0.2+S221*0.2</f>
        <v>0</v>
      </c>
      <c r="Y221" s="21">
        <v>50</v>
      </c>
    </row>
    <row r="222" ht="15.6" hidden="1" outlineLevel="2" spans="1:25">
      <c r="A222" s="15">
        <v>113</v>
      </c>
      <c r="B222" s="15">
        <v>27</v>
      </c>
      <c r="C222" s="14" t="s">
        <v>651</v>
      </c>
      <c r="D222" s="14" t="s">
        <v>46</v>
      </c>
      <c r="E222" s="15">
        <v>11.5</v>
      </c>
      <c r="F222" s="1">
        <f>LOOKUP(E222,{0,0.4,1.2,2,2.8,3.6,4.4,5.7,7,8.3,9.6,10.9,12.2,13.5,14.8,16.1,17.4,19.1,20.8,22.5,24.2},{0,10,20,30,40,50,60,62,64,66,68,70,72,74,76,78,80,85,90,95,100})</f>
        <v>70</v>
      </c>
      <c r="G222" s="15">
        <v>152</v>
      </c>
      <c r="H222" s="1">
        <f>LOOKUP(G222,{0,123,128,133,138,143,148,151,154,157,160,163,166,169,172,175,178,185,192,198,204},{0,10,20,30,40,50,60,62,64,66,68,70,72,74,76,78,80,85,90,95,100})</f>
        <v>62</v>
      </c>
      <c r="I222" s="15">
        <v>34</v>
      </c>
      <c r="J222" s="1">
        <f>LOOKUP(I222,{0,13,15,17,19,21,23,25,27,29,31,33,35,37,39,41,43,46,49,51,53},{0,10,20,30,40,50,60,62,64,66,68,70,72,74,76,78,80,85,90,95,100})</f>
        <v>70</v>
      </c>
      <c r="K222" s="20"/>
      <c r="L222" s="20"/>
      <c r="M222" s="21">
        <f t="shared" ref="M222:M244" si="103">J222+L222</f>
        <v>70</v>
      </c>
      <c r="N222" s="15">
        <v>9.3</v>
      </c>
      <c r="O222" s="19">
        <f t="shared" ref="O222:O244" si="104">13-N222</f>
        <v>3.7</v>
      </c>
      <c r="P222" s="1">
        <f>LOOKUP(O222,{0,1.4,1.6,1.8,2,2.2,2.4,2.6,2.8,3,3.2,3.4,3.6,3.8,4,4.2,4.4,4.7,5,5.1,5.2},{0,10,20,30,40,50,60,62,64,66,68,70,72,74,76,78,80,85,90,95,100})</f>
        <v>72</v>
      </c>
      <c r="Q222" s="15">
        <v>4.2</v>
      </c>
      <c r="R222" s="15">
        <f t="shared" ref="R222:R244" si="105">10-Q222</f>
        <v>5.8</v>
      </c>
      <c r="S222" s="1">
        <f>LOOKUP(R222,{0,4.7,4.8,4.9,5,5.5,5.6,5.65,5.7,5.75,5.8,5.85,5.9,5.95,6,6.45,6.5,6.57,6.64,6.7,6.76},{0,10,20,30,40,50,60,62,64,66,68,70,72,74,76,78,80,85,90,95,100})</f>
        <v>68</v>
      </c>
      <c r="T222" s="20"/>
      <c r="U222" s="20"/>
      <c r="V222" s="21">
        <f t="shared" ref="V222:V244" si="106">S222+U222</f>
        <v>68</v>
      </c>
      <c r="W222" s="15"/>
      <c r="X222" s="21">
        <f t="shared" si="102"/>
        <v>48.2</v>
      </c>
      <c r="Y222" s="21">
        <f t="shared" ref="Y222:Y244" si="107">X222/0.7+L222+U222</f>
        <v>68.8571428571429</v>
      </c>
    </row>
    <row r="223" ht="15.6" hidden="1" outlineLevel="2" spans="1:25">
      <c r="A223" s="15">
        <v>113</v>
      </c>
      <c r="B223" s="15">
        <v>28</v>
      </c>
      <c r="C223" s="14" t="s">
        <v>652</v>
      </c>
      <c r="D223" s="14" t="s">
        <v>46</v>
      </c>
      <c r="E223" s="15">
        <v>8</v>
      </c>
      <c r="F223" s="1">
        <f>LOOKUP(E223,{0,0.4,1.2,2,2.8,3.6,4.4,5.7,7,8.3,9.6,10.9,12.2,13.5,14.8,16.1,17.4,19.1,20.8,22.5,24.2},{0,10,20,30,40,50,60,62,64,66,68,70,72,74,76,78,80,85,90,95,100})</f>
        <v>64</v>
      </c>
      <c r="G223" s="15">
        <v>135</v>
      </c>
      <c r="H223" s="1">
        <f>LOOKUP(G223,{0,123,128,133,138,143,148,151,154,157,160,163,166,169,172,175,178,185,192,198,204},{0,10,20,30,40,50,60,62,64,66,68,70,72,74,76,78,80,85,90,95,100})</f>
        <v>30</v>
      </c>
      <c r="I223" s="15">
        <v>38</v>
      </c>
      <c r="J223" s="1">
        <f>LOOKUP(I223,{0,13,15,17,19,21,23,25,27,29,31,33,35,37,39,41,43,46,49,51,53},{0,10,20,30,40,50,60,62,64,66,68,70,72,74,76,78,80,85,90,95,100})</f>
        <v>74</v>
      </c>
      <c r="K223" s="20"/>
      <c r="L223" s="20"/>
      <c r="M223" s="21">
        <f t="shared" si="103"/>
        <v>74</v>
      </c>
      <c r="N223" s="15">
        <v>9.3</v>
      </c>
      <c r="O223" s="19">
        <f t="shared" si="104"/>
        <v>3.7</v>
      </c>
      <c r="P223" s="1">
        <f>LOOKUP(O223,{0,1.4,1.6,1.8,2,2.2,2.4,2.6,2.8,3,3.2,3.4,3.6,3.8,4,4.2,4.4,4.7,5,5.1,5.2},{0,10,20,30,40,50,60,62,64,66,68,70,72,74,76,78,80,85,90,95,100})</f>
        <v>72</v>
      </c>
      <c r="Q223" s="15">
        <v>4.05</v>
      </c>
      <c r="R223" s="15">
        <f t="shared" si="105"/>
        <v>5.95</v>
      </c>
      <c r="S223" s="1">
        <f>LOOKUP(R223,{0,4.7,4.8,4.9,5,5.5,5.6,5.65,5.7,5.75,5.8,5.85,5.9,5.95,6,6.45,6.5,6.57,6.64,6.7,6.76},{0,10,20,30,40,50,60,62,64,66,68,70,72,74,76,78,80,85,90,95,100})</f>
        <v>74</v>
      </c>
      <c r="T223" s="20"/>
      <c r="U223" s="20"/>
      <c r="V223" s="21">
        <f t="shared" si="106"/>
        <v>74</v>
      </c>
      <c r="W223" s="15"/>
      <c r="X223" s="21">
        <f t="shared" si="102"/>
        <v>46</v>
      </c>
      <c r="Y223" s="21">
        <f t="shared" si="107"/>
        <v>65.7142857142857</v>
      </c>
    </row>
    <row r="224" ht="15.6" hidden="1" outlineLevel="2" spans="1:25">
      <c r="A224" s="15">
        <v>113</v>
      </c>
      <c r="B224" s="15">
        <v>29</v>
      </c>
      <c r="C224" s="14" t="s">
        <v>653</v>
      </c>
      <c r="D224" s="14" t="s">
        <v>46</v>
      </c>
      <c r="E224" s="15">
        <v>8.5</v>
      </c>
      <c r="F224" s="1">
        <f>LOOKUP(E224,{0,0.4,1.2,2,2.8,3.6,4.4,5.7,7,8.3,9.6,10.9,12.2,13.5,14.8,16.1,17.4,19.1,20.8,22.5,24.2},{0,10,20,30,40,50,60,62,64,66,68,70,72,74,76,78,80,85,90,95,100})</f>
        <v>66</v>
      </c>
      <c r="G224" s="15">
        <v>175</v>
      </c>
      <c r="H224" s="1">
        <f>LOOKUP(G224,{0,123,128,133,138,143,148,151,154,157,160,163,166,169,172,175,178,185,192,198,204},{0,10,20,30,40,50,60,62,64,66,68,70,72,74,76,78,80,85,90,95,100})</f>
        <v>78</v>
      </c>
      <c r="I224" s="15">
        <v>50</v>
      </c>
      <c r="J224" s="1">
        <f>LOOKUP(I224,{0,13,15,17,19,21,23,25,27,29,31,33,35,37,39,41,43,46,49,51,53},{0,10,20,30,40,50,60,62,64,66,68,70,72,74,76,78,80,85,90,95,100})</f>
        <v>90</v>
      </c>
      <c r="K224" s="20"/>
      <c r="L224" s="20"/>
      <c r="M224" s="21">
        <f t="shared" si="103"/>
        <v>90</v>
      </c>
      <c r="N224" s="15">
        <v>8.9</v>
      </c>
      <c r="O224" s="19">
        <f t="shared" si="104"/>
        <v>4.1</v>
      </c>
      <c r="P224" s="1">
        <f>LOOKUP(O224,{0,1.4,1.6,1.8,2,2.2,2.4,2.6,2.8,3,3.2,3.4,3.6,3.8,4,4.2,4.4,4.7,5,5.1,5.2},{0,10,20,30,40,50,60,62,64,66,68,70,72,74,76,78,80,85,90,95,100})</f>
        <v>76</v>
      </c>
      <c r="Q224" s="15">
        <v>3.5</v>
      </c>
      <c r="R224" s="15">
        <f t="shared" si="105"/>
        <v>6.5</v>
      </c>
      <c r="S224" s="1">
        <f>LOOKUP(R224,{0,4.7,4.8,4.9,5,5.5,5.6,5.65,5.7,5.75,5.8,5.85,5.9,5.95,6,6.45,6.5,6.57,6.64,6.7,6.76},{0,10,20,30,40,50,60,62,64,66,68,70,72,74,76,78,80,85,90,95,100})</f>
        <v>80</v>
      </c>
      <c r="T224" s="20"/>
      <c r="U224" s="20"/>
      <c r="V224" s="21">
        <f t="shared" si="106"/>
        <v>80</v>
      </c>
      <c r="W224" s="15"/>
      <c r="X224" s="21">
        <f t="shared" si="102"/>
        <v>54.6</v>
      </c>
      <c r="Y224" s="21">
        <f t="shared" si="107"/>
        <v>78</v>
      </c>
    </row>
    <row r="225" ht="15.6" hidden="1" outlineLevel="2" spans="1:25">
      <c r="A225" s="15">
        <v>113</v>
      </c>
      <c r="B225" s="15">
        <v>30</v>
      </c>
      <c r="C225" s="14" t="s">
        <v>654</v>
      </c>
      <c r="D225" s="14" t="s">
        <v>46</v>
      </c>
      <c r="E225" s="15">
        <v>21</v>
      </c>
      <c r="F225" s="1">
        <f>LOOKUP(E225,{0,0.4,1.2,2,2.8,3.6,4.4,5.7,7,8.3,9.6,10.9,12.2,13.5,14.8,16.1,17.4,19.1,20.8,22.5,24.2},{0,10,20,30,40,50,60,62,64,66,68,70,72,74,76,78,80,85,90,95,100})</f>
        <v>90</v>
      </c>
      <c r="G225" s="15">
        <v>187</v>
      </c>
      <c r="H225" s="1">
        <f>LOOKUP(G225,{0,123,128,133,138,143,148,151,154,157,160,163,166,169,172,175,178,185,192,198,204},{0,10,20,30,40,50,60,62,64,66,68,70,72,74,76,78,80,85,90,95,100})</f>
        <v>85</v>
      </c>
      <c r="I225" s="15">
        <v>53</v>
      </c>
      <c r="J225" s="1">
        <f>LOOKUP(I225,{0,13,15,17,19,21,23,25,27,29,31,33,35,37,39,41,43,46,49,51,53},{0,10,20,30,40,50,60,62,64,66,68,70,72,74,76,78,80,85,90,95,100})</f>
        <v>100</v>
      </c>
      <c r="K225" s="20">
        <f>I225-53</f>
        <v>0</v>
      </c>
      <c r="L225" s="1">
        <f>LOOKUP(K225,{0,2,4,6,7,8,9,10,11,12,13},{0,1,2,3,4,5,6,7,8,9,10})</f>
        <v>0</v>
      </c>
      <c r="M225" s="21">
        <f t="shared" si="103"/>
        <v>100</v>
      </c>
      <c r="N225" s="15">
        <v>8.5</v>
      </c>
      <c r="O225" s="19">
        <f t="shared" si="104"/>
        <v>4.5</v>
      </c>
      <c r="P225" s="1">
        <f>LOOKUP(O225,{0,1.4,1.6,1.8,2,2.2,2.4,2.6,2.8,3,3.2,3.4,3.6,3.8,4,4.2,4.4,4.7,5,5.1,5.2},{0,10,20,30,40,50,60,62,64,66,68,70,72,74,76,78,80,85,90,95,100})</f>
        <v>80</v>
      </c>
      <c r="Q225" s="15">
        <v>3.36</v>
      </c>
      <c r="R225" s="15">
        <f t="shared" si="105"/>
        <v>6.64</v>
      </c>
      <c r="S225" s="1">
        <f>LOOKUP(R225,{0,4.7,4.8,4.9,5,5.5,5.6,5.65,5.7,5.75,5.8,5.85,5.9,5.95,6,6.45,6.5,6.57,6.64,6.7,6.76},{0,10,20,30,40,50,60,62,64,66,68,70,72,74,76,78,80,85,90,95,100})</f>
        <v>90</v>
      </c>
      <c r="T225" s="20"/>
      <c r="U225" s="20"/>
      <c r="V225" s="21">
        <f t="shared" si="106"/>
        <v>90</v>
      </c>
      <c r="W225" s="15"/>
      <c r="X225" s="21">
        <f t="shared" si="102"/>
        <v>61.5</v>
      </c>
      <c r="Y225" s="21">
        <f t="shared" si="107"/>
        <v>87.8571428571429</v>
      </c>
    </row>
    <row r="226" ht="15.6" hidden="1" outlineLevel="2" spans="1:25">
      <c r="A226" s="15">
        <v>113</v>
      </c>
      <c r="B226" s="15">
        <v>31</v>
      </c>
      <c r="C226" s="14" t="s">
        <v>655</v>
      </c>
      <c r="D226" s="14" t="s">
        <v>46</v>
      </c>
      <c r="E226" s="15">
        <v>20</v>
      </c>
      <c r="F226" s="1">
        <f>LOOKUP(E226,{0,0.4,1.2,2,2.8,3.6,4.4,5.7,7,8.3,9.6,10.9,12.2,13.5,14.8,16.1,17.4,19.1,20.8,22.5,24.2},{0,10,20,30,40,50,60,62,64,66,68,70,72,74,76,78,80,85,90,95,100})</f>
        <v>85</v>
      </c>
      <c r="G226" s="15">
        <v>185</v>
      </c>
      <c r="H226" s="1">
        <f>LOOKUP(G226,{0,123,128,133,138,143,148,151,154,157,160,163,166,169,172,175,178,185,192,198,204},{0,10,20,30,40,50,60,62,64,66,68,70,72,74,76,78,80,85,90,95,100})</f>
        <v>85</v>
      </c>
      <c r="I226" s="15">
        <v>46</v>
      </c>
      <c r="J226" s="1">
        <f>LOOKUP(I226,{0,13,15,17,19,21,23,25,27,29,31,33,35,37,39,41,43,46,49,51,53},{0,10,20,30,40,50,60,62,64,66,68,70,72,74,76,78,80,85,90,95,100})</f>
        <v>85</v>
      </c>
      <c r="K226" s="20"/>
      <c r="L226" s="20"/>
      <c r="M226" s="21">
        <f t="shared" si="103"/>
        <v>85</v>
      </c>
      <c r="N226" s="15">
        <v>8.6</v>
      </c>
      <c r="O226" s="19">
        <f t="shared" si="104"/>
        <v>4.4</v>
      </c>
      <c r="P226" s="1">
        <f>LOOKUP(O226,{0,1.4,1.6,1.8,2,2.2,2.4,2.6,2.8,3,3.2,3.4,3.6,3.8,4,4.2,4.4,4.7,5,5.1,5.2},{0,10,20,30,40,50,60,62,64,66,68,70,72,74,76,78,80,85,90,95,100})</f>
        <v>80</v>
      </c>
      <c r="Q226" s="15">
        <v>3.58</v>
      </c>
      <c r="R226" s="15">
        <f t="shared" si="105"/>
        <v>6.42</v>
      </c>
      <c r="S226" s="1">
        <f>LOOKUP(R226,{0,4.7,4.8,4.9,5,5.5,5.6,5.65,5.7,5.75,5.8,5.85,5.9,5.95,6,6.45,6.5,6.57,6.64,6.7,6.76},{0,10,20,30,40,50,60,62,64,66,68,70,72,74,76,78,80,85,90,95,100})</f>
        <v>76</v>
      </c>
      <c r="T226" s="20"/>
      <c r="U226" s="20"/>
      <c r="V226" s="21">
        <f t="shared" si="106"/>
        <v>76</v>
      </c>
      <c r="W226" s="15"/>
      <c r="X226" s="21">
        <f t="shared" si="102"/>
        <v>56.7</v>
      </c>
      <c r="Y226" s="21">
        <f t="shared" si="107"/>
        <v>81</v>
      </c>
    </row>
    <row r="227" ht="15.6" hidden="1" outlineLevel="2" spans="1:25">
      <c r="A227" s="15">
        <v>113</v>
      </c>
      <c r="B227" s="15">
        <v>32</v>
      </c>
      <c r="C227" s="14" t="s">
        <v>656</v>
      </c>
      <c r="D227" s="14" t="s">
        <v>46</v>
      </c>
      <c r="E227" s="15">
        <v>25.5</v>
      </c>
      <c r="F227" s="1">
        <f>LOOKUP(E227,{0,0.4,1.2,2,2.8,3.6,4.4,5.7,7,8.3,9.6,10.9,12.2,13.5,14.8,16.1,17.4,19.1,20.8,22.5,24.2},{0,10,20,30,40,50,60,62,64,66,68,70,72,74,76,78,80,85,90,95,100})</f>
        <v>100</v>
      </c>
      <c r="G227" s="15">
        <v>170</v>
      </c>
      <c r="H227" s="1">
        <f>LOOKUP(G227,{0,123,128,133,138,143,148,151,154,157,160,163,166,169,172,175,178,185,192,198,204},{0,10,20,30,40,50,60,62,64,66,68,70,72,74,76,78,80,85,90,95,100})</f>
        <v>74</v>
      </c>
      <c r="I227" s="15">
        <v>52</v>
      </c>
      <c r="J227" s="1">
        <f>LOOKUP(I227,{0,13,15,17,19,21,23,25,27,29,31,33,35,37,39,41,43,46,49,51,53},{0,10,20,30,40,50,60,62,64,66,68,70,72,74,76,78,80,85,90,95,100})</f>
        <v>95</v>
      </c>
      <c r="K227" s="20"/>
      <c r="L227" s="20"/>
      <c r="M227" s="21">
        <f t="shared" si="103"/>
        <v>95</v>
      </c>
      <c r="N227" s="15">
        <v>9.3</v>
      </c>
      <c r="O227" s="19">
        <f t="shared" si="104"/>
        <v>3.7</v>
      </c>
      <c r="P227" s="1">
        <f>LOOKUP(O227,{0,1.4,1.6,1.8,2,2.2,2.4,2.6,2.8,3,3.2,3.4,3.6,3.8,4,4.2,4.4,4.7,5,5.1,5.2},{0,10,20,30,40,50,60,62,64,66,68,70,72,74,76,78,80,85,90,95,100})</f>
        <v>72</v>
      </c>
      <c r="Q227" s="15">
        <v>3.52</v>
      </c>
      <c r="R227" s="15">
        <f t="shared" si="105"/>
        <v>6.48</v>
      </c>
      <c r="S227" s="1">
        <f>LOOKUP(R227,{0,4.7,4.8,4.9,5,5.5,5.6,5.65,5.7,5.75,5.8,5.85,5.9,5.95,6,6.45,6.5,6.57,6.64,6.7,6.76},{0,10,20,30,40,50,60,62,64,66,68,70,72,74,76,78,80,85,90,95,100})</f>
        <v>78</v>
      </c>
      <c r="T227" s="20"/>
      <c r="U227" s="20"/>
      <c r="V227" s="21">
        <f t="shared" si="106"/>
        <v>78</v>
      </c>
      <c r="W227" s="15"/>
      <c r="X227" s="21">
        <f t="shared" si="102"/>
        <v>56.9</v>
      </c>
      <c r="Y227" s="21">
        <f t="shared" si="107"/>
        <v>81.2857142857143</v>
      </c>
    </row>
    <row r="228" ht="15.6" hidden="1" outlineLevel="2" spans="1:25">
      <c r="A228" s="15">
        <v>113</v>
      </c>
      <c r="B228" s="15">
        <v>33</v>
      </c>
      <c r="C228" s="14" t="s">
        <v>657</v>
      </c>
      <c r="D228" s="14" t="s">
        <v>46</v>
      </c>
      <c r="E228" s="15">
        <v>21</v>
      </c>
      <c r="F228" s="1">
        <f>LOOKUP(E228,{0,0.4,1.2,2,2.8,3.6,4.4,5.7,7,8.3,9.6,10.9,12.2,13.5,14.8,16.1,17.4,19.1,20.8,22.5,24.2},{0,10,20,30,40,50,60,62,64,66,68,70,72,74,76,78,80,85,90,95,100})</f>
        <v>90</v>
      </c>
      <c r="G228" s="15">
        <v>170</v>
      </c>
      <c r="H228" s="1">
        <f>LOOKUP(G228,{0,123,128,133,138,143,148,151,154,157,160,163,166,169,172,175,178,185,192,198,204},{0,10,20,30,40,50,60,62,64,66,68,70,72,74,76,78,80,85,90,95,100})</f>
        <v>74</v>
      </c>
      <c r="I228" s="15">
        <v>51</v>
      </c>
      <c r="J228" s="1">
        <f>LOOKUP(I228,{0,13,15,17,19,21,23,25,27,29,31,33,35,37,39,41,43,46,49,51,53},{0,10,20,30,40,50,60,62,64,66,68,70,72,74,76,78,80,85,90,95,100})</f>
        <v>95</v>
      </c>
      <c r="K228" s="20"/>
      <c r="L228" s="20"/>
      <c r="M228" s="21">
        <f t="shared" si="103"/>
        <v>95</v>
      </c>
      <c r="N228" s="15">
        <v>9</v>
      </c>
      <c r="O228" s="19">
        <f t="shared" si="104"/>
        <v>4</v>
      </c>
      <c r="P228" s="1">
        <f>LOOKUP(O228,{0,1.4,1.6,1.8,2,2.2,2.4,2.6,2.8,3,3.2,3.4,3.6,3.8,4,4.2,4.4,4.7,5,5.1,5.2},{0,10,20,30,40,50,60,62,64,66,68,70,72,74,76,78,80,85,90,95,100})</f>
        <v>76</v>
      </c>
      <c r="Q228" s="15">
        <v>3.46</v>
      </c>
      <c r="R228" s="15">
        <f t="shared" si="105"/>
        <v>6.54</v>
      </c>
      <c r="S228" s="1">
        <f>LOOKUP(R228,{0,4.7,4.8,4.9,5,5.5,5.6,5.65,5.7,5.75,5.8,5.85,5.9,5.95,6,6.45,6.5,6.57,6.64,6.7,6.76},{0,10,20,30,40,50,60,62,64,66,68,70,72,74,76,78,80,85,90,95,100})</f>
        <v>80</v>
      </c>
      <c r="T228" s="20"/>
      <c r="U228" s="20"/>
      <c r="V228" s="21">
        <f t="shared" si="106"/>
        <v>80</v>
      </c>
      <c r="W228" s="15"/>
      <c r="X228" s="21">
        <f t="shared" si="102"/>
        <v>57.1</v>
      </c>
      <c r="Y228" s="21">
        <f t="shared" si="107"/>
        <v>81.5714285714286</v>
      </c>
    </row>
    <row r="229" ht="15.6" hidden="1" outlineLevel="2" spans="1:25">
      <c r="A229" s="15">
        <v>113</v>
      </c>
      <c r="B229" s="15">
        <v>34</v>
      </c>
      <c r="C229" s="14" t="s">
        <v>658</v>
      </c>
      <c r="D229" s="14" t="s">
        <v>46</v>
      </c>
      <c r="E229" s="15">
        <v>16</v>
      </c>
      <c r="F229" s="1">
        <f>LOOKUP(E229,{0,0.4,1.2,2,2.8,3.6,4.4,5.7,7,8.3,9.6,10.9,12.2,13.5,14.8,16.1,17.4,19.1,20.8,22.5,24.2},{0,10,20,30,40,50,60,62,64,66,68,70,72,74,76,78,80,85,90,95,100})</f>
        <v>76</v>
      </c>
      <c r="G229" s="15">
        <v>190</v>
      </c>
      <c r="H229" s="1">
        <f>LOOKUP(G229,{0,123,128,133,138,143,148,151,154,157,160,163,166,169,172,175,178,185,192,198,204},{0,10,20,30,40,50,60,62,64,66,68,70,72,74,76,78,80,85,90,95,100})</f>
        <v>85</v>
      </c>
      <c r="I229" s="15">
        <v>52</v>
      </c>
      <c r="J229" s="1">
        <f>LOOKUP(I229,{0,13,15,17,19,21,23,25,27,29,31,33,35,37,39,41,43,46,49,51,53},{0,10,20,30,40,50,60,62,64,66,68,70,72,74,76,78,80,85,90,95,100})</f>
        <v>95</v>
      </c>
      <c r="K229" s="20"/>
      <c r="L229" s="20"/>
      <c r="M229" s="21">
        <f t="shared" si="103"/>
        <v>95</v>
      </c>
      <c r="N229" s="15">
        <v>8.2</v>
      </c>
      <c r="O229" s="19">
        <f t="shared" si="104"/>
        <v>4.8</v>
      </c>
      <c r="P229" s="1">
        <f>LOOKUP(O229,{0,1.4,1.6,1.8,2,2.2,2.4,2.6,2.8,3,3.2,3.4,3.6,3.8,4,4.2,4.4,4.7,5,5.1,5.2},{0,10,20,30,40,50,60,62,64,66,68,70,72,74,76,78,80,85,90,95,100})</f>
        <v>85</v>
      </c>
      <c r="Q229" s="15">
        <v>3.55</v>
      </c>
      <c r="R229" s="15">
        <f t="shared" si="105"/>
        <v>6.45</v>
      </c>
      <c r="S229" s="1">
        <f>LOOKUP(R229,{0,4.7,4.8,4.9,5,5.5,5.6,5.65,5.7,5.75,5.8,5.85,5.9,5.95,6,6.45,6.5,6.57,6.64,6.7,6.76},{0,10,20,30,40,50,60,62,64,66,68,70,72,74,76,78,80,85,90,95,100})</f>
        <v>78</v>
      </c>
      <c r="T229" s="20"/>
      <c r="U229" s="20"/>
      <c r="V229" s="21">
        <f t="shared" si="106"/>
        <v>78</v>
      </c>
      <c r="W229" s="15"/>
      <c r="X229" s="21">
        <f t="shared" si="102"/>
        <v>58.2</v>
      </c>
      <c r="Y229" s="21">
        <f t="shared" si="107"/>
        <v>83.1428571428572</v>
      </c>
    </row>
    <row r="230" s="3" customFormat="1" ht="15.6" hidden="1" outlineLevel="2" spans="1:25">
      <c r="A230" s="15">
        <v>113</v>
      </c>
      <c r="B230" s="15">
        <v>35</v>
      </c>
      <c r="C230" s="14" t="s">
        <v>659</v>
      </c>
      <c r="D230" s="14" t="s">
        <v>46</v>
      </c>
      <c r="E230" s="15">
        <v>19.5</v>
      </c>
      <c r="F230" s="1">
        <f>LOOKUP(E230,{0,0.4,1.2,2,2.8,3.6,4.4,5.7,7,8.3,9.6,10.9,12.2,13.5,14.8,16.1,17.4,19.1,20.8,22.5,24.2},{0,10,20,30,40,50,60,62,64,66,68,70,72,74,76,78,80,85,90,95,100})</f>
        <v>85</v>
      </c>
      <c r="G230" s="15">
        <v>200</v>
      </c>
      <c r="H230" s="1">
        <f>LOOKUP(G230,{0,123,128,133,138,143,148,151,154,157,160,163,166,169,172,175,178,185,192,198,204},{0,10,20,30,40,50,60,62,64,66,68,70,72,74,76,78,80,85,90,95,100})</f>
        <v>95</v>
      </c>
      <c r="I230" s="15">
        <v>49</v>
      </c>
      <c r="J230" s="1">
        <f>LOOKUP(I230,{0,13,15,17,19,21,23,25,27,29,31,33,35,37,39,41,43,46,49,51,53},{0,10,20,30,40,50,60,62,64,66,68,70,72,74,76,78,80,85,90,95,100})</f>
        <v>90</v>
      </c>
      <c r="K230" s="20"/>
      <c r="L230" s="20"/>
      <c r="M230" s="21">
        <f t="shared" si="103"/>
        <v>90</v>
      </c>
      <c r="N230" s="15">
        <v>8.7</v>
      </c>
      <c r="O230" s="19">
        <f t="shared" si="104"/>
        <v>4.3</v>
      </c>
      <c r="P230" s="1">
        <f>LOOKUP(O230,{0,1.4,1.6,1.8,2,2.2,2.4,2.6,2.8,3,3.2,3.4,3.6,3.8,4,4.2,4.4,4.7,5,5.1,5.2},{0,10,20,30,40,50,60,62,64,66,68,70,72,74,76,78,80,85,90,95,100})</f>
        <v>78</v>
      </c>
      <c r="Q230" s="15">
        <v>3.38</v>
      </c>
      <c r="R230" s="15">
        <f t="shared" si="105"/>
        <v>6.62</v>
      </c>
      <c r="S230" s="1">
        <f>LOOKUP(R230,{0,4.7,4.8,4.9,5,5.5,5.6,5.65,5.7,5.75,5.8,5.85,5.9,5.95,6,6.45,6.5,6.57,6.64,6.7,6.76},{0,10,20,30,40,50,60,62,64,66,68,70,72,74,76,78,80,85,90,95,100})</f>
        <v>85</v>
      </c>
      <c r="T230" s="20"/>
      <c r="U230" s="20"/>
      <c r="V230" s="21">
        <f t="shared" si="106"/>
        <v>85</v>
      </c>
      <c r="W230" s="15"/>
      <c r="X230" s="21">
        <f t="shared" si="102"/>
        <v>59.6</v>
      </c>
      <c r="Y230" s="21">
        <f t="shared" si="107"/>
        <v>85.1428571428572</v>
      </c>
    </row>
    <row r="231" ht="15.6" hidden="1" outlineLevel="2" spans="1:25">
      <c r="A231" s="15">
        <v>113</v>
      </c>
      <c r="B231" s="15">
        <v>36</v>
      </c>
      <c r="C231" s="14" t="s">
        <v>660</v>
      </c>
      <c r="D231" s="14" t="s">
        <v>46</v>
      </c>
      <c r="E231" s="15">
        <v>12.5</v>
      </c>
      <c r="F231" s="1">
        <f>LOOKUP(E231,{0,0.4,1.2,2,2.8,3.6,4.4,5.7,7,8.3,9.6,10.9,12.2,13.5,14.8,16.1,17.4,19.1,20.8,22.5,24.2},{0,10,20,30,40,50,60,62,64,66,68,70,72,74,76,78,80,85,90,95,100})</f>
        <v>72</v>
      </c>
      <c r="G231" s="15">
        <v>130</v>
      </c>
      <c r="H231" s="1">
        <f>LOOKUP(G231,{0,123,128,133,138,143,148,151,154,157,160,163,166,169,172,175,178,185,192,198,204},{0,10,20,30,40,50,60,62,64,66,68,70,72,74,76,78,80,85,90,95,100})</f>
        <v>20</v>
      </c>
      <c r="I231" s="15">
        <v>51</v>
      </c>
      <c r="J231" s="1">
        <f>LOOKUP(I231,{0,13,15,17,19,21,23,25,27,29,31,33,35,37,39,41,43,46,49,51,53},{0,10,20,30,40,50,60,62,64,66,68,70,72,74,76,78,80,85,90,95,100})</f>
        <v>95</v>
      </c>
      <c r="K231" s="20"/>
      <c r="L231" s="20"/>
      <c r="M231" s="21">
        <f t="shared" si="103"/>
        <v>95</v>
      </c>
      <c r="N231" s="15">
        <v>10.4</v>
      </c>
      <c r="O231" s="19">
        <f t="shared" si="104"/>
        <v>2.6</v>
      </c>
      <c r="P231" s="1">
        <f>LOOKUP(O231,{0,1.4,1.6,1.8,2,2.2,2.4,2.6,2.8,3,3.2,3.4,3.6,3.8,4,4.2,4.4,4.7,5,5.1,5.2},{0,10,20,30,40,50,60,62,64,66,68,70,72,74,76,78,80,85,90,95,100})</f>
        <v>62</v>
      </c>
      <c r="Q231" s="15">
        <v>3.5</v>
      </c>
      <c r="R231" s="15">
        <f t="shared" si="105"/>
        <v>6.5</v>
      </c>
      <c r="S231" s="1">
        <f>LOOKUP(R231,{0,4.7,4.8,4.9,5,5.5,5.6,5.65,5.7,5.75,5.8,5.85,5.9,5.95,6,6.45,6.5,6.57,6.64,6.7,6.76},{0,10,20,30,40,50,60,62,64,66,68,70,72,74,76,78,80,85,90,95,100})</f>
        <v>80</v>
      </c>
      <c r="T231" s="20"/>
      <c r="U231" s="20"/>
      <c r="V231" s="21">
        <f t="shared" si="106"/>
        <v>80</v>
      </c>
      <c r="W231" s="15"/>
      <c r="X231" s="21">
        <f t="shared" si="102"/>
        <v>47.1</v>
      </c>
      <c r="Y231" s="21">
        <f t="shared" si="107"/>
        <v>67.2857142857143</v>
      </c>
    </row>
    <row r="232" ht="15.6" hidden="1" outlineLevel="2" spans="1:25">
      <c r="A232" s="15">
        <v>113</v>
      </c>
      <c r="B232" s="15">
        <v>37</v>
      </c>
      <c r="C232" s="14" t="s">
        <v>661</v>
      </c>
      <c r="D232" s="14" t="s">
        <v>46</v>
      </c>
      <c r="E232" s="15">
        <v>20</v>
      </c>
      <c r="F232" s="1">
        <f>LOOKUP(E232,{0,0.4,1.2,2,2.8,3.6,4.4,5.7,7,8.3,9.6,10.9,12.2,13.5,14.8,16.1,17.4,19.1,20.8,22.5,24.2},{0,10,20,30,40,50,60,62,64,66,68,70,72,74,76,78,80,85,90,95,100})</f>
        <v>85</v>
      </c>
      <c r="G232" s="15">
        <v>180</v>
      </c>
      <c r="H232" s="1">
        <f>LOOKUP(G232,{0,123,128,133,138,143,148,151,154,157,160,163,166,169,172,175,178,185,192,198,204},{0,10,20,30,40,50,60,62,64,66,68,70,72,74,76,78,80,85,90,95,100})</f>
        <v>80</v>
      </c>
      <c r="I232" s="15">
        <v>50</v>
      </c>
      <c r="J232" s="1">
        <f>LOOKUP(I232,{0,13,15,17,19,21,23,25,27,29,31,33,35,37,39,41,43,46,49,51,53},{0,10,20,30,40,50,60,62,64,66,68,70,72,74,76,78,80,85,90,95,100})</f>
        <v>90</v>
      </c>
      <c r="K232" s="20"/>
      <c r="L232" s="20"/>
      <c r="M232" s="21">
        <f t="shared" si="103"/>
        <v>90</v>
      </c>
      <c r="N232" s="15">
        <v>9.1</v>
      </c>
      <c r="O232" s="19">
        <f t="shared" si="104"/>
        <v>3.9</v>
      </c>
      <c r="P232" s="1">
        <f>LOOKUP(O232,{0,1.4,1.6,1.8,2,2.2,2.4,2.6,2.8,3,3.2,3.4,3.6,3.8,4,4.2,4.4,4.7,5,5.1,5.2},{0,10,20,30,40,50,60,62,64,66,68,70,72,74,76,78,80,85,90,95,100})</f>
        <v>74</v>
      </c>
      <c r="Q232" s="15">
        <v>3.43</v>
      </c>
      <c r="R232" s="15">
        <f t="shared" si="105"/>
        <v>6.57</v>
      </c>
      <c r="S232" s="1">
        <f>LOOKUP(R232,{0,4.7,4.8,4.9,5,5.5,5.6,5.65,5.7,5.75,5.8,5.85,5.9,5.95,6,6.45,6.5,6.57,6.64,6.7,6.76},{0,10,20,30,40,50,60,62,64,66,68,70,72,74,76,78,80,85,90,95,100})</f>
        <v>85</v>
      </c>
      <c r="T232" s="20"/>
      <c r="U232" s="20"/>
      <c r="V232" s="21">
        <f t="shared" si="106"/>
        <v>85</v>
      </c>
      <c r="W232" s="15"/>
      <c r="X232" s="21">
        <f t="shared" si="102"/>
        <v>57.3</v>
      </c>
      <c r="Y232" s="21">
        <f t="shared" si="107"/>
        <v>81.8571428571429</v>
      </c>
    </row>
    <row r="233" ht="15.6" hidden="1" outlineLevel="2" spans="1:25">
      <c r="A233" s="15">
        <v>113</v>
      </c>
      <c r="B233" s="15">
        <v>38</v>
      </c>
      <c r="C233" s="14" t="s">
        <v>662</v>
      </c>
      <c r="D233" s="14" t="s">
        <v>46</v>
      </c>
      <c r="E233" s="15">
        <v>17.5</v>
      </c>
      <c r="F233" s="1">
        <f>LOOKUP(E233,{0,0.4,1.2,2,2.8,3.6,4.4,5.7,7,8.3,9.6,10.9,12.2,13.5,14.8,16.1,17.4,19.1,20.8,22.5,24.2},{0,10,20,30,40,50,60,62,64,66,68,70,72,74,76,78,80,85,90,95,100})</f>
        <v>80</v>
      </c>
      <c r="G233" s="15">
        <v>185</v>
      </c>
      <c r="H233" s="1">
        <f>LOOKUP(G233,{0,123,128,133,138,143,148,151,154,157,160,163,166,169,172,175,178,185,192,198,204},{0,10,20,30,40,50,60,62,64,66,68,70,72,74,76,78,80,85,90,95,100})</f>
        <v>85</v>
      </c>
      <c r="I233" s="15">
        <v>55</v>
      </c>
      <c r="J233" s="1">
        <f>LOOKUP(I233,{0,13,15,17,19,21,23,25,27,29,31,33,35,37,39,41,43,46,49,51,53},{0,10,20,30,40,50,60,62,64,66,68,70,72,74,76,78,80,85,90,95,100})</f>
        <v>100</v>
      </c>
      <c r="K233" s="20">
        <f t="shared" ref="K233:K238" si="108">I233-53</f>
        <v>2</v>
      </c>
      <c r="L233" s="1">
        <f>LOOKUP(K233,{0,2,4,6,7,8,9,10,11,12,13},{0,1,2,3,4,5,6,7,8,9,10})</f>
        <v>1</v>
      </c>
      <c r="M233" s="21">
        <f t="shared" si="103"/>
        <v>101</v>
      </c>
      <c r="N233" s="15">
        <v>8</v>
      </c>
      <c r="O233" s="19">
        <f t="shared" si="104"/>
        <v>5</v>
      </c>
      <c r="P233" s="1">
        <f>LOOKUP(O233,{0,1.4,1.6,1.8,2,2.2,2.4,2.6,2.8,3,3.2,3.4,3.6,3.8,4,4.2,4.4,4.7,5,5.1,5.2},{0,10,20,30,40,50,60,62,64,66,68,70,72,74,76,78,80,85,90,95,100})</f>
        <v>90</v>
      </c>
      <c r="Q233" s="15">
        <v>3.55</v>
      </c>
      <c r="R233" s="15">
        <f t="shared" si="105"/>
        <v>6.45</v>
      </c>
      <c r="S233" s="1">
        <f>LOOKUP(R233,{0,4.7,4.8,4.9,5,5.5,5.6,5.65,5.7,5.75,5.8,5.85,5.9,5.95,6,6.45,6.5,6.57,6.64,6.7,6.76},{0,10,20,30,40,50,60,62,64,66,68,70,72,74,76,78,80,85,90,95,100})</f>
        <v>78</v>
      </c>
      <c r="T233" s="20"/>
      <c r="U233" s="20"/>
      <c r="V233" s="21">
        <f t="shared" si="106"/>
        <v>78</v>
      </c>
      <c r="W233" s="15"/>
      <c r="X233" s="21">
        <f t="shared" si="102"/>
        <v>60.1</v>
      </c>
      <c r="Y233" s="21">
        <f t="shared" si="107"/>
        <v>86.8571428571429</v>
      </c>
    </row>
    <row r="234" ht="15.6" hidden="1" outlineLevel="2" spans="1:25">
      <c r="A234" s="15">
        <v>113</v>
      </c>
      <c r="B234" s="15">
        <v>39</v>
      </c>
      <c r="C234" s="13" t="s">
        <v>664</v>
      </c>
      <c r="D234" s="14" t="s">
        <v>46</v>
      </c>
      <c r="E234" s="15">
        <v>21.8</v>
      </c>
      <c r="F234" s="1">
        <f>LOOKUP(E234,{0,0.4,1.2,2,2.8,3.6,4.4,5.7,7,8.3,9.6,10.9,12.2,13.5,14.8,16.1,17.4,19.1,20.8,22.5,24.2},{0,10,20,30,40,50,60,62,64,66,68,70,72,74,76,78,80,85,90,95,100})</f>
        <v>90</v>
      </c>
      <c r="G234" s="15">
        <v>166</v>
      </c>
      <c r="H234" s="1">
        <f>LOOKUP(G234,{0,123,128,133,138,143,148,151,154,157,160,163,166,169,172,175,178,185,192,198,204},{0,10,20,30,40,50,60,62,64,66,68,70,72,74,76,78,80,85,90,95,100})</f>
        <v>72</v>
      </c>
      <c r="I234" s="15">
        <v>33</v>
      </c>
      <c r="J234" s="1">
        <f>LOOKUP(I234,{0,13,15,17,19,21,23,25,27,29,31,33,35,37,39,41,43,46,49,51,53},{0,10,20,30,40,50,60,62,64,66,68,70,72,74,76,78,80,85,90,95,100})</f>
        <v>70</v>
      </c>
      <c r="K234" s="20"/>
      <c r="L234" s="20"/>
      <c r="M234" s="21">
        <f t="shared" si="103"/>
        <v>70</v>
      </c>
      <c r="N234" s="15">
        <v>9.5</v>
      </c>
      <c r="O234" s="19">
        <f t="shared" si="104"/>
        <v>3.5</v>
      </c>
      <c r="P234" s="1">
        <f>LOOKUP(O234,{0,1.4,1.6,1.8,2,2.2,2.4,2.6,2.8,3,3.2,3.4,3.6,3.8,4,4.2,4.4,4.7,5,5.1,5.2},{0,10,20,30,40,50,60,62,64,66,68,70,72,74,76,78,80,85,90,95,100})</f>
        <v>70</v>
      </c>
      <c r="Q234" s="15">
        <v>4.09</v>
      </c>
      <c r="R234" s="15">
        <f t="shared" si="105"/>
        <v>5.91</v>
      </c>
      <c r="S234" s="1">
        <f>LOOKUP(R234,{0,4.7,4.8,4.9,5,5.5,5.6,5.65,5.7,5.75,5.8,5.85,5.9,5.95,6,6.45,6.5,6.57,6.64,6.7,6.76},{0,10,20,30,40,50,60,62,64,66,68,70,72,74,76,78,80,85,90,95,100})</f>
        <v>72</v>
      </c>
      <c r="T234" s="20"/>
      <c r="U234" s="20"/>
      <c r="V234" s="21">
        <f t="shared" si="106"/>
        <v>72</v>
      </c>
      <c r="W234" s="15"/>
      <c r="X234" s="21">
        <f t="shared" si="102"/>
        <v>51.6</v>
      </c>
      <c r="Y234" s="21">
        <f t="shared" si="107"/>
        <v>73.7142857142857</v>
      </c>
    </row>
    <row r="235" ht="15.6" hidden="1" outlineLevel="2" spans="1:25">
      <c r="A235" s="15">
        <v>113</v>
      </c>
      <c r="B235" s="15">
        <v>40</v>
      </c>
      <c r="C235" s="14" t="s">
        <v>665</v>
      </c>
      <c r="D235" s="14" t="s">
        <v>46</v>
      </c>
      <c r="E235" s="15">
        <v>10</v>
      </c>
      <c r="F235" s="1">
        <f>LOOKUP(E235,{0,0.4,1.2,2,2.8,3.6,4.4,5.7,7,8.3,9.6,10.9,12.2,13.5,14.8,16.1,17.4,19.1,20.8,22.5,24.2},{0,10,20,30,40,50,60,62,64,66,68,70,72,74,76,78,80,85,90,95,100})</f>
        <v>68</v>
      </c>
      <c r="G235" s="15">
        <v>187</v>
      </c>
      <c r="H235" s="1">
        <f>LOOKUP(G235,{0,123,128,133,138,143,148,151,154,157,160,163,166,169,172,175,178,185,192,198,204},{0,10,20,30,40,50,60,62,64,66,68,70,72,74,76,78,80,85,90,95,100})</f>
        <v>85</v>
      </c>
      <c r="I235" s="15">
        <v>46</v>
      </c>
      <c r="J235" s="1">
        <f>LOOKUP(I235,{0,13,15,17,19,21,23,25,27,29,31,33,35,37,39,41,43,46,49,51,53},{0,10,20,30,40,50,60,62,64,66,68,70,72,74,76,78,80,85,90,95,100})</f>
        <v>85</v>
      </c>
      <c r="K235" s="20"/>
      <c r="L235" s="20"/>
      <c r="M235" s="21">
        <f t="shared" si="103"/>
        <v>85</v>
      </c>
      <c r="N235" s="15">
        <v>8.2</v>
      </c>
      <c r="O235" s="19">
        <f t="shared" si="104"/>
        <v>4.8</v>
      </c>
      <c r="P235" s="1">
        <f>LOOKUP(O235,{0,1.4,1.6,1.8,2,2.2,2.4,2.6,2.8,3,3.2,3.4,3.6,3.8,4,4.2,4.4,4.7,5,5.1,5.2},{0,10,20,30,40,50,60,62,64,66,68,70,72,74,76,78,80,85,90,95,100})</f>
        <v>85</v>
      </c>
      <c r="Q235" s="15">
        <v>3.56</v>
      </c>
      <c r="R235" s="15">
        <f t="shared" si="105"/>
        <v>6.44</v>
      </c>
      <c r="S235" s="1">
        <f>LOOKUP(R235,{0,4.7,4.8,4.9,5,5.5,5.6,5.65,5.7,5.75,5.8,5.85,5.9,5.95,6,6.45,6.5,6.57,6.64,6.7,6.76},{0,10,20,30,40,50,60,62,64,66,68,70,72,74,76,78,80,85,90,95,100})</f>
        <v>76</v>
      </c>
      <c r="T235" s="20"/>
      <c r="U235" s="20"/>
      <c r="V235" s="21">
        <f t="shared" si="106"/>
        <v>76</v>
      </c>
      <c r="W235" s="15"/>
      <c r="X235" s="21">
        <f t="shared" si="102"/>
        <v>56</v>
      </c>
      <c r="Y235" s="21">
        <f t="shared" si="107"/>
        <v>80</v>
      </c>
    </row>
    <row r="236" ht="15.6" hidden="1" outlineLevel="2" spans="1:25">
      <c r="A236" s="15">
        <v>113</v>
      </c>
      <c r="B236" s="15">
        <v>41</v>
      </c>
      <c r="C236" s="14" t="s">
        <v>666</v>
      </c>
      <c r="D236" s="14" t="s">
        <v>46</v>
      </c>
      <c r="E236" s="15">
        <v>12.2</v>
      </c>
      <c r="F236" s="1">
        <f>LOOKUP(E236,{0,0.4,1.2,2,2.8,3.6,4.4,5.7,7,8.3,9.6,10.9,12.2,13.5,14.8,16.1,17.4,19.1,20.8,22.5,24.2},{0,10,20,30,40,50,60,62,64,66,68,70,72,74,76,78,80,85,90,95,100})</f>
        <v>72</v>
      </c>
      <c r="G236" s="15">
        <v>215</v>
      </c>
      <c r="H236" s="1">
        <f>LOOKUP(G236,{0,123,128,133,138,143,148,151,154,157,160,163,166,169,172,175,178,185,192,198,204},{0,10,20,30,40,50,60,62,64,66,68,70,72,74,76,78,80,85,90,95,100})</f>
        <v>100</v>
      </c>
      <c r="I236" s="15">
        <v>60</v>
      </c>
      <c r="J236" s="1">
        <f>LOOKUP(I236,{0,13,15,17,19,21,23,25,27,29,31,33,35,37,39,41,43,46,49,51,53},{0,10,20,30,40,50,60,62,64,66,68,70,72,74,76,78,80,85,90,95,100})</f>
        <v>100</v>
      </c>
      <c r="K236" s="20">
        <f t="shared" si="108"/>
        <v>7</v>
      </c>
      <c r="L236" s="1">
        <f>LOOKUP(K236,{0,2,4,6,7,8,9,10,11,12,13},{0,1,2,3,4,5,6,7,8,9,10})</f>
        <v>4</v>
      </c>
      <c r="M236" s="21">
        <f t="shared" si="103"/>
        <v>104</v>
      </c>
      <c r="N236" s="15">
        <v>7.7</v>
      </c>
      <c r="O236" s="19">
        <f t="shared" si="104"/>
        <v>5.3</v>
      </c>
      <c r="P236" s="1">
        <f>LOOKUP(O236,{0,1.4,1.6,1.8,2,2.2,2.4,2.6,2.8,3,3.2,3.4,3.6,3.8,4,4.2,4.4,4.7,5,5.1,5.2},{0,10,20,30,40,50,60,62,64,66,68,70,72,74,76,78,80,85,90,95,100})</f>
        <v>100</v>
      </c>
      <c r="Q236" s="15">
        <v>3.06</v>
      </c>
      <c r="R236" s="15">
        <f t="shared" si="105"/>
        <v>6.94</v>
      </c>
      <c r="S236" s="1">
        <f>LOOKUP(R236,{0,4.7,4.8,4.9,5,5.5,5.6,5.65,5.7,5.75,5.8,5.85,5.9,5.95,6,6.45,6.5,6.57,6.64,6.7,6.76},{0,10,20,30,40,50,60,62,64,66,68,70,72,74,76,78,80,85,90,95,100})</f>
        <v>100</v>
      </c>
      <c r="T236" s="24">
        <f>3.24-Q236</f>
        <v>0.18</v>
      </c>
      <c r="U236" s="1">
        <f>LOOKUP(T236,{0,0.05,0.1,0.15,0.2,0.25,0.3,0.35,0.4,0.45,0.5},{0,1,2,3,4,5,6,7,8,9,10})</f>
        <v>3</v>
      </c>
      <c r="V236" s="21">
        <f t="shared" si="106"/>
        <v>103</v>
      </c>
      <c r="W236" s="15"/>
      <c r="X236" s="21">
        <f t="shared" si="102"/>
        <v>67.2</v>
      </c>
      <c r="Y236" s="21">
        <f t="shared" si="107"/>
        <v>103</v>
      </c>
    </row>
    <row r="237" ht="15.6" hidden="1" outlineLevel="2" spans="1:25">
      <c r="A237" s="15">
        <v>113</v>
      </c>
      <c r="B237" s="15">
        <v>42</v>
      </c>
      <c r="C237" s="14" t="s">
        <v>667</v>
      </c>
      <c r="D237" s="14" t="s">
        <v>46</v>
      </c>
      <c r="E237" s="15">
        <v>13.5</v>
      </c>
      <c r="F237" s="1">
        <f>LOOKUP(E237,{0,0.4,1.2,2,2.8,3.6,4.4,5.7,7,8.3,9.6,10.9,12.2,13.5,14.8,16.1,17.4,19.1,20.8,22.5,24.2},{0,10,20,30,40,50,60,62,64,66,68,70,72,74,76,78,80,85,90,95,100})</f>
        <v>74</v>
      </c>
      <c r="G237" s="15">
        <v>168</v>
      </c>
      <c r="H237" s="1">
        <f>LOOKUP(G237,{0,123,128,133,138,143,148,151,154,157,160,163,166,169,172,175,178,185,192,198,204},{0,10,20,30,40,50,60,62,64,66,68,70,72,74,76,78,80,85,90,95,100})</f>
        <v>72</v>
      </c>
      <c r="I237" s="15">
        <v>47</v>
      </c>
      <c r="J237" s="1">
        <f>LOOKUP(I237,{0,13,15,17,19,21,23,25,27,29,31,33,35,37,39,41,43,46,49,51,53},{0,10,20,30,40,50,60,62,64,66,68,70,72,74,76,78,80,85,90,95,100})</f>
        <v>85</v>
      </c>
      <c r="K237" s="20"/>
      <c r="L237" s="20"/>
      <c r="M237" s="21">
        <f t="shared" si="103"/>
        <v>85</v>
      </c>
      <c r="N237" s="15">
        <v>9.1</v>
      </c>
      <c r="O237" s="19">
        <f t="shared" si="104"/>
        <v>3.9</v>
      </c>
      <c r="P237" s="1">
        <f>LOOKUP(O237,{0,1.4,1.6,1.8,2,2.2,2.4,2.6,2.8,3,3.2,3.4,3.6,3.8,4,4.2,4.4,4.7,5,5.1,5.2},{0,10,20,30,40,50,60,62,64,66,68,70,72,74,76,78,80,85,90,95,100})</f>
        <v>74</v>
      </c>
      <c r="Q237" s="15">
        <v>3.52</v>
      </c>
      <c r="R237" s="15">
        <f t="shared" si="105"/>
        <v>6.48</v>
      </c>
      <c r="S237" s="1">
        <f>LOOKUP(R237,{0,4.7,4.8,4.9,5,5.5,5.6,5.65,5.7,5.75,5.8,5.85,5.9,5.95,6,6.45,6.5,6.57,6.64,6.7,6.76},{0,10,20,30,40,50,60,62,64,66,68,70,72,74,76,78,80,85,90,95,100})</f>
        <v>78</v>
      </c>
      <c r="T237" s="20"/>
      <c r="U237" s="20"/>
      <c r="V237" s="21">
        <f t="shared" si="106"/>
        <v>78</v>
      </c>
      <c r="W237" s="15"/>
      <c r="X237" s="21">
        <f t="shared" si="102"/>
        <v>53.5</v>
      </c>
      <c r="Y237" s="21">
        <f t="shared" si="107"/>
        <v>76.4285714285714</v>
      </c>
    </row>
    <row r="238" ht="15.6" hidden="1" outlineLevel="2" spans="1:25">
      <c r="A238" s="15">
        <v>113</v>
      </c>
      <c r="B238" s="15">
        <v>43</v>
      </c>
      <c r="C238" s="14" t="s">
        <v>668</v>
      </c>
      <c r="D238" s="14" t="s">
        <v>46</v>
      </c>
      <c r="E238" s="15">
        <v>21.5</v>
      </c>
      <c r="F238" s="1">
        <f>LOOKUP(E238,{0,0.4,1.2,2,2.8,3.6,4.4,5.7,7,8.3,9.6,10.9,12.2,13.5,14.8,16.1,17.4,19.1,20.8,22.5,24.2},{0,10,20,30,40,50,60,62,64,66,68,70,72,74,76,78,80,85,90,95,100})</f>
        <v>90</v>
      </c>
      <c r="G238" s="15">
        <v>168</v>
      </c>
      <c r="H238" s="1">
        <f>LOOKUP(G238,{0,123,128,133,138,143,148,151,154,157,160,163,166,169,172,175,178,185,192,198,204},{0,10,20,30,40,50,60,62,64,66,68,70,72,74,76,78,80,85,90,95,100})</f>
        <v>72</v>
      </c>
      <c r="I238" s="15">
        <v>53</v>
      </c>
      <c r="J238" s="1">
        <f>LOOKUP(I238,{0,13,15,17,19,21,23,25,27,29,31,33,35,37,39,41,43,46,49,51,53},{0,10,20,30,40,50,60,62,64,66,68,70,72,74,76,78,80,85,90,95,100})</f>
        <v>100</v>
      </c>
      <c r="K238" s="20">
        <f t="shared" si="108"/>
        <v>0</v>
      </c>
      <c r="L238" s="1">
        <f>LOOKUP(K238,{0,2,4,6,7,8,9,10,11,12,13},{0,1,2,3,4,5,6,7,8,9,10})</f>
        <v>0</v>
      </c>
      <c r="M238" s="21">
        <f t="shared" si="103"/>
        <v>100</v>
      </c>
      <c r="N238" s="15">
        <v>8.8</v>
      </c>
      <c r="O238" s="19">
        <f t="shared" si="104"/>
        <v>4.2</v>
      </c>
      <c r="P238" s="1">
        <f>LOOKUP(O238,{0,1.4,1.6,1.8,2,2.2,2.4,2.6,2.8,3,3.2,3.4,3.6,3.8,4,4.2,4.4,4.7,5,5.1,5.2},{0,10,20,30,40,50,60,62,64,66,68,70,72,74,76,78,80,85,90,95,100})</f>
        <v>78</v>
      </c>
      <c r="Q238" s="15">
        <v>3.31</v>
      </c>
      <c r="R238" s="15">
        <f t="shared" si="105"/>
        <v>6.69</v>
      </c>
      <c r="S238" s="1">
        <f>LOOKUP(R238,{0,4.7,4.8,4.9,5,5.5,5.6,5.65,5.7,5.75,5.8,5.85,5.9,5.95,6,6.45,6.5,6.57,6.64,6.7,6.76},{0,10,20,30,40,50,60,62,64,66,68,70,72,74,76,78,80,85,90,95,100})</f>
        <v>90</v>
      </c>
      <c r="T238" s="20"/>
      <c r="U238" s="20"/>
      <c r="V238" s="21">
        <f t="shared" si="106"/>
        <v>90</v>
      </c>
      <c r="W238" s="15"/>
      <c r="X238" s="21">
        <f t="shared" si="102"/>
        <v>59.8</v>
      </c>
      <c r="Y238" s="21">
        <f t="shared" si="107"/>
        <v>85.4285714285714</v>
      </c>
    </row>
    <row r="239" ht="15.6" hidden="1" outlineLevel="2" spans="1:25">
      <c r="A239" s="15">
        <v>113</v>
      </c>
      <c r="B239" s="15">
        <v>44</v>
      </c>
      <c r="C239" s="14" t="s">
        <v>669</v>
      </c>
      <c r="D239" s="14" t="s">
        <v>46</v>
      </c>
      <c r="E239" s="15">
        <v>12.5</v>
      </c>
      <c r="F239" s="1">
        <f>LOOKUP(E239,{0,0.4,1.2,2,2.8,3.6,4.4,5.7,7,8.3,9.6,10.9,12.2,13.5,14.8,16.1,17.4,19.1,20.8,22.5,24.2},{0,10,20,30,40,50,60,62,64,66,68,70,72,74,76,78,80,85,90,95,100})</f>
        <v>72</v>
      </c>
      <c r="G239" s="15">
        <v>160</v>
      </c>
      <c r="H239" s="1">
        <f>LOOKUP(G239,{0,123,128,133,138,143,148,151,154,157,160,163,166,169,172,175,178,185,192,198,204},{0,10,20,30,40,50,60,62,64,66,68,70,72,74,76,78,80,85,90,95,100})</f>
        <v>68</v>
      </c>
      <c r="I239" s="15">
        <v>42</v>
      </c>
      <c r="J239" s="1">
        <f>LOOKUP(I239,{0,13,15,17,19,21,23,25,27,29,31,33,35,37,39,41,43,46,49,51,53},{0,10,20,30,40,50,60,62,64,66,68,70,72,74,76,78,80,85,90,95,100})</f>
        <v>78</v>
      </c>
      <c r="K239" s="20"/>
      <c r="L239" s="20"/>
      <c r="M239" s="21">
        <f t="shared" si="103"/>
        <v>78</v>
      </c>
      <c r="N239" s="15">
        <v>9.8</v>
      </c>
      <c r="O239" s="19">
        <f t="shared" si="104"/>
        <v>3.2</v>
      </c>
      <c r="P239" s="1">
        <f>LOOKUP(O239,{0,1.4,1.6,1.8,2,2.2,2.4,2.6,2.8,3,3.2,3.4,3.6,3.8,4,4.2,4.4,4.7,5,5.1,5.2},{0,10,20,30,40,50,60,62,64,66,68,70,72,74,76,78,80,85,90,95,100})</f>
        <v>68</v>
      </c>
      <c r="Q239" s="15">
        <v>4.06</v>
      </c>
      <c r="R239" s="15">
        <f t="shared" si="105"/>
        <v>5.94</v>
      </c>
      <c r="S239" s="1">
        <f>LOOKUP(R239,{0,4.7,4.8,4.9,5,5.5,5.6,5.65,5.7,5.75,5.8,5.85,5.9,5.95,6,6.45,6.5,6.57,6.64,6.7,6.76},{0,10,20,30,40,50,60,62,64,66,68,70,72,74,76,78,80,85,90,95,100})</f>
        <v>72</v>
      </c>
      <c r="T239" s="20"/>
      <c r="U239" s="20"/>
      <c r="V239" s="21">
        <f t="shared" si="106"/>
        <v>72</v>
      </c>
      <c r="W239" s="15"/>
      <c r="X239" s="21">
        <f t="shared" si="102"/>
        <v>49.8</v>
      </c>
      <c r="Y239" s="21">
        <f t="shared" si="107"/>
        <v>71.1428571428572</v>
      </c>
    </row>
    <row r="240" ht="15.6" hidden="1" outlineLevel="2" spans="1:25">
      <c r="A240" s="15">
        <v>113</v>
      </c>
      <c r="B240" s="15">
        <v>45</v>
      </c>
      <c r="C240" s="14" t="s">
        <v>670</v>
      </c>
      <c r="D240" s="14" t="s">
        <v>46</v>
      </c>
      <c r="E240" s="15">
        <v>12</v>
      </c>
      <c r="F240" s="1">
        <f>LOOKUP(E240,{0,0.4,1.2,2,2.8,3.6,4.4,5.7,7,8.3,9.6,10.9,12.2,13.5,14.8,16.1,17.4,19.1,20.8,22.5,24.2},{0,10,20,30,40,50,60,62,64,66,68,70,72,74,76,78,80,85,90,95,100})</f>
        <v>70</v>
      </c>
      <c r="G240" s="15">
        <v>170</v>
      </c>
      <c r="H240" s="1">
        <f>LOOKUP(G240,{0,123,128,133,138,143,148,151,154,157,160,163,166,169,172,175,178,185,192,198,204},{0,10,20,30,40,50,60,62,64,66,68,70,72,74,76,78,80,85,90,95,100})</f>
        <v>74</v>
      </c>
      <c r="I240" s="15">
        <v>33</v>
      </c>
      <c r="J240" s="1">
        <f>LOOKUP(I240,{0,13,15,17,19,21,23,25,27,29,31,33,35,37,39,41,43,46,49,51,53},{0,10,20,30,40,50,60,62,64,66,68,70,72,74,76,78,80,85,90,95,100})</f>
        <v>70</v>
      </c>
      <c r="K240" s="20"/>
      <c r="L240" s="20"/>
      <c r="M240" s="21">
        <f t="shared" si="103"/>
        <v>70</v>
      </c>
      <c r="N240" s="15">
        <v>9.8</v>
      </c>
      <c r="O240" s="19">
        <f t="shared" si="104"/>
        <v>3.2</v>
      </c>
      <c r="P240" s="1">
        <f>LOOKUP(O240,{0,1.4,1.6,1.8,2,2.2,2.4,2.6,2.8,3,3.2,3.4,3.6,3.8,4,4.2,4.4,4.7,5,5.1,5.2},{0,10,20,30,40,50,60,62,64,66,68,70,72,74,76,78,80,85,90,95,100})</f>
        <v>68</v>
      </c>
      <c r="Q240" s="15">
        <v>4.2</v>
      </c>
      <c r="R240" s="15">
        <f t="shared" si="105"/>
        <v>5.8</v>
      </c>
      <c r="S240" s="1">
        <f>LOOKUP(R240,{0,4.7,4.8,4.9,5,5.5,5.6,5.65,5.7,5.75,5.8,5.85,5.9,5.95,6,6.45,6.5,6.57,6.64,6.7,6.76},{0,10,20,30,40,50,60,62,64,66,68,70,72,74,76,78,80,85,90,95,100})</f>
        <v>68</v>
      </c>
      <c r="T240" s="20"/>
      <c r="U240" s="20"/>
      <c r="V240" s="21">
        <f t="shared" si="106"/>
        <v>68</v>
      </c>
      <c r="W240" s="15"/>
      <c r="X240" s="21">
        <f t="shared" si="102"/>
        <v>48.6</v>
      </c>
      <c r="Y240" s="21">
        <f t="shared" si="107"/>
        <v>69.4285714285714</v>
      </c>
    </row>
    <row r="241" ht="15.6" hidden="1" outlineLevel="2" spans="1:25">
      <c r="A241" s="15">
        <v>113</v>
      </c>
      <c r="B241" s="15">
        <v>46</v>
      </c>
      <c r="C241" s="14" t="s">
        <v>671</v>
      </c>
      <c r="D241" s="14" t="s">
        <v>46</v>
      </c>
      <c r="E241" s="15">
        <v>25.1</v>
      </c>
      <c r="F241" s="1">
        <f>LOOKUP(E241,{0,0.4,1.2,2,2.8,3.6,4.4,5.7,7,8.3,9.6,10.9,12.2,13.5,14.8,16.1,17.4,19.1,20.8,22.5,24.2},{0,10,20,30,40,50,60,62,64,66,68,70,72,74,76,78,80,85,90,95,100})</f>
        <v>100</v>
      </c>
      <c r="G241" s="15">
        <v>152</v>
      </c>
      <c r="H241" s="1">
        <f>LOOKUP(G241,{0,123,128,133,138,143,148,151,154,157,160,163,166,169,172,175,178,185,192,198,204},{0,10,20,30,40,50,60,62,64,66,68,70,72,74,76,78,80,85,90,95,100})</f>
        <v>62</v>
      </c>
      <c r="I241" s="15">
        <v>27</v>
      </c>
      <c r="J241" s="1">
        <f>LOOKUP(I241,{0,13,15,17,19,21,23,25,27,29,31,33,35,37,39,41,43,46,49,51,53},{0,10,20,30,40,50,60,62,64,66,68,70,72,74,76,78,80,85,90,95,100})</f>
        <v>64</v>
      </c>
      <c r="K241" s="20"/>
      <c r="L241" s="20"/>
      <c r="M241" s="21">
        <f t="shared" si="103"/>
        <v>64</v>
      </c>
      <c r="N241" s="15">
        <v>8.3</v>
      </c>
      <c r="O241" s="19">
        <f t="shared" si="104"/>
        <v>4.7</v>
      </c>
      <c r="P241" s="1">
        <f>LOOKUP(O241,{0,1.4,1.6,1.8,2,2.2,2.4,2.6,2.8,3,3.2,3.4,3.6,3.8,4,4.2,4.4,4.7,5,5.1,5.2},{0,10,20,30,40,50,60,62,64,66,68,70,72,74,76,78,80,85,90,95,100})</f>
        <v>85</v>
      </c>
      <c r="Q241" s="15">
        <v>3.49</v>
      </c>
      <c r="R241" s="15">
        <f t="shared" si="105"/>
        <v>6.51</v>
      </c>
      <c r="S241" s="1">
        <f>LOOKUP(R241,{0,4.7,4.8,4.9,5,5.5,5.6,5.65,5.7,5.75,5.8,5.85,5.9,5.95,6,6.45,6.5,6.57,6.64,6.7,6.76},{0,10,20,30,40,50,60,62,64,66,68,70,72,74,76,78,80,85,90,95,100})</f>
        <v>80</v>
      </c>
      <c r="T241" s="20"/>
      <c r="U241" s="20"/>
      <c r="V241" s="21">
        <f t="shared" si="106"/>
        <v>80</v>
      </c>
      <c r="W241" s="15"/>
      <c r="X241" s="21">
        <f t="shared" si="102"/>
        <v>55.6</v>
      </c>
      <c r="Y241" s="21">
        <f t="shared" si="107"/>
        <v>79.4285714285714</v>
      </c>
    </row>
    <row r="242" ht="15.6" hidden="1" outlineLevel="2" spans="1:25">
      <c r="A242" s="15">
        <v>113</v>
      </c>
      <c r="B242" s="15">
        <v>47</v>
      </c>
      <c r="C242" s="14" t="s">
        <v>672</v>
      </c>
      <c r="D242" s="14" t="s">
        <v>46</v>
      </c>
      <c r="E242" s="15">
        <v>19.5</v>
      </c>
      <c r="F242" s="1">
        <f>LOOKUP(E242,{0,0.4,1.2,2,2.8,3.6,4.4,5.7,7,8.3,9.6,10.9,12.2,13.5,14.8,16.1,17.4,19.1,20.8,22.5,24.2},{0,10,20,30,40,50,60,62,64,66,68,70,72,74,76,78,80,85,90,95,100})</f>
        <v>85</v>
      </c>
      <c r="G242" s="15">
        <v>197</v>
      </c>
      <c r="H242" s="1">
        <f>LOOKUP(G242,{0,123,128,133,138,143,148,151,154,157,160,163,166,169,172,175,178,185,192,198,204},{0,10,20,30,40,50,60,62,64,66,68,70,72,74,76,78,80,85,90,95,100})</f>
        <v>90</v>
      </c>
      <c r="I242" s="15">
        <v>52</v>
      </c>
      <c r="J242" s="1">
        <f>LOOKUP(I242,{0,13,15,17,19,21,23,25,27,29,31,33,35,37,39,41,43,46,49,51,53},{0,10,20,30,40,50,60,62,64,66,68,70,72,74,76,78,80,85,90,95,100})</f>
        <v>95</v>
      </c>
      <c r="K242" s="20"/>
      <c r="L242" s="20"/>
      <c r="M242" s="21">
        <f t="shared" si="103"/>
        <v>95</v>
      </c>
      <c r="N242" s="15">
        <v>8.2</v>
      </c>
      <c r="O242" s="19">
        <f t="shared" si="104"/>
        <v>4.8</v>
      </c>
      <c r="P242" s="1">
        <f>LOOKUP(O242,{0,1.4,1.6,1.8,2,2.2,2.4,2.6,2.8,3,3.2,3.4,3.6,3.8,4,4.2,4.4,4.7,5,5.1,5.2},{0,10,20,30,40,50,60,62,64,66,68,70,72,74,76,78,80,85,90,95,100})</f>
        <v>85</v>
      </c>
      <c r="Q242" s="15">
        <v>3.52</v>
      </c>
      <c r="R242" s="15">
        <f t="shared" si="105"/>
        <v>6.48</v>
      </c>
      <c r="S242" s="1">
        <f>LOOKUP(R242,{0,4.7,4.8,4.9,5,5.5,5.6,5.65,5.7,5.75,5.8,5.85,5.9,5.95,6,6.45,6.5,6.57,6.64,6.7,6.76},{0,10,20,30,40,50,60,62,64,66,68,70,72,74,76,78,80,85,90,95,100})</f>
        <v>78</v>
      </c>
      <c r="T242" s="20"/>
      <c r="U242" s="20"/>
      <c r="V242" s="21">
        <f t="shared" si="106"/>
        <v>78</v>
      </c>
      <c r="W242" s="15"/>
      <c r="X242" s="21">
        <f t="shared" si="102"/>
        <v>59.6</v>
      </c>
      <c r="Y242" s="21">
        <f t="shared" si="107"/>
        <v>85.1428571428572</v>
      </c>
    </row>
    <row r="243" ht="15.6" hidden="1" outlineLevel="2" spans="1:25">
      <c r="A243" s="15">
        <v>113</v>
      </c>
      <c r="B243" s="15">
        <v>48</v>
      </c>
      <c r="C243" s="14" t="s">
        <v>673</v>
      </c>
      <c r="D243" s="14" t="s">
        <v>46</v>
      </c>
      <c r="E243" s="15">
        <v>24</v>
      </c>
      <c r="F243" s="1">
        <f>LOOKUP(E243,{0,0.4,1.2,2,2.8,3.6,4.4,5.7,7,8.3,9.6,10.9,12.2,13.5,14.8,16.1,17.4,19.1,20.8,22.5,24.2},{0,10,20,30,40,50,60,62,64,66,68,70,72,74,76,78,80,85,90,95,100})</f>
        <v>95</v>
      </c>
      <c r="G243" s="15">
        <v>206</v>
      </c>
      <c r="H243" s="1">
        <f>LOOKUP(G243,{0,123,128,133,138,143,148,151,154,157,160,163,166,169,172,175,178,185,192,198,204},{0,10,20,30,40,50,60,62,64,66,68,70,72,74,76,78,80,85,90,95,100})</f>
        <v>100</v>
      </c>
      <c r="I243" s="15">
        <v>46</v>
      </c>
      <c r="J243" s="1">
        <f>LOOKUP(I243,{0,13,15,17,19,21,23,25,27,29,31,33,35,37,39,41,43,46,49,51,53},{0,10,20,30,40,50,60,62,64,66,68,70,72,74,76,78,80,85,90,95,100})</f>
        <v>85</v>
      </c>
      <c r="K243" s="20"/>
      <c r="L243" s="20"/>
      <c r="M243" s="21">
        <f t="shared" si="103"/>
        <v>85</v>
      </c>
      <c r="N243" s="15">
        <v>8.9</v>
      </c>
      <c r="O243" s="19">
        <f t="shared" si="104"/>
        <v>4.1</v>
      </c>
      <c r="P243" s="1">
        <f>LOOKUP(O243,{0,1.4,1.6,1.8,2,2.2,2.4,2.6,2.8,3,3.2,3.4,3.6,3.8,4,4.2,4.4,4.7,5,5.1,5.2},{0,10,20,30,40,50,60,62,64,66,68,70,72,74,76,78,80,85,90,95,100})</f>
        <v>76</v>
      </c>
      <c r="Q243" s="15">
        <v>4.43</v>
      </c>
      <c r="R243" s="15">
        <f t="shared" si="105"/>
        <v>5.57</v>
      </c>
      <c r="S243" s="1">
        <f>LOOKUP(R243,{0,4.7,4.8,4.9,5,5.5,5.6,5.65,5.7,5.75,5.8,5.85,5.9,5.95,6,6.45,6.5,6.57,6.64,6.7,6.76},{0,10,20,30,40,50,60,62,64,66,68,70,72,74,76,78,80,85,90,95,100})</f>
        <v>50</v>
      </c>
      <c r="T243" s="20"/>
      <c r="U243" s="20"/>
      <c r="V243" s="21">
        <f t="shared" si="106"/>
        <v>50</v>
      </c>
      <c r="W243" s="15"/>
      <c r="X243" s="21">
        <f t="shared" si="102"/>
        <v>53.2</v>
      </c>
      <c r="Y243" s="21">
        <f t="shared" si="107"/>
        <v>76</v>
      </c>
    </row>
    <row r="244" ht="15.6" hidden="1" outlineLevel="2" spans="1:25">
      <c r="A244" s="15">
        <v>113</v>
      </c>
      <c r="B244" s="15">
        <v>49</v>
      </c>
      <c r="C244" s="15" t="s">
        <v>674</v>
      </c>
      <c r="D244" s="15" t="s">
        <v>46</v>
      </c>
      <c r="E244" s="15">
        <v>18</v>
      </c>
      <c r="F244" s="1">
        <f>LOOKUP(E244,{0,0.4,1.2,2,2.8,3.6,4.4,5.7,7,8.3,9.6,10.9,12.2,13.5,14.8,16.1,17.4,19.1,20.8,22.5,24.2},{0,10,20,30,40,50,60,62,64,66,68,70,72,74,76,78,80,85,90,95,100})</f>
        <v>80</v>
      </c>
      <c r="G244" s="15">
        <v>160</v>
      </c>
      <c r="H244" s="1">
        <f>LOOKUP(G244,{0,123,128,133,138,143,148,151,154,157,160,163,166,169,172,175,178,185,192,198,204},{0,10,20,30,40,50,60,62,64,66,68,70,72,74,76,78,80,85,90,95,100})</f>
        <v>68</v>
      </c>
      <c r="I244" s="15">
        <v>40</v>
      </c>
      <c r="J244" s="1">
        <f>LOOKUP(I244,{0,13,15,17,19,21,23,25,27,29,31,33,35,37,39,41,43,46,49,51,53},{0,10,20,30,40,50,60,62,64,66,68,70,72,74,76,78,80,85,90,95,100})</f>
        <v>76</v>
      </c>
      <c r="K244" s="20"/>
      <c r="L244" s="20"/>
      <c r="M244" s="21">
        <f t="shared" si="103"/>
        <v>76</v>
      </c>
      <c r="N244" s="15">
        <v>9.5</v>
      </c>
      <c r="O244" s="19">
        <f t="shared" si="104"/>
        <v>3.5</v>
      </c>
      <c r="P244" s="1">
        <f>LOOKUP(O244,{0,1.4,1.6,1.8,2,2.2,2.4,2.6,2.8,3,3.2,3.4,3.6,3.8,4,4.2,4.4,4.7,5,5.1,5.2},{0,10,20,30,40,50,60,62,64,66,68,70,72,74,76,78,80,85,90,95,100})</f>
        <v>70</v>
      </c>
      <c r="Q244" s="15">
        <v>4.12</v>
      </c>
      <c r="R244" s="15">
        <f t="shared" si="105"/>
        <v>5.88</v>
      </c>
      <c r="S244" s="1">
        <f>LOOKUP(R244,{0,4.7,4.8,4.9,5,5.5,5.6,5.65,5.7,5.75,5.8,5.85,5.9,5.95,6,6.45,6.5,6.57,6.64,6.7,6.76},{0,10,20,30,40,50,60,62,64,66,68,70,72,74,76,78,80,85,90,95,100})</f>
        <v>70</v>
      </c>
      <c r="T244" s="20"/>
      <c r="U244" s="20"/>
      <c r="V244" s="21">
        <f t="shared" si="106"/>
        <v>70</v>
      </c>
      <c r="W244" s="15"/>
      <c r="X244" s="21">
        <f t="shared" si="102"/>
        <v>50.4</v>
      </c>
      <c r="Y244" s="21">
        <f t="shared" si="107"/>
        <v>72</v>
      </c>
    </row>
    <row r="245" s="3" customFormat="1" ht="15.6" hidden="1" outlineLevel="2" spans="1:25">
      <c r="A245" s="15">
        <v>113</v>
      </c>
      <c r="B245" s="15">
        <v>50</v>
      </c>
      <c r="C245" s="28" t="s">
        <v>675</v>
      </c>
      <c r="D245" s="15" t="s">
        <v>46</v>
      </c>
      <c r="E245" s="15"/>
      <c r="F245" s="1"/>
      <c r="G245" s="15"/>
      <c r="H245" s="1"/>
      <c r="I245" s="15"/>
      <c r="J245" s="1"/>
      <c r="K245" s="20"/>
      <c r="L245" s="20"/>
      <c r="M245" s="21"/>
      <c r="N245" s="15"/>
      <c r="O245" s="19"/>
      <c r="P245" s="1"/>
      <c r="Q245" s="15"/>
      <c r="R245" s="15"/>
      <c r="S245" s="1"/>
      <c r="T245" s="24"/>
      <c r="U245" s="1"/>
      <c r="V245" s="21"/>
      <c r="W245" s="15"/>
      <c r="X245" s="21">
        <f t="shared" si="102"/>
        <v>0</v>
      </c>
      <c r="Y245" s="27">
        <v>50</v>
      </c>
    </row>
    <row r="246" s="3" customFormat="1" ht="15.6" outlineLevel="1" collapsed="1" spans="1:25">
      <c r="A246" s="16" t="s">
        <v>854</v>
      </c>
      <c r="B246" s="15"/>
      <c r="C246" s="28"/>
      <c r="D246" s="15"/>
      <c r="E246" s="15"/>
      <c r="F246" s="1">
        <f>SUBTOTAL(1,F221:F245)</f>
        <v>80.8260869565217</v>
      </c>
      <c r="G246" s="15"/>
      <c r="H246" s="1">
        <f>SUBTOTAL(1,H221:H245)</f>
        <v>74.6086956521739</v>
      </c>
      <c r="I246" s="15"/>
      <c r="J246" s="1">
        <f>SUBTOTAL(1,J221:J245)</f>
        <v>86.3913043478261</v>
      </c>
      <c r="K246" s="20"/>
      <c r="L246" s="20"/>
      <c r="M246" s="21">
        <f>SUBTOTAL(1,M221:M245)</f>
        <v>86.6086956521739</v>
      </c>
      <c r="N246" s="15"/>
      <c r="O246" s="19"/>
      <c r="P246" s="1">
        <f>SUBTOTAL(1,P221:P245)</f>
        <v>77.2173913043478</v>
      </c>
      <c r="Q246" s="15"/>
      <c r="R246" s="15"/>
      <c r="S246" s="1">
        <f>SUBTOTAL(1,S221:S245)</f>
        <v>77.6521739130435</v>
      </c>
      <c r="T246" s="24"/>
      <c r="U246" s="1"/>
      <c r="V246" s="21">
        <f>SUBTOTAL(1,V221:V245)</f>
        <v>77.7826086956522</v>
      </c>
      <c r="W246" s="15"/>
      <c r="X246" s="21">
        <f>SUBTOTAL(1,X221:X245)</f>
        <v>50.744</v>
      </c>
      <c r="Y246" s="27">
        <f>SUBTOTAL(1,Y221:Y245)</f>
        <v>76.8114285714286</v>
      </c>
    </row>
    <row r="247" ht="15.6" hidden="1" outlineLevel="2" spans="1:25">
      <c r="A247" s="15">
        <v>114</v>
      </c>
      <c r="B247" s="15">
        <v>26</v>
      </c>
      <c r="C247" s="13" t="s">
        <v>704</v>
      </c>
      <c r="D247" s="14" t="s">
        <v>46</v>
      </c>
      <c r="E247" s="15">
        <v>19.3</v>
      </c>
      <c r="F247" s="1">
        <f>LOOKUP(E247,{0,0.4,1.2,2,2.8,3.6,4.4,5.7,7,8.3,9.6,10.9,12.2,13.5,14.8,16.1,17.4,19.1,20.8,22.5,24.2},{0,10,20,30,40,50,60,62,64,66,68,70,72,74,76,78,80,85,90,95,100})</f>
        <v>85</v>
      </c>
      <c r="G247" s="15">
        <v>153</v>
      </c>
      <c r="H247" s="1">
        <f>LOOKUP(G247,{0,123,128,133,138,143,148,151,154,157,160,163,166,169,172,175,178,185,192,198,204},{0,10,20,30,40,50,60,62,64,66,68,70,72,74,76,78,80,85,90,95,100})</f>
        <v>62</v>
      </c>
      <c r="I247" s="15">
        <v>54</v>
      </c>
      <c r="J247" s="1">
        <f>LOOKUP(I247,{0,13,15,17,19,21,23,25,27,29,31,33,35,37,39,41,43,46,49,51,53},{0,10,20,30,40,50,60,62,64,66,68,70,72,74,76,78,80,85,90,95,100})</f>
        <v>100</v>
      </c>
      <c r="K247" s="20">
        <f>I247-53</f>
        <v>1</v>
      </c>
      <c r="L247" s="1">
        <f>LOOKUP(K247,{0,2,4,6,7,8,9,10,11,12,13},{0,1,2,3,4,5,6,7,8,9,10})</f>
        <v>0</v>
      </c>
      <c r="M247" s="21">
        <f t="shared" ref="M247:M270" si="109">J247+L247</f>
        <v>100</v>
      </c>
      <c r="N247" s="15">
        <v>9.3</v>
      </c>
      <c r="O247" s="19">
        <f t="shared" ref="O247:O264" si="110">13-N247</f>
        <v>3.7</v>
      </c>
      <c r="P247" s="1">
        <f>LOOKUP(O247,{0,1.4,1.6,1.8,2,2.2,2.4,2.6,2.8,3,3.2,3.4,3.6,3.8,4,4.2,4.4,4.7,5,5.1,5.2},{0,10,20,30,40,50,60,62,64,66,68,70,72,74,76,78,80,85,90,95,100})</f>
        <v>72</v>
      </c>
      <c r="Q247" s="15">
        <v>3.42</v>
      </c>
      <c r="R247" s="15">
        <f t="shared" ref="R247:R264" si="111">10-Q247</f>
        <v>6.58</v>
      </c>
      <c r="S247" s="1">
        <f>LOOKUP(R247,{0,4.7,4.8,4.9,5,5.5,5.6,5.65,5.7,5.75,5.8,5.85,5.9,5.95,6,6.45,6.5,6.57,6.64,6.7,6.76},{0,10,20,30,40,50,60,62,64,66,68,70,72,74,76,78,80,85,90,95,100})</f>
        <v>85</v>
      </c>
      <c r="T247" s="20"/>
      <c r="U247" s="20"/>
      <c r="V247" s="21">
        <f t="shared" ref="V247:V264" si="112">S247+U247</f>
        <v>85</v>
      </c>
      <c r="W247" s="15"/>
      <c r="X247" s="21">
        <f t="shared" ref="X247:X270" si="113">F247*0.1+H247*0.1+J247*0.1+P247*0.2+S247*0.2</f>
        <v>56.1</v>
      </c>
      <c r="Y247" s="21">
        <f t="shared" ref="Y247:Y264" si="114">X247/0.7+L247+U247</f>
        <v>80.1428571428572</v>
      </c>
    </row>
    <row r="248" ht="15.6" hidden="1" outlineLevel="2" spans="1:25">
      <c r="A248" s="15">
        <v>114</v>
      </c>
      <c r="B248" s="15">
        <v>27</v>
      </c>
      <c r="C248" s="14" t="s">
        <v>705</v>
      </c>
      <c r="D248" s="14" t="s">
        <v>46</v>
      </c>
      <c r="E248" s="15">
        <v>11</v>
      </c>
      <c r="F248" s="1">
        <f>LOOKUP(E248,{0,0.4,1.2,2,2.8,3.6,4.4,5.7,7,8.3,9.6,10.9,12.2,13.5,14.8,16.1,17.4,19.1,20.8,22.5,24.2},{0,10,20,30,40,50,60,62,64,66,68,70,72,74,76,78,80,85,90,95,100})</f>
        <v>70</v>
      </c>
      <c r="G248" s="15">
        <v>189</v>
      </c>
      <c r="H248" s="1">
        <f>LOOKUP(G248,{0,123,128,133,138,143,148,151,154,157,160,163,166,169,172,175,178,185,192,198,204},{0,10,20,30,40,50,60,62,64,66,68,70,72,74,76,78,80,85,90,95,100})</f>
        <v>85</v>
      </c>
      <c r="I248" s="15">
        <v>48</v>
      </c>
      <c r="J248" s="1">
        <f>LOOKUP(I248,{0,13,15,17,19,21,23,25,27,29,31,33,35,37,39,41,43,46,49,51,53},{0,10,20,30,40,50,60,62,64,66,68,70,72,74,76,78,80,85,90,95,100})</f>
        <v>85</v>
      </c>
      <c r="K248" s="20"/>
      <c r="L248" s="20"/>
      <c r="M248" s="21">
        <f t="shared" si="109"/>
        <v>85</v>
      </c>
      <c r="N248" s="15">
        <v>8.3</v>
      </c>
      <c r="O248" s="19">
        <f t="shared" si="110"/>
        <v>4.7</v>
      </c>
      <c r="P248" s="1">
        <f>LOOKUP(O248,{0,1.4,1.6,1.8,2,2.2,2.4,2.6,2.8,3,3.2,3.4,3.6,3.8,4,4.2,4.4,4.7,5,5.1,5.2},{0,10,20,30,40,50,60,62,64,66,68,70,72,74,76,78,80,85,90,95,100})</f>
        <v>85</v>
      </c>
      <c r="Q248" s="15">
        <v>3.36</v>
      </c>
      <c r="R248" s="15">
        <f t="shared" si="111"/>
        <v>6.64</v>
      </c>
      <c r="S248" s="1">
        <f>LOOKUP(R248,{0,4.7,4.8,4.9,5,5.5,5.6,5.65,5.7,5.75,5.8,5.85,5.9,5.95,6,6.45,6.5,6.57,6.64,6.7,6.76},{0,10,20,30,40,50,60,62,64,66,68,70,72,74,76,78,80,85,90,95,100})</f>
        <v>90</v>
      </c>
      <c r="T248" s="20"/>
      <c r="U248" s="20"/>
      <c r="V248" s="21">
        <f t="shared" si="112"/>
        <v>90</v>
      </c>
      <c r="W248" s="15"/>
      <c r="X248" s="21">
        <f t="shared" si="113"/>
        <v>59</v>
      </c>
      <c r="Y248" s="21">
        <f t="shared" si="114"/>
        <v>84.2857142857143</v>
      </c>
    </row>
    <row r="249" ht="15.6" hidden="1" outlineLevel="2" spans="1:25">
      <c r="A249" s="15">
        <v>114</v>
      </c>
      <c r="B249" s="15">
        <v>28</v>
      </c>
      <c r="C249" s="14" t="s">
        <v>706</v>
      </c>
      <c r="D249" s="14" t="s">
        <v>46</v>
      </c>
      <c r="E249" s="15">
        <v>13.4</v>
      </c>
      <c r="F249" s="1">
        <f>LOOKUP(E249,{0,0.4,1.2,2,2.8,3.6,4.4,5.7,7,8.3,9.6,10.9,12.2,13.5,14.8,16.1,17.4,19.1,20.8,22.5,24.2},{0,10,20,30,40,50,60,62,64,66,68,70,72,74,76,78,80,85,90,95,100})</f>
        <v>72</v>
      </c>
      <c r="G249" s="15">
        <v>203</v>
      </c>
      <c r="H249" s="1">
        <f>LOOKUP(G249,{0,123,128,133,138,143,148,151,154,157,160,163,166,169,172,175,178,185,192,198,204},{0,10,20,30,40,50,60,62,64,66,68,70,72,74,76,78,80,85,90,95,100})</f>
        <v>95</v>
      </c>
      <c r="I249" s="15">
        <v>56</v>
      </c>
      <c r="J249" s="1">
        <f>LOOKUP(I249,{0,13,15,17,19,21,23,25,27,29,31,33,35,37,39,41,43,46,49,51,53},{0,10,20,30,40,50,60,62,64,66,68,70,72,74,76,78,80,85,90,95,100})</f>
        <v>100</v>
      </c>
      <c r="K249" s="20">
        <f>I249-53</f>
        <v>3</v>
      </c>
      <c r="L249" s="1">
        <f>LOOKUP(K249,{0,2,4,6,7,8,9,10,11,12,13},{0,1,2,3,4,5,6,7,8,9,10})</f>
        <v>1</v>
      </c>
      <c r="M249" s="21">
        <f t="shared" si="109"/>
        <v>101</v>
      </c>
      <c r="N249" s="15">
        <v>8.6</v>
      </c>
      <c r="O249" s="19">
        <f t="shared" si="110"/>
        <v>4.4</v>
      </c>
      <c r="P249" s="1">
        <f>LOOKUP(O249,{0,1.4,1.6,1.8,2,2.2,2.4,2.6,2.8,3,3.2,3.4,3.6,3.8,4,4.2,4.4,4.7,5,5.1,5.2},{0,10,20,30,40,50,60,62,64,66,68,70,72,74,76,78,80,85,90,95,100})</f>
        <v>80</v>
      </c>
      <c r="Q249" s="15">
        <v>3.2</v>
      </c>
      <c r="R249" s="15">
        <f t="shared" si="111"/>
        <v>6.8</v>
      </c>
      <c r="S249" s="1">
        <f>LOOKUP(R249,{0,4.7,4.8,4.9,5,5.5,5.6,5.65,5.7,5.75,5.8,5.85,5.9,5.95,6,6.45,6.5,6.57,6.64,6.7,6.76},{0,10,20,30,40,50,60,62,64,66,68,70,72,74,76,78,80,85,90,95,100})</f>
        <v>100</v>
      </c>
      <c r="T249" s="24">
        <f t="shared" ref="T249:T253" si="115">3.24-Q249</f>
        <v>0.04</v>
      </c>
      <c r="U249" s="1">
        <f>LOOKUP(T249,{0,0.05,0.1,0.15,0.2,0.25,0.3,0.35,0.4,0.45,0.5},{0,1,2,3,4,5,6,7,8,9,10})</f>
        <v>0</v>
      </c>
      <c r="V249" s="21">
        <f t="shared" si="112"/>
        <v>100</v>
      </c>
      <c r="W249" s="15"/>
      <c r="X249" s="21">
        <f t="shared" si="113"/>
        <v>62.7</v>
      </c>
      <c r="Y249" s="21">
        <f t="shared" si="114"/>
        <v>90.5714285714286</v>
      </c>
    </row>
    <row r="250" ht="15.6" hidden="1" outlineLevel="2" spans="1:25">
      <c r="A250" s="15">
        <v>114</v>
      </c>
      <c r="B250" s="15">
        <v>29</v>
      </c>
      <c r="C250" s="14" t="s">
        <v>707</v>
      </c>
      <c r="D250" s="14" t="s">
        <v>46</v>
      </c>
      <c r="E250" s="15">
        <v>20.5</v>
      </c>
      <c r="F250" s="1">
        <f>LOOKUP(E250,{0,0.4,1.2,2,2.8,3.6,4.4,5.7,7,8.3,9.6,10.9,12.2,13.5,14.8,16.1,17.4,19.1,20.8,22.5,24.2},{0,10,20,30,40,50,60,62,64,66,68,70,72,74,76,78,80,85,90,95,100})</f>
        <v>85</v>
      </c>
      <c r="G250" s="15">
        <v>143</v>
      </c>
      <c r="H250" s="1">
        <f>LOOKUP(G250,{0,123,128,133,138,143,148,151,154,157,160,163,166,169,172,175,178,185,192,198,204},{0,10,20,30,40,50,60,62,64,66,68,70,72,74,76,78,80,85,90,95,100})</f>
        <v>50</v>
      </c>
      <c r="I250" s="15">
        <v>41</v>
      </c>
      <c r="J250" s="1">
        <f>LOOKUP(I250,{0,13,15,17,19,21,23,25,27,29,31,33,35,37,39,41,43,46,49,51,53},{0,10,20,30,40,50,60,62,64,66,68,70,72,74,76,78,80,85,90,95,100})</f>
        <v>78</v>
      </c>
      <c r="K250" s="20"/>
      <c r="L250" s="20"/>
      <c r="M250" s="21">
        <f t="shared" si="109"/>
        <v>78</v>
      </c>
      <c r="N250" s="15">
        <v>9.5</v>
      </c>
      <c r="O250" s="19">
        <f t="shared" si="110"/>
        <v>3.5</v>
      </c>
      <c r="P250" s="1">
        <f>LOOKUP(O250,{0,1.4,1.6,1.8,2,2.2,2.4,2.6,2.8,3,3.2,3.4,3.6,3.8,4,4.2,4.4,4.7,5,5.1,5.2},{0,10,20,30,40,50,60,62,64,66,68,70,72,74,76,78,80,85,90,95,100})</f>
        <v>70</v>
      </c>
      <c r="Q250" s="15">
        <v>3.53</v>
      </c>
      <c r="R250" s="15">
        <f t="shared" si="111"/>
        <v>6.47</v>
      </c>
      <c r="S250" s="1">
        <f>LOOKUP(R250,{0,4.7,4.8,4.9,5,5.5,5.6,5.65,5.7,5.75,5.8,5.85,5.9,5.95,6,6.45,6.5,6.57,6.64,6.7,6.76},{0,10,20,30,40,50,60,62,64,66,68,70,72,74,76,78,80,85,90,95,100})</f>
        <v>78</v>
      </c>
      <c r="T250" s="20"/>
      <c r="U250" s="20"/>
      <c r="V250" s="21">
        <f t="shared" si="112"/>
        <v>78</v>
      </c>
      <c r="W250" s="15"/>
      <c r="X250" s="21">
        <f t="shared" si="113"/>
        <v>50.9</v>
      </c>
      <c r="Y250" s="21">
        <f t="shared" si="114"/>
        <v>72.7142857142857</v>
      </c>
    </row>
    <row r="251" ht="15.6" hidden="1" outlineLevel="2" spans="1:25">
      <c r="A251" s="15">
        <v>114</v>
      </c>
      <c r="B251" s="15">
        <v>30</v>
      </c>
      <c r="C251" s="14" t="s">
        <v>708</v>
      </c>
      <c r="D251" s="14" t="s">
        <v>46</v>
      </c>
      <c r="E251" s="15">
        <v>15.3</v>
      </c>
      <c r="F251" s="1">
        <f>LOOKUP(E251,{0,0.4,1.2,2,2.8,3.6,4.4,5.7,7,8.3,9.6,10.9,12.2,13.5,14.8,16.1,17.4,19.1,20.8,22.5,24.2},{0,10,20,30,40,50,60,62,64,66,68,70,72,74,76,78,80,85,90,95,100})</f>
        <v>76</v>
      </c>
      <c r="G251" s="15">
        <v>170</v>
      </c>
      <c r="H251" s="1">
        <f>LOOKUP(G251,{0,123,128,133,138,143,148,151,154,157,160,163,166,169,172,175,178,185,192,198,204},{0,10,20,30,40,50,60,62,64,66,68,70,72,74,76,78,80,85,90,95,100})</f>
        <v>74</v>
      </c>
      <c r="I251" s="15">
        <v>37</v>
      </c>
      <c r="J251" s="1">
        <f>LOOKUP(I251,{0,13,15,17,19,21,23,25,27,29,31,33,35,37,39,41,43,46,49,51,53},{0,10,20,30,40,50,60,62,64,66,68,70,72,74,76,78,80,85,90,95,100})</f>
        <v>74</v>
      </c>
      <c r="K251" s="20"/>
      <c r="L251" s="20"/>
      <c r="M251" s="21">
        <f t="shared" si="109"/>
        <v>74</v>
      </c>
      <c r="N251" s="15">
        <v>8.6</v>
      </c>
      <c r="O251" s="19">
        <f t="shared" si="110"/>
        <v>4.4</v>
      </c>
      <c r="P251" s="1">
        <f>LOOKUP(O251,{0,1.4,1.6,1.8,2,2.2,2.4,2.6,2.8,3,3.2,3.4,3.6,3.8,4,4.2,4.4,4.7,5,5.1,5.2},{0,10,20,30,40,50,60,62,64,66,68,70,72,74,76,78,80,85,90,95,100})</f>
        <v>80</v>
      </c>
      <c r="Q251" s="15">
        <v>3.49</v>
      </c>
      <c r="R251" s="15">
        <f t="shared" si="111"/>
        <v>6.51</v>
      </c>
      <c r="S251" s="1">
        <f>LOOKUP(R251,{0,4.7,4.8,4.9,5,5.5,5.6,5.65,5.7,5.75,5.8,5.85,5.9,5.95,6,6.45,6.5,6.57,6.64,6.7,6.76},{0,10,20,30,40,50,60,62,64,66,68,70,72,74,76,78,80,85,90,95,100})</f>
        <v>80</v>
      </c>
      <c r="T251" s="20"/>
      <c r="U251" s="20"/>
      <c r="V251" s="21">
        <f t="shared" si="112"/>
        <v>80</v>
      </c>
      <c r="W251" s="15"/>
      <c r="X251" s="21">
        <f t="shared" si="113"/>
        <v>54.4</v>
      </c>
      <c r="Y251" s="21">
        <f t="shared" si="114"/>
        <v>77.7142857142857</v>
      </c>
    </row>
    <row r="252" ht="15.6" hidden="1" outlineLevel="2" spans="1:25">
      <c r="A252" s="15">
        <v>114</v>
      </c>
      <c r="B252" s="15">
        <v>31</v>
      </c>
      <c r="C252" s="14" t="s">
        <v>709</v>
      </c>
      <c r="D252" s="14" t="s">
        <v>46</v>
      </c>
      <c r="E252" s="15">
        <v>20.1</v>
      </c>
      <c r="F252" s="1">
        <f>LOOKUP(E252,{0,0.4,1.2,2,2.8,3.6,4.4,5.7,7,8.3,9.6,10.9,12.2,13.5,14.8,16.1,17.4,19.1,20.8,22.5,24.2},{0,10,20,30,40,50,60,62,64,66,68,70,72,74,76,78,80,85,90,95,100})</f>
        <v>85</v>
      </c>
      <c r="G252" s="15">
        <v>181</v>
      </c>
      <c r="H252" s="1">
        <f>LOOKUP(G252,{0,123,128,133,138,143,148,151,154,157,160,163,166,169,172,175,178,185,192,198,204},{0,10,20,30,40,50,60,62,64,66,68,70,72,74,76,78,80,85,90,95,100})</f>
        <v>80</v>
      </c>
      <c r="I252" s="15">
        <v>45</v>
      </c>
      <c r="J252" s="1">
        <f>LOOKUP(I252,{0,13,15,17,19,21,23,25,27,29,31,33,35,37,39,41,43,46,49,51,53},{0,10,20,30,40,50,60,62,64,66,68,70,72,74,76,78,80,85,90,95,100})</f>
        <v>80</v>
      </c>
      <c r="K252" s="20"/>
      <c r="L252" s="20"/>
      <c r="M252" s="21">
        <f t="shared" si="109"/>
        <v>80</v>
      </c>
      <c r="N252" s="15">
        <v>8</v>
      </c>
      <c r="O252" s="19">
        <f t="shared" si="110"/>
        <v>5</v>
      </c>
      <c r="P252" s="1">
        <f>LOOKUP(O252,{0,1.4,1.6,1.8,2,2.2,2.4,2.6,2.8,3,3.2,3.4,3.6,3.8,4,4.2,4.4,4.7,5,5.1,5.2},{0,10,20,30,40,50,60,62,64,66,68,70,72,74,76,78,80,85,90,95,100})</f>
        <v>90</v>
      </c>
      <c r="Q252" s="15">
        <v>3.2</v>
      </c>
      <c r="R252" s="15">
        <f t="shared" si="111"/>
        <v>6.8</v>
      </c>
      <c r="S252" s="1">
        <f>LOOKUP(R252,{0,4.7,4.8,4.9,5,5.5,5.6,5.65,5.7,5.75,5.8,5.85,5.9,5.95,6,6.45,6.5,6.57,6.64,6.7,6.76},{0,10,20,30,40,50,60,62,64,66,68,70,72,74,76,78,80,85,90,95,100})</f>
        <v>100</v>
      </c>
      <c r="T252" s="24">
        <f t="shared" si="115"/>
        <v>0.04</v>
      </c>
      <c r="U252" s="1">
        <f>LOOKUP(T252,{0,0.05,0.1,0.15,0.2,0.25,0.3,0.35,0.4,0.45,0.5},{0,1,2,3,4,5,6,7,8,9,10})</f>
        <v>0</v>
      </c>
      <c r="V252" s="21">
        <f t="shared" si="112"/>
        <v>100</v>
      </c>
      <c r="W252" s="15"/>
      <c r="X252" s="21">
        <f t="shared" si="113"/>
        <v>62.5</v>
      </c>
      <c r="Y252" s="21">
        <f t="shared" si="114"/>
        <v>89.2857142857143</v>
      </c>
    </row>
    <row r="253" ht="15.6" hidden="1" outlineLevel="2" spans="1:25">
      <c r="A253" s="15">
        <v>114</v>
      </c>
      <c r="B253" s="15">
        <v>32</v>
      </c>
      <c r="C253" s="14" t="s">
        <v>710</v>
      </c>
      <c r="D253" s="14" t="s">
        <v>46</v>
      </c>
      <c r="E253" s="15">
        <v>13</v>
      </c>
      <c r="F253" s="1">
        <f>LOOKUP(E253,{0,0.4,1.2,2,2.8,3.6,4.4,5.7,7,8.3,9.6,10.9,12.2,13.5,14.8,16.1,17.4,19.1,20.8,22.5,24.2},{0,10,20,30,40,50,60,62,64,66,68,70,72,74,76,78,80,85,90,95,100})</f>
        <v>72</v>
      </c>
      <c r="G253" s="15">
        <v>181</v>
      </c>
      <c r="H253" s="1">
        <f>LOOKUP(G253,{0,123,128,133,138,143,148,151,154,157,160,163,166,169,172,175,178,185,192,198,204},{0,10,20,30,40,50,60,62,64,66,68,70,72,74,76,78,80,85,90,95,100})</f>
        <v>80</v>
      </c>
      <c r="I253" s="15">
        <v>53</v>
      </c>
      <c r="J253" s="1">
        <f>LOOKUP(I253,{0,13,15,17,19,21,23,25,27,29,31,33,35,37,39,41,43,46,49,51,53},{0,10,20,30,40,50,60,62,64,66,68,70,72,74,76,78,80,85,90,95,100})</f>
        <v>100</v>
      </c>
      <c r="K253" s="20">
        <f>I253-53</f>
        <v>0</v>
      </c>
      <c r="L253" s="1">
        <f>LOOKUP(K253,{0,2,4,6,7,8,9,10,11,12,13},{0,1,2,3,4,5,6,7,8,9,10})</f>
        <v>0</v>
      </c>
      <c r="M253" s="21">
        <f t="shared" si="109"/>
        <v>100</v>
      </c>
      <c r="N253" s="15">
        <v>8.4</v>
      </c>
      <c r="O253" s="19">
        <f t="shared" si="110"/>
        <v>4.6</v>
      </c>
      <c r="P253" s="1">
        <f>LOOKUP(O253,{0,1.4,1.6,1.8,2,2.2,2.4,2.6,2.8,3,3.2,3.4,3.6,3.8,4,4.2,4.4,4.7,5,5.1,5.2},{0,10,20,30,40,50,60,62,64,66,68,70,72,74,76,78,80,85,90,95,100})</f>
        <v>80</v>
      </c>
      <c r="Q253" s="15">
        <v>3.2</v>
      </c>
      <c r="R253" s="15">
        <f t="shared" si="111"/>
        <v>6.8</v>
      </c>
      <c r="S253" s="1">
        <f>LOOKUP(R253,{0,4.7,4.8,4.9,5,5.5,5.6,5.65,5.7,5.75,5.8,5.85,5.9,5.95,6,6.45,6.5,6.57,6.64,6.7,6.76},{0,10,20,30,40,50,60,62,64,66,68,70,72,74,76,78,80,85,90,95,100})</f>
        <v>100</v>
      </c>
      <c r="T253" s="24">
        <f t="shared" si="115"/>
        <v>0.04</v>
      </c>
      <c r="U253" s="1">
        <f>LOOKUP(T253,{0,0.05,0.1,0.15,0.2,0.25,0.3,0.35,0.4,0.45,0.5},{0,1,2,3,4,5,6,7,8,9,10})</f>
        <v>0</v>
      </c>
      <c r="V253" s="21">
        <f t="shared" si="112"/>
        <v>100</v>
      </c>
      <c r="W253" s="15"/>
      <c r="X253" s="21">
        <f t="shared" si="113"/>
        <v>61.2</v>
      </c>
      <c r="Y253" s="21">
        <f t="shared" si="114"/>
        <v>87.4285714285714</v>
      </c>
    </row>
    <row r="254" ht="15.6" hidden="1" outlineLevel="2" spans="1:25">
      <c r="A254" s="15">
        <v>114</v>
      </c>
      <c r="B254" s="15">
        <v>33</v>
      </c>
      <c r="C254" s="14" t="s">
        <v>711</v>
      </c>
      <c r="D254" s="14" t="s">
        <v>46</v>
      </c>
      <c r="E254" s="15">
        <v>10.3</v>
      </c>
      <c r="F254" s="1">
        <f>LOOKUP(E254,{0,0.4,1.2,2,2.8,3.6,4.4,5.7,7,8.3,9.6,10.9,12.2,13.5,14.8,16.1,17.4,19.1,20.8,22.5,24.2},{0,10,20,30,40,50,60,62,64,66,68,70,72,74,76,78,80,85,90,95,100})</f>
        <v>68</v>
      </c>
      <c r="G254" s="15">
        <v>210</v>
      </c>
      <c r="H254" s="1">
        <f>LOOKUP(G254,{0,123,128,133,138,143,148,151,154,157,160,163,166,169,172,175,178,185,192,198,204},{0,10,20,30,40,50,60,62,64,66,68,70,72,74,76,78,80,85,90,95,100})</f>
        <v>100</v>
      </c>
      <c r="I254" s="15">
        <v>29</v>
      </c>
      <c r="J254" s="1">
        <f>LOOKUP(I254,{0,13,15,17,19,21,23,25,27,29,31,33,35,37,39,41,43,46,49,51,53},{0,10,20,30,40,50,60,62,64,66,68,70,72,74,76,78,80,85,90,95,100})</f>
        <v>66</v>
      </c>
      <c r="K254" s="20"/>
      <c r="L254" s="20"/>
      <c r="M254" s="21">
        <f t="shared" si="109"/>
        <v>66</v>
      </c>
      <c r="N254" s="15">
        <v>8</v>
      </c>
      <c r="O254" s="19">
        <f t="shared" si="110"/>
        <v>5</v>
      </c>
      <c r="P254" s="1">
        <f>LOOKUP(O254,{0,1.4,1.6,1.8,2,2.2,2.4,2.6,2.8,3,3.2,3.4,3.6,3.8,4,4.2,4.4,4.7,5,5.1,5.2},{0,10,20,30,40,50,60,62,64,66,68,70,72,74,76,78,80,85,90,95,100})</f>
        <v>90</v>
      </c>
      <c r="Q254" s="15">
        <v>3.46</v>
      </c>
      <c r="R254" s="15">
        <f t="shared" si="111"/>
        <v>6.54</v>
      </c>
      <c r="S254" s="1">
        <f>LOOKUP(R254,{0,4.7,4.8,4.9,5,5.5,5.6,5.65,5.7,5.75,5.8,5.85,5.9,5.95,6,6.45,6.5,6.57,6.64,6.7,6.76},{0,10,20,30,40,50,60,62,64,66,68,70,72,74,76,78,80,85,90,95,100})</f>
        <v>80</v>
      </c>
      <c r="T254" s="20"/>
      <c r="U254" s="20"/>
      <c r="V254" s="21">
        <f t="shared" si="112"/>
        <v>80</v>
      </c>
      <c r="W254" s="15"/>
      <c r="X254" s="21">
        <f t="shared" si="113"/>
        <v>57.4</v>
      </c>
      <c r="Y254" s="21">
        <f t="shared" si="114"/>
        <v>82</v>
      </c>
    </row>
    <row r="255" ht="15.6" hidden="1" outlineLevel="2" spans="1:25">
      <c r="A255" s="15">
        <v>114</v>
      </c>
      <c r="B255" s="15">
        <v>34</v>
      </c>
      <c r="C255" s="14" t="s">
        <v>712</v>
      </c>
      <c r="D255" s="14" t="s">
        <v>46</v>
      </c>
      <c r="E255" s="15">
        <v>22.9</v>
      </c>
      <c r="F255" s="1">
        <f>LOOKUP(E255,{0,0.4,1.2,2,2.8,3.6,4.4,5.7,7,8.3,9.6,10.9,12.2,13.5,14.8,16.1,17.4,19.1,20.8,22.5,24.2},{0,10,20,30,40,50,60,62,64,66,68,70,72,74,76,78,80,85,90,95,100})</f>
        <v>95</v>
      </c>
      <c r="G255" s="15">
        <v>186</v>
      </c>
      <c r="H255" s="1">
        <f>LOOKUP(G255,{0,123,128,133,138,143,148,151,154,157,160,163,166,169,172,175,178,185,192,198,204},{0,10,20,30,40,50,60,62,64,66,68,70,72,74,76,78,80,85,90,95,100})</f>
        <v>85</v>
      </c>
      <c r="I255" s="15">
        <v>49</v>
      </c>
      <c r="J255" s="1">
        <f>LOOKUP(I255,{0,13,15,17,19,21,23,25,27,29,31,33,35,37,39,41,43,46,49,51,53},{0,10,20,30,40,50,60,62,64,66,68,70,72,74,76,78,80,85,90,95,100})</f>
        <v>90</v>
      </c>
      <c r="K255" s="20"/>
      <c r="L255" s="20"/>
      <c r="M255" s="21">
        <f t="shared" si="109"/>
        <v>90</v>
      </c>
      <c r="N255" s="15">
        <v>8.5</v>
      </c>
      <c r="O255" s="19">
        <f t="shared" si="110"/>
        <v>4.5</v>
      </c>
      <c r="P255" s="1">
        <f>LOOKUP(O255,{0,1.4,1.6,1.8,2,2.2,2.4,2.6,2.8,3,3.2,3.4,3.6,3.8,4,4.2,4.4,4.7,5,5.1,5.2},{0,10,20,30,40,50,60,62,64,66,68,70,72,74,76,78,80,85,90,95,100})</f>
        <v>80</v>
      </c>
      <c r="Q255" s="15">
        <v>3.5</v>
      </c>
      <c r="R255" s="15">
        <f t="shared" si="111"/>
        <v>6.5</v>
      </c>
      <c r="S255" s="1">
        <f>LOOKUP(R255,{0,4.7,4.8,4.9,5,5.5,5.6,5.65,5.7,5.75,5.8,5.85,5.9,5.95,6,6.45,6.5,6.57,6.64,6.7,6.76},{0,10,20,30,40,50,60,62,64,66,68,70,72,74,76,78,80,85,90,95,100})</f>
        <v>80</v>
      </c>
      <c r="T255" s="20"/>
      <c r="U255" s="20"/>
      <c r="V255" s="21">
        <f t="shared" si="112"/>
        <v>80</v>
      </c>
      <c r="W255" s="15"/>
      <c r="X255" s="21">
        <f t="shared" si="113"/>
        <v>59</v>
      </c>
      <c r="Y255" s="21">
        <f t="shared" si="114"/>
        <v>84.2857142857143</v>
      </c>
    </row>
    <row r="256" s="3" customFormat="1" ht="15.6" hidden="1" outlineLevel="2" spans="1:25">
      <c r="A256" s="15">
        <v>114</v>
      </c>
      <c r="B256" s="15">
        <v>35</v>
      </c>
      <c r="C256" s="14" t="s">
        <v>713</v>
      </c>
      <c r="D256" s="14" t="s">
        <v>46</v>
      </c>
      <c r="E256" s="15">
        <v>16</v>
      </c>
      <c r="F256" s="1">
        <f>LOOKUP(E256,{0,0.4,1.2,2,2.8,3.6,4.4,5.7,7,8.3,9.6,10.9,12.2,13.5,14.8,16.1,17.4,19.1,20.8,22.5,24.2},{0,10,20,30,40,50,60,62,64,66,68,70,72,74,76,78,80,85,90,95,100})</f>
        <v>76</v>
      </c>
      <c r="G256" s="15">
        <v>168</v>
      </c>
      <c r="H256" s="1">
        <f>LOOKUP(G256,{0,123,128,133,138,143,148,151,154,157,160,163,166,169,172,175,178,185,192,198,204},{0,10,20,30,40,50,60,62,64,66,68,70,72,74,76,78,80,85,90,95,100})</f>
        <v>72</v>
      </c>
      <c r="I256" s="15">
        <v>53</v>
      </c>
      <c r="J256" s="1">
        <f>LOOKUP(I256,{0,13,15,17,19,21,23,25,27,29,31,33,35,37,39,41,43,46,49,51,53},{0,10,20,30,40,50,60,62,64,66,68,70,72,74,76,78,80,85,90,95,100})</f>
        <v>100</v>
      </c>
      <c r="K256" s="20">
        <f t="shared" ref="K256:K260" si="116">I256-53</f>
        <v>0</v>
      </c>
      <c r="L256" s="1">
        <f>LOOKUP(K256,{0,2,4,6,7,8,9,10,11,12,13},{0,1,2,3,4,5,6,7,8,9,10})</f>
        <v>0</v>
      </c>
      <c r="M256" s="21">
        <f t="shared" si="109"/>
        <v>100</v>
      </c>
      <c r="N256" s="15">
        <v>8.6</v>
      </c>
      <c r="O256" s="19">
        <f t="shared" si="110"/>
        <v>4.4</v>
      </c>
      <c r="P256" s="1">
        <f>LOOKUP(O256,{0,1.4,1.6,1.8,2,2.2,2.4,2.6,2.8,3,3.2,3.4,3.6,3.8,4,4.2,4.4,4.7,5,5.1,5.2},{0,10,20,30,40,50,60,62,64,66,68,70,72,74,76,78,80,85,90,95,100})</f>
        <v>80</v>
      </c>
      <c r="Q256" s="15">
        <v>3.17</v>
      </c>
      <c r="R256" s="15">
        <f t="shared" si="111"/>
        <v>6.83</v>
      </c>
      <c r="S256" s="1">
        <f>LOOKUP(R256,{0,4.7,4.8,4.9,5,5.5,5.6,5.65,5.7,5.75,5.8,5.85,5.9,5.95,6,6.45,6.5,6.57,6.64,6.7,6.76},{0,10,20,30,40,50,60,62,64,66,68,70,72,74,76,78,80,85,90,95,100})</f>
        <v>100</v>
      </c>
      <c r="T256" s="24">
        <f>3.24-Q256</f>
        <v>0.0700000000000003</v>
      </c>
      <c r="U256" s="1">
        <f>LOOKUP(T256,{0,0.05,0.1,0.15,0.2,0.25,0.3,0.35,0.4,0.45,0.5},{0,1,2,3,4,5,6,7,8,9,10})</f>
        <v>1</v>
      </c>
      <c r="V256" s="21">
        <f t="shared" si="112"/>
        <v>101</v>
      </c>
      <c r="W256" s="15"/>
      <c r="X256" s="21">
        <f t="shared" si="113"/>
        <v>60.8</v>
      </c>
      <c r="Y256" s="21">
        <f t="shared" si="114"/>
        <v>87.8571428571429</v>
      </c>
    </row>
    <row r="257" ht="15.6" hidden="1" outlineLevel="2" spans="1:25">
      <c r="A257" s="15">
        <v>114</v>
      </c>
      <c r="B257" s="15">
        <v>36</v>
      </c>
      <c r="C257" s="14" t="s">
        <v>714</v>
      </c>
      <c r="D257" s="14" t="s">
        <v>46</v>
      </c>
      <c r="E257" s="15">
        <v>12.3</v>
      </c>
      <c r="F257" s="1">
        <f>LOOKUP(E257,{0,0.4,1.2,2,2.8,3.6,4.4,5.7,7,8.3,9.6,10.9,12.2,13.5,14.8,16.1,17.4,19.1,20.8,22.5,24.2},{0,10,20,30,40,50,60,62,64,66,68,70,72,74,76,78,80,85,90,95,100})</f>
        <v>72</v>
      </c>
      <c r="G257" s="15">
        <v>157</v>
      </c>
      <c r="H257" s="1">
        <f>LOOKUP(G257,{0,123,128,133,138,143,148,151,154,157,160,163,166,169,172,175,178,185,192,198,204},{0,10,20,30,40,50,60,62,64,66,68,70,72,74,76,78,80,85,90,95,100})</f>
        <v>66</v>
      </c>
      <c r="I257" s="15">
        <v>45</v>
      </c>
      <c r="J257" s="1">
        <f>LOOKUP(I257,{0,13,15,17,19,21,23,25,27,29,31,33,35,37,39,41,43,46,49,51,53},{0,10,20,30,40,50,60,62,64,66,68,70,72,74,76,78,80,85,90,95,100})</f>
        <v>80</v>
      </c>
      <c r="K257" s="20"/>
      <c r="L257" s="20"/>
      <c r="M257" s="21">
        <f t="shared" si="109"/>
        <v>80</v>
      </c>
      <c r="N257" s="15">
        <v>9.8</v>
      </c>
      <c r="O257" s="19">
        <f t="shared" si="110"/>
        <v>3.2</v>
      </c>
      <c r="P257" s="1">
        <f>LOOKUP(O257,{0,1.4,1.6,1.8,2,2.2,2.4,2.6,2.8,3,3.2,3.4,3.6,3.8,4,4.2,4.4,4.7,5,5.1,5.2},{0,10,20,30,40,50,60,62,64,66,68,70,72,74,76,78,80,85,90,95,100})</f>
        <v>68</v>
      </c>
      <c r="Q257" s="15">
        <v>3.51</v>
      </c>
      <c r="R257" s="15">
        <f t="shared" si="111"/>
        <v>6.49</v>
      </c>
      <c r="S257" s="1">
        <f>LOOKUP(R257,{0,4.7,4.8,4.9,5,5.5,5.6,5.65,5.7,5.75,5.8,5.85,5.9,5.95,6,6.45,6.5,6.57,6.64,6.7,6.76},{0,10,20,30,40,50,60,62,64,66,68,70,72,74,76,78,80,85,90,95,100})</f>
        <v>78</v>
      </c>
      <c r="T257" s="20"/>
      <c r="U257" s="20"/>
      <c r="V257" s="21">
        <f t="shared" si="112"/>
        <v>78</v>
      </c>
      <c r="W257" s="15"/>
      <c r="X257" s="21">
        <f t="shared" si="113"/>
        <v>51</v>
      </c>
      <c r="Y257" s="21">
        <f t="shared" si="114"/>
        <v>72.8571428571429</v>
      </c>
    </row>
    <row r="258" ht="15.6" hidden="1" outlineLevel="2" spans="1:25">
      <c r="A258" s="15">
        <v>114</v>
      </c>
      <c r="B258" s="15">
        <v>37</v>
      </c>
      <c r="C258" s="14" t="s">
        <v>715</v>
      </c>
      <c r="D258" s="14" t="s">
        <v>46</v>
      </c>
      <c r="E258" s="15">
        <v>4.4</v>
      </c>
      <c r="F258" s="1">
        <f>LOOKUP(E258,{0,0.4,1.2,2,2.8,3.6,4.4,5.7,7,8.3,9.6,10.9,12.2,13.5,14.8,16.1,17.4,19.1,20.8,22.5,24.2},{0,10,20,30,40,50,60,62,64,66,68,70,72,74,76,78,80,85,90,95,100})</f>
        <v>60</v>
      </c>
      <c r="G258" s="15">
        <v>189</v>
      </c>
      <c r="H258" s="1">
        <f>LOOKUP(G258,{0,123,128,133,138,143,148,151,154,157,160,163,166,169,172,175,178,185,192,198,204},{0,10,20,30,40,50,60,62,64,66,68,70,72,74,76,78,80,85,90,95,100})</f>
        <v>85</v>
      </c>
      <c r="I258" s="15">
        <v>41</v>
      </c>
      <c r="J258" s="1">
        <f>LOOKUP(I258,{0,13,15,17,19,21,23,25,27,29,31,33,35,37,39,41,43,46,49,51,53},{0,10,20,30,40,50,60,62,64,66,68,70,72,74,76,78,80,85,90,95,100})</f>
        <v>78</v>
      </c>
      <c r="K258" s="20"/>
      <c r="L258" s="20"/>
      <c r="M258" s="21">
        <f t="shared" si="109"/>
        <v>78</v>
      </c>
      <c r="N258" s="15">
        <v>8.4</v>
      </c>
      <c r="O258" s="19">
        <f t="shared" si="110"/>
        <v>4.6</v>
      </c>
      <c r="P258" s="1">
        <f>LOOKUP(O258,{0,1.4,1.6,1.8,2,2.2,2.4,2.6,2.8,3,3.2,3.4,3.6,3.8,4,4.2,4.4,4.7,5,5.1,5.2},{0,10,20,30,40,50,60,62,64,66,68,70,72,74,76,78,80,85,90,95,100})</f>
        <v>80</v>
      </c>
      <c r="Q258" s="15">
        <v>3.48</v>
      </c>
      <c r="R258" s="15">
        <f t="shared" si="111"/>
        <v>6.52</v>
      </c>
      <c r="S258" s="1">
        <f>LOOKUP(R258,{0,4.7,4.8,4.9,5,5.5,5.6,5.65,5.7,5.75,5.8,5.85,5.9,5.95,6,6.45,6.5,6.57,6.64,6.7,6.76},{0,10,20,30,40,50,60,62,64,66,68,70,72,74,76,78,80,85,90,95,100})</f>
        <v>80</v>
      </c>
      <c r="T258" s="20"/>
      <c r="U258" s="20"/>
      <c r="V258" s="21">
        <f t="shared" si="112"/>
        <v>80</v>
      </c>
      <c r="W258" s="15"/>
      <c r="X258" s="21">
        <f t="shared" si="113"/>
        <v>54.3</v>
      </c>
      <c r="Y258" s="21">
        <f t="shared" si="114"/>
        <v>77.5714285714286</v>
      </c>
    </row>
    <row r="259" ht="15.6" hidden="1" outlineLevel="2" spans="1:25">
      <c r="A259" s="15">
        <v>114</v>
      </c>
      <c r="B259" s="15">
        <v>38</v>
      </c>
      <c r="C259" s="13" t="s">
        <v>717</v>
      </c>
      <c r="D259" s="14" t="s">
        <v>46</v>
      </c>
      <c r="E259" s="15">
        <v>16</v>
      </c>
      <c r="F259" s="1">
        <f>LOOKUP(E259,{0,0.4,1.2,2,2.8,3.6,4.4,5.7,7,8.3,9.6,10.9,12.2,13.5,14.8,16.1,17.4,19.1,20.8,22.5,24.2},{0,10,20,30,40,50,60,62,64,66,68,70,72,74,76,78,80,85,90,95,100})</f>
        <v>76</v>
      </c>
      <c r="G259" s="15">
        <v>175</v>
      </c>
      <c r="H259" s="1">
        <f>LOOKUP(G259,{0,123,128,133,138,143,148,151,154,157,160,163,166,169,172,175,178,185,192,198,204},{0,10,20,30,40,50,60,62,64,66,68,70,72,74,76,78,80,85,90,95,100})</f>
        <v>78</v>
      </c>
      <c r="I259" s="15">
        <v>53</v>
      </c>
      <c r="J259" s="1">
        <f>LOOKUP(I259,{0,13,15,17,19,21,23,25,27,29,31,33,35,37,39,41,43,46,49,51,53},{0,10,20,30,40,50,60,62,64,66,68,70,72,74,76,78,80,85,90,95,100})</f>
        <v>100</v>
      </c>
      <c r="K259" s="20">
        <f t="shared" si="116"/>
        <v>0</v>
      </c>
      <c r="L259" s="1">
        <f>LOOKUP(K259,{0,2,4,6,7,8,9,10,11,12,13},{0,1,2,3,4,5,6,7,8,9,10})</f>
        <v>0</v>
      </c>
      <c r="M259" s="21">
        <f t="shared" si="109"/>
        <v>100</v>
      </c>
      <c r="N259" s="15">
        <v>8.5</v>
      </c>
      <c r="O259" s="19">
        <f t="shared" si="110"/>
        <v>4.5</v>
      </c>
      <c r="P259" s="1">
        <f>LOOKUP(O259,{0,1.4,1.6,1.8,2,2.2,2.4,2.6,2.8,3,3.2,3.4,3.6,3.8,4,4.2,4.4,4.7,5,5.1,5.2},{0,10,20,30,40,50,60,62,64,66,68,70,72,74,76,78,80,85,90,95,100})</f>
        <v>80</v>
      </c>
      <c r="Q259" s="15">
        <v>3.34</v>
      </c>
      <c r="R259" s="15">
        <f t="shared" si="111"/>
        <v>6.66</v>
      </c>
      <c r="S259" s="1">
        <f>LOOKUP(R259,{0,4.7,4.8,4.9,5,5.5,5.6,5.65,5.7,5.75,5.8,5.85,5.9,5.95,6,6.45,6.5,6.57,6.64,6.7,6.76},{0,10,20,30,40,50,60,62,64,66,68,70,72,74,76,78,80,85,90,95,100})</f>
        <v>90</v>
      </c>
      <c r="T259" s="20"/>
      <c r="U259" s="20"/>
      <c r="V259" s="21">
        <f t="shared" si="112"/>
        <v>90</v>
      </c>
      <c r="W259" s="15"/>
      <c r="X259" s="21">
        <f t="shared" si="113"/>
        <v>59.4</v>
      </c>
      <c r="Y259" s="21">
        <f t="shared" si="114"/>
        <v>84.8571428571429</v>
      </c>
    </row>
    <row r="260" ht="15.6" hidden="1" outlineLevel="2" spans="1:25">
      <c r="A260" s="15">
        <v>114</v>
      </c>
      <c r="B260" s="15">
        <v>39</v>
      </c>
      <c r="C260" s="14" t="s">
        <v>718</v>
      </c>
      <c r="D260" s="14" t="s">
        <v>46</v>
      </c>
      <c r="E260" s="15">
        <v>19.6</v>
      </c>
      <c r="F260" s="1">
        <f>LOOKUP(E260,{0,0.4,1.2,2,2.8,3.6,4.4,5.7,7,8.3,9.6,10.9,12.2,13.5,14.8,16.1,17.4,19.1,20.8,22.5,24.2},{0,10,20,30,40,50,60,62,64,66,68,70,72,74,76,78,80,85,90,95,100})</f>
        <v>85</v>
      </c>
      <c r="G260" s="15">
        <v>201</v>
      </c>
      <c r="H260" s="1">
        <f>LOOKUP(G260,{0,123,128,133,138,143,148,151,154,157,160,163,166,169,172,175,178,185,192,198,204},{0,10,20,30,40,50,60,62,64,66,68,70,72,74,76,78,80,85,90,95,100})</f>
        <v>95</v>
      </c>
      <c r="I260" s="15">
        <v>57</v>
      </c>
      <c r="J260" s="1">
        <f>LOOKUP(I260,{0,13,15,17,19,21,23,25,27,29,31,33,35,37,39,41,43,46,49,51,53},{0,10,20,30,40,50,60,62,64,66,68,70,72,74,76,78,80,85,90,95,100})</f>
        <v>100</v>
      </c>
      <c r="K260" s="20">
        <f t="shared" si="116"/>
        <v>4</v>
      </c>
      <c r="L260" s="1">
        <f>LOOKUP(K260,{0,2,4,6,7,8,9,10,11,12,13},{0,1,2,3,4,5,6,7,8,9,10})</f>
        <v>2</v>
      </c>
      <c r="M260" s="21">
        <f t="shared" si="109"/>
        <v>102</v>
      </c>
      <c r="N260" s="15">
        <v>7.8</v>
      </c>
      <c r="O260" s="19">
        <f t="shared" si="110"/>
        <v>5.2</v>
      </c>
      <c r="P260" s="1">
        <f>LOOKUP(O260,{0,1.4,1.6,1.8,2,2.2,2.4,2.6,2.8,3,3.2,3.4,3.6,3.8,4,4.2,4.4,4.7,5,5.1,5.2},{0,10,20,30,40,50,60,62,64,66,68,70,72,74,76,78,80,85,90,95,100})</f>
        <v>100</v>
      </c>
      <c r="Q260" s="15">
        <v>3.22</v>
      </c>
      <c r="R260" s="15">
        <f t="shared" si="111"/>
        <v>6.78</v>
      </c>
      <c r="S260" s="1">
        <f>LOOKUP(R260,{0,4.7,4.8,4.9,5,5.5,5.6,5.65,5.7,5.75,5.8,5.85,5.9,5.95,6,6.45,6.5,6.57,6.64,6.7,6.76},{0,10,20,30,40,50,60,62,64,66,68,70,72,74,76,78,80,85,90,95,100})</f>
        <v>100</v>
      </c>
      <c r="T260" s="24">
        <f>3.24-Q260</f>
        <v>0.02</v>
      </c>
      <c r="U260" s="1">
        <f>LOOKUP(T260,{0,0.05,0.1,0.15,0.2,0.25,0.3,0.35,0.4,0.45,0.5},{0,1,2,3,4,5,6,7,8,9,10})</f>
        <v>0</v>
      </c>
      <c r="V260" s="21">
        <f t="shared" si="112"/>
        <v>100</v>
      </c>
      <c r="W260" s="15"/>
      <c r="X260" s="21">
        <f t="shared" si="113"/>
        <v>68</v>
      </c>
      <c r="Y260" s="21">
        <f t="shared" si="114"/>
        <v>99.1428571428572</v>
      </c>
    </row>
    <row r="261" ht="15.6" hidden="1" outlineLevel="2" spans="1:25">
      <c r="A261" s="15">
        <v>114</v>
      </c>
      <c r="B261" s="15">
        <v>40</v>
      </c>
      <c r="C261" s="14" t="s">
        <v>109</v>
      </c>
      <c r="D261" s="14" t="s">
        <v>46</v>
      </c>
      <c r="E261" s="15">
        <v>15.8</v>
      </c>
      <c r="F261" s="1">
        <f>LOOKUP(E261,{0,0.4,1.2,2,2.8,3.6,4.4,5.7,7,8.3,9.6,10.9,12.2,13.5,14.8,16.1,17.4,19.1,20.8,22.5,24.2},{0,10,20,30,40,50,60,62,64,66,68,70,72,74,76,78,80,85,90,95,100})</f>
        <v>76</v>
      </c>
      <c r="G261" s="15">
        <v>178</v>
      </c>
      <c r="H261" s="1">
        <f>LOOKUP(G261,{0,123,128,133,138,143,148,151,154,157,160,163,166,169,172,175,178,185,192,198,204},{0,10,20,30,40,50,60,62,64,66,68,70,72,74,76,78,80,85,90,95,100})</f>
        <v>80</v>
      </c>
      <c r="I261" s="15">
        <v>40</v>
      </c>
      <c r="J261" s="1">
        <f>LOOKUP(I261,{0,13,15,17,19,21,23,25,27,29,31,33,35,37,39,41,43,46,49,51,53},{0,10,20,30,40,50,60,62,64,66,68,70,72,74,76,78,80,85,90,95,100})</f>
        <v>76</v>
      </c>
      <c r="K261" s="20"/>
      <c r="L261" s="20"/>
      <c r="M261" s="21">
        <f t="shared" si="109"/>
        <v>76</v>
      </c>
      <c r="N261" s="15">
        <v>8.9</v>
      </c>
      <c r="O261" s="19">
        <f t="shared" si="110"/>
        <v>4.1</v>
      </c>
      <c r="P261" s="1">
        <f>LOOKUP(O261,{0,1.4,1.6,1.8,2,2.2,2.4,2.6,2.8,3,3.2,3.4,3.6,3.8,4,4.2,4.4,4.7,5,5.1,5.2},{0,10,20,30,40,50,60,62,64,66,68,70,72,74,76,78,80,85,90,95,100})</f>
        <v>76</v>
      </c>
      <c r="Q261" s="15">
        <v>3.39</v>
      </c>
      <c r="R261" s="15">
        <f t="shared" si="111"/>
        <v>6.61</v>
      </c>
      <c r="S261" s="1">
        <f>LOOKUP(R261,{0,4.7,4.8,4.9,5,5.5,5.6,5.65,5.7,5.75,5.8,5.85,5.9,5.95,6,6.45,6.5,6.57,6.64,6.7,6.76},{0,10,20,30,40,50,60,62,64,66,68,70,72,74,76,78,80,85,90,95,100})</f>
        <v>85</v>
      </c>
      <c r="T261" s="20"/>
      <c r="U261" s="20"/>
      <c r="V261" s="21">
        <f t="shared" si="112"/>
        <v>85</v>
      </c>
      <c r="W261" s="15"/>
      <c r="X261" s="21">
        <f t="shared" si="113"/>
        <v>55.4</v>
      </c>
      <c r="Y261" s="21">
        <f t="shared" si="114"/>
        <v>79.1428571428572</v>
      </c>
    </row>
    <row r="262" ht="15.6" hidden="1" outlineLevel="2" spans="1:25">
      <c r="A262" s="15">
        <v>114</v>
      </c>
      <c r="B262" s="15">
        <v>41</v>
      </c>
      <c r="C262" s="14" t="s">
        <v>719</v>
      </c>
      <c r="D262" s="14" t="s">
        <v>46</v>
      </c>
      <c r="E262" s="15">
        <v>25.9</v>
      </c>
      <c r="F262" s="1">
        <f>LOOKUP(E262,{0,0.4,1.2,2,2.8,3.6,4.4,5.7,7,8.3,9.6,10.9,12.2,13.5,14.8,16.1,17.4,19.1,20.8,22.5,24.2},{0,10,20,30,40,50,60,62,64,66,68,70,72,74,76,78,80,85,90,95,100})</f>
        <v>100</v>
      </c>
      <c r="G262" s="15">
        <v>185</v>
      </c>
      <c r="H262" s="1">
        <f>LOOKUP(G262,{0,123,128,133,138,143,148,151,154,157,160,163,166,169,172,175,178,185,192,198,204},{0,10,20,30,40,50,60,62,64,66,68,70,72,74,76,78,80,85,90,95,100})</f>
        <v>85</v>
      </c>
      <c r="I262" s="15">
        <v>47</v>
      </c>
      <c r="J262" s="1">
        <f>LOOKUP(I262,{0,13,15,17,19,21,23,25,27,29,31,33,35,37,39,41,43,46,49,51,53},{0,10,20,30,40,50,60,62,64,66,68,70,72,74,76,78,80,85,90,95,100})</f>
        <v>85</v>
      </c>
      <c r="K262" s="20"/>
      <c r="L262" s="20"/>
      <c r="M262" s="21">
        <f t="shared" si="109"/>
        <v>85</v>
      </c>
      <c r="N262" s="15">
        <v>9.1</v>
      </c>
      <c r="O262" s="19">
        <f t="shared" si="110"/>
        <v>3.9</v>
      </c>
      <c r="P262" s="1">
        <f>LOOKUP(O262,{0,1.4,1.6,1.8,2,2.2,2.4,2.6,2.8,3,3.2,3.4,3.6,3.8,4,4.2,4.4,4.7,5,5.1,5.2},{0,10,20,30,40,50,60,62,64,66,68,70,72,74,76,78,80,85,90,95,100})</f>
        <v>74</v>
      </c>
      <c r="Q262" s="15">
        <v>4.22</v>
      </c>
      <c r="R262" s="15">
        <f t="shared" si="111"/>
        <v>5.78</v>
      </c>
      <c r="S262" s="1">
        <f>LOOKUP(R262,{0,4.7,4.8,4.9,5,5.5,5.6,5.65,5.7,5.75,5.8,5.85,5.9,5.95,6,6.45,6.5,6.57,6.64,6.7,6.76},{0,10,20,30,40,50,60,62,64,66,68,70,72,74,76,78,80,85,90,95,100})</f>
        <v>66</v>
      </c>
      <c r="T262" s="20"/>
      <c r="U262" s="20"/>
      <c r="V262" s="21">
        <f t="shared" si="112"/>
        <v>66</v>
      </c>
      <c r="W262" s="15"/>
      <c r="X262" s="21">
        <f t="shared" si="113"/>
        <v>55</v>
      </c>
      <c r="Y262" s="21">
        <f t="shared" si="114"/>
        <v>78.5714285714286</v>
      </c>
    </row>
    <row r="263" ht="15.6" hidden="1" outlineLevel="2" spans="1:25">
      <c r="A263" s="15">
        <v>114</v>
      </c>
      <c r="B263" s="15">
        <v>42</v>
      </c>
      <c r="C263" s="14" t="s">
        <v>720</v>
      </c>
      <c r="D263" s="14" t="s">
        <v>46</v>
      </c>
      <c r="E263" s="15">
        <v>22</v>
      </c>
      <c r="F263" s="1">
        <f>LOOKUP(E263,{0,0.4,1.2,2,2.8,3.6,4.4,5.7,7,8.3,9.6,10.9,12.2,13.5,14.8,16.1,17.4,19.1,20.8,22.5,24.2},{0,10,20,30,40,50,60,62,64,66,68,70,72,74,76,78,80,85,90,95,100})</f>
        <v>90</v>
      </c>
      <c r="G263" s="15">
        <v>165</v>
      </c>
      <c r="H263" s="1">
        <f>LOOKUP(G263,{0,123,128,133,138,143,148,151,154,157,160,163,166,169,172,175,178,185,192,198,204},{0,10,20,30,40,50,60,62,64,66,68,70,72,74,76,78,80,85,90,95,100})</f>
        <v>70</v>
      </c>
      <c r="I263" s="15">
        <v>48</v>
      </c>
      <c r="J263" s="1">
        <f>LOOKUP(I263,{0,13,15,17,19,21,23,25,27,29,31,33,35,37,39,41,43,46,49,51,53},{0,10,20,30,40,50,60,62,64,66,68,70,72,74,76,78,80,85,90,95,100})</f>
        <v>85</v>
      </c>
      <c r="K263" s="20"/>
      <c r="L263" s="20"/>
      <c r="M263" s="21">
        <f t="shared" si="109"/>
        <v>85</v>
      </c>
      <c r="N263" s="15">
        <v>8.4</v>
      </c>
      <c r="O263" s="19">
        <f t="shared" si="110"/>
        <v>4.6</v>
      </c>
      <c r="P263" s="1">
        <f>LOOKUP(O263,{0,1.4,1.6,1.8,2,2.2,2.4,2.6,2.8,3,3.2,3.4,3.6,3.8,4,4.2,4.4,4.7,5,5.1,5.2},{0,10,20,30,40,50,60,62,64,66,68,70,72,74,76,78,80,85,90,95,100})</f>
        <v>80</v>
      </c>
      <c r="Q263" s="15">
        <v>3.43</v>
      </c>
      <c r="R263" s="15">
        <f t="shared" si="111"/>
        <v>6.57</v>
      </c>
      <c r="S263" s="1">
        <f>LOOKUP(R263,{0,4.7,4.8,4.9,5,5.5,5.6,5.65,5.7,5.75,5.8,5.85,5.9,5.95,6,6.45,6.5,6.57,6.64,6.7,6.76},{0,10,20,30,40,50,60,62,64,66,68,70,72,74,76,78,80,85,90,95,100})</f>
        <v>85</v>
      </c>
      <c r="T263" s="20"/>
      <c r="U263" s="20"/>
      <c r="V263" s="21">
        <f t="shared" si="112"/>
        <v>85</v>
      </c>
      <c r="W263" s="15"/>
      <c r="X263" s="21">
        <f t="shared" si="113"/>
        <v>57.5</v>
      </c>
      <c r="Y263" s="21">
        <f t="shared" si="114"/>
        <v>82.1428571428572</v>
      </c>
    </row>
    <row r="264" ht="15.6" hidden="1" outlineLevel="2" spans="1:25">
      <c r="A264" s="15">
        <v>114</v>
      </c>
      <c r="B264" s="15">
        <v>43</v>
      </c>
      <c r="C264" s="14" t="s">
        <v>721</v>
      </c>
      <c r="D264" s="14" t="s">
        <v>46</v>
      </c>
      <c r="E264" s="15">
        <v>24.8</v>
      </c>
      <c r="F264" s="1">
        <f>LOOKUP(E264,{0,0.4,1.2,2,2.8,3.6,4.4,5.7,7,8.3,9.6,10.9,12.2,13.5,14.8,16.1,17.4,19.1,20.8,22.5,24.2},{0,10,20,30,40,50,60,62,64,66,68,70,72,74,76,78,80,85,90,95,100})</f>
        <v>100</v>
      </c>
      <c r="G264" s="15">
        <v>188</v>
      </c>
      <c r="H264" s="1">
        <f>LOOKUP(G264,{0,123,128,133,138,143,148,151,154,157,160,163,166,169,172,175,178,185,192,198,204},{0,10,20,30,40,50,60,62,64,66,68,70,72,74,76,78,80,85,90,95,100})</f>
        <v>85</v>
      </c>
      <c r="I264" s="15">
        <v>41</v>
      </c>
      <c r="J264" s="1">
        <f>LOOKUP(I264,{0,13,15,17,19,21,23,25,27,29,31,33,35,37,39,41,43,46,49,51,53},{0,10,20,30,40,50,60,62,64,66,68,70,72,74,76,78,80,85,90,95,100})</f>
        <v>78</v>
      </c>
      <c r="K264" s="20"/>
      <c r="L264" s="20"/>
      <c r="M264" s="21">
        <f t="shared" si="109"/>
        <v>78</v>
      </c>
      <c r="N264" s="15">
        <v>8.3</v>
      </c>
      <c r="O264" s="19">
        <f t="shared" si="110"/>
        <v>4.7</v>
      </c>
      <c r="P264" s="1">
        <f>LOOKUP(O264,{0,1.4,1.6,1.8,2,2.2,2.4,2.6,2.8,3,3.2,3.4,3.6,3.8,4,4.2,4.4,4.7,5,5.1,5.2},{0,10,20,30,40,50,60,62,64,66,68,70,72,74,76,78,80,85,90,95,100})</f>
        <v>85</v>
      </c>
      <c r="Q264" s="15">
        <v>3.21</v>
      </c>
      <c r="R264" s="15">
        <f t="shared" si="111"/>
        <v>6.79</v>
      </c>
      <c r="S264" s="1">
        <f>LOOKUP(R264,{0,4.7,4.8,4.9,5,5.5,5.6,5.65,5.7,5.75,5.8,5.85,5.9,5.95,6,6.45,6.5,6.57,6.64,6.7,6.76},{0,10,20,30,40,50,60,62,64,66,68,70,72,74,76,78,80,85,90,95,100})</f>
        <v>100</v>
      </c>
      <c r="T264" s="24">
        <f>3.24-Q264</f>
        <v>0.0300000000000002</v>
      </c>
      <c r="U264" s="1">
        <f>LOOKUP(T264,{0,0.05,0.1,0.15,0.2,0.25,0.3,0.35,0.4,0.45,0.5},{0,1,2,3,4,5,6,7,8,9,10})</f>
        <v>0</v>
      </c>
      <c r="V264" s="21">
        <f t="shared" si="112"/>
        <v>100</v>
      </c>
      <c r="W264" s="15"/>
      <c r="X264" s="21">
        <f t="shared" si="113"/>
        <v>63.3</v>
      </c>
      <c r="Y264" s="21">
        <f t="shared" si="114"/>
        <v>90.4285714285714</v>
      </c>
    </row>
    <row r="265" ht="15.6" hidden="1" outlineLevel="2" spans="1:25">
      <c r="A265" s="15">
        <v>114</v>
      </c>
      <c r="B265" s="15">
        <v>44</v>
      </c>
      <c r="C265" s="14" t="s">
        <v>722</v>
      </c>
      <c r="D265" s="14" t="s">
        <v>46</v>
      </c>
      <c r="E265" s="15">
        <v>16.3</v>
      </c>
      <c r="F265" s="1">
        <f>LOOKUP(E265,{0,0.4,1.2,2,2.8,3.6,4.4,5.7,7,8.3,9.6,10.9,12.2,13.5,14.8,16.1,17.4,19.1,20.8,22.5,24.2},{0,10,20,30,40,50,60,62,64,66,68,70,72,74,76,78,80,85,90,95,100})</f>
        <v>78</v>
      </c>
      <c r="G265" s="15">
        <v>183</v>
      </c>
      <c r="H265" s="1">
        <f>LOOKUP(G265,{0,123,128,133,138,143,148,151,154,157,160,163,166,169,172,175,178,185,192,198,204},{0,10,20,30,40,50,60,62,64,66,68,70,72,74,76,78,80,85,90,95,100})</f>
        <v>80</v>
      </c>
      <c r="I265" s="15">
        <v>53</v>
      </c>
      <c r="J265" s="1">
        <f>LOOKUP(I265,{0,13,15,17,19,21,23,25,27,29,31,33,35,37,39,41,43,46,49,51,53},{0,10,20,30,40,50,60,62,64,66,68,70,72,74,76,78,80,85,90,95,100})</f>
        <v>100</v>
      </c>
      <c r="K265" s="20">
        <f t="shared" ref="K265:K269" si="117">I265-53</f>
        <v>0</v>
      </c>
      <c r="L265" s="1">
        <f>LOOKUP(K265,{0,2,4,6,7,8,9,10,11,12,13},{0,1,2,3,4,5,6,7,8,9,10})</f>
        <v>0</v>
      </c>
      <c r="M265" s="21">
        <f t="shared" si="109"/>
        <v>100</v>
      </c>
      <c r="N265" s="15"/>
      <c r="O265" s="19"/>
      <c r="P265" s="1"/>
      <c r="Q265" s="15"/>
      <c r="R265" s="15"/>
      <c r="S265" s="1"/>
      <c r="T265" s="24"/>
      <c r="U265" s="1"/>
      <c r="V265" s="21"/>
      <c r="W265" s="15"/>
      <c r="X265" s="21">
        <f t="shared" si="113"/>
        <v>25.8</v>
      </c>
      <c r="Y265" s="27">
        <v>50</v>
      </c>
    </row>
    <row r="266" ht="15.6" hidden="1" outlineLevel="2" spans="1:25">
      <c r="A266" s="15">
        <v>114</v>
      </c>
      <c r="B266" s="15">
        <v>45</v>
      </c>
      <c r="C266" s="14" t="s">
        <v>723</v>
      </c>
      <c r="D266" s="14" t="s">
        <v>46</v>
      </c>
      <c r="E266" s="15">
        <v>17.3</v>
      </c>
      <c r="F266" s="1">
        <f>LOOKUP(E266,{0,0.4,1.2,2,2.8,3.6,4.4,5.7,7,8.3,9.6,10.9,12.2,13.5,14.8,16.1,17.4,19.1,20.8,22.5,24.2},{0,10,20,30,40,50,60,62,64,66,68,70,72,74,76,78,80,85,90,95,100})</f>
        <v>78</v>
      </c>
      <c r="G266" s="15">
        <v>189</v>
      </c>
      <c r="H266" s="1">
        <f>LOOKUP(G266,{0,123,128,133,138,143,148,151,154,157,160,163,166,169,172,175,178,185,192,198,204},{0,10,20,30,40,50,60,62,64,66,68,70,72,74,76,78,80,85,90,95,100})</f>
        <v>85</v>
      </c>
      <c r="I266" s="15">
        <v>53</v>
      </c>
      <c r="J266" s="1">
        <f>LOOKUP(I266,{0,13,15,17,19,21,23,25,27,29,31,33,35,37,39,41,43,46,49,51,53},{0,10,20,30,40,50,60,62,64,66,68,70,72,74,76,78,80,85,90,95,100})</f>
        <v>100</v>
      </c>
      <c r="K266" s="20">
        <f t="shared" si="117"/>
        <v>0</v>
      </c>
      <c r="L266" s="1">
        <f>LOOKUP(K266,{0,2,4,6,7,8,9,10,11,12,13},{0,1,2,3,4,5,6,7,8,9,10})</f>
        <v>0</v>
      </c>
      <c r="M266" s="21">
        <f t="shared" si="109"/>
        <v>100</v>
      </c>
      <c r="N266" s="15">
        <v>9</v>
      </c>
      <c r="O266" s="19">
        <f t="shared" ref="O266:O270" si="118">13-N266</f>
        <v>4</v>
      </c>
      <c r="P266" s="1">
        <f>LOOKUP(O266,{0,1.4,1.6,1.8,2,2.2,2.4,2.6,2.8,3,3.2,3.4,3.6,3.8,4,4.2,4.4,4.7,5,5.1,5.2},{0,10,20,30,40,50,60,62,64,66,68,70,72,74,76,78,80,85,90,95,100})</f>
        <v>76</v>
      </c>
      <c r="Q266" s="15">
        <v>3.28</v>
      </c>
      <c r="R266" s="15">
        <f t="shared" ref="R266:R270" si="119">10-Q266</f>
        <v>6.72</v>
      </c>
      <c r="S266" s="1">
        <f>LOOKUP(R266,{0,4.7,4.8,4.9,5,5.5,5.6,5.65,5.7,5.75,5.8,5.85,5.9,5.95,6,6.45,6.5,6.57,6.64,6.7,6.76},{0,10,20,30,40,50,60,62,64,66,68,70,72,74,76,78,80,85,90,95,100})</f>
        <v>95</v>
      </c>
      <c r="T266" s="20"/>
      <c r="U266" s="20"/>
      <c r="V266" s="21">
        <f t="shared" ref="V266:V270" si="120">S266+U266</f>
        <v>95</v>
      </c>
      <c r="W266" s="15"/>
      <c r="X266" s="21">
        <f t="shared" si="113"/>
        <v>60.5</v>
      </c>
      <c r="Y266" s="21">
        <f t="shared" ref="Y266:Y270" si="121">X266/0.7+L266+U266</f>
        <v>86.4285714285714</v>
      </c>
    </row>
    <row r="267" ht="15.6" hidden="1" outlineLevel="2" spans="1:25">
      <c r="A267" s="15">
        <v>114</v>
      </c>
      <c r="B267" s="15">
        <v>46</v>
      </c>
      <c r="C267" s="14" t="s">
        <v>724</v>
      </c>
      <c r="D267" s="14" t="s">
        <v>46</v>
      </c>
      <c r="E267" s="15">
        <v>18.5</v>
      </c>
      <c r="F267" s="1">
        <f>LOOKUP(E267,{0,0.4,1.2,2,2.8,3.6,4.4,5.7,7,8.3,9.6,10.9,12.2,13.5,14.8,16.1,17.4,19.1,20.8,22.5,24.2},{0,10,20,30,40,50,60,62,64,66,68,70,72,74,76,78,80,85,90,95,100})</f>
        <v>80</v>
      </c>
      <c r="G267" s="15">
        <v>142</v>
      </c>
      <c r="H267" s="1">
        <f>LOOKUP(G267,{0,123,128,133,138,143,148,151,154,157,160,163,166,169,172,175,178,185,192,198,204},{0,10,20,30,40,50,60,62,64,66,68,70,72,74,76,78,80,85,90,95,100})</f>
        <v>40</v>
      </c>
      <c r="I267" s="15">
        <v>46</v>
      </c>
      <c r="J267" s="1">
        <f>LOOKUP(I267,{0,13,15,17,19,21,23,25,27,29,31,33,35,37,39,41,43,46,49,51,53},{0,10,20,30,40,50,60,62,64,66,68,70,72,74,76,78,80,85,90,95,100})</f>
        <v>85</v>
      </c>
      <c r="K267" s="20"/>
      <c r="L267" s="20"/>
      <c r="M267" s="21">
        <f t="shared" si="109"/>
        <v>85</v>
      </c>
      <c r="N267" s="15">
        <v>10.7</v>
      </c>
      <c r="O267" s="19">
        <f t="shared" si="118"/>
        <v>2.3</v>
      </c>
      <c r="P267" s="1">
        <f>LOOKUP(O267,{0,1.4,1.6,1.8,2,2.2,2.4,2.6,2.8,3,3.2,3.4,3.6,3.8,4,4.2,4.4,4.7,5,5.1,5.2},{0,10,20,30,40,50,60,62,64,66,68,70,72,74,76,78,80,85,90,95,100})</f>
        <v>50</v>
      </c>
      <c r="Q267" s="15">
        <v>5.25</v>
      </c>
      <c r="R267" s="15">
        <f t="shared" si="119"/>
        <v>4.75</v>
      </c>
      <c r="S267" s="1">
        <f>LOOKUP(R267,{0,4.7,4.8,4.9,5,5.5,5.6,5.65,5.7,5.75,5.8,5.85,5.9,5.95,6,6.45,6.5,6.57,6.64,6.7,6.76},{0,10,20,30,40,50,60,62,64,66,68,70,72,74,76,78,80,85,90,95,100})</f>
        <v>10</v>
      </c>
      <c r="T267" s="20"/>
      <c r="U267" s="20"/>
      <c r="V267" s="21">
        <f t="shared" si="120"/>
        <v>10</v>
      </c>
      <c r="W267" s="15"/>
      <c r="X267" s="21">
        <f t="shared" si="113"/>
        <v>32.5</v>
      </c>
      <c r="Y267" s="21">
        <f t="shared" si="121"/>
        <v>46.4285714285714</v>
      </c>
    </row>
    <row r="268" s="3" customFormat="1" ht="15.6" hidden="1" outlineLevel="2" spans="1:25">
      <c r="A268" s="15">
        <v>114</v>
      </c>
      <c r="B268" s="15">
        <v>47</v>
      </c>
      <c r="C268" s="14" t="s">
        <v>725</v>
      </c>
      <c r="D268" s="14" t="s">
        <v>46</v>
      </c>
      <c r="E268" s="15">
        <v>20.2</v>
      </c>
      <c r="F268" s="1">
        <f>LOOKUP(E268,{0,0.4,1.2,2,2.8,3.6,4.4,5.7,7,8.3,9.6,10.9,12.2,13.5,14.8,16.1,17.4,19.1,20.8,22.5,24.2},{0,10,20,30,40,50,60,62,64,66,68,70,72,74,76,78,80,85,90,95,100})</f>
        <v>85</v>
      </c>
      <c r="G268" s="15">
        <v>163</v>
      </c>
      <c r="H268" s="1">
        <f>LOOKUP(G268,{0,123,128,133,138,143,148,151,154,157,160,163,166,169,172,175,178,185,192,198,204},{0,10,20,30,40,50,60,62,64,66,68,70,72,74,76,78,80,85,90,95,100})</f>
        <v>70</v>
      </c>
      <c r="I268" s="15">
        <v>50</v>
      </c>
      <c r="J268" s="1">
        <f>LOOKUP(I268,{0,13,15,17,19,21,23,25,27,29,31,33,35,37,39,41,43,46,49,51,53},{0,10,20,30,40,50,60,62,64,66,68,70,72,74,76,78,80,85,90,95,100})</f>
        <v>90</v>
      </c>
      <c r="K268" s="20"/>
      <c r="L268" s="20"/>
      <c r="M268" s="21">
        <f t="shared" si="109"/>
        <v>90</v>
      </c>
      <c r="N268" s="15">
        <v>8.8</v>
      </c>
      <c r="O268" s="19">
        <f t="shared" si="118"/>
        <v>4.2</v>
      </c>
      <c r="P268" s="1">
        <f>LOOKUP(O268,{0,1.4,1.6,1.8,2,2.2,2.4,2.6,2.8,3,3.2,3.4,3.6,3.8,4,4.2,4.4,4.7,5,5.1,5.2},{0,10,20,30,40,50,60,62,64,66,68,70,72,74,76,78,80,85,90,95,100})</f>
        <v>78</v>
      </c>
      <c r="Q268" s="15">
        <v>3.58</v>
      </c>
      <c r="R268" s="15">
        <f t="shared" si="119"/>
        <v>6.42</v>
      </c>
      <c r="S268" s="1">
        <f>LOOKUP(R268,{0,4.7,4.8,4.9,5,5.5,5.6,5.65,5.7,5.75,5.8,5.85,5.9,5.95,6,6.45,6.5,6.57,6.64,6.7,6.76},{0,10,20,30,40,50,60,62,64,66,68,70,72,74,76,78,80,85,90,95,100})</f>
        <v>76</v>
      </c>
      <c r="T268" s="20"/>
      <c r="U268" s="20"/>
      <c r="V268" s="21">
        <f t="shared" si="120"/>
        <v>76</v>
      </c>
      <c r="W268" s="15"/>
      <c r="X268" s="21">
        <f t="shared" si="113"/>
        <v>55.3</v>
      </c>
      <c r="Y268" s="21">
        <f t="shared" si="121"/>
        <v>79</v>
      </c>
    </row>
    <row r="269" ht="15.6" hidden="1" outlineLevel="2" spans="1:25">
      <c r="A269" s="15">
        <v>114</v>
      </c>
      <c r="B269" s="15">
        <v>48</v>
      </c>
      <c r="C269" s="14" t="s">
        <v>726</v>
      </c>
      <c r="D269" s="14" t="s">
        <v>46</v>
      </c>
      <c r="E269" s="15">
        <v>16.3</v>
      </c>
      <c r="F269" s="1">
        <f>LOOKUP(E269,{0,0.4,1.2,2,2.8,3.6,4.4,5.7,7,8.3,9.6,10.9,12.2,13.5,14.8,16.1,17.4,19.1,20.8,22.5,24.2},{0,10,20,30,40,50,60,62,64,66,68,70,72,74,76,78,80,85,90,95,100})</f>
        <v>78</v>
      </c>
      <c r="G269" s="15">
        <v>183</v>
      </c>
      <c r="H269" s="1">
        <f>LOOKUP(G269,{0,123,128,133,138,143,148,151,154,157,160,163,166,169,172,175,178,185,192,198,204},{0,10,20,30,40,50,60,62,64,66,68,70,72,74,76,78,80,85,90,95,100})</f>
        <v>80</v>
      </c>
      <c r="I269" s="15">
        <v>63</v>
      </c>
      <c r="J269" s="1">
        <f>LOOKUP(I269,{0,13,15,17,19,21,23,25,27,29,31,33,35,37,39,41,43,46,49,51,53},{0,10,20,30,40,50,60,62,64,66,68,70,72,74,76,78,80,85,90,95,100})</f>
        <v>100</v>
      </c>
      <c r="K269" s="20">
        <f t="shared" si="117"/>
        <v>10</v>
      </c>
      <c r="L269" s="1">
        <f>LOOKUP(K269,{0,2,4,6,7,8,9,10,11,12,13},{0,1,2,3,4,5,6,7,8,9,10})</f>
        <v>7</v>
      </c>
      <c r="M269" s="21">
        <f t="shared" si="109"/>
        <v>107</v>
      </c>
      <c r="N269" s="15">
        <v>8.1</v>
      </c>
      <c r="O269" s="19">
        <f t="shared" si="118"/>
        <v>4.9</v>
      </c>
      <c r="P269" s="1">
        <f>LOOKUP(O269,{0,1.4,1.6,1.8,2,2.2,2.4,2.6,2.8,3,3.2,3.4,3.6,3.8,4,4.2,4.4,4.7,5,5.1,5.2},{0,10,20,30,40,50,60,62,64,66,68,70,72,74,76,78,80,85,90,95,100})</f>
        <v>85</v>
      </c>
      <c r="Q269" s="15">
        <v>3.11</v>
      </c>
      <c r="R269" s="15">
        <f t="shared" si="119"/>
        <v>6.89</v>
      </c>
      <c r="S269" s="1">
        <f>LOOKUP(R269,{0,4.7,4.8,4.9,5,5.5,5.6,5.65,5.7,5.75,5.8,5.85,5.9,5.95,6,6.45,6.5,6.57,6.64,6.7,6.76},{0,10,20,30,40,50,60,62,64,66,68,70,72,74,76,78,80,85,90,95,100})</f>
        <v>100</v>
      </c>
      <c r="T269" s="24">
        <f>3.24-Q269</f>
        <v>0.13</v>
      </c>
      <c r="U269" s="1">
        <f>LOOKUP(T269,{0,0.05,0.1,0.15,0.2,0.25,0.3,0.35,0.4,0.45,0.5},{0,1,2,3,4,5,6,7,8,9,10})</f>
        <v>2</v>
      </c>
      <c r="V269" s="21">
        <f t="shared" si="120"/>
        <v>102</v>
      </c>
      <c r="W269" s="15"/>
      <c r="X269" s="21">
        <f t="shared" si="113"/>
        <v>62.8</v>
      </c>
      <c r="Y269" s="21">
        <f t="shared" si="121"/>
        <v>98.7142857142857</v>
      </c>
    </row>
    <row r="270" ht="15.6" hidden="1" outlineLevel="2" spans="1:25">
      <c r="A270" s="15">
        <v>114</v>
      </c>
      <c r="B270" s="15">
        <v>49</v>
      </c>
      <c r="C270" s="15" t="s">
        <v>727</v>
      </c>
      <c r="D270" s="15" t="s">
        <v>46</v>
      </c>
      <c r="E270" s="15">
        <v>20.3</v>
      </c>
      <c r="F270" s="1">
        <f>LOOKUP(E270,{0,0.4,1.2,2,2.8,3.6,4.4,5.7,7,8.3,9.6,10.9,12.2,13.5,14.8,16.1,17.4,19.1,20.8,22.5,24.2},{0,10,20,30,40,50,60,62,64,66,68,70,72,74,76,78,80,85,90,95,100})</f>
        <v>85</v>
      </c>
      <c r="G270" s="15">
        <v>151</v>
      </c>
      <c r="H270" s="1">
        <f>LOOKUP(G270,{0,123,128,133,138,143,148,151,154,157,160,163,166,169,172,175,178,185,192,198,204},{0,10,20,30,40,50,60,62,64,66,68,70,72,74,76,78,80,85,90,95,100})</f>
        <v>62</v>
      </c>
      <c r="I270" s="15">
        <v>25</v>
      </c>
      <c r="J270" s="1">
        <f>LOOKUP(I270,{0,13,15,17,19,21,23,25,27,29,31,33,35,37,39,41,43,46,49,51,53},{0,10,20,30,40,50,60,62,64,66,68,70,72,74,76,78,80,85,90,95,100})</f>
        <v>62</v>
      </c>
      <c r="K270" s="20"/>
      <c r="L270" s="20"/>
      <c r="M270" s="21">
        <f t="shared" si="109"/>
        <v>62</v>
      </c>
      <c r="N270" s="15">
        <v>9</v>
      </c>
      <c r="O270" s="19">
        <f t="shared" si="118"/>
        <v>4</v>
      </c>
      <c r="P270" s="1">
        <f>LOOKUP(O270,{0,1.4,1.6,1.8,2,2.2,2.4,2.6,2.8,3,3.2,3.4,3.6,3.8,4,4.2,4.4,4.7,5,5.1,5.2},{0,10,20,30,40,50,60,62,64,66,68,70,72,74,76,78,80,85,90,95,100})</f>
        <v>76</v>
      </c>
      <c r="Q270" s="15">
        <v>4.22</v>
      </c>
      <c r="R270" s="15">
        <f t="shared" si="119"/>
        <v>5.78</v>
      </c>
      <c r="S270" s="1">
        <f>LOOKUP(R270,{0,4.7,4.8,4.9,5,5.5,5.6,5.65,5.7,5.75,5.8,5.85,5.9,5.95,6,6.45,6.5,6.57,6.64,6.7,6.76},{0,10,20,30,40,50,60,62,64,66,68,70,72,74,76,78,80,85,90,95,100})</f>
        <v>66</v>
      </c>
      <c r="T270" s="20"/>
      <c r="U270" s="20"/>
      <c r="V270" s="21">
        <f t="shared" si="120"/>
        <v>66</v>
      </c>
      <c r="W270" s="15"/>
      <c r="X270" s="21">
        <f t="shared" si="113"/>
        <v>49.3</v>
      </c>
      <c r="Y270" s="21">
        <f t="shared" si="121"/>
        <v>70.4285714285714</v>
      </c>
    </row>
    <row r="271" ht="15.6" outlineLevel="1" collapsed="1" spans="1:25">
      <c r="A271" s="16" t="s">
        <v>855</v>
      </c>
      <c r="B271" s="15"/>
      <c r="C271" s="15"/>
      <c r="D271" s="15"/>
      <c r="E271" s="15"/>
      <c r="F271" s="1">
        <f>SUBTOTAL(1,F247:F270)</f>
        <v>80.2916666666667</v>
      </c>
      <c r="G271" s="15"/>
      <c r="H271" s="1">
        <f>SUBTOTAL(1,H247:H270)</f>
        <v>76.8333333333333</v>
      </c>
      <c r="I271" s="15"/>
      <c r="J271" s="1">
        <f>SUBTOTAL(1,J247:J270)</f>
        <v>87.1666666666667</v>
      </c>
      <c r="K271" s="20"/>
      <c r="L271" s="20"/>
      <c r="M271" s="21">
        <f>SUBTOTAL(1,M247:M270)</f>
        <v>87.5833333333333</v>
      </c>
      <c r="N271" s="15"/>
      <c r="O271" s="19"/>
      <c r="P271" s="1">
        <f>SUBTOTAL(1,P247:P270)</f>
        <v>78.9130434782609</v>
      </c>
      <c r="Q271" s="15"/>
      <c r="R271" s="15"/>
      <c r="S271" s="1">
        <f>SUBTOTAL(1,S247:S270)</f>
        <v>83.6521739130435</v>
      </c>
      <c r="T271" s="20"/>
      <c r="U271" s="20"/>
      <c r="V271" s="21">
        <f>SUBTOTAL(1,V247:V270)</f>
        <v>83.7826086956522</v>
      </c>
      <c r="W271" s="15"/>
      <c r="X271" s="21">
        <f>SUBTOTAL(1,X247:X270)</f>
        <v>55.5875</v>
      </c>
      <c r="Y271" s="21">
        <f>SUBTOTAL(1,Y247:Y270)</f>
        <v>80.5</v>
      </c>
    </row>
    <row r="272" ht="15.6" hidden="1" outlineLevel="2" spans="1:25">
      <c r="A272" s="15">
        <v>115</v>
      </c>
      <c r="B272" s="15">
        <v>25</v>
      </c>
      <c r="C272" s="13" t="s">
        <v>754</v>
      </c>
      <c r="D272" s="14" t="s">
        <v>46</v>
      </c>
      <c r="E272" s="15">
        <v>10</v>
      </c>
      <c r="F272" s="1">
        <f>LOOKUP(E272,{0,0.4,1.2,2,2.8,3.6,4.4,5.7,7,8.3,9.6,10.9,12.2,13.5,14.8,16.1,17.4,19.1,20.8,22.5,24.2},{0,10,20,30,40,50,60,62,64,66,68,70,72,74,76,78,80,85,90,95,100})</f>
        <v>68</v>
      </c>
      <c r="G272" s="15">
        <v>173</v>
      </c>
      <c r="H272" s="1">
        <f>LOOKUP(G272,{0,123,128,133,138,143,148,151,154,157,160,163,166,169,172,175,178,185,192,198,204},{0,10,20,30,40,50,60,62,64,66,68,70,72,74,76,78,80,85,90,95,100})</f>
        <v>76</v>
      </c>
      <c r="I272" s="15">
        <v>41</v>
      </c>
      <c r="J272" s="1">
        <f>LOOKUP(I272,{0,13,15,17,19,21,23,25,27,29,31,33,35,37,39,41,43,46,49,51,53},{0,10,20,30,40,50,60,62,64,66,68,70,72,74,76,78,80,85,90,95,100})</f>
        <v>78</v>
      </c>
      <c r="K272" s="20"/>
      <c r="L272" s="20"/>
      <c r="M272" s="21">
        <f t="shared" ref="M272:M294" si="122">J272+L272</f>
        <v>78</v>
      </c>
      <c r="N272" s="15">
        <v>8.7</v>
      </c>
      <c r="O272" s="19">
        <f t="shared" ref="O272:O294" si="123">13-N272</f>
        <v>4.3</v>
      </c>
      <c r="P272" s="1">
        <f>LOOKUP(O272,{0,1.4,1.6,1.8,2,2.2,2.4,2.6,2.8,3,3.2,3.4,3.6,3.8,4,4.2,4.4,4.7,5,5.1,5.2},{0,10,20,30,40,50,60,62,64,66,68,70,72,74,76,78,80,85,90,95,100})</f>
        <v>78</v>
      </c>
      <c r="Q272" s="15">
        <v>3.34</v>
      </c>
      <c r="R272" s="15">
        <f t="shared" ref="R272:R294" si="124">10-Q272</f>
        <v>6.66</v>
      </c>
      <c r="S272" s="1">
        <f>LOOKUP(R272,{0,4.7,4.8,4.9,5,5.5,5.6,5.65,5.7,5.75,5.8,5.85,5.9,5.95,6,6.45,6.5,6.57,6.64,6.7,6.76},{0,10,20,30,40,50,60,62,64,66,68,70,72,74,76,78,80,85,90,95,100})</f>
        <v>90</v>
      </c>
      <c r="T272" s="20"/>
      <c r="U272" s="20"/>
      <c r="V272" s="21">
        <f t="shared" ref="V272:V294" si="125">S272+U272</f>
        <v>90</v>
      </c>
      <c r="W272" s="15"/>
      <c r="X272" s="21">
        <f t="shared" ref="X272:X294" si="126">F272*0.1+H272*0.1+J272*0.1+P272*0.2+S272*0.2</f>
        <v>55.8</v>
      </c>
      <c r="Y272" s="21">
        <f t="shared" ref="Y272:Y294" si="127">X272/0.7+L272+U272</f>
        <v>79.7142857142857</v>
      </c>
    </row>
    <row r="273" ht="15.6" hidden="1" outlineLevel="2" spans="1:25">
      <c r="A273" s="15">
        <v>115</v>
      </c>
      <c r="B273" s="15">
        <v>26</v>
      </c>
      <c r="C273" s="14" t="s">
        <v>755</v>
      </c>
      <c r="D273" s="14" t="s">
        <v>46</v>
      </c>
      <c r="E273" s="15">
        <v>15.5</v>
      </c>
      <c r="F273" s="1">
        <f>LOOKUP(E273,{0,0.4,1.2,2,2.8,3.6,4.4,5.7,7,8.3,9.6,10.9,12.2,13.5,14.8,16.1,17.4,19.1,20.8,22.5,24.2},{0,10,20,30,40,50,60,62,64,66,68,70,72,74,76,78,80,85,90,95,100})</f>
        <v>76</v>
      </c>
      <c r="G273" s="15">
        <v>197</v>
      </c>
      <c r="H273" s="1">
        <f>LOOKUP(G273,{0,123,128,133,138,143,148,151,154,157,160,163,166,169,172,175,178,185,192,198,204},{0,10,20,30,40,50,60,62,64,66,68,70,72,74,76,78,80,85,90,95,100})</f>
        <v>90</v>
      </c>
      <c r="I273" s="15">
        <v>47</v>
      </c>
      <c r="J273" s="1">
        <f>LOOKUP(I273,{0,13,15,17,19,21,23,25,27,29,31,33,35,37,39,41,43,46,49,51,53},{0,10,20,30,40,50,60,62,64,66,68,70,72,74,76,78,80,85,90,95,100})</f>
        <v>85</v>
      </c>
      <c r="K273" s="20"/>
      <c r="L273" s="20"/>
      <c r="M273" s="21">
        <f t="shared" si="122"/>
        <v>85</v>
      </c>
      <c r="N273" s="15">
        <v>8.1</v>
      </c>
      <c r="O273" s="19">
        <f t="shared" si="123"/>
        <v>4.9</v>
      </c>
      <c r="P273" s="1">
        <f>LOOKUP(O273,{0,1.4,1.6,1.8,2,2.2,2.4,2.6,2.8,3,3.2,3.4,3.6,3.8,4,4.2,4.4,4.7,5,5.1,5.2},{0,10,20,30,40,50,60,62,64,66,68,70,72,74,76,78,80,85,90,95,100})</f>
        <v>85</v>
      </c>
      <c r="Q273" s="15">
        <v>3.21</v>
      </c>
      <c r="R273" s="15">
        <f t="shared" si="124"/>
        <v>6.79</v>
      </c>
      <c r="S273" s="1">
        <f>LOOKUP(R273,{0,4.7,4.8,4.9,5,5.5,5.6,5.65,5.7,5.75,5.8,5.85,5.9,5.95,6,6.45,6.5,6.57,6.64,6.7,6.76},{0,10,20,30,40,50,60,62,64,66,68,70,72,74,76,78,80,85,90,95,100})</f>
        <v>100</v>
      </c>
      <c r="T273" s="24">
        <f t="shared" ref="T273:T278" si="128">3.24-Q273</f>
        <v>0.0300000000000002</v>
      </c>
      <c r="U273" s="1">
        <f>LOOKUP(T273,{0,0.05,0.1,0.15,0.2,0.25,0.3,0.35,0.4,0.45,0.5},{0,1,2,3,4,5,6,7,8,9,10})</f>
        <v>0</v>
      </c>
      <c r="V273" s="21">
        <f t="shared" si="125"/>
        <v>100</v>
      </c>
      <c r="W273" s="15"/>
      <c r="X273" s="21">
        <f t="shared" si="126"/>
        <v>62.1</v>
      </c>
      <c r="Y273" s="21">
        <f t="shared" si="127"/>
        <v>88.7142857142857</v>
      </c>
    </row>
    <row r="274" ht="15.6" hidden="1" outlineLevel="2" spans="1:25">
      <c r="A274" s="15">
        <v>115</v>
      </c>
      <c r="B274" s="15">
        <v>27</v>
      </c>
      <c r="C274" s="14" t="s">
        <v>756</v>
      </c>
      <c r="D274" s="14" t="s">
        <v>46</v>
      </c>
      <c r="E274" s="15">
        <v>25.5</v>
      </c>
      <c r="F274" s="1">
        <f>LOOKUP(E274,{0,0.4,1.2,2,2.8,3.6,4.4,5.7,7,8.3,9.6,10.9,12.2,13.5,14.8,16.1,17.4,19.1,20.8,22.5,24.2},{0,10,20,30,40,50,60,62,64,66,68,70,72,74,76,78,80,85,90,95,100})</f>
        <v>100</v>
      </c>
      <c r="G274" s="15">
        <v>190</v>
      </c>
      <c r="H274" s="1">
        <f>LOOKUP(G274,{0,123,128,133,138,143,148,151,154,157,160,163,166,169,172,175,178,185,192,198,204},{0,10,20,30,40,50,60,62,64,66,68,70,72,74,76,78,80,85,90,95,100})</f>
        <v>85</v>
      </c>
      <c r="I274" s="15">
        <v>54</v>
      </c>
      <c r="J274" s="1">
        <f>LOOKUP(I274,{0,13,15,17,19,21,23,25,27,29,31,33,35,37,39,41,43,46,49,51,53},{0,10,20,30,40,50,60,62,64,66,68,70,72,74,76,78,80,85,90,95,100})</f>
        <v>100</v>
      </c>
      <c r="K274" s="20">
        <f>I274-53</f>
        <v>1</v>
      </c>
      <c r="L274" s="1">
        <f>LOOKUP(K274,{0,2,4,6,7,8,9,10,11,12,13},{0,1,2,3,4,5,6,7,8,9,10})</f>
        <v>0</v>
      </c>
      <c r="M274" s="21">
        <f t="shared" si="122"/>
        <v>100</v>
      </c>
      <c r="N274" s="15">
        <v>8.7</v>
      </c>
      <c r="O274" s="19">
        <f t="shared" si="123"/>
        <v>4.3</v>
      </c>
      <c r="P274" s="1">
        <f>LOOKUP(O274,{0,1.4,1.6,1.8,2,2.2,2.4,2.6,2.8,3,3.2,3.4,3.6,3.8,4,4.2,4.4,4.7,5,5.1,5.2},{0,10,20,30,40,50,60,62,64,66,68,70,72,74,76,78,80,85,90,95,100})</f>
        <v>78</v>
      </c>
      <c r="Q274" s="15">
        <v>3.35</v>
      </c>
      <c r="R274" s="15">
        <f t="shared" si="124"/>
        <v>6.65</v>
      </c>
      <c r="S274" s="1">
        <f>LOOKUP(R274,{0,4.7,4.8,4.9,5,5.5,5.6,5.65,5.7,5.75,5.8,5.85,5.9,5.95,6,6.45,6.5,6.57,6.64,6.7,6.76},{0,10,20,30,40,50,60,62,64,66,68,70,72,74,76,78,80,85,90,95,100})</f>
        <v>90</v>
      </c>
      <c r="T274" s="20"/>
      <c r="U274" s="20"/>
      <c r="V274" s="21">
        <f t="shared" si="125"/>
        <v>90</v>
      </c>
      <c r="W274" s="15"/>
      <c r="X274" s="21">
        <f t="shared" si="126"/>
        <v>62.1</v>
      </c>
      <c r="Y274" s="21">
        <f t="shared" si="127"/>
        <v>88.7142857142857</v>
      </c>
    </row>
    <row r="275" ht="15.6" hidden="1" outlineLevel="2" spans="1:25">
      <c r="A275" s="15">
        <v>115</v>
      </c>
      <c r="B275" s="15">
        <v>29</v>
      </c>
      <c r="C275" s="14" t="s">
        <v>757</v>
      </c>
      <c r="D275" s="14" t="s">
        <v>46</v>
      </c>
      <c r="E275" s="15">
        <v>14.2</v>
      </c>
      <c r="F275" s="1">
        <f>LOOKUP(E275,{0,0.4,1.2,2,2.8,3.6,4.4,5.7,7,8.3,9.6,10.9,12.2,13.5,14.8,16.1,17.4,19.1,20.8,22.5,24.2},{0,10,20,30,40,50,60,62,64,66,68,70,72,74,76,78,80,85,90,95,100})</f>
        <v>74</v>
      </c>
      <c r="G275" s="15">
        <v>197</v>
      </c>
      <c r="H275" s="1">
        <f>LOOKUP(G275,{0,123,128,133,138,143,148,151,154,157,160,163,166,169,172,175,178,185,192,198,204},{0,10,20,30,40,50,60,62,64,66,68,70,72,74,76,78,80,85,90,95,100})</f>
        <v>90</v>
      </c>
      <c r="I275" s="15">
        <v>27</v>
      </c>
      <c r="J275" s="1">
        <f>LOOKUP(I275,{0,13,15,17,19,21,23,25,27,29,31,33,35,37,39,41,43,46,49,51,53},{0,10,20,30,40,50,60,62,64,66,68,70,72,74,76,78,80,85,90,95,100})</f>
        <v>64</v>
      </c>
      <c r="K275" s="20"/>
      <c r="L275" s="20"/>
      <c r="M275" s="21">
        <f t="shared" si="122"/>
        <v>64</v>
      </c>
      <c r="N275" s="15">
        <v>8.4</v>
      </c>
      <c r="O275" s="19">
        <f t="shared" si="123"/>
        <v>4.6</v>
      </c>
      <c r="P275" s="1">
        <f>LOOKUP(O275,{0,1.4,1.6,1.8,2,2.2,2.4,2.6,2.8,3,3.2,3.4,3.6,3.8,4,4.2,4.4,4.7,5,5.1,5.2},{0,10,20,30,40,50,60,62,64,66,68,70,72,74,76,78,80,85,90,95,100})</f>
        <v>80</v>
      </c>
      <c r="Q275" s="15">
        <v>3.57</v>
      </c>
      <c r="R275" s="15">
        <f t="shared" si="124"/>
        <v>6.43</v>
      </c>
      <c r="S275" s="1">
        <f>LOOKUP(R275,{0,4.7,4.8,4.9,5,5.5,5.6,5.65,5.7,5.75,5.8,5.85,5.9,5.95,6,6.45,6.5,6.57,6.64,6.7,6.76},{0,10,20,30,40,50,60,62,64,66,68,70,72,74,76,78,80,85,90,95,100})</f>
        <v>76</v>
      </c>
      <c r="T275" s="20"/>
      <c r="U275" s="20"/>
      <c r="V275" s="21">
        <f t="shared" si="125"/>
        <v>76</v>
      </c>
      <c r="W275" s="15"/>
      <c r="X275" s="21">
        <f t="shared" si="126"/>
        <v>54</v>
      </c>
      <c r="Y275" s="21">
        <f t="shared" si="127"/>
        <v>77.1428571428572</v>
      </c>
    </row>
    <row r="276" ht="15.6" hidden="1" outlineLevel="2" spans="1:25">
      <c r="A276" s="15">
        <v>115</v>
      </c>
      <c r="B276" s="15">
        <v>30</v>
      </c>
      <c r="C276" s="14" t="s">
        <v>758</v>
      </c>
      <c r="D276" s="14" t="s">
        <v>46</v>
      </c>
      <c r="E276" s="15">
        <v>19.1</v>
      </c>
      <c r="F276" s="1">
        <f>LOOKUP(E276,{0,0.4,1.2,2,2.8,3.6,4.4,5.7,7,8.3,9.6,10.9,12.2,13.5,14.8,16.1,17.4,19.1,20.8,22.5,24.2},{0,10,20,30,40,50,60,62,64,66,68,70,72,74,76,78,80,85,90,95,100})</f>
        <v>85</v>
      </c>
      <c r="G276" s="15">
        <v>175</v>
      </c>
      <c r="H276" s="1">
        <f>LOOKUP(G276,{0,123,128,133,138,143,148,151,154,157,160,163,166,169,172,175,178,185,192,198,204},{0,10,20,30,40,50,60,62,64,66,68,70,72,74,76,78,80,85,90,95,100})</f>
        <v>78</v>
      </c>
      <c r="I276" s="15">
        <v>25</v>
      </c>
      <c r="J276" s="1">
        <f>LOOKUP(I276,{0,13,15,17,19,21,23,25,27,29,31,33,35,37,39,41,43,46,49,51,53},{0,10,20,30,40,50,60,62,64,66,68,70,72,74,76,78,80,85,90,95,100})</f>
        <v>62</v>
      </c>
      <c r="K276" s="20"/>
      <c r="L276" s="20"/>
      <c r="M276" s="21">
        <f t="shared" si="122"/>
        <v>62</v>
      </c>
      <c r="N276" s="15">
        <v>9.6</v>
      </c>
      <c r="O276" s="19">
        <f t="shared" si="123"/>
        <v>3.4</v>
      </c>
      <c r="P276" s="1">
        <f>LOOKUP(O276,{0,1.4,1.6,1.8,2,2.2,2.4,2.6,2.8,3,3.2,3.4,3.6,3.8,4,4.2,4.4,4.7,5,5.1,5.2},{0,10,20,30,40,50,60,62,64,66,68,70,72,74,76,78,80,85,90,95,100})</f>
        <v>70</v>
      </c>
      <c r="Q276" s="15">
        <v>4.21</v>
      </c>
      <c r="R276" s="15">
        <f t="shared" si="124"/>
        <v>5.79</v>
      </c>
      <c r="S276" s="1">
        <f>LOOKUP(R276,{0,4.7,4.8,4.9,5,5.5,5.6,5.65,5.7,5.75,5.8,5.85,5.9,5.95,6,6.45,6.5,6.57,6.64,6.7,6.76},{0,10,20,30,40,50,60,62,64,66,68,70,72,74,76,78,80,85,90,95,100})</f>
        <v>66</v>
      </c>
      <c r="T276" s="20"/>
      <c r="U276" s="20"/>
      <c r="V276" s="21">
        <f t="shared" si="125"/>
        <v>66</v>
      </c>
      <c r="W276" s="15"/>
      <c r="X276" s="21">
        <f t="shared" si="126"/>
        <v>49.7</v>
      </c>
      <c r="Y276" s="21">
        <f t="shared" si="127"/>
        <v>71</v>
      </c>
    </row>
    <row r="277" ht="15.6" hidden="1" outlineLevel="2" spans="1:25">
      <c r="A277" s="15">
        <v>115</v>
      </c>
      <c r="B277" s="15">
        <v>31</v>
      </c>
      <c r="C277" s="14" t="s">
        <v>759</v>
      </c>
      <c r="D277" s="14" t="s">
        <v>46</v>
      </c>
      <c r="E277" s="15">
        <v>22.3</v>
      </c>
      <c r="F277" s="1">
        <f>LOOKUP(E277,{0,0.4,1.2,2,2.8,3.6,4.4,5.7,7,8.3,9.6,10.9,12.2,13.5,14.8,16.1,17.4,19.1,20.8,22.5,24.2},{0,10,20,30,40,50,60,62,64,66,68,70,72,74,76,78,80,85,90,95,100})</f>
        <v>90</v>
      </c>
      <c r="G277" s="15">
        <v>181</v>
      </c>
      <c r="H277" s="1">
        <f>LOOKUP(G277,{0,123,128,133,138,143,148,151,154,157,160,163,166,169,172,175,178,185,192,198,204},{0,10,20,30,40,50,60,62,64,66,68,70,72,74,76,78,80,85,90,95,100})</f>
        <v>80</v>
      </c>
      <c r="I277" s="15">
        <v>43</v>
      </c>
      <c r="J277" s="1">
        <f>LOOKUP(I277,{0,13,15,17,19,21,23,25,27,29,31,33,35,37,39,41,43,46,49,51,53},{0,10,20,30,40,50,60,62,64,66,68,70,72,74,76,78,80,85,90,95,100})</f>
        <v>80</v>
      </c>
      <c r="K277" s="20"/>
      <c r="L277" s="20"/>
      <c r="M277" s="21">
        <f t="shared" si="122"/>
        <v>80</v>
      </c>
      <c r="N277" s="15">
        <v>8.4</v>
      </c>
      <c r="O277" s="19">
        <f t="shared" si="123"/>
        <v>4.6</v>
      </c>
      <c r="P277" s="1">
        <f>LOOKUP(O277,{0,1.4,1.6,1.8,2,2.2,2.4,2.6,2.8,3,3.2,3.4,3.6,3.8,4,4.2,4.4,4.7,5,5.1,5.2},{0,10,20,30,40,50,60,62,64,66,68,70,72,74,76,78,80,85,90,95,100})</f>
        <v>80</v>
      </c>
      <c r="Q277" s="15">
        <v>3.2</v>
      </c>
      <c r="R277" s="15">
        <f t="shared" si="124"/>
        <v>6.8</v>
      </c>
      <c r="S277" s="1">
        <f>LOOKUP(R277,{0,4.7,4.8,4.9,5,5.5,5.6,5.65,5.7,5.75,5.8,5.85,5.9,5.95,6,6.45,6.5,6.57,6.64,6.7,6.76},{0,10,20,30,40,50,60,62,64,66,68,70,72,74,76,78,80,85,90,95,100})</f>
        <v>100</v>
      </c>
      <c r="T277" s="24">
        <f t="shared" si="128"/>
        <v>0.04</v>
      </c>
      <c r="U277" s="1">
        <f>LOOKUP(T277,{0,0.05,0.1,0.15,0.2,0.25,0.3,0.35,0.4,0.45,0.5},{0,1,2,3,4,5,6,7,8,9,10})</f>
        <v>0</v>
      </c>
      <c r="V277" s="21">
        <f t="shared" si="125"/>
        <v>100</v>
      </c>
      <c r="W277" s="15"/>
      <c r="X277" s="21">
        <f t="shared" si="126"/>
        <v>61</v>
      </c>
      <c r="Y277" s="21">
        <f t="shared" si="127"/>
        <v>87.1428571428572</v>
      </c>
    </row>
    <row r="278" ht="15.6" hidden="1" outlineLevel="2" spans="1:25">
      <c r="A278" s="15">
        <v>115</v>
      </c>
      <c r="B278" s="15">
        <v>32</v>
      </c>
      <c r="C278" s="14" t="s">
        <v>760</v>
      </c>
      <c r="D278" s="14" t="s">
        <v>46</v>
      </c>
      <c r="E278" s="15">
        <v>26.3</v>
      </c>
      <c r="F278" s="1">
        <f>LOOKUP(E278,{0,0.4,1.2,2,2.8,3.6,4.4,5.7,7,8.3,9.6,10.9,12.2,13.5,14.8,16.1,17.4,19.1,20.8,22.5,24.2},{0,10,20,30,40,50,60,62,64,66,68,70,72,74,76,78,80,85,90,95,100})</f>
        <v>100</v>
      </c>
      <c r="G278" s="15">
        <v>210</v>
      </c>
      <c r="H278" s="1">
        <f>LOOKUP(G278,{0,123,128,133,138,143,148,151,154,157,160,163,166,169,172,175,178,185,192,198,204},{0,10,20,30,40,50,60,62,64,66,68,70,72,74,76,78,80,85,90,95,100})</f>
        <v>100</v>
      </c>
      <c r="I278" s="15">
        <v>45</v>
      </c>
      <c r="J278" s="1">
        <f>LOOKUP(I278,{0,13,15,17,19,21,23,25,27,29,31,33,35,37,39,41,43,46,49,51,53},{0,10,20,30,40,50,60,62,64,66,68,70,72,74,76,78,80,85,90,95,100})</f>
        <v>80</v>
      </c>
      <c r="K278" s="20"/>
      <c r="L278" s="20"/>
      <c r="M278" s="21">
        <f t="shared" si="122"/>
        <v>80</v>
      </c>
      <c r="N278" s="15">
        <v>8</v>
      </c>
      <c r="O278" s="19">
        <f t="shared" si="123"/>
        <v>5</v>
      </c>
      <c r="P278" s="1">
        <f>LOOKUP(O278,{0,1.4,1.6,1.8,2,2.2,2.4,2.6,2.8,3,3.2,3.4,3.6,3.8,4,4.2,4.4,4.7,5,5.1,5.2},{0,10,20,30,40,50,60,62,64,66,68,70,72,74,76,78,80,85,90,95,100})</f>
        <v>90</v>
      </c>
      <c r="Q278" s="15">
        <v>3.14</v>
      </c>
      <c r="R278" s="15">
        <f t="shared" si="124"/>
        <v>6.86</v>
      </c>
      <c r="S278" s="1">
        <f>LOOKUP(R278,{0,4.7,4.8,4.9,5,5.5,5.6,5.65,5.7,5.75,5.8,5.85,5.9,5.95,6,6.45,6.5,6.57,6.64,6.7,6.76},{0,10,20,30,40,50,60,62,64,66,68,70,72,74,76,78,80,85,90,95,100})</f>
        <v>100</v>
      </c>
      <c r="T278" s="24">
        <f t="shared" si="128"/>
        <v>0.1</v>
      </c>
      <c r="U278" s="1">
        <f>LOOKUP(T278,{0,0.05,0.1,0.15,0.2,0.25,0.3,0.35,0.4,0.45,0.5},{0,1,2,3,4,5,6,7,8,9,10})</f>
        <v>2</v>
      </c>
      <c r="V278" s="21">
        <f t="shared" si="125"/>
        <v>102</v>
      </c>
      <c r="W278" s="15"/>
      <c r="X278" s="21">
        <f t="shared" si="126"/>
        <v>66</v>
      </c>
      <c r="Y278" s="21">
        <f t="shared" si="127"/>
        <v>96.2857142857143</v>
      </c>
    </row>
    <row r="279" ht="15.6" hidden="1" outlineLevel="2" spans="1:25">
      <c r="A279" s="15">
        <v>115</v>
      </c>
      <c r="B279" s="15">
        <v>33</v>
      </c>
      <c r="C279" s="14" t="s">
        <v>761</v>
      </c>
      <c r="D279" s="14" t="s">
        <v>46</v>
      </c>
      <c r="E279" s="15">
        <v>12.6</v>
      </c>
      <c r="F279" s="1">
        <f>LOOKUP(E279,{0,0.4,1.2,2,2.8,3.6,4.4,5.7,7,8.3,9.6,10.9,12.2,13.5,14.8,16.1,17.4,19.1,20.8,22.5,24.2},{0,10,20,30,40,50,60,62,64,66,68,70,72,74,76,78,80,85,90,95,100})</f>
        <v>72</v>
      </c>
      <c r="G279" s="15">
        <v>201</v>
      </c>
      <c r="H279" s="1">
        <f>LOOKUP(G279,{0,123,128,133,138,143,148,151,154,157,160,163,166,169,172,175,178,185,192,198,204},{0,10,20,30,40,50,60,62,64,66,68,70,72,74,76,78,80,85,90,95,100})</f>
        <v>95</v>
      </c>
      <c r="I279" s="15">
        <v>57</v>
      </c>
      <c r="J279" s="1">
        <f>LOOKUP(I279,{0,13,15,17,19,21,23,25,27,29,31,33,35,37,39,41,43,46,49,51,53},{0,10,20,30,40,50,60,62,64,66,68,70,72,74,76,78,80,85,90,95,100})</f>
        <v>100</v>
      </c>
      <c r="K279" s="20">
        <f>I279-53</f>
        <v>4</v>
      </c>
      <c r="L279" s="1">
        <f>LOOKUP(K279,{0,2,4,6,7,8,9,10,11,12,13},{0,1,2,3,4,5,6,7,8,9,10})</f>
        <v>2</v>
      </c>
      <c r="M279" s="21">
        <f t="shared" si="122"/>
        <v>102</v>
      </c>
      <c r="N279" s="15">
        <v>7.7</v>
      </c>
      <c r="O279" s="19">
        <f t="shared" si="123"/>
        <v>5.3</v>
      </c>
      <c r="P279" s="1">
        <f>LOOKUP(O279,{0,1.4,1.6,1.8,2,2.2,2.4,2.6,2.8,3,3.2,3.4,3.6,3.8,4,4.2,4.4,4.7,5,5.1,5.2},{0,10,20,30,40,50,60,62,64,66,68,70,72,74,76,78,80,85,90,95,100})</f>
        <v>100</v>
      </c>
      <c r="Q279" s="15">
        <v>3.55</v>
      </c>
      <c r="R279" s="15">
        <f t="shared" si="124"/>
        <v>6.45</v>
      </c>
      <c r="S279" s="1">
        <f>LOOKUP(R279,{0,4.7,4.8,4.9,5,5.5,5.6,5.65,5.7,5.75,5.8,5.85,5.9,5.95,6,6.45,6.5,6.57,6.64,6.7,6.76},{0,10,20,30,40,50,60,62,64,66,68,70,72,74,76,78,80,85,90,95,100})</f>
        <v>78</v>
      </c>
      <c r="T279" s="20"/>
      <c r="U279" s="20"/>
      <c r="V279" s="21">
        <f t="shared" si="125"/>
        <v>78</v>
      </c>
      <c r="W279" s="15"/>
      <c r="X279" s="21">
        <f t="shared" si="126"/>
        <v>62.3</v>
      </c>
      <c r="Y279" s="21">
        <f t="shared" si="127"/>
        <v>91</v>
      </c>
    </row>
    <row r="280" ht="15.6" hidden="1" outlineLevel="2" spans="1:25">
      <c r="A280" s="15">
        <v>115</v>
      </c>
      <c r="B280" s="15">
        <v>34</v>
      </c>
      <c r="C280" s="14" t="s">
        <v>762</v>
      </c>
      <c r="D280" s="14" t="s">
        <v>46</v>
      </c>
      <c r="E280" s="15">
        <v>12.2</v>
      </c>
      <c r="F280" s="1">
        <f>LOOKUP(E280,{0,0.4,1.2,2,2.8,3.6,4.4,5.7,7,8.3,9.6,10.9,12.2,13.5,14.8,16.1,17.4,19.1,20.8,22.5,24.2},{0,10,20,30,40,50,60,62,64,66,68,70,72,74,76,78,80,85,90,95,100})</f>
        <v>72</v>
      </c>
      <c r="G280" s="15">
        <v>154</v>
      </c>
      <c r="H280" s="1">
        <f>LOOKUP(G280,{0,123,128,133,138,143,148,151,154,157,160,163,166,169,172,175,178,185,192,198,204},{0,10,20,30,40,50,60,62,64,66,68,70,72,74,76,78,80,85,90,95,100})</f>
        <v>64</v>
      </c>
      <c r="I280" s="15">
        <v>51</v>
      </c>
      <c r="J280" s="1">
        <f>LOOKUP(I280,{0,13,15,17,19,21,23,25,27,29,31,33,35,37,39,41,43,46,49,51,53},{0,10,20,30,40,50,60,62,64,66,68,70,72,74,76,78,80,85,90,95,100})</f>
        <v>95</v>
      </c>
      <c r="K280" s="20"/>
      <c r="L280" s="20"/>
      <c r="M280" s="21">
        <f t="shared" si="122"/>
        <v>95</v>
      </c>
      <c r="N280" s="15">
        <v>8.8</v>
      </c>
      <c r="O280" s="19">
        <f t="shared" si="123"/>
        <v>4.2</v>
      </c>
      <c r="P280" s="1">
        <f>LOOKUP(O280,{0,1.4,1.6,1.8,2,2.2,2.4,2.6,2.8,3,3.2,3.4,3.6,3.8,4,4.2,4.4,4.7,5,5.1,5.2},{0,10,20,30,40,50,60,62,64,66,68,70,72,74,76,78,80,85,90,95,100})</f>
        <v>78</v>
      </c>
      <c r="Q280" s="15">
        <v>3.36</v>
      </c>
      <c r="R280" s="15">
        <f t="shared" si="124"/>
        <v>6.64</v>
      </c>
      <c r="S280" s="1">
        <f>LOOKUP(R280,{0,4.7,4.8,4.9,5,5.5,5.6,5.65,5.7,5.75,5.8,5.85,5.9,5.95,6,6.45,6.5,6.57,6.64,6.7,6.76},{0,10,20,30,40,50,60,62,64,66,68,70,72,74,76,78,80,85,90,95,100})</f>
        <v>90</v>
      </c>
      <c r="T280" s="20"/>
      <c r="U280" s="20"/>
      <c r="V280" s="21">
        <f t="shared" si="125"/>
        <v>90</v>
      </c>
      <c r="W280" s="15"/>
      <c r="X280" s="21">
        <f t="shared" si="126"/>
        <v>56.7</v>
      </c>
      <c r="Y280" s="21">
        <f t="shared" si="127"/>
        <v>81</v>
      </c>
    </row>
    <row r="281" ht="15.6" hidden="1" outlineLevel="2" spans="1:25">
      <c r="A281" s="15">
        <v>115</v>
      </c>
      <c r="B281" s="15">
        <v>36</v>
      </c>
      <c r="C281" s="14" t="s">
        <v>764</v>
      </c>
      <c r="D281" s="14" t="s">
        <v>46</v>
      </c>
      <c r="E281" s="15">
        <v>15.3</v>
      </c>
      <c r="F281" s="1">
        <f>LOOKUP(E281,{0,0.4,1.2,2,2.8,3.6,4.4,5.7,7,8.3,9.6,10.9,12.2,13.5,14.8,16.1,17.4,19.1,20.8,22.5,24.2},{0,10,20,30,40,50,60,62,64,66,68,70,72,74,76,78,80,85,90,95,100})</f>
        <v>76</v>
      </c>
      <c r="G281" s="15">
        <v>212</v>
      </c>
      <c r="H281" s="1">
        <f>LOOKUP(G281,{0,123,128,133,138,143,148,151,154,157,160,163,166,169,172,175,178,185,192,198,204},{0,10,20,30,40,50,60,62,64,66,68,70,72,74,76,78,80,85,90,95,100})</f>
        <v>100</v>
      </c>
      <c r="I281" s="15">
        <v>33</v>
      </c>
      <c r="J281" s="1">
        <f>LOOKUP(I281,{0,13,15,17,19,21,23,25,27,29,31,33,35,37,39,41,43,46,49,51,53},{0,10,20,30,40,50,60,62,64,66,68,70,72,74,76,78,80,85,90,95,100})</f>
        <v>70</v>
      </c>
      <c r="K281" s="20"/>
      <c r="L281" s="20"/>
      <c r="M281" s="21">
        <f t="shared" si="122"/>
        <v>70</v>
      </c>
      <c r="N281" s="15">
        <v>8.4</v>
      </c>
      <c r="O281" s="19">
        <f t="shared" si="123"/>
        <v>4.6</v>
      </c>
      <c r="P281" s="1">
        <f>LOOKUP(O281,{0,1.4,1.6,1.8,2,2.2,2.4,2.6,2.8,3,3.2,3.4,3.6,3.8,4,4.2,4.4,4.7,5,5.1,5.2},{0,10,20,30,40,50,60,62,64,66,68,70,72,74,76,78,80,85,90,95,100})</f>
        <v>80</v>
      </c>
      <c r="Q281" s="15">
        <v>3.26</v>
      </c>
      <c r="R281" s="15">
        <f t="shared" si="124"/>
        <v>6.74</v>
      </c>
      <c r="S281" s="1">
        <f>LOOKUP(R281,{0,4.7,4.8,4.9,5,5.5,5.6,5.65,5.7,5.75,5.8,5.85,5.9,5.95,6,6.45,6.5,6.57,6.64,6.7,6.76},{0,10,20,30,40,50,60,62,64,66,68,70,72,74,76,78,80,85,90,95,100})</f>
        <v>95</v>
      </c>
      <c r="T281" s="20"/>
      <c r="U281" s="20"/>
      <c r="V281" s="21">
        <f t="shared" si="125"/>
        <v>95</v>
      </c>
      <c r="W281" s="15"/>
      <c r="X281" s="21">
        <f t="shared" si="126"/>
        <v>59.6</v>
      </c>
      <c r="Y281" s="21">
        <f t="shared" si="127"/>
        <v>85.1428571428572</v>
      </c>
    </row>
    <row r="282" ht="15.6" hidden="1" outlineLevel="2" spans="1:25">
      <c r="A282" s="15">
        <v>115</v>
      </c>
      <c r="B282" s="15">
        <v>37</v>
      </c>
      <c r="C282" s="14" t="s">
        <v>765</v>
      </c>
      <c r="D282" s="14" t="s">
        <v>46</v>
      </c>
      <c r="E282" s="15">
        <v>18.6</v>
      </c>
      <c r="F282" s="1">
        <f>LOOKUP(E282,{0,0.4,1.2,2,2.8,3.6,4.4,5.7,7,8.3,9.6,10.9,12.2,13.5,14.8,16.1,17.4,19.1,20.8,22.5,24.2},{0,10,20,30,40,50,60,62,64,66,68,70,72,74,76,78,80,85,90,95,100})</f>
        <v>80</v>
      </c>
      <c r="G282" s="15">
        <v>192</v>
      </c>
      <c r="H282" s="1">
        <f>LOOKUP(G282,{0,123,128,133,138,143,148,151,154,157,160,163,166,169,172,175,178,185,192,198,204},{0,10,20,30,40,50,60,62,64,66,68,70,72,74,76,78,80,85,90,95,100})</f>
        <v>90</v>
      </c>
      <c r="I282" s="15">
        <v>37</v>
      </c>
      <c r="J282" s="1">
        <f>LOOKUP(I282,{0,13,15,17,19,21,23,25,27,29,31,33,35,37,39,41,43,46,49,51,53},{0,10,20,30,40,50,60,62,64,66,68,70,72,74,76,78,80,85,90,95,100})</f>
        <v>74</v>
      </c>
      <c r="K282" s="20"/>
      <c r="L282" s="20"/>
      <c r="M282" s="21">
        <f t="shared" si="122"/>
        <v>74</v>
      </c>
      <c r="N282" s="15">
        <v>8.5</v>
      </c>
      <c r="O282" s="19">
        <f t="shared" si="123"/>
        <v>4.5</v>
      </c>
      <c r="P282" s="1">
        <f>LOOKUP(O282,{0,1.4,1.6,1.8,2,2.2,2.4,2.6,2.8,3,3.2,3.4,3.6,3.8,4,4.2,4.4,4.7,5,5.1,5.2},{0,10,20,30,40,50,60,62,64,66,68,70,72,74,76,78,80,85,90,95,100})</f>
        <v>80</v>
      </c>
      <c r="Q282" s="15">
        <v>3.33</v>
      </c>
      <c r="R282" s="15">
        <f t="shared" si="124"/>
        <v>6.67</v>
      </c>
      <c r="S282" s="1">
        <f>LOOKUP(R282,{0,4.7,4.8,4.9,5,5.5,5.6,5.65,5.7,5.75,5.8,5.85,5.9,5.95,6,6.45,6.5,6.57,6.64,6.7,6.76},{0,10,20,30,40,50,60,62,64,66,68,70,72,74,76,78,80,85,90,95,100})</f>
        <v>90</v>
      </c>
      <c r="T282" s="20"/>
      <c r="U282" s="20"/>
      <c r="V282" s="21">
        <f t="shared" si="125"/>
        <v>90</v>
      </c>
      <c r="W282" s="15"/>
      <c r="X282" s="21">
        <f t="shared" si="126"/>
        <v>58.4</v>
      </c>
      <c r="Y282" s="21">
        <f t="shared" si="127"/>
        <v>83.4285714285714</v>
      </c>
    </row>
    <row r="283" ht="15.6" hidden="1" outlineLevel="2" spans="1:25">
      <c r="A283" s="15">
        <v>115</v>
      </c>
      <c r="B283" s="15">
        <v>38</v>
      </c>
      <c r="C283" s="13" t="s">
        <v>767</v>
      </c>
      <c r="D283" s="14" t="s">
        <v>46</v>
      </c>
      <c r="E283" s="15">
        <v>21</v>
      </c>
      <c r="F283" s="1">
        <f>LOOKUP(E283,{0,0.4,1.2,2,2.8,3.6,4.4,5.7,7,8.3,9.6,10.9,12.2,13.5,14.8,16.1,17.4,19.1,20.8,22.5,24.2},{0,10,20,30,40,50,60,62,64,66,68,70,72,74,76,78,80,85,90,95,100})</f>
        <v>90</v>
      </c>
      <c r="G283" s="15">
        <v>180</v>
      </c>
      <c r="H283" s="1">
        <f>LOOKUP(G283,{0,123,128,133,138,143,148,151,154,157,160,163,166,169,172,175,178,185,192,198,204},{0,10,20,30,40,50,60,62,64,66,68,70,72,74,76,78,80,85,90,95,100})</f>
        <v>80</v>
      </c>
      <c r="I283" s="15">
        <v>48</v>
      </c>
      <c r="J283" s="1">
        <f>LOOKUP(I283,{0,13,15,17,19,21,23,25,27,29,31,33,35,37,39,41,43,46,49,51,53},{0,10,20,30,40,50,60,62,64,66,68,70,72,74,76,78,80,85,90,95,100})</f>
        <v>85</v>
      </c>
      <c r="K283" s="20"/>
      <c r="L283" s="20"/>
      <c r="M283" s="21">
        <f t="shared" si="122"/>
        <v>85</v>
      </c>
      <c r="N283" s="15">
        <v>8.2</v>
      </c>
      <c r="O283" s="19">
        <f t="shared" si="123"/>
        <v>4.8</v>
      </c>
      <c r="P283" s="1">
        <f>LOOKUP(O283,{0,1.4,1.6,1.8,2,2.2,2.4,2.6,2.8,3,3.2,3.4,3.6,3.8,4,4.2,4.4,4.7,5,5.1,5.2},{0,10,20,30,40,50,60,62,64,66,68,70,72,74,76,78,80,85,90,95,100})</f>
        <v>85</v>
      </c>
      <c r="Q283" s="15">
        <v>3.56</v>
      </c>
      <c r="R283" s="15">
        <f t="shared" si="124"/>
        <v>6.44</v>
      </c>
      <c r="S283" s="1">
        <f>LOOKUP(R283,{0,4.7,4.8,4.9,5,5.5,5.6,5.65,5.7,5.75,5.8,5.85,5.9,5.95,6,6.45,6.5,6.57,6.64,6.7,6.76},{0,10,20,30,40,50,60,62,64,66,68,70,72,74,76,78,80,85,90,95,100})</f>
        <v>76</v>
      </c>
      <c r="T283" s="20"/>
      <c r="U283" s="20"/>
      <c r="V283" s="21">
        <f t="shared" si="125"/>
        <v>76</v>
      </c>
      <c r="W283" s="15"/>
      <c r="X283" s="21">
        <f t="shared" si="126"/>
        <v>57.7</v>
      </c>
      <c r="Y283" s="21">
        <f t="shared" si="127"/>
        <v>82.4285714285714</v>
      </c>
    </row>
    <row r="284" ht="15.6" hidden="1" outlineLevel="2" spans="1:25">
      <c r="A284" s="15">
        <v>115</v>
      </c>
      <c r="B284" s="15">
        <v>39</v>
      </c>
      <c r="C284" s="14" t="s">
        <v>768</v>
      </c>
      <c r="D284" s="14" t="s">
        <v>46</v>
      </c>
      <c r="E284" s="15">
        <v>14</v>
      </c>
      <c r="F284" s="1">
        <f>LOOKUP(E284,{0,0.4,1.2,2,2.8,3.6,4.4,5.7,7,8.3,9.6,10.9,12.2,13.5,14.8,16.1,17.4,19.1,20.8,22.5,24.2},{0,10,20,30,40,50,60,62,64,66,68,70,72,74,76,78,80,85,90,95,100})</f>
        <v>74</v>
      </c>
      <c r="G284" s="15">
        <v>198</v>
      </c>
      <c r="H284" s="1">
        <f>LOOKUP(G284,{0,123,128,133,138,143,148,151,154,157,160,163,166,169,172,175,178,185,192,198,204},{0,10,20,30,40,50,60,62,64,66,68,70,72,74,76,78,80,85,90,95,100})</f>
        <v>95</v>
      </c>
      <c r="I284" s="15">
        <v>52</v>
      </c>
      <c r="J284" s="1">
        <f>LOOKUP(I284,{0,13,15,17,19,21,23,25,27,29,31,33,35,37,39,41,43,46,49,51,53},{0,10,20,30,40,50,60,62,64,66,68,70,72,74,76,78,80,85,90,95,100})</f>
        <v>95</v>
      </c>
      <c r="K284" s="20"/>
      <c r="L284" s="20"/>
      <c r="M284" s="21">
        <f t="shared" si="122"/>
        <v>95</v>
      </c>
      <c r="N284" s="15">
        <v>8.6</v>
      </c>
      <c r="O284" s="19">
        <f t="shared" si="123"/>
        <v>4.4</v>
      </c>
      <c r="P284" s="1">
        <f>LOOKUP(O284,{0,1.4,1.6,1.8,2,2.2,2.4,2.6,2.8,3,3.2,3.4,3.6,3.8,4,4.2,4.4,4.7,5,5.1,5.2},{0,10,20,30,40,50,60,62,64,66,68,70,72,74,76,78,80,85,90,95,100})</f>
        <v>80</v>
      </c>
      <c r="Q284" s="15">
        <v>3.4</v>
      </c>
      <c r="R284" s="15">
        <f t="shared" si="124"/>
        <v>6.6</v>
      </c>
      <c r="S284" s="1">
        <f>LOOKUP(R284,{0,4.7,4.8,4.9,5,5.5,5.6,5.65,5.7,5.75,5.8,5.85,5.9,5.95,6,6.45,6.5,6.57,6.64,6.7,6.76},{0,10,20,30,40,50,60,62,64,66,68,70,72,74,76,78,80,85,90,95,100})</f>
        <v>85</v>
      </c>
      <c r="T284" s="20"/>
      <c r="U284" s="20"/>
      <c r="V284" s="21">
        <f t="shared" si="125"/>
        <v>85</v>
      </c>
      <c r="W284" s="15"/>
      <c r="X284" s="21">
        <f t="shared" si="126"/>
        <v>59.4</v>
      </c>
      <c r="Y284" s="21">
        <f t="shared" si="127"/>
        <v>84.8571428571429</v>
      </c>
    </row>
    <row r="285" ht="15.6" hidden="1" outlineLevel="2" spans="1:25">
      <c r="A285" s="15">
        <v>115</v>
      </c>
      <c r="B285" s="15">
        <v>40</v>
      </c>
      <c r="C285" s="14" t="s">
        <v>769</v>
      </c>
      <c r="D285" s="14" t="s">
        <v>46</v>
      </c>
      <c r="E285" s="15">
        <v>13</v>
      </c>
      <c r="F285" s="1">
        <f>LOOKUP(E285,{0,0.4,1.2,2,2.8,3.6,4.4,5.7,7,8.3,9.6,10.9,12.2,13.5,14.8,16.1,17.4,19.1,20.8,22.5,24.2},{0,10,20,30,40,50,60,62,64,66,68,70,72,74,76,78,80,85,90,95,100})</f>
        <v>72</v>
      </c>
      <c r="G285" s="15">
        <v>170</v>
      </c>
      <c r="H285" s="1">
        <f>LOOKUP(G285,{0,123,128,133,138,143,148,151,154,157,160,163,166,169,172,175,178,185,192,198,204},{0,10,20,30,40,50,60,62,64,66,68,70,72,74,76,78,80,85,90,95,100})</f>
        <v>74</v>
      </c>
      <c r="I285" s="15">
        <v>50</v>
      </c>
      <c r="J285" s="1">
        <f>LOOKUP(I285,{0,13,15,17,19,21,23,25,27,29,31,33,35,37,39,41,43,46,49,51,53},{0,10,20,30,40,50,60,62,64,66,68,70,72,74,76,78,80,85,90,95,100})</f>
        <v>90</v>
      </c>
      <c r="K285" s="20"/>
      <c r="L285" s="20"/>
      <c r="M285" s="21">
        <f t="shared" si="122"/>
        <v>90</v>
      </c>
      <c r="N285" s="15">
        <v>8.1</v>
      </c>
      <c r="O285" s="19">
        <f t="shared" si="123"/>
        <v>4.9</v>
      </c>
      <c r="P285" s="1">
        <f>LOOKUP(O285,{0,1.4,1.6,1.8,2,2.2,2.4,2.6,2.8,3,3.2,3.4,3.6,3.8,4,4.2,4.4,4.7,5,5.1,5.2},{0,10,20,30,40,50,60,62,64,66,68,70,72,74,76,78,80,85,90,95,100})</f>
        <v>85</v>
      </c>
      <c r="Q285" s="15">
        <v>3.32</v>
      </c>
      <c r="R285" s="15">
        <f t="shared" si="124"/>
        <v>6.68</v>
      </c>
      <c r="S285" s="1">
        <f>LOOKUP(R285,{0,4.7,4.8,4.9,5,5.5,5.6,5.65,5.7,5.75,5.8,5.85,5.9,5.95,6,6.45,6.5,6.57,6.64,6.7,6.76},{0,10,20,30,40,50,60,62,64,66,68,70,72,74,76,78,80,85,90,95,100})</f>
        <v>90</v>
      </c>
      <c r="T285" s="20"/>
      <c r="U285" s="20"/>
      <c r="V285" s="21">
        <f t="shared" si="125"/>
        <v>90</v>
      </c>
      <c r="W285" s="15"/>
      <c r="X285" s="21">
        <f t="shared" si="126"/>
        <v>58.6</v>
      </c>
      <c r="Y285" s="21">
        <f t="shared" si="127"/>
        <v>83.7142857142857</v>
      </c>
    </row>
    <row r="286" ht="15.6" hidden="1" outlineLevel="2" spans="1:25">
      <c r="A286" s="15">
        <v>115</v>
      </c>
      <c r="B286" s="15">
        <v>41</v>
      </c>
      <c r="C286" s="14" t="s">
        <v>770</v>
      </c>
      <c r="D286" s="14" t="s">
        <v>46</v>
      </c>
      <c r="E286" s="15">
        <v>22.5</v>
      </c>
      <c r="F286" s="1">
        <f>LOOKUP(E286,{0,0.4,1.2,2,2.8,3.6,4.4,5.7,7,8.3,9.6,10.9,12.2,13.5,14.8,16.1,17.4,19.1,20.8,22.5,24.2},{0,10,20,30,40,50,60,62,64,66,68,70,72,74,76,78,80,85,90,95,100})</f>
        <v>95</v>
      </c>
      <c r="G286" s="15">
        <v>168</v>
      </c>
      <c r="H286" s="1">
        <f>LOOKUP(G286,{0,123,128,133,138,143,148,151,154,157,160,163,166,169,172,175,178,185,192,198,204},{0,10,20,30,40,50,60,62,64,66,68,70,72,74,76,78,80,85,90,95,100})</f>
        <v>72</v>
      </c>
      <c r="I286" s="15">
        <v>47</v>
      </c>
      <c r="J286" s="1">
        <f>LOOKUP(I286,{0,13,15,17,19,21,23,25,27,29,31,33,35,37,39,41,43,46,49,51,53},{0,10,20,30,40,50,60,62,64,66,68,70,72,74,76,78,80,85,90,95,100})</f>
        <v>85</v>
      </c>
      <c r="K286" s="20"/>
      <c r="L286" s="20"/>
      <c r="M286" s="21">
        <f t="shared" si="122"/>
        <v>85</v>
      </c>
      <c r="N286" s="15">
        <v>9.4</v>
      </c>
      <c r="O286" s="19">
        <f t="shared" si="123"/>
        <v>3.6</v>
      </c>
      <c r="P286" s="1">
        <f>LOOKUP(O286,{0,1.4,1.6,1.8,2,2.2,2.4,2.6,2.8,3,3.2,3.4,3.6,3.8,4,4.2,4.4,4.7,5,5.1,5.2},{0,10,20,30,40,50,60,62,64,66,68,70,72,74,76,78,80,85,90,95,100})</f>
        <v>72</v>
      </c>
      <c r="Q286" s="15">
        <v>3.48</v>
      </c>
      <c r="R286" s="15">
        <f t="shared" si="124"/>
        <v>6.52</v>
      </c>
      <c r="S286" s="1">
        <f>LOOKUP(R286,{0,4.7,4.8,4.9,5,5.5,5.6,5.65,5.7,5.75,5.8,5.85,5.9,5.95,6,6.45,6.5,6.57,6.64,6.7,6.76},{0,10,20,30,40,50,60,62,64,66,68,70,72,74,76,78,80,85,90,95,100})</f>
        <v>80</v>
      </c>
      <c r="T286" s="20"/>
      <c r="U286" s="20"/>
      <c r="V286" s="21">
        <f t="shared" si="125"/>
        <v>80</v>
      </c>
      <c r="W286" s="15"/>
      <c r="X286" s="21">
        <f t="shared" si="126"/>
        <v>55.6</v>
      </c>
      <c r="Y286" s="21">
        <f t="shared" si="127"/>
        <v>79.4285714285714</v>
      </c>
    </row>
    <row r="287" ht="15.6" hidden="1" outlineLevel="2" spans="1:25">
      <c r="A287" s="15">
        <v>115</v>
      </c>
      <c r="B287" s="15">
        <v>42</v>
      </c>
      <c r="C287" s="14" t="s">
        <v>771</v>
      </c>
      <c r="D287" s="14" t="s">
        <v>46</v>
      </c>
      <c r="E287" s="15">
        <v>13.5</v>
      </c>
      <c r="F287" s="1">
        <f>LOOKUP(E287,{0,0.4,1.2,2,2.8,3.6,4.4,5.7,7,8.3,9.6,10.9,12.2,13.5,14.8,16.1,17.4,19.1,20.8,22.5,24.2},{0,10,20,30,40,50,60,62,64,66,68,70,72,74,76,78,80,85,90,95,100})</f>
        <v>74</v>
      </c>
      <c r="G287" s="15">
        <v>195</v>
      </c>
      <c r="H287" s="1">
        <f>LOOKUP(G287,{0,123,128,133,138,143,148,151,154,157,160,163,166,169,172,175,178,185,192,198,204},{0,10,20,30,40,50,60,62,64,66,68,70,72,74,76,78,80,85,90,95,100})</f>
        <v>90</v>
      </c>
      <c r="I287" s="15">
        <v>53</v>
      </c>
      <c r="J287" s="1">
        <f>LOOKUP(I287,{0,13,15,17,19,21,23,25,27,29,31,33,35,37,39,41,43,46,49,51,53},{0,10,20,30,40,50,60,62,64,66,68,70,72,74,76,78,80,85,90,95,100})</f>
        <v>100</v>
      </c>
      <c r="K287" s="20">
        <f>I287-53</f>
        <v>0</v>
      </c>
      <c r="L287" s="1">
        <f>LOOKUP(K287,{0,2,4,6,7,8,9,10,11,12,13},{0,1,2,3,4,5,6,7,8,9,10})</f>
        <v>0</v>
      </c>
      <c r="M287" s="21">
        <f t="shared" si="122"/>
        <v>100</v>
      </c>
      <c r="N287" s="15">
        <v>7.6</v>
      </c>
      <c r="O287" s="19">
        <f t="shared" si="123"/>
        <v>5.4</v>
      </c>
      <c r="P287" s="1">
        <f>LOOKUP(O287,{0,1.4,1.6,1.8,2,2.2,2.4,2.6,2.8,3,3.2,3.4,3.6,3.8,4,4.2,4.4,4.7,5,5.1,5.2},{0,10,20,30,40,50,60,62,64,66,68,70,72,74,76,78,80,85,90,95,100})</f>
        <v>100</v>
      </c>
      <c r="Q287" s="15">
        <v>3.22</v>
      </c>
      <c r="R287" s="15">
        <f t="shared" si="124"/>
        <v>6.78</v>
      </c>
      <c r="S287" s="1">
        <f>LOOKUP(R287,{0,4.7,4.8,4.9,5,5.5,5.6,5.65,5.7,5.75,5.8,5.85,5.9,5.95,6,6.45,6.5,6.57,6.64,6.7,6.76},{0,10,20,30,40,50,60,62,64,66,68,70,72,74,76,78,80,85,90,95,100})</f>
        <v>100</v>
      </c>
      <c r="T287" s="24">
        <f>3.24-Q287</f>
        <v>0.02</v>
      </c>
      <c r="U287" s="1">
        <f>LOOKUP(T287,{0,0.05,0.1,0.15,0.2,0.25,0.3,0.35,0.4,0.45,0.5},{0,1,2,3,4,5,6,7,8,9,10})</f>
        <v>0</v>
      </c>
      <c r="V287" s="21">
        <f t="shared" si="125"/>
        <v>100</v>
      </c>
      <c r="W287" s="15"/>
      <c r="X287" s="21">
        <f t="shared" si="126"/>
        <v>66.4</v>
      </c>
      <c r="Y287" s="21">
        <f t="shared" si="127"/>
        <v>94.8571428571429</v>
      </c>
    </row>
    <row r="288" s="3" customFormat="1" ht="15.6" hidden="1" outlineLevel="2" spans="1:25">
      <c r="A288" s="15">
        <v>115</v>
      </c>
      <c r="B288" s="15">
        <v>43</v>
      </c>
      <c r="C288" s="14" t="s">
        <v>772</v>
      </c>
      <c r="D288" s="14" t="s">
        <v>46</v>
      </c>
      <c r="E288" s="15">
        <v>20</v>
      </c>
      <c r="F288" s="1">
        <f>LOOKUP(E288,{0,0.4,1.2,2,2.8,3.6,4.4,5.7,7,8.3,9.6,10.9,12.2,13.5,14.8,16.1,17.4,19.1,20.8,22.5,24.2},{0,10,20,30,40,50,60,62,64,66,68,70,72,74,76,78,80,85,90,95,100})</f>
        <v>85</v>
      </c>
      <c r="G288" s="15">
        <v>174</v>
      </c>
      <c r="H288" s="1">
        <f>LOOKUP(G288,{0,123,128,133,138,143,148,151,154,157,160,163,166,169,172,175,178,185,192,198,204},{0,10,20,30,40,50,60,62,64,66,68,70,72,74,76,78,80,85,90,95,100})</f>
        <v>76</v>
      </c>
      <c r="I288" s="15">
        <v>46</v>
      </c>
      <c r="J288" s="1">
        <f>LOOKUP(I288,{0,13,15,17,19,21,23,25,27,29,31,33,35,37,39,41,43,46,49,51,53},{0,10,20,30,40,50,60,62,64,66,68,70,72,74,76,78,80,85,90,95,100})</f>
        <v>85</v>
      </c>
      <c r="K288" s="20"/>
      <c r="L288" s="20"/>
      <c r="M288" s="21">
        <f t="shared" si="122"/>
        <v>85</v>
      </c>
      <c r="N288" s="15">
        <v>8.4</v>
      </c>
      <c r="O288" s="19">
        <f t="shared" si="123"/>
        <v>4.6</v>
      </c>
      <c r="P288" s="1">
        <f>LOOKUP(O288,{0,1.4,1.6,1.8,2,2.2,2.4,2.6,2.8,3,3.2,3.4,3.6,3.8,4,4.2,4.4,4.7,5,5.1,5.2},{0,10,20,30,40,50,60,62,64,66,68,70,72,74,76,78,80,85,90,95,100})</f>
        <v>80</v>
      </c>
      <c r="Q288" s="15">
        <v>3.43</v>
      </c>
      <c r="R288" s="15">
        <f t="shared" si="124"/>
        <v>6.57</v>
      </c>
      <c r="S288" s="1">
        <f>LOOKUP(R288,{0,4.7,4.8,4.9,5,5.5,5.6,5.65,5.7,5.75,5.8,5.85,5.9,5.95,6,6.45,6.5,6.57,6.64,6.7,6.76},{0,10,20,30,40,50,60,62,64,66,68,70,72,74,76,78,80,85,90,95,100})</f>
        <v>85</v>
      </c>
      <c r="T288" s="20"/>
      <c r="U288" s="20"/>
      <c r="V288" s="21">
        <f t="shared" si="125"/>
        <v>85</v>
      </c>
      <c r="W288" s="15"/>
      <c r="X288" s="21">
        <f t="shared" si="126"/>
        <v>57.6</v>
      </c>
      <c r="Y288" s="21">
        <f t="shared" si="127"/>
        <v>82.2857142857143</v>
      </c>
    </row>
    <row r="289" ht="15.6" hidden="1" outlineLevel="2" spans="1:25">
      <c r="A289" s="15">
        <v>115</v>
      </c>
      <c r="B289" s="15">
        <v>44</v>
      </c>
      <c r="C289" s="14" t="s">
        <v>773</v>
      </c>
      <c r="D289" s="14" t="s">
        <v>46</v>
      </c>
      <c r="E289" s="15">
        <v>15</v>
      </c>
      <c r="F289" s="1">
        <f>LOOKUP(E289,{0,0.4,1.2,2,2.8,3.6,4.4,5.7,7,8.3,9.6,10.9,12.2,13.5,14.8,16.1,17.4,19.1,20.8,22.5,24.2},{0,10,20,30,40,50,60,62,64,66,68,70,72,74,76,78,80,85,90,95,100})</f>
        <v>76</v>
      </c>
      <c r="G289" s="15">
        <v>185</v>
      </c>
      <c r="H289" s="1">
        <f>LOOKUP(G289,{0,123,128,133,138,143,148,151,154,157,160,163,166,169,172,175,178,185,192,198,204},{0,10,20,30,40,50,60,62,64,66,68,70,72,74,76,78,80,85,90,95,100})</f>
        <v>85</v>
      </c>
      <c r="I289" s="15">
        <v>51</v>
      </c>
      <c r="J289" s="1">
        <f>LOOKUP(I289,{0,13,15,17,19,21,23,25,27,29,31,33,35,37,39,41,43,46,49,51,53},{0,10,20,30,40,50,60,62,64,66,68,70,72,74,76,78,80,85,90,95,100})</f>
        <v>95</v>
      </c>
      <c r="K289" s="20"/>
      <c r="L289" s="20"/>
      <c r="M289" s="21">
        <f t="shared" si="122"/>
        <v>95</v>
      </c>
      <c r="N289" s="15">
        <v>8.5</v>
      </c>
      <c r="O289" s="19">
        <f t="shared" si="123"/>
        <v>4.5</v>
      </c>
      <c r="P289" s="1">
        <f>LOOKUP(O289,{0,1.4,1.6,1.8,2,2.2,2.4,2.6,2.8,3,3.2,3.4,3.6,3.8,4,4.2,4.4,4.7,5,5.1,5.2},{0,10,20,30,40,50,60,62,64,66,68,70,72,74,76,78,80,85,90,95,100})</f>
        <v>80</v>
      </c>
      <c r="Q289" s="15">
        <v>3.39</v>
      </c>
      <c r="R289" s="15">
        <f t="shared" si="124"/>
        <v>6.61</v>
      </c>
      <c r="S289" s="1">
        <f>LOOKUP(R289,{0,4.7,4.8,4.9,5,5.5,5.6,5.65,5.7,5.75,5.8,5.85,5.9,5.95,6,6.45,6.5,6.57,6.64,6.7,6.76},{0,10,20,30,40,50,60,62,64,66,68,70,72,74,76,78,80,85,90,95,100})</f>
        <v>85</v>
      </c>
      <c r="T289" s="20"/>
      <c r="U289" s="20"/>
      <c r="V289" s="21">
        <f t="shared" si="125"/>
        <v>85</v>
      </c>
      <c r="W289" s="15"/>
      <c r="X289" s="21">
        <f t="shared" si="126"/>
        <v>58.6</v>
      </c>
      <c r="Y289" s="21">
        <f t="shared" si="127"/>
        <v>83.7142857142857</v>
      </c>
    </row>
    <row r="290" ht="15.6" hidden="1" outlineLevel="2" spans="1:25">
      <c r="A290" s="15">
        <v>115</v>
      </c>
      <c r="B290" s="15">
        <v>45</v>
      </c>
      <c r="C290" s="14" t="s">
        <v>774</v>
      </c>
      <c r="D290" s="14" t="s">
        <v>46</v>
      </c>
      <c r="E290" s="15">
        <v>19.5</v>
      </c>
      <c r="F290" s="1">
        <f>LOOKUP(E290,{0,0.4,1.2,2,2.8,3.6,4.4,5.7,7,8.3,9.6,10.9,12.2,13.5,14.8,16.1,17.4,19.1,20.8,22.5,24.2},{0,10,20,30,40,50,60,62,64,66,68,70,72,74,76,78,80,85,90,95,100})</f>
        <v>85</v>
      </c>
      <c r="G290" s="15">
        <v>178</v>
      </c>
      <c r="H290" s="1">
        <f>LOOKUP(G290,{0,123,128,133,138,143,148,151,154,157,160,163,166,169,172,175,178,185,192,198,204},{0,10,20,30,40,50,60,62,64,66,68,70,72,74,76,78,80,85,90,95,100})</f>
        <v>80</v>
      </c>
      <c r="I290" s="15">
        <v>41</v>
      </c>
      <c r="J290" s="1">
        <f>LOOKUP(I290,{0,13,15,17,19,21,23,25,27,29,31,33,35,37,39,41,43,46,49,51,53},{0,10,20,30,40,50,60,62,64,66,68,70,72,74,76,78,80,85,90,95,100})</f>
        <v>78</v>
      </c>
      <c r="K290" s="20"/>
      <c r="L290" s="20"/>
      <c r="M290" s="21">
        <f t="shared" si="122"/>
        <v>78</v>
      </c>
      <c r="N290" s="15">
        <v>9</v>
      </c>
      <c r="O290" s="19">
        <f t="shared" si="123"/>
        <v>4</v>
      </c>
      <c r="P290" s="1">
        <f>LOOKUP(O290,{0,1.4,1.6,1.8,2,2.2,2.4,2.6,2.8,3,3.2,3.4,3.6,3.8,4,4.2,4.4,4.7,5,5.1,5.2},{0,10,20,30,40,50,60,62,64,66,68,70,72,74,76,78,80,85,90,95,100})</f>
        <v>76</v>
      </c>
      <c r="Q290" s="15">
        <v>3.49</v>
      </c>
      <c r="R290" s="15">
        <f t="shared" si="124"/>
        <v>6.51</v>
      </c>
      <c r="S290" s="1">
        <f>LOOKUP(R290,{0,4.7,4.8,4.9,5,5.5,5.6,5.65,5.7,5.75,5.8,5.85,5.9,5.95,6,6.45,6.5,6.57,6.64,6.7,6.76},{0,10,20,30,40,50,60,62,64,66,68,70,72,74,76,78,80,85,90,95,100})</f>
        <v>80</v>
      </c>
      <c r="T290" s="20"/>
      <c r="U290" s="20"/>
      <c r="V290" s="21">
        <f t="shared" si="125"/>
        <v>80</v>
      </c>
      <c r="W290" s="15"/>
      <c r="X290" s="21">
        <f t="shared" si="126"/>
        <v>55.5</v>
      </c>
      <c r="Y290" s="21">
        <f t="shared" si="127"/>
        <v>79.2857142857143</v>
      </c>
    </row>
    <row r="291" ht="15.6" hidden="1" outlineLevel="2" spans="1:25">
      <c r="A291" s="15">
        <v>115</v>
      </c>
      <c r="B291" s="15">
        <v>46</v>
      </c>
      <c r="C291" s="14" t="s">
        <v>775</v>
      </c>
      <c r="D291" s="14" t="s">
        <v>46</v>
      </c>
      <c r="E291" s="15">
        <v>12</v>
      </c>
      <c r="F291" s="1">
        <f>LOOKUP(E291,{0,0.4,1.2,2,2.8,3.6,4.4,5.7,7,8.3,9.6,10.9,12.2,13.5,14.8,16.1,17.4,19.1,20.8,22.5,24.2},{0,10,20,30,40,50,60,62,64,66,68,70,72,74,76,78,80,85,90,95,100})</f>
        <v>70</v>
      </c>
      <c r="G291" s="15">
        <v>185</v>
      </c>
      <c r="H291" s="1">
        <f>LOOKUP(G291,{0,123,128,133,138,143,148,151,154,157,160,163,166,169,172,175,178,185,192,198,204},{0,10,20,30,40,50,60,62,64,66,68,70,72,74,76,78,80,85,90,95,100})</f>
        <v>85</v>
      </c>
      <c r="I291" s="15">
        <v>53</v>
      </c>
      <c r="J291" s="1">
        <f>LOOKUP(I291,{0,13,15,17,19,21,23,25,27,29,31,33,35,37,39,41,43,46,49,51,53},{0,10,20,30,40,50,60,62,64,66,68,70,72,74,76,78,80,85,90,95,100})</f>
        <v>100</v>
      </c>
      <c r="K291" s="20">
        <f t="shared" ref="K291:K294" si="129">I291-53</f>
        <v>0</v>
      </c>
      <c r="L291" s="1">
        <f>LOOKUP(K291,{0,2,4,6,7,8,9,10,11,12,13},{0,1,2,3,4,5,6,7,8,9,10})</f>
        <v>0</v>
      </c>
      <c r="M291" s="21">
        <f t="shared" si="122"/>
        <v>100</v>
      </c>
      <c r="N291" s="15">
        <v>8.1</v>
      </c>
      <c r="O291" s="19">
        <f t="shared" si="123"/>
        <v>4.9</v>
      </c>
      <c r="P291" s="1">
        <f>LOOKUP(O291,{0,1.4,1.6,1.8,2,2.2,2.4,2.6,2.8,3,3.2,3.4,3.6,3.8,4,4.2,4.4,4.7,5,5.1,5.2},{0,10,20,30,40,50,60,62,64,66,68,70,72,74,76,78,80,85,90,95,100})</f>
        <v>85</v>
      </c>
      <c r="Q291" s="15">
        <v>3.25</v>
      </c>
      <c r="R291" s="15">
        <f t="shared" si="124"/>
        <v>6.75</v>
      </c>
      <c r="S291" s="1">
        <f>LOOKUP(R291,{0,4.7,4.8,4.9,5,5.5,5.6,5.65,5.7,5.75,5.8,5.85,5.9,5.95,6,6.45,6.5,6.57,6.64,6.7,6.76},{0,10,20,30,40,50,60,62,64,66,68,70,72,74,76,78,80,85,90,95,100})</f>
        <v>95</v>
      </c>
      <c r="T291" s="20"/>
      <c r="U291" s="20"/>
      <c r="V291" s="21">
        <f t="shared" si="125"/>
        <v>95</v>
      </c>
      <c r="W291" s="15"/>
      <c r="X291" s="21">
        <f t="shared" si="126"/>
        <v>61.5</v>
      </c>
      <c r="Y291" s="21">
        <f t="shared" si="127"/>
        <v>87.8571428571429</v>
      </c>
    </row>
    <row r="292" ht="15.6" hidden="1" outlineLevel="2" spans="1:25">
      <c r="A292" s="15">
        <v>115</v>
      </c>
      <c r="B292" s="15">
        <v>47</v>
      </c>
      <c r="C292" s="14" t="s">
        <v>776</v>
      </c>
      <c r="D292" s="14" t="s">
        <v>46</v>
      </c>
      <c r="E292" s="15">
        <v>18</v>
      </c>
      <c r="F292" s="1">
        <f>LOOKUP(E292,{0,0.4,1.2,2,2.8,3.6,4.4,5.7,7,8.3,9.6,10.9,12.2,13.5,14.8,16.1,17.4,19.1,20.8,22.5,24.2},{0,10,20,30,40,50,60,62,64,66,68,70,72,74,76,78,80,85,90,95,100})</f>
        <v>80</v>
      </c>
      <c r="G292" s="15">
        <v>180</v>
      </c>
      <c r="H292" s="1">
        <f>LOOKUP(G292,{0,123,128,133,138,143,148,151,154,157,160,163,166,169,172,175,178,185,192,198,204},{0,10,20,30,40,50,60,62,64,66,68,70,72,74,76,78,80,85,90,95,100})</f>
        <v>80</v>
      </c>
      <c r="I292" s="15">
        <v>49</v>
      </c>
      <c r="J292" s="1">
        <f>LOOKUP(I292,{0,13,15,17,19,21,23,25,27,29,31,33,35,37,39,41,43,46,49,51,53},{0,10,20,30,40,50,60,62,64,66,68,70,72,74,76,78,80,85,90,95,100})</f>
        <v>90</v>
      </c>
      <c r="K292" s="20"/>
      <c r="L292" s="20"/>
      <c r="M292" s="21">
        <f t="shared" si="122"/>
        <v>90</v>
      </c>
      <c r="N292" s="15">
        <v>8.7</v>
      </c>
      <c r="O292" s="19">
        <f t="shared" si="123"/>
        <v>4.3</v>
      </c>
      <c r="P292" s="1">
        <f>LOOKUP(O292,{0,1.4,1.6,1.8,2,2.2,2.4,2.6,2.8,3,3.2,3.4,3.6,3.8,4,4.2,4.4,4.7,5,5.1,5.2},{0,10,20,30,40,50,60,62,64,66,68,70,72,74,76,78,80,85,90,95,100})</f>
        <v>78</v>
      </c>
      <c r="Q292" s="15">
        <v>3.27</v>
      </c>
      <c r="R292" s="15">
        <f t="shared" si="124"/>
        <v>6.73</v>
      </c>
      <c r="S292" s="1">
        <f>LOOKUP(R292,{0,4.7,4.8,4.9,5,5.5,5.6,5.65,5.7,5.75,5.8,5.85,5.9,5.95,6,6.45,6.5,6.57,6.64,6.7,6.76},{0,10,20,30,40,50,60,62,64,66,68,70,72,74,76,78,80,85,90,95,100})</f>
        <v>95</v>
      </c>
      <c r="T292" s="20"/>
      <c r="U292" s="20"/>
      <c r="V292" s="21">
        <f t="shared" si="125"/>
        <v>95</v>
      </c>
      <c r="W292" s="15"/>
      <c r="X292" s="21">
        <f t="shared" si="126"/>
        <v>59.6</v>
      </c>
      <c r="Y292" s="21">
        <f t="shared" si="127"/>
        <v>85.1428571428572</v>
      </c>
    </row>
    <row r="293" ht="15.6" hidden="1" outlineLevel="2" spans="1:25">
      <c r="A293" s="15">
        <v>115</v>
      </c>
      <c r="B293" s="15">
        <v>48</v>
      </c>
      <c r="C293" s="14" t="s">
        <v>777</v>
      </c>
      <c r="D293" s="14" t="s">
        <v>46</v>
      </c>
      <c r="E293" s="15">
        <v>19</v>
      </c>
      <c r="F293" s="1">
        <f>LOOKUP(E293,{0,0.4,1.2,2,2.8,3.6,4.4,5.7,7,8.3,9.6,10.9,12.2,13.5,14.8,16.1,17.4,19.1,20.8,22.5,24.2},{0,10,20,30,40,50,60,62,64,66,68,70,72,74,76,78,80,85,90,95,100})</f>
        <v>80</v>
      </c>
      <c r="G293" s="15">
        <v>180</v>
      </c>
      <c r="H293" s="1">
        <f>LOOKUP(G293,{0,123,128,133,138,143,148,151,154,157,160,163,166,169,172,175,178,185,192,198,204},{0,10,20,30,40,50,60,62,64,66,68,70,72,74,76,78,80,85,90,95,100})</f>
        <v>80</v>
      </c>
      <c r="I293" s="15">
        <v>53</v>
      </c>
      <c r="J293" s="1">
        <f>LOOKUP(I293,{0,13,15,17,19,21,23,25,27,29,31,33,35,37,39,41,43,46,49,51,53},{0,10,20,30,40,50,60,62,64,66,68,70,72,74,76,78,80,85,90,95,100})</f>
        <v>100</v>
      </c>
      <c r="K293" s="20">
        <f t="shared" si="129"/>
        <v>0</v>
      </c>
      <c r="L293" s="1">
        <f>LOOKUP(K293,{0,2,4,6,7,8,9,10,11,12,13},{0,1,2,3,4,5,6,7,8,9,10})</f>
        <v>0</v>
      </c>
      <c r="M293" s="21">
        <f t="shared" si="122"/>
        <v>100</v>
      </c>
      <c r="N293" s="15">
        <v>9.2</v>
      </c>
      <c r="O293" s="19">
        <f t="shared" si="123"/>
        <v>3.8</v>
      </c>
      <c r="P293" s="1">
        <f>LOOKUP(O293,{0,1.4,1.6,1.8,2,2.2,2.4,2.6,2.8,3,3.2,3.4,3.6,3.8,4,4.2,4.4,4.7,5,5.1,5.2},{0,10,20,30,40,50,60,62,64,66,68,70,72,74,76,78,80,85,90,95,100})</f>
        <v>74</v>
      </c>
      <c r="Q293" s="15">
        <v>4.13</v>
      </c>
      <c r="R293" s="15">
        <f t="shared" si="124"/>
        <v>5.87</v>
      </c>
      <c r="S293" s="1">
        <f>LOOKUP(R293,{0,4.7,4.8,4.9,5,5.5,5.6,5.65,5.7,5.75,5.8,5.85,5.9,5.95,6,6.45,6.5,6.57,6.64,6.7,6.76},{0,10,20,30,40,50,60,62,64,66,68,70,72,74,76,78,80,85,90,95,100})</f>
        <v>70</v>
      </c>
      <c r="T293" s="20"/>
      <c r="U293" s="20"/>
      <c r="V293" s="21">
        <f t="shared" si="125"/>
        <v>70</v>
      </c>
      <c r="W293" s="15"/>
      <c r="X293" s="21">
        <f t="shared" si="126"/>
        <v>54.8</v>
      </c>
      <c r="Y293" s="21">
        <f t="shared" si="127"/>
        <v>78.2857142857143</v>
      </c>
    </row>
    <row r="294" ht="15.6" hidden="1" outlineLevel="2" spans="1:25">
      <c r="A294" s="15">
        <v>115</v>
      </c>
      <c r="B294" s="15">
        <v>49</v>
      </c>
      <c r="C294" s="14" t="s">
        <v>778</v>
      </c>
      <c r="D294" s="14" t="s">
        <v>46</v>
      </c>
      <c r="E294" s="15">
        <v>24.5</v>
      </c>
      <c r="F294" s="1">
        <f>LOOKUP(E294,{0,0.4,1.2,2,2.8,3.6,4.4,5.7,7,8.3,9.6,10.9,12.2,13.5,14.8,16.1,17.4,19.1,20.8,22.5,24.2},{0,10,20,30,40,50,60,62,64,66,68,70,72,74,76,78,80,85,90,95,100})</f>
        <v>100</v>
      </c>
      <c r="G294" s="15">
        <v>190</v>
      </c>
      <c r="H294" s="1">
        <f>LOOKUP(G294,{0,123,128,133,138,143,148,151,154,157,160,163,166,169,172,175,178,185,192,198,204},{0,10,20,30,40,50,60,62,64,66,68,70,72,74,76,78,80,85,90,95,100})</f>
        <v>85</v>
      </c>
      <c r="I294" s="15">
        <v>53</v>
      </c>
      <c r="J294" s="1">
        <f>LOOKUP(I294,{0,13,15,17,19,21,23,25,27,29,31,33,35,37,39,41,43,46,49,51,53},{0,10,20,30,40,50,60,62,64,66,68,70,72,74,76,78,80,85,90,95,100})</f>
        <v>100</v>
      </c>
      <c r="K294" s="20">
        <f t="shared" si="129"/>
        <v>0</v>
      </c>
      <c r="L294" s="1">
        <f>LOOKUP(K294,{0,2,4,6,7,8,9,10,11,12,13},{0,1,2,3,4,5,6,7,8,9,10})</f>
        <v>0</v>
      </c>
      <c r="M294" s="21">
        <f t="shared" si="122"/>
        <v>100</v>
      </c>
      <c r="N294" s="15">
        <v>8.6</v>
      </c>
      <c r="O294" s="19">
        <f t="shared" si="123"/>
        <v>4.4</v>
      </c>
      <c r="P294" s="1">
        <f>LOOKUP(O294,{0,1.4,1.6,1.8,2,2.2,2.4,2.6,2.8,3,3.2,3.4,3.6,3.8,4,4.2,4.4,4.7,5,5.1,5.2},{0,10,20,30,40,50,60,62,64,66,68,70,72,74,76,78,80,85,90,95,100})</f>
        <v>80</v>
      </c>
      <c r="Q294" s="15">
        <v>4.02</v>
      </c>
      <c r="R294" s="15">
        <f t="shared" si="124"/>
        <v>5.98</v>
      </c>
      <c r="S294" s="1">
        <f>LOOKUP(R294,{0,4.7,4.8,4.9,5,5.5,5.6,5.65,5.7,5.75,5.8,5.85,5.9,5.95,6,6.45,6.5,6.57,6.64,6.7,6.76},{0,10,20,30,40,50,60,62,64,66,68,70,72,74,76,78,80,85,90,95,100})</f>
        <v>74</v>
      </c>
      <c r="T294" s="20"/>
      <c r="U294" s="20"/>
      <c r="V294" s="21">
        <f t="shared" si="125"/>
        <v>74</v>
      </c>
      <c r="W294" s="15"/>
      <c r="X294" s="21">
        <f t="shared" si="126"/>
        <v>59.3</v>
      </c>
      <c r="Y294" s="21">
        <f t="shared" si="127"/>
        <v>84.7142857142857</v>
      </c>
    </row>
    <row r="295" ht="15.6" outlineLevel="1" collapsed="1" spans="1:25">
      <c r="A295" s="16" t="s">
        <v>856</v>
      </c>
      <c r="B295" s="15"/>
      <c r="C295" s="14"/>
      <c r="D295" s="14"/>
      <c r="E295" s="15"/>
      <c r="F295" s="1">
        <f>SUBTOTAL(1,F272:F294)</f>
        <v>81.4782608695652</v>
      </c>
      <c r="G295" s="15"/>
      <c r="H295" s="1">
        <f>SUBTOTAL(1,H272:H294)</f>
        <v>83.9130434782609</v>
      </c>
      <c r="I295" s="15"/>
      <c r="J295" s="1">
        <f>SUBTOTAL(1,J272:J294)</f>
        <v>86.5652173913043</v>
      </c>
      <c r="K295" s="20"/>
      <c r="L295" s="1"/>
      <c r="M295" s="21">
        <f>SUBTOTAL(1,M272:M294)</f>
        <v>86.6521739130435</v>
      </c>
      <c r="N295" s="15"/>
      <c r="O295" s="19"/>
      <c r="P295" s="1">
        <f>SUBTOTAL(1,P272:P294)</f>
        <v>81.4782608695652</v>
      </c>
      <c r="Q295" s="15"/>
      <c r="R295" s="15"/>
      <c r="S295" s="1">
        <f>SUBTOTAL(1,S272:S294)</f>
        <v>86.5217391304348</v>
      </c>
      <c r="T295" s="20"/>
      <c r="U295" s="20"/>
      <c r="V295" s="21">
        <f>SUBTOTAL(1,V272:V294)</f>
        <v>86.6086956521739</v>
      </c>
      <c r="W295" s="15"/>
      <c r="X295" s="21">
        <f>SUBTOTAL(1,X272:X294)</f>
        <v>58.795652173913</v>
      </c>
      <c r="Y295" s="21">
        <f>SUBTOTAL(1,Y272:Y294)</f>
        <v>84.167701863354</v>
      </c>
    </row>
    <row r="296" ht="15.6" hidden="1" outlineLevel="2" spans="1:25">
      <c r="A296" s="15">
        <v>116</v>
      </c>
      <c r="B296" s="15">
        <v>27</v>
      </c>
      <c r="C296" s="13" t="s">
        <v>807</v>
      </c>
      <c r="D296" s="14" t="s">
        <v>46</v>
      </c>
      <c r="E296" s="15">
        <v>25.1</v>
      </c>
      <c r="F296" s="1">
        <f>LOOKUP(E296,{0,0.4,1.2,2,2.8,3.6,4.4,5.7,7,8.3,9.6,10.9,12.2,13.5,14.8,16.1,17.4,19.1,20.8,22.5,24.2},{0,10,20,30,40,50,60,62,64,66,68,70,72,74,76,78,80,85,90,95,100})</f>
        <v>100</v>
      </c>
      <c r="G296" s="15">
        <v>173</v>
      </c>
      <c r="H296" s="1">
        <f>LOOKUP(G296,{0,123,128,133,138,143,148,151,154,157,160,163,166,169,172,175,178,185,192,198,204},{0,10,20,30,40,50,60,62,64,66,68,70,72,74,76,78,80,85,90,95,100})</f>
        <v>76</v>
      </c>
      <c r="I296" s="15">
        <v>44</v>
      </c>
      <c r="J296" s="1">
        <f>LOOKUP(I296,{0,13,15,17,19,21,23,25,27,29,31,33,35,37,39,41,43,46,49,51,53},{0,10,20,30,40,50,60,62,64,66,68,70,72,74,76,78,80,85,90,95,100})</f>
        <v>80</v>
      </c>
      <c r="K296" s="20"/>
      <c r="L296" s="20"/>
      <c r="M296" s="21">
        <f t="shared" ref="M296:M307" si="130">J296+L296</f>
        <v>80</v>
      </c>
      <c r="N296" s="15">
        <v>8.8</v>
      </c>
      <c r="O296" s="19">
        <f t="shared" ref="O296:O310" si="131">13-N296</f>
        <v>4.2</v>
      </c>
      <c r="P296" s="1">
        <f>LOOKUP(O296,{0,1.4,1.6,1.8,2,2.2,2.4,2.6,2.8,3,3.2,3.4,3.6,3.8,4,4.2,4.4,4.7,5,5.1,5.2},{0,10,20,30,40,50,60,62,64,66,68,70,72,74,76,78,80,85,90,95,100})</f>
        <v>78</v>
      </c>
      <c r="Q296" s="15">
        <v>3.22</v>
      </c>
      <c r="R296" s="15">
        <f t="shared" ref="R296:R310" si="132">10-Q296</f>
        <v>6.78</v>
      </c>
      <c r="S296" s="1">
        <f>LOOKUP(R296,{0,4.7,4.8,4.9,5,5.5,5.6,5.65,5.7,5.75,5.8,5.85,5.9,5.95,6,6.45,6.5,6.57,6.64,6.7,6.76},{0,10,20,30,40,50,60,62,64,66,68,70,72,74,76,78,80,85,90,95,100})</f>
        <v>100</v>
      </c>
      <c r="T296" s="24">
        <f>3.24-Q296</f>
        <v>0.02</v>
      </c>
      <c r="U296" s="1">
        <f>LOOKUP(T296,{0,0.05,0.1,0.15,0.2,0.25,0.3,0.35,0.4,0.45,0.5},{0,1,2,3,4,5,6,7,8,9,10})</f>
        <v>0</v>
      </c>
      <c r="V296" s="21">
        <f t="shared" ref="V296:V310" si="133">S296+U296</f>
        <v>100</v>
      </c>
      <c r="W296" s="15"/>
      <c r="X296" s="21">
        <f t="shared" ref="X296:X319" si="134">F296*0.1+H296*0.1+J296*0.1+P296*0.2+S296*0.2</f>
        <v>61.2</v>
      </c>
      <c r="Y296" s="21">
        <f t="shared" ref="Y296:Y310" si="135">X296/0.7+L296+U296</f>
        <v>87.4285714285714</v>
      </c>
    </row>
    <row r="297" s="3" customFormat="1" ht="15.6" hidden="1" outlineLevel="2" spans="1:25">
      <c r="A297" s="15">
        <v>116</v>
      </c>
      <c r="B297" s="15">
        <v>28</v>
      </c>
      <c r="C297" s="14" t="s">
        <v>808</v>
      </c>
      <c r="D297" s="14" t="s">
        <v>46</v>
      </c>
      <c r="E297" s="15">
        <v>19.6</v>
      </c>
      <c r="F297" s="1">
        <f>LOOKUP(E297,{0,0.4,1.2,2,2.8,3.6,4.4,5.7,7,8.3,9.6,10.9,12.2,13.5,14.8,16.1,17.4,19.1,20.8,22.5,24.2},{0,10,20,30,40,50,60,62,64,66,68,70,72,74,76,78,80,85,90,95,100})</f>
        <v>85</v>
      </c>
      <c r="G297" s="15">
        <v>208</v>
      </c>
      <c r="H297" s="1">
        <f>LOOKUP(G297,{0,123,128,133,138,143,148,151,154,157,160,163,166,169,172,175,178,185,192,198,204},{0,10,20,30,40,50,60,62,64,66,68,70,72,74,76,78,80,85,90,95,100})</f>
        <v>100</v>
      </c>
      <c r="I297" s="15">
        <v>40</v>
      </c>
      <c r="J297" s="1">
        <f>LOOKUP(I297,{0,13,15,17,19,21,23,25,27,29,31,33,35,37,39,41,43,46,49,51,53},{0,10,20,30,40,50,60,62,64,66,68,70,72,74,76,78,80,85,90,95,100})</f>
        <v>76</v>
      </c>
      <c r="K297" s="20"/>
      <c r="L297" s="20"/>
      <c r="M297" s="21">
        <f t="shared" si="130"/>
        <v>76</v>
      </c>
      <c r="N297" s="15">
        <v>8.5</v>
      </c>
      <c r="O297" s="19">
        <f t="shared" si="131"/>
        <v>4.5</v>
      </c>
      <c r="P297" s="1">
        <f>LOOKUP(O297,{0,1.4,1.6,1.8,2,2.2,2.4,2.6,2.8,3,3.2,3.4,3.6,3.8,4,4.2,4.4,4.7,5,5.1,5.2},{0,10,20,30,40,50,60,62,64,66,68,70,72,74,76,78,80,85,90,95,100})</f>
        <v>80</v>
      </c>
      <c r="Q297" s="15">
        <v>3.4</v>
      </c>
      <c r="R297" s="15">
        <f t="shared" si="132"/>
        <v>6.6</v>
      </c>
      <c r="S297" s="1">
        <f>LOOKUP(R297,{0,4.7,4.8,4.9,5,5.5,5.6,5.65,5.7,5.75,5.8,5.85,5.9,5.95,6,6.45,6.5,6.57,6.64,6.7,6.76},{0,10,20,30,40,50,60,62,64,66,68,70,72,74,76,78,80,85,90,95,100})</f>
        <v>85</v>
      </c>
      <c r="T297" s="20"/>
      <c r="U297" s="20"/>
      <c r="V297" s="21">
        <f t="shared" si="133"/>
        <v>85</v>
      </c>
      <c r="W297" s="15"/>
      <c r="X297" s="21">
        <f t="shared" si="134"/>
        <v>59.1</v>
      </c>
      <c r="Y297" s="21">
        <f t="shared" si="135"/>
        <v>84.4285714285714</v>
      </c>
    </row>
    <row r="298" ht="15.6" hidden="1" outlineLevel="2" spans="1:25">
      <c r="A298" s="15">
        <v>116</v>
      </c>
      <c r="B298" s="15">
        <v>29</v>
      </c>
      <c r="C298" s="14" t="s">
        <v>809</v>
      </c>
      <c r="D298" s="14" t="s">
        <v>46</v>
      </c>
      <c r="E298" s="15">
        <v>13.7</v>
      </c>
      <c r="F298" s="1">
        <f>LOOKUP(E298,{0,0.4,1.2,2,2.8,3.6,4.4,5.7,7,8.3,9.6,10.9,12.2,13.5,14.8,16.1,17.4,19.1,20.8,22.5,24.2},{0,10,20,30,40,50,60,62,64,66,68,70,72,74,76,78,80,85,90,95,100})</f>
        <v>74</v>
      </c>
      <c r="G298" s="15">
        <v>171</v>
      </c>
      <c r="H298" s="1">
        <f>LOOKUP(G298,{0,123,128,133,138,143,148,151,154,157,160,163,166,169,172,175,178,185,192,198,204},{0,10,20,30,40,50,60,62,64,66,68,70,72,74,76,78,80,85,90,95,100})</f>
        <v>74</v>
      </c>
      <c r="I298" s="15">
        <v>57</v>
      </c>
      <c r="J298" s="1">
        <f>LOOKUP(I298,{0,13,15,17,19,21,23,25,27,29,31,33,35,37,39,41,43,46,49,51,53},{0,10,20,30,40,50,60,62,64,66,68,70,72,74,76,78,80,85,90,95,100})</f>
        <v>100</v>
      </c>
      <c r="K298" s="20">
        <f>I298-53</f>
        <v>4</v>
      </c>
      <c r="L298" s="1">
        <f>LOOKUP(K298,{0,2,4,6,7,8,9,10,11,12,13},{0,1,2,3,4,5,6,7,8,9,10})</f>
        <v>2</v>
      </c>
      <c r="M298" s="21">
        <f t="shared" si="130"/>
        <v>102</v>
      </c>
      <c r="N298" s="15">
        <v>10.2</v>
      </c>
      <c r="O298" s="19">
        <f t="shared" si="131"/>
        <v>2.8</v>
      </c>
      <c r="P298" s="1">
        <f>LOOKUP(O298,{0,1.4,1.6,1.8,2,2.2,2.4,2.6,2.8,3,3.2,3.4,3.6,3.8,4,4.2,4.4,4.7,5,5.1,5.2},{0,10,20,30,40,50,60,62,64,66,68,70,72,74,76,78,80,85,90,95,100})</f>
        <v>64</v>
      </c>
      <c r="Q298" s="15">
        <v>4.08</v>
      </c>
      <c r="R298" s="15">
        <f t="shared" si="132"/>
        <v>5.92</v>
      </c>
      <c r="S298" s="1">
        <f>LOOKUP(R298,{0,4.7,4.8,4.9,5,5.5,5.6,5.65,5.7,5.75,5.8,5.85,5.9,5.95,6,6.45,6.5,6.57,6.64,6.7,6.76},{0,10,20,30,40,50,60,62,64,66,68,70,72,74,76,78,80,85,90,95,100})</f>
        <v>72</v>
      </c>
      <c r="T298" s="20"/>
      <c r="U298" s="20"/>
      <c r="V298" s="21">
        <f t="shared" si="133"/>
        <v>72</v>
      </c>
      <c r="W298" s="15"/>
      <c r="X298" s="21">
        <f t="shared" si="134"/>
        <v>52</v>
      </c>
      <c r="Y298" s="21">
        <f t="shared" si="135"/>
        <v>76.2857142857143</v>
      </c>
    </row>
    <row r="299" ht="15.6" hidden="1" outlineLevel="2" spans="1:25">
      <c r="A299" s="15">
        <v>116</v>
      </c>
      <c r="B299" s="15">
        <v>30</v>
      </c>
      <c r="C299" s="14" t="s">
        <v>810</v>
      </c>
      <c r="D299" s="14" t="s">
        <v>46</v>
      </c>
      <c r="E299" s="15">
        <v>15.6</v>
      </c>
      <c r="F299" s="1">
        <f>LOOKUP(E299,{0,0.4,1.2,2,2.8,3.6,4.4,5.7,7,8.3,9.6,10.9,12.2,13.5,14.8,16.1,17.4,19.1,20.8,22.5,24.2},{0,10,20,30,40,50,60,62,64,66,68,70,72,74,76,78,80,85,90,95,100})</f>
        <v>76</v>
      </c>
      <c r="G299" s="15">
        <v>173</v>
      </c>
      <c r="H299" s="1">
        <f>LOOKUP(G299,{0,123,128,133,138,143,148,151,154,157,160,163,166,169,172,175,178,185,192,198,204},{0,10,20,30,40,50,60,62,64,66,68,70,72,74,76,78,80,85,90,95,100})</f>
        <v>76</v>
      </c>
      <c r="I299" s="15">
        <v>50</v>
      </c>
      <c r="J299" s="1">
        <f>LOOKUP(I299,{0,13,15,17,19,21,23,25,27,29,31,33,35,37,39,41,43,46,49,51,53},{0,10,20,30,40,50,60,62,64,66,68,70,72,74,76,78,80,85,90,95,100})</f>
        <v>90</v>
      </c>
      <c r="K299" s="20"/>
      <c r="L299" s="20"/>
      <c r="M299" s="21">
        <f t="shared" si="130"/>
        <v>90</v>
      </c>
      <c r="N299" s="15">
        <v>9.4</v>
      </c>
      <c r="O299" s="19">
        <f t="shared" si="131"/>
        <v>3.6</v>
      </c>
      <c r="P299" s="1">
        <f>LOOKUP(O299,{0,1.4,1.6,1.8,2,2.2,2.4,2.6,2.8,3,3.2,3.4,3.6,3.8,4,4.2,4.4,4.7,5,5.1,5.2},{0,10,20,30,40,50,60,62,64,66,68,70,72,74,76,78,80,85,90,95,100})</f>
        <v>72</v>
      </c>
      <c r="Q299" s="15">
        <v>3.52</v>
      </c>
      <c r="R299" s="15">
        <f t="shared" si="132"/>
        <v>6.48</v>
      </c>
      <c r="S299" s="1">
        <f>LOOKUP(R299,{0,4.7,4.8,4.9,5,5.5,5.6,5.65,5.7,5.75,5.8,5.85,5.9,5.95,6,6.45,6.5,6.57,6.64,6.7,6.76},{0,10,20,30,40,50,60,62,64,66,68,70,72,74,76,78,80,85,90,95,100})</f>
        <v>78</v>
      </c>
      <c r="T299" s="20"/>
      <c r="U299" s="20"/>
      <c r="V299" s="21">
        <f t="shared" si="133"/>
        <v>78</v>
      </c>
      <c r="W299" s="15"/>
      <c r="X299" s="21">
        <f t="shared" si="134"/>
        <v>54.2</v>
      </c>
      <c r="Y299" s="21">
        <f t="shared" si="135"/>
        <v>77.4285714285714</v>
      </c>
    </row>
    <row r="300" ht="15.6" hidden="1" outlineLevel="2" spans="1:25">
      <c r="A300" s="15">
        <v>116</v>
      </c>
      <c r="B300" s="15">
        <v>31</v>
      </c>
      <c r="C300" s="14" t="s">
        <v>811</v>
      </c>
      <c r="D300" s="14" t="s">
        <v>46</v>
      </c>
      <c r="E300" s="15">
        <v>16.5</v>
      </c>
      <c r="F300" s="1">
        <f>LOOKUP(E300,{0,0.4,1.2,2,2.8,3.6,4.4,5.7,7,8.3,9.6,10.9,12.2,13.5,14.8,16.1,17.4,19.1,20.8,22.5,24.2},{0,10,20,30,40,50,60,62,64,66,68,70,72,74,76,78,80,85,90,95,100})</f>
        <v>78</v>
      </c>
      <c r="G300" s="15">
        <v>153</v>
      </c>
      <c r="H300" s="1">
        <f>LOOKUP(G300,{0,123,128,133,138,143,148,151,154,157,160,163,166,169,172,175,178,185,192,198,204},{0,10,20,30,40,50,60,62,64,66,68,70,72,74,76,78,80,85,90,95,100})</f>
        <v>62</v>
      </c>
      <c r="I300" s="15">
        <v>51</v>
      </c>
      <c r="J300" s="1">
        <f>LOOKUP(I300,{0,13,15,17,19,21,23,25,27,29,31,33,35,37,39,41,43,46,49,51,53},{0,10,20,30,40,50,60,62,64,66,68,70,72,74,76,78,80,85,90,95,100})</f>
        <v>95</v>
      </c>
      <c r="K300" s="20"/>
      <c r="L300" s="20"/>
      <c r="M300" s="21">
        <f t="shared" si="130"/>
        <v>95</v>
      </c>
      <c r="N300" s="15">
        <v>9.3</v>
      </c>
      <c r="O300" s="19">
        <f t="shared" si="131"/>
        <v>3.7</v>
      </c>
      <c r="P300" s="1">
        <f>LOOKUP(O300,{0,1.4,1.6,1.8,2,2.2,2.4,2.6,2.8,3,3.2,3.4,3.6,3.8,4,4.2,4.4,4.7,5,5.1,5.2},{0,10,20,30,40,50,60,62,64,66,68,70,72,74,76,78,80,85,90,95,100})</f>
        <v>72</v>
      </c>
      <c r="Q300" s="15">
        <v>4.2</v>
      </c>
      <c r="R300" s="15">
        <f t="shared" si="132"/>
        <v>5.8</v>
      </c>
      <c r="S300" s="1">
        <f>LOOKUP(R300,{0,4.7,4.8,4.9,5,5.5,5.6,5.65,5.7,5.75,5.8,5.85,5.9,5.95,6,6.45,6.5,6.57,6.64,6.7,6.76},{0,10,20,30,40,50,60,62,64,66,68,70,72,74,76,78,80,85,90,95,100})</f>
        <v>68</v>
      </c>
      <c r="T300" s="20"/>
      <c r="U300" s="20"/>
      <c r="V300" s="21">
        <f t="shared" si="133"/>
        <v>68</v>
      </c>
      <c r="W300" s="15"/>
      <c r="X300" s="21">
        <f t="shared" si="134"/>
        <v>51.5</v>
      </c>
      <c r="Y300" s="21">
        <f t="shared" si="135"/>
        <v>73.5714285714286</v>
      </c>
    </row>
    <row r="301" ht="15.6" hidden="1" outlineLevel="2" spans="1:25">
      <c r="A301" s="15">
        <v>116</v>
      </c>
      <c r="B301" s="15">
        <v>32</v>
      </c>
      <c r="C301" s="14" t="s">
        <v>812</v>
      </c>
      <c r="D301" s="14" t="s">
        <v>46</v>
      </c>
      <c r="E301" s="15">
        <v>21.4</v>
      </c>
      <c r="F301" s="1">
        <f>LOOKUP(E301,{0,0.4,1.2,2,2.8,3.6,4.4,5.7,7,8.3,9.6,10.9,12.2,13.5,14.8,16.1,17.4,19.1,20.8,22.5,24.2},{0,10,20,30,40,50,60,62,64,66,68,70,72,74,76,78,80,85,90,95,100})</f>
        <v>90</v>
      </c>
      <c r="G301" s="15">
        <v>201</v>
      </c>
      <c r="H301" s="1">
        <f>LOOKUP(G301,{0,123,128,133,138,143,148,151,154,157,160,163,166,169,172,175,178,185,192,198,204},{0,10,20,30,40,50,60,62,64,66,68,70,72,74,76,78,80,85,90,95,100})</f>
        <v>95</v>
      </c>
      <c r="I301" s="15">
        <v>54</v>
      </c>
      <c r="J301" s="1">
        <f>LOOKUP(I301,{0,13,15,17,19,21,23,25,27,29,31,33,35,37,39,41,43,46,49,51,53},{0,10,20,30,40,50,60,62,64,66,68,70,72,74,76,78,80,85,90,95,100})</f>
        <v>100</v>
      </c>
      <c r="K301" s="20">
        <f>I301-53</f>
        <v>1</v>
      </c>
      <c r="L301" s="1">
        <f>LOOKUP(K301,{0,2,4,6,7,8,9,10,11,12,13},{0,1,2,3,4,5,6,7,8,9,10})</f>
        <v>0</v>
      </c>
      <c r="M301" s="21">
        <f t="shared" si="130"/>
        <v>100</v>
      </c>
      <c r="N301" s="15">
        <v>8.1</v>
      </c>
      <c r="O301" s="19">
        <f t="shared" si="131"/>
        <v>4.9</v>
      </c>
      <c r="P301" s="1">
        <f>LOOKUP(O301,{0,1.4,1.6,1.8,2,2.2,2.4,2.6,2.8,3,3.2,3.4,3.6,3.8,4,4.2,4.4,4.7,5,5.1,5.2},{0,10,20,30,40,50,60,62,64,66,68,70,72,74,76,78,80,85,90,95,100})</f>
        <v>85</v>
      </c>
      <c r="Q301" s="15">
        <v>3.27</v>
      </c>
      <c r="R301" s="15">
        <f t="shared" si="132"/>
        <v>6.73</v>
      </c>
      <c r="S301" s="1">
        <f>LOOKUP(R301,{0,4.7,4.8,4.9,5,5.5,5.6,5.65,5.7,5.75,5.8,5.85,5.9,5.95,6,6.45,6.5,6.57,6.64,6.7,6.76},{0,10,20,30,40,50,60,62,64,66,68,70,72,74,76,78,80,85,90,95,100})</f>
        <v>95</v>
      </c>
      <c r="T301" s="20"/>
      <c r="U301" s="20"/>
      <c r="V301" s="21">
        <f t="shared" si="133"/>
        <v>95</v>
      </c>
      <c r="W301" s="15"/>
      <c r="X301" s="21">
        <f t="shared" si="134"/>
        <v>64.5</v>
      </c>
      <c r="Y301" s="21">
        <f t="shared" si="135"/>
        <v>92.1428571428572</v>
      </c>
    </row>
    <row r="302" ht="15.6" hidden="1" outlineLevel="2" spans="1:25">
      <c r="A302" s="15">
        <v>116</v>
      </c>
      <c r="B302" s="15">
        <v>33</v>
      </c>
      <c r="C302" s="14" t="s">
        <v>813</v>
      </c>
      <c r="D302" s="14" t="s">
        <v>46</v>
      </c>
      <c r="E302" s="15">
        <v>26</v>
      </c>
      <c r="F302" s="1">
        <f>LOOKUP(E302,{0,0.4,1.2,2,2.8,3.6,4.4,5.7,7,8.3,9.6,10.9,12.2,13.5,14.8,16.1,17.4,19.1,20.8,22.5,24.2},{0,10,20,30,40,50,60,62,64,66,68,70,72,74,76,78,80,85,90,95,100})</f>
        <v>100</v>
      </c>
      <c r="G302" s="15">
        <v>185</v>
      </c>
      <c r="H302" s="1">
        <f>LOOKUP(G302,{0,123,128,133,138,143,148,151,154,157,160,163,166,169,172,175,178,185,192,198,204},{0,10,20,30,40,50,60,62,64,66,68,70,72,74,76,78,80,85,90,95,100})</f>
        <v>85</v>
      </c>
      <c r="I302" s="15">
        <v>48</v>
      </c>
      <c r="J302" s="1">
        <f>LOOKUP(I302,{0,13,15,17,19,21,23,25,27,29,31,33,35,37,39,41,43,46,49,51,53},{0,10,20,30,40,50,60,62,64,66,68,70,72,74,76,78,80,85,90,95,100})</f>
        <v>85</v>
      </c>
      <c r="K302" s="20"/>
      <c r="L302" s="20"/>
      <c r="M302" s="21">
        <f t="shared" si="130"/>
        <v>85</v>
      </c>
      <c r="N302" s="15">
        <v>8.7</v>
      </c>
      <c r="O302" s="19">
        <f t="shared" si="131"/>
        <v>4.3</v>
      </c>
      <c r="P302" s="1">
        <f>LOOKUP(O302,{0,1.4,1.6,1.8,2,2.2,2.4,2.6,2.8,3,3.2,3.4,3.6,3.8,4,4.2,4.4,4.7,5,5.1,5.2},{0,10,20,30,40,50,60,62,64,66,68,70,72,74,76,78,80,85,90,95,100})</f>
        <v>78</v>
      </c>
      <c r="Q302" s="15">
        <v>3.32</v>
      </c>
      <c r="R302" s="15">
        <f t="shared" si="132"/>
        <v>6.68</v>
      </c>
      <c r="S302" s="1">
        <f>LOOKUP(R302,{0,4.7,4.8,4.9,5,5.5,5.6,5.65,5.7,5.75,5.8,5.85,5.9,5.95,6,6.45,6.5,6.57,6.64,6.7,6.76},{0,10,20,30,40,50,60,62,64,66,68,70,72,74,76,78,80,85,90,95,100})</f>
        <v>90</v>
      </c>
      <c r="T302" s="20"/>
      <c r="U302" s="20"/>
      <c r="V302" s="21">
        <f t="shared" si="133"/>
        <v>90</v>
      </c>
      <c r="W302" s="15"/>
      <c r="X302" s="21">
        <f t="shared" si="134"/>
        <v>60.6</v>
      </c>
      <c r="Y302" s="21">
        <f t="shared" si="135"/>
        <v>86.5714285714286</v>
      </c>
    </row>
    <row r="303" ht="15.6" hidden="1" outlineLevel="2" spans="1:25">
      <c r="A303" s="15">
        <v>116</v>
      </c>
      <c r="B303" s="15">
        <v>34</v>
      </c>
      <c r="C303" s="14" t="s">
        <v>814</v>
      </c>
      <c r="D303" s="14" t="s">
        <v>46</v>
      </c>
      <c r="E303" s="15">
        <v>25.5</v>
      </c>
      <c r="F303" s="1">
        <f>LOOKUP(E303,{0,0.4,1.2,2,2.8,3.6,4.4,5.7,7,8.3,9.6,10.9,12.2,13.5,14.8,16.1,17.4,19.1,20.8,22.5,24.2},{0,10,20,30,40,50,60,62,64,66,68,70,72,74,76,78,80,85,90,95,100})</f>
        <v>100</v>
      </c>
      <c r="G303" s="15">
        <v>171</v>
      </c>
      <c r="H303" s="1">
        <f>LOOKUP(G303,{0,123,128,133,138,143,148,151,154,157,160,163,166,169,172,175,178,185,192,198,204},{0,10,20,30,40,50,60,62,64,66,68,70,72,74,76,78,80,85,90,95,100})</f>
        <v>74</v>
      </c>
      <c r="I303" s="15">
        <v>45</v>
      </c>
      <c r="J303" s="1">
        <f>LOOKUP(I303,{0,13,15,17,19,21,23,25,27,29,31,33,35,37,39,41,43,46,49,51,53},{0,10,20,30,40,50,60,62,64,66,68,70,72,74,76,78,80,85,90,95,100})</f>
        <v>80</v>
      </c>
      <c r="K303" s="20"/>
      <c r="L303" s="20"/>
      <c r="M303" s="21">
        <f t="shared" si="130"/>
        <v>80</v>
      </c>
      <c r="N303" s="15">
        <v>9.2</v>
      </c>
      <c r="O303" s="19">
        <f t="shared" si="131"/>
        <v>3.8</v>
      </c>
      <c r="P303" s="1">
        <f>LOOKUP(O303,{0,1.4,1.6,1.8,2,2.2,2.4,2.6,2.8,3,3.2,3.4,3.6,3.8,4,4.2,4.4,4.7,5,5.1,5.2},{0,10,20,30,40,50,60,62,64,66,68,70,72,74,76,78,80,85,90,95,100})</f>
        <v>74</v>
      </c>
      <c r="Q303" s="15">
        <v>3.3</v>
      </c>
      <c r="R303" s="15">
        <f t="shared" si="132"/>
        <v>6.7</v>
      </c>
      <c r="S303" s="1">
        <f>LOOKUP(R303,{0,4.7,4.8,4.9,5,5.5,5.6,5.65,5.7,5.75,5.8,5.85,5.9,5.95,6,6.45,6.5,6.57,6.64,6.7,6.76},{0,10,20,30,40,50,60,62,64,66,68,70,72,74,76,78,80,85,90,95,100})</f>
        <v>95</v>
      </c>
      <c r="T303" s="20"/>
      <c r="U303" s="20"/>
      <c r="V303" s="21">
        <f t="shared" si="133"/>
        <v>95</v>
      </c>
      <c r="W303" s="15"/>
      <c r="X303" s="21">
        <f t="shared" si="134"/>
        <v>59.2</v>
      </c>
      <c r="Y303" s="21">
        <f t="shared" si="135"/>
        <v>84.5714285714286</v>
      </c>
    </row>
    <row r="304" ht="15.6" hidden="1" outlineLevel="2" spans="1:25">
      <c r="A304" s="15">
        <v>116</v>
      </c>
      <c r="B304" s="15">
        <v>35</v>
      </c>
      <c r="C304" s="14" t="s">
        <v>815</v>
      </c>
      <c r="D304" s="14" t="s">
        <v>46</v>
      </c>
      <c r="E304" s="15">
        <v>19.7</v>
      </c>
      <c r="F304" s="1">
        <f>LOOKUP(E304,{0,0.4,1.2,2,2.8,3.6,4.4,5.7,7,8.3,9.6,10.9,12.2,13.5,14.8,16.1,17.4,19.1,20.8,22.5,24.2},{0,10,20,30,40,50,60,62,64,66,68,70,72,74,76,78,80,85,90,95,100})</f>
        <v>85</v>
      </c>
      <c r="G304" s="15">
        <v>181</v>
      </c>
      <c r="H304" s="1">
        <f>LOOKUP(G304,{0,123,128,133,138,143,148,151,154,157,160,163,166,169,172,175,178,185,192,198,204},{0,10,20,30,40,50,60,62,64,66,68,70,72,74,76,78,80,85,90,95,100})</f>
        <v>80</v>
      </c>
      <c r="I304" s="15">
        <v>28</v>
      </c>
      <c r="J304" s="1">
        <f>LOOKUP(I304,{0,13,15,17,19,21,23,25,27,29,31,33,35,37,39,41,43,46,49,51,53},{0,10,20,30,40,50,60,62,64,66,68,70,72,74,76,78,80,85,90,95,100})</f>
        <v>64</v>
      </c>
      <c r="K304" s="20"/>
      <c r="L304" s="20"/>
      <c r="M304" s="21">
        <f t="shared" si="130"/>
        <v>64</v>
      </c>
      <c r="N304" s="15">
        <v>8.2</v>
      </c>
      <c r="O304" s="19">
        <f t="shared" si="131"/>
        <v>4.8</v>
      </c>
      <c r="P304" s="1">
        <f>LOOKUP(O304,{0,1.4,1.6,1.8,2,2.2,2.4,2.6,2.8,3,3.2,3.4,3.6,3.8,4,4.2,4.4,4.7,5,5.1,5.2},{0,10,20,30,40,50,60,62,64,66,68,70,72,74,76,78,80,85,90,95,100})</f>
        <v>85</v>
      </c>
      <c r="Q304" s="15">
        <v>3.26</v>
      </c>
      <c r="R304" s="15">
        <f t="shared" si="132"/>
        <v>6.74</v>
      </c>
      <c r="S304" s="1">
        <f>LOOKUP(R304,{0,4.7,4.8,4.9,5,5.5,5.6,5.65,5.7,5.75,5.8,5.85,5.9,5.95,6,6.45,6.5,6.57,6.64,6.7,6.76},{0,10,20,30,40,50,60,62,64,66,68,70,72,74,76,78,80,85,90,95,100})</f>
        <v>95</v>
      </c>
      <c r="T304" s="20"/>
      <c r="U304" s="20"/>
      <c r="V304" s="21">
        <f t="shared" si="133"/>
        <v>95</v>
      </c>
      <c r="W304" s="15"/>
      <c r="X304" s="21">
        <f t="shared" si="134"/>
        <v>58.9</v>
      </c>
      <c r="Y304" s="21">
        <f t="shared" si="135"/>
        <v>84.1428571428572</v>
      </c>
    </row>
    <row r="305" ht="15.6" hidden="1" outlineLevel="2" spans="1:25">
      <c r="A305" s="15">
        <v>116</v>
      </c>
      <c r="B305" s="15">
        <v>36</v>
      </c>
      <c r="C305" s="14" t="s">
        <v>816</v>
      </c>
      <c r="D305" s="14" t="s">
        <v>46</v>
      </c>
      <c r="E305" s="15">
        <v>23</v>
      </c>
      <c r="F305" s="1">
        <f>LOOKUP(E305,{0,0.4,1.2,2,2.8,3.6,4.4,5.7,7,8.3,9.6,10.9,12.2,13.5,14.8,16.1,17.4,19.1,20.8,22.5,24.2},{0,10,20,30,40,50,60,62,64,66,68,70,72,74,76,78,80,85,90,95,100})</f>
        <v>95</v>
      </c>
      <c r="G305" s="15">
        <v>184</v>
      </c>
      <c r="H305" s="1">
        <f>LOOKUP(G305,{0,123,128,133,138,143,148,151,154,157,160,163,166,169,172,175,178,185,192,198,204},{0,10,20,30,40,50,60,62,64,66,68,70,72,74,76,78,80,85,90,95,100})</f>
        <v>80</v>
      </c>
      <c r="I305" s="15">
        <v>40</v>
      </c>
      <c r="J305" s="1">
        <f>LOOKUP(I305,{0,13,15,17,19,21,23,25,27,29,31,33,35,37,39,41,43,46,49,51,53},{0,10,20,30,40,50,60,62,64,66,68,70,72,74,76,78,80,85,90,95,100})</f>
        <v>76</v>
      </c>
      <c r="K305" s="20"/>
      <c r="L305" s="20"/>
      <c r="M305" s="21">
        <f t="shared" si="130"/>
        <v>76</v>
      </c>
      <c r="N305" s="15">
        <v>8</v>
      </c>
      <c r="O305" s="19">
        <f t="shared" si="131"/>
        <v>5</v>
      </c>
      <c r="P305" s="1">
        <f>LOOKUP(O305,{0,1.4,1.6,1.8,2,2.2,2.4,2.6,2.8,3,3.2,3.4,3.6,3.8,4,4.2,4.4,4.7,5,5.1,5.2},{0,10,20,30,40,50,60,62,64,66,68,70,72,74,76,78,80,85,90,95,100})</f>
        <v>90</v>
      </c>
      <c r="Q305" s="15">
        <v>3.33</v>
      </c>
      <c r="R305" s="15">
        <f t="shared" si="132"/>
        <v>6.67</v>
      </c>
      <c r="S305" s="1">
        <f>LOOKUP(R305,{0,4.7,4.8,4.9,5,5.5,5.6,5.65,5.7,5.75,5.8,5.85,5.9,5.95,6,6.45,6.5,6.57,6.64,6.7,6.76},{0,10,20,30,40,50,60,62,64,66,68,70,72,74,76,78,80,85,90,95,100})</f>
        <v>90</v>
      </c>
      <c r="T305" s="20"/>
      <c r="U305" s="20"/>
      <c r="V305" s="21">
        <f t="shared" si="133"/>
        <v>90</v>
      </c>
      <c r="W305" s="15"/>
      <c r="X305" s="21">
        <f t="shared" si="134"/>
        <v>61.1</v>
      </c>
      <c r="Y305" s="21">
        <f t="shared" si="135"/>
        <v>87.2857142857143</v>
      </c>
    </row>
    <row r="306" ht="15.6" hidden="1" outlineLevel="2" spans="1:25">
      <c r="A306" s="15">
        <v>116</v>
      </c>
      <c r="B306" s="15">
        <v>37</v>
      </c>
      <c r="C306" s="14" t="s">
        <v>817</v>
      </c>
      <c r="D306" s="14" t="s">
        <v>46</v>
      </c>
      <c r="E306" s="15">
        <v>22.1</v>
      </c>
      <c r="F306" s="1">
        <f>LOOKUP(E306,{0,0.4,1.2,2,2.8,3.6,4.4,5.7,7,8.3,9.6,10.9,12.2,13.5,14.8,16.1,17.4,19.1,20.8,22.5,24.2},{0,10,20,30,40,50,60,62,64,66,68,70,72,74,76,78,80,85,90,95,100})</f>
        <v>90</v>
      </c>
      <c r="G306" s="15">
        <v>207</v>
      </c>
      <c r="H306" s="1">
        <f>LOOKUP(G306,{0,123,128,133,138,143,148,151,154,157,160,163,166,169,172,175,178,185,192,198,204},{0,10,20,30,40,50,60,62,64,66,68,70,72,74,76,78,80,85,90,95,100})</f>
        <v>100</v>
      </c>
      <c r="I306" s="15">
        <v>38</v>
      </c>
      <c r="J306" s="1">
        <f>LOOKUP(I306,{0,13,15,17,19,21,23,25,27,29,31,33,35,37,39,41,43,46,49,51,53},{0,10,20,30,40,50,60,62,64,66,68,70,72,74,76,78,80,85,90,95,100})</f>
        <v>74</v>
      </c>
      <c r="K306" s="20"/>
      <c r="L306" s="20"/>
      <c r="M306" s="21">
        <f t="shared" si="130"/>
        <v>74</v>
      </c>
      <c r="N306" s="15">
        <v>7.7</v>
      </c>
      <c r="O306" s="19">
        <f t="shared" si="131"/>
        <v>5.3</v>
      </c>
      <c r="P306" s="1">
        <f>LOOKUP(O306,{0,1.4,1.6,1.8,2,2.2,2.4,2.6,2.8,3,3.2,3.4,3.6,3.8,4,4.2,4.4,4.7,5,5.1,5.2},{0,10,20,30,40,50,60,62,64,66,68,70,72,74,76,78,80,85,90,95,100})</f>
        <v>100</v>
      </c>
      <c r="Q306" s="15">
        <v>3.04</v>
      </c>
      <c r="R306" s="15">
        <f t="shared" si="132"/>
        <v>6.96</v>
      </c>
      <c r="S306" s="1">
        <f>LOOKUP(R306,{0,4.7,4.8,4.9,5,5.5,5.6,5.65,5.7,5.75,5.8,5.85,5.9,5.95,6,6.45,6.5,6.57,6.64,6.7,6.76},{0,10,20,30,40,50,60,62,64,66,68,70,72,74,76,78,80,85,90,95,100})</f>
        <v>100</v>
      </c>
      <c r="T306" s="24">
        <f t="shared" ref="T306:T309" si="136">3.24-Q306</f>
        <v>0.2</v>
      </c>
      <c r="U306" s="1">
        <f>LOOKUP(T306,{0,0.05,0.1,0.15,0.2,0.25,0.3,0.35,0.4,0.45,0.5},{0,1,2,3,4,5,6,7,8,9,10})</f>
        <v>4</v>
      </c>
      <c r="V306" s="21">
        <f t="shared" si="133"/>
        <v>104</v>
      </c>
      <c r="W306" s="15"/>
      <c r="X306" s="21">
        <f t="shared" si="134"/>
        <v>66.4</v>
      </c>
      <c r="Y306" s="21">
        <f t="shared" si="135"/>
        <v>98.8571428571429</v>
      </c>
    </row>
    <row r="307" ht="15.6" hidden="1" outlineLevel="2" spans="1:25">
      <c r="A307" s="15">
        <v>116</v>
      </c>
      <c r="B307" s="15">
        <v>38</v>
      </c>
      <c r="C307" s="14" t="s">
        <v>818</v>
      </c>
      <c r="D307" s="14" t="s">
        <v>46</v>
      </c>
      <c r="E307" s="15">
        <v>29</v>
      </c>
      <c r="F307" s="1">
        <f>LOOKUP(E307,{0,0.4,1.2,2,2.8,3.6,4.4,5.7,7,8.3,9.6,10.9,12.2,13.5,14.8,16.1,17.4,19.1,20.8,22.5,24.2},{0,10,20,30,40,50,60,62,64,66,68,70,72,74,76,78,80,85,90,95,100})</f>
        <v>100</v>
      </c>
      <c r="G307" s="15">
        <v>196</v>
      </c>
      <c r="H307" s="1">
        <f>LOOKUP(G307,{0,123,128,133,138,143,148,151,154,157,160,163,166,169,172,175,178,185,192,198,204},{0,10,20,30,40,50,60,62,64,66,68,70,72,74,76,78,80,85,90,95,100})</f>
        <v>90</v>
      </c>
      <c r="I307" s="15">
        <v>50</v>
      </c>
      <c r="J307" s="1">
        <f>LOOKUP(I307,{0,13,15,17,19,21,23,25,27,29,31,33,35,37,39,41,43,46,49,51,53},{0,10,20,30,40,50,60,62,64,66,68,70,72,74,76,78,80,85,90,95,100})</f>
        <v>90</v>
      </c>
      <c r="K307" s="20"/>
      <c r="L307" s="20"/>
      <c r="M307" s="21">
        <f t="shared" si="130"/>
        <v>90</v>
      </c>
      <c r="N307" s="15">
        <v>9</v>
      </c>
      <c r="O307" s="19">
        <f t="shared" si="131"/>
        <v>4</v>
      </c>
      <c r="P307" s="1">
        <f>LOOKUP(O307,{0,1.4,1.6,1.8,2,2.2,2.4,2.6,2.8,3,3.2,3.4,3.6,3.8,4,4.2,4.4,4.7,5,5.1,5.2},{0,10,20,30,40,50,60,62,64,66,68,70,72,74,76,78,80,85,90,95,100})</f>
        <v>76</v>
      </c>
      <c r="Q307" s="15">
        <v>3.5</v>
      </c>
      <c r="R307" s="15">
        <f t="shared" si="132"/>
        <v>6.5</v>
      </c>
      <c r="S307" s="1">
        <f>LOOKUP(R307,{0,4.7,4.8,4.9,5,5.5,5.6,5.65,5.7,5.75,5.8,5.85,5.9,5.95,6,6.45,6.5,6.57,6.64,6.7,6.76},{0,10,20,30,40,50,60,62,64,66,68,70,72,74,76,78,80,85,90,95,100})</f>
        <v>80</v>
      </c>
      <c r="T307" s="20"/>
      <c r="U307" s="20"/>
      <c r="V307" s="21">
        <f t="shared" si="133"/>
        <v>80</v>
      </c>
      <c r="W307" s="15"/>
      <c r="X307" s="21">
        <f t="shared" si="134"/>
        <v>59.2</v>
      </c>
      <c r="Y307" s="21">
        <f t="shared" si="135"/>
        <v>84.5714285714286</v>
      </c>
    </row>
    <row r="308" ht="15.6" hidden="1" outlineLevel="2" spans="1:25">
      <c r="A308" s="15">
        <v>116</v>
      </c>
      <c r="B308" s="15">
        <v>39</v>
      </c>
      <c r="C308" s="14" t="s">
        <v>819</v>
      </c>
      <c r="D308" s="14" t="s">
        <v>46</v>
      </c>
      <c r="E308" s="15">
        <v>26.5</v>
      </c>
      <c r="F308" s="1">
        <f>LOOKUP(E308,{0,0.4,1.2,2,2.8,3.6,4.4,5.7,7,8.3,9.6,10.9,12.2,13.5,14.8,16.1,17.4,19.1,20.8,22.5,24.2},{0,10,20,30,40,50,60,62,64,66,68,70,72,74,76,78,80,85,90,95,100})</f>
        <v>100</v>
      </c>
      <c r="G308" s="15">
        <v>184</v>
      </c>
      <c r="H308" s="1">
        <f>LOOKUP(G308,{0,123,128,133,138,143,148,151,154,157,160,163,166,169,172,175,178,185,192,198,204},{0,10,20,30,40,50,60,62,64,66,68,70,72,74,76,78,80,85,90,95,100})</f>
        <v>80</v>
      </c>
      <c r="I308" s="15"/>
      <c r="J308" s="1"/>
      <c r="K308" s="20"/>
      <c r="L308" s="20"/>
      <c r="M308" s="21"/>
      <c r="N308" s="15">
        <v>8.1</v>
      </c>
      <c r="O308" s="19">
        <f t="shared" si="131"/>
        <v>4.9</v>
      </c>
      <c r="P308" s="1">
        <f>LOOKUP(O308,{0,1.4,1.6,1.8,2,2.2,2.4,2.6,2.8,3,3.2,3.4,3.6,3.8,4,4.2,4.4,4.7,5,5.1,5.2},{0,10,20,30,40,50,60,62,64,66,68,70,72,74,76,78,80,85,90,95,100})</f>
        <v>85</v>
      </c>
      <c r="Q308" s="15">
        <v>3.19</v>
      </c>
      <c r="R308" s="15">
        <f t="shared" si="132"/>
        <v>6.81</v>
      </c>
      <c r="S308" s="1">
        <f>LOOKUP(R308,{0,4.7,4.8,4.9,5,5.5,5.6,5.65,5.7,5.75,5.8,5.85,5.9,5.95,6,6.45,6.5,6.57,6.64,6.7,6.76},{0,10,20,30,40,50,60,62,64,66,68,70,72,74,76,78,80,85,90,95,100})</f>
        <v>100</v>
      </c>
      <c r="T308" s="24">
        <f t="shared" si="136"/>
        <v>0.0500000000000003</v>
      </c>
      <c r="U308" s="1">
        <f>LOOKUP(T308,{0,0.05,0.1,0.15,0.2,0.25,0.3,0.35,0.4,0.45,0.5},{0,1,2,3,4,5,6,7,8,9,10})</f>
        <v>1</v>
      </c>
      <c r="V308" s="21">
        <f t="shared" si="133"/>
        <v>101</v>
      </c>
      <c r="W308" s="15"/>
      <c r="X308" s="21">
        <f t="shared" si="134"/>
        <v>55</v>
      </c>
      <c r="Y308" s="21">
        <f t="shared" si="135"/>
        <v>79.5714285714286</v>
      </c>
    </row>
    <row r="309" ht="15.6" hidden="1" outlineLevel="2" spans="1:25">
      <c r="A309" s="15">
        <v>116</v>
      </c>
      <c r="B309" s="15">
        <v>40</v>
      </c>
      <c r="C309" s="13" t="s">
        <v>821</v>
      </c>
      <c r="D309" s="14" t="s">
        <v>46</v>
      </c>
      <c r="E309" s="15">
        <v>26</v>
      </c>
      <c r="F309" s="1">
        <f>LOOKUP(E309,{0,0.4,1.2,2,2.8,3.6,4.4,5.7,7,8.3,9.6,10.9,12.2,13.5,14.8,16.1,17.4,19.1,20.8,22.5,24.2},{0,10,20,30,40,50,60,62,64,66,68,70,72,74,76,78,80,85,90,95,100})</f>
        <v>100</v>
      </c>
      <c r="G309" s="15">
        <v>188</v>
      </c>
      <c r="H309" s="1">
        <f>LOOKUP(G309,{0,123,128,133,138,143,148,151,154,157,160,163,166,169,172,175,178,185,192,198,204},{0,10,20,30,40,50,60,62,64,66,68,70,72,74,76,78,80,85,90,95,100})</f>
        <v>85</v>
      </c>
      <c r="I309" s="15">
        <v>50</v>
      </c>
      <c r="J309" s="1">
        <f>LOOKUP(I309,{0,13,15,17,19,21,23,25,27,29,31,33,35,37,39,41,43,46,49,51,53},{0,10,20,30,40,50,60,62,64,66,68,70,72,74,76,78,80,85,90,95,100})</f>
        <v>90</v>
      </c>
      <c r="K309" s="20"/>
      <c r="L309" s="20"/>
      <c r="M309" s="21">
        <f t="shared" ref="M309:M318" si="137">J309+L309</f>
        <v>90</v>
      </c>
      <c r="N309" s="15">
        <v>8.6</v>
      </c>
      <c r="O309" s="19">
        <f t="shared" si="131"/>
        <v>4.4</v>
      </c>
      <c r="P309" s="1">
        <f>LOOKUP(O309,{0,1.4,1.6,1.8,2,2.2,2.4,2.6,2.8,3,3.2,3.4,3.6,3.8,4,4.2,4.4,4.7,5,5.1,5.2},{0,10,20,30,40,50,60,62,64,66,68,70,72,74,76,78,80,85,90,95,100})</f>
        <v>80</v>
      </c>
      <c r="Q309" s="15">
        <v>3.17</v>
      </c>
      <c r="R309" s="15">
        <f t="shared" si="132"/>
        <v>6.83</v>
      </c>
      <c r="S309" s="1">
        <f>LOOKUP(R309,{0,4.7,4.8,4.9,5,5.5,5.6,5.65,5.7,5.75,5.8,5.85,5.9,5.95,6,6.45,6.5,6.57,6.64,6.7,6.76},{0,10,20,30,40,50,60,62,64,66,68,70,72,74,76,78,80,85,90,95,100})</f>
        <v>100</v>
      </c>
      <c r="T309" s="24">
        <f t="shared" si="136"/>
        <v>0.0700000000000003</v>
      </c>
      <c r="U309" s="1">
        <f>LOOKUP(T309,{0,0.05,0.1,0.15,0.2,0.25,0.3,0.35,0.4,0.45,0.5},{0,1,2,3,4,5,6,7,8,9,10})</f>
        <v>1</v>
      </c>
      <c r="V309" s="21">
        <f t="shared" si="133"/>
        <v>101</v>
      </c>
      <c r="W309" s="15"/>
      <c r="X309" s="21">
        <f t="shared" si="134"/>
        <v>63.5</v>
      </c>
      <c r="Y309" s="21">
        <f t="shared" si="135"/>
        <v>91.7142857142857</v>
      </c>
    </row>
    <row r="310" ht="15.6" hidden="1" outlineLevel="2" spans="1:25">
      <c r="A310" s="15">
        <v>116</v>
      </c>
      <c r="B310" s="15">
        <v>41</v>
      </c>
      <c r="C310" s="14" t="s">
        <v>822</v>
      </c>
      <c r="D310" s="14" t="s">
        <v>46</v>
      </c>
      <c r="E310" s="15">
        <v>21</v>
      </c>
      <c r="F310" s="1">
        <f>LOOKUP(E310,{0,0.4,1.2,2,2.8,3.6,4.4,5.7,7,8.3,9.6,10.9,12.2,13.5,14.8,16.1,17.4,19.1,20.8,22.5,24.2},{0,10,20,30,40,50,60,62,64,66,68,70,72,74,76,78,80,85,90,95,100})</f>
        <v>90</v>
      </c>
      <c r="G310" s="15">
        <v>165</v>
      </c>
      <c r="H310" s="1">
        <f>LOOKUP(G310,{0,123,128,133,138,143,148,151,154,157,160,163,166,169,172,175,178,185,192,198,204},{0,10,20,30,40,50,60,62,64,66,68,70,72,74,76,78,80,85,90,95,100})</f>
        <v>70</v>
      </c>
      <c r="I310" s="15">
        <v>52</v>
      </c>
      <c r="J310" s="1">
        <f>LOOKUP(I310,{0,13,15,17,19,21,23,25,27,29,31,33,35,37,39,41,43,46,49,51,53},{0,10,20,30,40,50,60,62,64,66,68,70,72,74,76,78,80,85,90,95,100})</f>
        <v>95</v>
      </c>
      <c r="K310" s="20"/>
      <c r="L310" s="20"/>
      <c r="M310" s="21">
        <f t="shared" si="137"/>
        <v>95</v>
      </c>
      <c r="N310" s="15">
        <v>8.9</v>
      </c>
      <c r="O310" s="19">
        <f t="shared" si="131"/>
        <v>4.1</v>
      </c>
      <c r="P310" s="1">
        <f>LOOKUP(O310,{0,1.4,1.6,1.8,2,2.2,2.4,2.6,2.8,3,3.2,3.4,3.6,3.8,4,4.2,4.4,4.7,5,5.1,5.2},{0,10,20,30,40,50,60,62,64,66,68,70,72,74,76,78,80,85,90,95,100})</f>
        <v>76</v>
      </c>
      <c r="Q310" s="15">
        <v>3.58</v>
      </c>
      <c r="R310" s="15">
        <f t="shared" si="132"/>
        <v>6.42</v>
      </c>
      <c r="S310" s="1">
        <f>LOOKUP(R310,{0,4.7,4.8,4.9,5,5.5,5.6,5.65,5.7,5.75,5.8,5.85,5.9,5.95,6,6.45,6.5,6.57,6.64,6.7,6.76},{0,10,20,30,40,50,60,62,64,66,68,70,72,74,76,78,80,85,90,95,100})</f>
        <v>76</v>
      </c>
      <c r="T310" s="20"/>
      <c r="U310" s="20"/>
      <c r="V310" s="21">
        <f t="shared" si="133"/>
        <v>76</v>
      </c>
      <c r="W310" s="15"/>
      <c r="X310" s="21">
        <f t="shared" si="134"/>
        <v>55.9</v>
      </c>
      <c r="Y310" s="21">
        <f t="shared" si="135"/>
        <v>79.8571428571429</v>
      </c>
    </row>
    <row r="311" s="3" customFormat="1" ht="15.6" hidden="1" outlineLevel="2" spans="1:25">
      <c r="A311" s="15">
        <v>116</v>
      </c>
      <c r="B311" s="15">
        <v>42</v>
      </c>
      <c r="C311" s="14" t="s">
        <v>823</v>
      </c>
      <c r="D311" s="14" t="s">
        <v>46</v>
      </c>
      <c r="E311" s="15"/>
      <c r="F311" s="1"/>
      <c r="G311" s="15"/>
      <c r="H311" s="1"/>
      <c r="I311" s="15"/>
      <c r="J311" s="1"/>
      <c r="K311" s="20"/>
      <c r="L311" s="20"/>
      <c r="M311" s="21"/>
      <c r="N311" s="15"/>
      <c r="O311" s="19"/>
      <c r="P311" s="1"/>
      <c r="Q311" s="15"/>
      <c r="R311" s="15"/>
      <c r="S311" s="1"/>
      <c r="T311" s="24"/>
      <c r="U311" s="1"/>
      <c r="V311" s="21"/>
      <c r="W311" s="15" t="s">
        <v>513</v>
      </c>
      <c r="X311" s="21">
        <f t="shared" si="134"/>
        <v>0</v>
      </c>
      <c r="Y311" s="21">
        <v>50</v>
      </c>
    </row>
    <row r="312" ht="15.6" hidden="1" outlineLevel="2" spans="1:25">
      <c r="A312" s="15">
        <v>116</v>
      </c>
      <c r="B312" s="15">
        <v>43</v>
      </c>
      <c r="C312" s="14" t="s">
        <v>824</v>
      </c>
      <c r="D312" s="14" t="s">
        <v>46</v>
      </c>
      <c r="E312" s="15">
        <v>17</v>
      </c>
      <c r="F312" s="1">
        <f>LOOKUP(E312,{0,0.4,1.2,2,2.8,3.6,4.4,5.7,7,8.3,9.6,10.9,12.2,13.5,14.8,16.1,17.4,19.1,20.8,22.5,24.2},{0,10,20,30,40,50,60,62,64,66,68,70,72,74,76,78,80,85,90,95,100})</f>
        <v>78</v>
      </c>
      <c r="G312" s="15">
        <v>170</v>
      </c>
      <c r="H312" s="1">
        <f>LOOKUP(G312,{0,123,128,133,138,143,148,151,154,157,160,163,166,169,172,175,178,185,192,198,204},{0,10,20,30,40,50,60,62,64,66,68,70,72,74,76,78,80,85,90,95,100})</f>
        <v>74</v>
      </c>
      <c r="I312" s="15">
        <v>44</v>
      </c>
      <c r="J312" s="1">
        <f>LOOKUP(I312,{0,13,15,17,19,21,23,25,27,29,31,33,35,37,39,41,43,46,49,51,53},{0,10,20,30,40,50,60,62,64,66,68,70,72,74,76,78,80,85,90,95,100})</f>
        <v>80</v>
      </c>
      <c r="K312" s="20"/>
      <c r="L312" s="20"/>
      <c r="M312" s="21">
        <f t="shared" si="137"/>
        <v>80</v>
      </c>
      <c r="N312" s="15">
        <v>8.5</v>
      </c>
      <c r="O312" s="19">
        <f t="shared" ref="O312:O319" si="138">13-N312</f>
        <v>4.5</v>
      </c>
      <c r="P312" s="1">
        <f>LOOKUP(O312,{0,1.4,1.6,1.8,2,2.2,2.4,2.6,2.8,3,3.2,3.4,3.6,3.8,4,4.2,4.4,4.7,5,5.1,5.2},{0,10,20,30,40,50,60,62,64,66,68,70,72,74,76,78,80,85,90,95,100})</f>
        <v>80</v>
      </c>
      <c r="Q312" s="15">
        <v>3.24</v>
      </c>
      <c r="R312" s="15">
        <f t="shared" ref="R312:R318" si="139">10-Q312</f>
        <v>6.76</v>
      </c>
      <c r="S312" s="1">
        <f>LOOKUP(R312,{0,4.7,4.8,4.9,5,5.5,5.6,5.65,5.7,5.75,5.8,5.85,5.9,5.95,6,6.45,6.5,6.57,6.64,6.7,6.76},{0,10,20,30,40,50,60,62,64,66,68,70,72,74,76,78,80,85,90,95,100})</f>
        <v>100</v>
      </c>
      <c r="T312" s="24">
        <f>3.24-Q312</f>
        <v>0</v>
      </c>
      <c r="U312" s="1">
        <f>LOOKUP(T312,{0,0.05,0.1,0.15,0.2,0.25,0.3,0.35,0.4,0.45,0.5},{0,1,2,3,4,5,6,7,8,9,10})</f>
        <v>0</v>
      </c>
      <c r="V312" s="21">
        <f t="shared" ref="V312:V318" si="140">S312+U312</f>
        <v>100</v>
      </c>
      <c r="W312" s="15"/>
      <c r="X312" s="21">
        <f t="shared" si="134"/>
        <v>59.2</v>
      </c>
      <c r="Y312" s="21">
        <f t="shared" ref="Y312:Y318" si="141">X312/0.7+L312+U312</f>
        <v>84.5714285714286</v>
      </c>
    </row>
    <row r="313" ht="15.6" hidden="1" outlineLevel="2" spans="1:25">
      <c r="A313" s="15">
        <v>116</v>
      </c>
      <c r="B313" s="15">
        <v>44</v>
      </c>
      <c r="C313" s="14" t="s">
        <v>825</v>
      </c>
      <c r="D313" s="14" t="s">
        <v>46</v>
      </c>
      <c r="E313" s="15">
        <v>8.2</v>
      </c>
      <c r="F313" s="1">
        <f>LOOKUP(E313,{0,0.4,1.2,2,2.8,3.6,4.4,5.7,7,8.3,9.6,10.9,12.2,13.5,14.8,16.1,17.4,19.1,20.8,22.5,24.2},{0,10,20,30,40,50,60,62,64,66,68,70,72,74,76,78,80,85,90,95,100})</f>
        <v>64</v>
      </c>
      <c r="G313" s="15">
        <v>182</v>
      </c>
      <c r="H313" s="1">
        <f>LOOKUP(G313,{0,123,128,133,138,143,148,151,154,157,160,163,166,169,172,175,178,185,192,198,204},{0,10,20,30,40,50,60,62,64,66,68,70,72,74,76,78,80,85,90,95,100})</f>
        <v>80</v>
      </c>
      <c r="I313" s="15">
        <v>41</v>
      </c>
      <c r="J313" s="1">
        <f>LOOKUP(I313,{0,13,15,17,19,21,23,25,27,29,31,33,35,37,39,41,43,46,49,51,53},{0,10,20,30,40,50,60,62,64,66,68,70,72,74,76,78,80,85,90,95,100})</f>
        <v>78</v>
      </c>
      <c r="K313" s="20"/>
      <c r="L313" s="20"/>
      <c r="M313" s="21">
        <f t="shared" si="137"/>
        <v>78</v>
      </c>
      <c r="N313" s="15">
        <v>8.5</v>
      </c>
      <c r="O313" s="19">
        <f t="shared" si="138"/>
        <v>4.5</v>
      </c>
      <c r="P313" s="1">
        <f>LOOKUP(O313,{0,1.4,1.6,1.8,2,2.2,2.4,2.6,2.8,3,3.2,3.4,3.6,3.8,4,4.2,4.4,4.7,5,5.1,5.2},{0,10,20,30,40,50,60,62,64,66,68,70,72,74,76,78,80,85,90,95,100})</f>
        <v>80</v>
      </c>
      <c r="Q313" s="15">
        <v>3.5</v>
      </c>
      <c r="R313" s="15">
        <f t="shared" si="139"/>
        <v>6.5</v>
      </c>
      <c r="S313" s="1">
        <f>LOOKUP(R313,{0,4.7,4.8,4.9,5,5.5,5.6,5.65,5.7,5.75,5.8,5.85,5.9,5.95,6,6.45,6.5,6.57,6.64,6.7,6.76},{0,10,20,30,40,50,60,62,64,66,68,70,72,74,76,78,80,85,90,95,100})</f>
        <v>80</v>
      </c>
      <c r="T313" s="20"/>
      <c r="U313" s="20"/>
      <c r="V313" s="21">
        <f t="shared" si="140"/>
        <v>80</v>
      </c>
      <c r="W313" s="15"/>
      <c r="X313" s="21">
        <f t="shared" si="134"/>
        <v>54.2</v>
      </c>
      <c r="Y313" s="21">
        <f t="shared" si="141"/>
        <v>77.4285714285714</v>
      </c>
    </row>
    <row r="314" ht="15.6" hidden="1" outlineLevel="2" spans="1:25">
      <c r="A314" s="15">
        <v>116</v>
      </c>
      <c r="B314" s="15">
        <v>45</v>
      </c>
      <c r="C314" s="14" t="s">
        <v>826</v>
      </c>
      <c r="D314" s="14" t="s">
        <v>46</v>
      </c>
      <c r="E314" s="15">
        <v>20.4</v>
      </c>
      <c r="F314" s="1">
        <f>LOOKUP(E314,{0,0.4,1.2,2,2.8,3.6,4.4,5.7,7,8.3,9.6,10.9,12.2,13.5,14.8,16.1,17.4,19.1,20.8,22.5,24.2},{0,10,20,30,40,50,60,62,64,66,68,70,72,74,76,78,80,85,90,95,100})</f>
        <v>85</v>
      </c>
      <c r="G314" s="15">
        <v>180</v>
      </c>
      <c r="H314" s="1">
        <f>LOOKUP(G314,{0,123,128,133,138,143,148,151,154,157,160,163,166,169,172,175,178,185,192,198,204},{0,10,20,30,40,50,60,62,64,66,68,70,72,74,76,78,80,85,90,95,100})</f>
        <v>80</v>
      </c>
      <c r="I314" s="15">
        <v>47</v>
      </c>
      <c r="J314" s="1">
        <f>LOOKUP(I314,{0,13,15,17,19,21,23,25,27,29,31,33,35,37,39,41,43,46,49,51,53},{0,10,20,30,40,50,60,62,64,66,68,70,72,74,76,78,80,85,90,95,100})</f>
        <v>85</v>
      </c>
      <c r="K314" s="20"/>
      <c r="L314" s="20"/>
      <c r="M314" s="21">
        <f t="shared" si="137"/>
        <v>85</v>
      </c>
      <c r="N314" s="15">
        <v>8.7</v>
      </c>
      <c r="O314" s="19">
        <f t="shared" si="138"/>
        <v>4.3</v>
      </c>
      <c r="P314" s="1">
        <f>LOOKUP(O314,{0,1.4,1.6,1.8,2,2.2,2.4,2.6,2.8,3,3.2,3.4,3.6,3.8,4,4.2,4.4,4.7,5,5.1,5.2},{0,10,20,30,40,50,60,62,64,66,68,70,72,74,76,78,80,85,90,95,100})</f>
        <v>78</v>
      </c>
      <c r="Q314" s="15">
        <v>3.29</v>
      </c>
      <c r="R314" s="15">
        <f t="shared" si="139"/>
        <v>6.71</v>
      </c>
      <c r="S314" s="1">
        <f>LOOKUP(R314,{0,4.7,4.8,4.9,5,5.5,5.6,5.65,5.7,5.75,5.8,5.85,5.9,5.95,6,6.45,6.5,6.57,6.64,6.7,6.76},{0,10,20,30,40,50,60,62,64,66,68,70,72,74,76,78,80,85,90,95,100})</f>
        <v>95</v>
      </c>
      <c r="T314" s="20"/>
      <c r="U314" s="20"/>
      <c r="V314" s="21">
        <f t="shared" si="140"/>
        <v>95</v>
      </c>
      <c r="W314" s="15"/>
      <c r="X314" s="21">
        <f t="shared" si="134"/>
        <v>59.6</v>
      </c>
      <c r="Y314" s="21">
        <f t="shared" si="141"/>
        <v>85.1428571428572</v>
      </c>
    </row>
    <row r="315" ht="15.6" hidden="1" outlineLevel="2" spans="1:25">
      <c r="A315" s="15">
        <v>116</v>
      </c>
      <c r="B315" s="15">
        <v>47</v>
      </c>
      <c r="C315" s="14" t="s">
        <v>828</v>
      </c>
      <c r="D315" s="14" t="s">
        <v>46</v>
      </c>
      <c r="E315" s="15">
        <v>26.2</v>
      </c>
      <c r="F315" s="1">
        <f>LOOKUP(E315,{0,0.4,1.2,2,2.8,3.6,4.4,5.7,7,8.3,9.6,10.9,12.2,13.5,14.8,16.1,17.4,19.1,20.8,22.5,24.2},{0,10,20,30,40,50,60,62,64,66,68,70,72,74,76,78,80,85,90,95,100})</f>
        <v>100</v>
      </c>
      <c r="G315" s="15">
        <v>180</v>
      </c>
      <c r="H315" s="1">
        <f>LOOKUP(G315,{0,123,128,133,138,143,148,151,154,157,160,163,166,169,172,175,178,185,192,198,204},{0,10,20,30,40,50,60,62,64,66,68,70,72,74,76,78,80,85,90,95,100})</f>
        <v>80</v>
      </c>
      <c r="I315" s="15">
        <v>50</v>
      </c>
      <c r="J315" s="1">
        <f>LOOKUP(I315,{0,13,15,17,19,21,23,25,27,29,31,33,35,37,39,41,43,46,49,51,53},{0,10,20,30,40,50,60,62,64,66,68,70,72,74,76,78,80,85,90,95,100})</f>
        <v>90</v>
      </c>
      <c r="K315" s="20"/>
      <c r="L315" s="20"/>
      <c r="M315" s="21">
        <f t="shared" si="137"/>
        <v>90</v>
      </c>
      <c r="N315" s="15">
        <v>8.4</v>
      </c>
      <c r="O315" s="19">
        <f t="shared" si="138"/>
        <v>4.6</v>
      </c>
      <c r="P315" s="1">
        <f>LOOKUP(O315,{0,1.4,1.6,1.8,2,2.2,2.4,2.6,2.8,3,3.2,3.4,3.6,3.8,4,4.2,4.4,4.7,5,5.1,5.2},{0,10,20,30,40,50,60,62,64,66,68,70,72,74,76,78,80,85,90,95,100})</f>
        <v>80</v>
      </c>
      <c r="Q315" s="15">
        <v>3.31</v>
      </c>
      <c r="R315" s="15">
        <f t="shared" si="139"/>
        <v>6.69</v>
      </c>
      <c r="S315" s="1">
        <f>LOOKUP(R315,{0,4.7,4.8,4.9,5,5.5,5.6,5.65,5.7,5.75,5.8,5.85,5.9,5.95,6,6.45,6.5,6.57,6.64,6.7,6.76},{0,10,20,30,40,50,60,62,64,66,68,70,72,74,76,78,80,85,90,95,100})</f>
        <v>90</v>
      </c>
      <c r="T315" s="20"/>
      <c r="U315" s="20"/>
      <c r="V315" s="21">
        <f t="shared" si="140"/>
        <v>90</v>
      </c>
      <c r="W315" s="15"/>
      <c r="X315" s="21">
        <f t="shared" si="134"/>
        <v>61</v>
      </c>
      <c r="Y315" s="21">
        <f t="shared" si="141"/>
        <v>87.1428571428572</v>
      </c>
    </row>
    <row r="316" ht="15.6" hidden="1" outlineLevel="2" spans="1:25">
      <c r="A316" s="15">
        <v>116</v>
      </c>
      <c r="B316" s="15">
        <v>48</v>
      </c>
      <c r="C316" s="14" t="s">
        <v>829</v>
      </c>
      <c r="D316" s="14" t="s">
        <v>46</v>
      </c>
      <c r="E316" s="15">
        <v>18</v>
      </c>
      <c r="F316" s="1">
        <f>LOOKUP(E316,{0,0.4,1.2,2,2.8,3.6,4.4,5.7,7,8.3,9.6,10.9,12.2,13.5,14.8,16.1,17.4,19.1,20.8,22.5,24.2},{0,10,20,30,40,50,60,62,64,66,68,70,72,74,76,78,80,85,90,95,100})</f>
        <v>80</v>
      </c>
      <c r="G316" s="15">
        <v>170</v>
      </c>
      <c r="H316" s="1">
        <f>LOOKUP(G316,{0,123,128,133,138,143,148,151,154,157,160,163,166,169,172,175,178,185,192,198,204},{0,10,20,30,40,50,60,62,64,66,68,70,72,74,76,78,80,85,90,95,100})</f>
        <v>74</v>
      </c>
      <c r="I316" s="15">
        <v>53</v>
      </c>
      <c r="J316" s="1">
        <f>LOOKUP(I316,{0,13,15,17,19,21,23,25,27,29,31,33,35,37,39,41,43,46,49,51,53},{0,10,20,30,40,50,60,62,64,66,68,70,72,74,76,78,80,85,90,95,100})</f>
        <v>100</v>
      </c>
      <c r="K316" s="20">
        <f>I316-53</f>
        <v>0</v>
      </c>
      <c r="L316" s="1">
        <f>LOOKUP(K316,{0,2,4,6,7,8,9,10,11,12,13},{0,1,2,3,4,5,6,7,8,9,10})</f>
        <v>0</v>
      </c>
      <c r="M316" s="21">
        <f t="shared" si="137"/>
        <v>100</v>
      </c>
      <c r="N316" s="15">
        <v>8.3</v>
      </c>
      <c r="O316" s="19">
        <f t="shared" si="138"/>
        <v>4.7</v>
      </c>
      <c r="P316" s="1">
        <f>LOOKUP(O316,{0,1.4,1.6,1.8,2,2.2,2.4,2.6,2.8,3,3.2,3.4,3.6,3.8,4,4.2,4.4,4.7,5,5.1,5.2},{0,10,20,30,40,50,60,62,64,66,68,70,72,74,76,78,80,85,90,95,100})</f>
        <v>85</v>
      </c>
      <c r="Q316" s="15">
        <v>3.29</v>
      </c>
      <c r="R316" s="15">
        <f t="shared" si="139"/>
        <v>6.71</v>
      </c>
      <c r="S316" s="1">
        <f>LOOKUP(R316,{0,4.7,4.8,4.9,5,5.5,5.6,5.65,5.7,5.75,5.8,5.85,5.9,5.95,6,6.45,6.5,6.57,6.64,6.7,6.76},{0,10,20,30,40,50,60,62,64,66,68,70,72,74,76,78,80,85,90,95,100})</f>
        <v>95</v>
      </c>
      <c r="T316" s="20"/>
      <c r="U316" s="20"/>
      <c r="V316" s="21">
        <f t="shared" si="140"/>
        <v>95</v>
      </c>
      <c r="W316" s="15"/>
      <c r="X316" s="21">
        <f t="shared" si="134"/>
        <v>61.4</v>
      </c>
      <c r="Y316" s="21">
        <f t="shared" si="141"/>
        <v>87.7142857142857</v>
      </c>
    </row>
    <row r="317" ht="15.6" hidden="1" outlineLevel="2" spans="1:25">
      <c r="A317" s="15">
        <v>116</v>
      </c>
      <c r="B317" s="15">
        <v>49</v>
      </c>
      <c r="C317" s="14" t="s">
        <v>830</v>
      </c>
      <c r="D317" s="14" t="s">
        <v>46</v>
      </c>
      <c r="E317" s="15">
        <v>26.3</v>
      </c>
      <c r="F317" s="1">
        <f>LOOKUP(E317,{0,0.4,1.2,2,2.8,3.6,4.4,5.7,7,8.3,9.6,10.9,12.2,13.5,14.8,16.1,17.4,19.1,20.8,22.5,24.2},{0,10,20,30,40,50,60,62,64,66,68,70,72,74,76,78,80,85,90,95,100})</f>
        <v>100</v>
      </c>
      <c r="G317" s="15">
        <v>185</v>
      </c>
      <c r="H317" s="1">
        <f>LOOKUP(G317,{0,123,128,133,138,143,148,151,154,157,160,163,166,169,172,175,178,185,192,198,204},{0,10,20,30,40,50,60,62,64,66,68,70,72,74,76,78,80,85,90,95,100})</f>
        <v>85</v>
      </c>
      <c r="I317" s="15">
        <v>30</v>
      </c>
      <c r="J317" s="1">
        <f>LOOKUP(I317,{0,13,15,17,19,21,23,25,27,29,31,33,35,37,39,41,43,46,49,51,53},{0,10,20,30,40,50,60,62,64,66,68,70,72,74,76,78,80,85,90,95,100})</f>
        <v>66</v>
      </c>
      <c r="K317" s="20"/>
      <c r="L317" s="20"/>
      <c r="M317" s="21">
        <f t="shared" si="137"/>
        <v>66</v>
      </c>
      <c r="N317" s="15">
        <v>8.5</v>
      </c>
      <c r="O317" s="19">
        <f t="shared" si="138"/>
        <v>4.5</v>
      </c>
      <c r="P317" s="1">
        <f>LOOKUP(O317,{0,1.4,1.6,1.8,2,2.2,2.4,2.6,2.8,3,3.2,3.4,3.6,3.8,4,4.2,4.4,4.7,5,5.1,5.2},{0,10,20,30,40,50,60,62,64,66,68,70,72,74,76,78,80,85,90,95,100})</f>
        <v>80</v>
      </c>
      <c r="Q317" s="15">
        <v>3.35</v>
      </c>
      <c r="R317" s="15">
        <f t="shared" si="139"/>
        <v>6.65</v>
      </c>
      <c r="S317" s="1">
        <f>LOOKUP(R317,{0,4.7,4.8,4.9,5,5.5,5.6,5.65,5.7,5.75,5.8,5.85,5.9,5.95,6,6.45,6.5,6.57,6.64,6.7,6.76},{0,10,20,30,40,50,60,62,64,66,68,70,72,74,76,78,80,85,90,95,100})</f>
        <v>90</v>
      </c>
      <c r="T317" s="20"/>
      <c r="U317" s="20"/>
      <c r="V317" s="21">
        <f t="shared" si="140"/>
        <v>90</v>
      </c>
      <c r="W317" s="15"/>
      <c r="X317" s="21">
        <f t="shared" si="134"/>
        <v>59.1</v>
      </c>
      <c r="Y317" s="21">
        <f t="shared" si="141"/>
        <v>84.4285714285714</v>
      </c>
    </row>
    <row r="318" ht="15.6" hidden="1" outlineLevel="2" spans="1:25">
      <c r="A318" s="15">
        <v>116</v>
      </c>
      <c r="B318" s="15">
        <v>50</v>
      </c>
      <c r="C318" s="15" t="s">
        <v>831</v>
      </c>
      <c r="D318" s="15" t="s">
        <v>46</v>
      </c>
      <c r="E318" s="15">
        <v>12.2</v>
      </c>
      <c r="F318" s="1">
        <f>LOOKUP(E318,{0,0.4,1.2,2,2.8,3.6,4.4,5.7,7,8.3,9.6,10.9,12.2,13.5,14.8,16.1,17.4,19.1,20.8,22.5,24.2},{0,10,20,30,40,50,60,62,64,66,68,70,72,74,76,78,80,85,90,95,100})</f>
        <v>72</v>
      </c>
      <c r="G318" s="15">
        <v>175</v>
      </c>
      <c r="H318" s="1">
        <f>LOOKUP(G318,{0,123,128,133,138,143,148,151,154,157,160,163,166,169,172,175,178,185,192,198,204},{0,10,20,30,40,50,60,62,64,66,68,70,72,74,76,78,80,85,90,95,100})</f>
        <v>78</v>
      </c>
      <c r="I318" s="15">
        <v>45</v>
      </c>
      <c r="J318" s="1">
        <f>LOOKUP(I318,{0,13,15,17,19,21,23,25,27,29,31,33,35,37,39,41,43,46,49,51,53},{0,10,20,30,40,50,60,62,64,66,68,70,72,74,76,78,80,85,90,95,100})</f>
        <v>80</v>
      </c>
      <c r="K318" s="20"/>
      <c r="L318" s="20"/>
      <c r="M318" s="21">
        <f t="shared" si="137"/>
        <v>80</v>
      </c>
      <c r="N318" s="15">
        <v>8.8</v>
      </c>
      <c r="O318" s="19">
        <f t="shared" si="138"/>
        <v>4.2</v>
      </c>
      <c r="P318" s="1">
        <f>LOOKUP(O318,{0,1.4,1.6,1.8,2,2.2,2.4,2.6,2.8,3,3.2,3.4,3.6,3.8,4,4.2,4.4,4.7,5,5.1,5.2},{0,10,20,30,40,50,60,62,64,66,68,70,72,74,76,78,80,85,90,95,100})</f>
        <v>78</v>
      </c>
      <c r="Q318" s="15">
        <v>3.33</v>
      </c>
      <c r="R318" s="15">
        <f t="shared" si="139"/>
        <v>6.67</v>
      </c>
      <c r="S318" s="1">
        <f>LOOKUP(R318,{0,4.7,4.8,4.9,5,5.5,5.6,5.65,5.7,5.75,5.8,5.85,5.9,5.95,6,6.45,6.5,6.57,6.64,6.7,6.76},{0,10,20,30,40,50,60,62,64,66,68,70,72,74,76,78,80,85,90,95,100})</f>
        <v>90</v>
      </c>
      <c r="T318" s="20"/>
      <c r="U318" s="20"/>
      <c r="V318" s="21">
        <f t="shared" si="140"/>
        <v>90</v>
      </c>
      <c r="W318" s="15"/>
      <c r="X318" s="21">
        <f t="shared" si="134"/>
        <v>56.6</v>
      </c>
      <c r="Y318" s="21">
        <f t="shared" si="141"/>
        <v>80.8571428571429</v>
      </c>
    </row>
    <row r="319" ht="15.6" hidden="1" outlineLevel="2" spans="1:25">
      <c r="A319" s="15">
        <v>116</v>
      </c>
      <c r="B319" s="15">
        <v>51</v>
      </c>
      <c r="C319" s="15" t="s">
        <v>832</v>
      </c>
      <c r="D319" s="15" t="s">
        <v>46</v>
      </c>
      <c r="E319" s="15">
        <v>15.5</v>
      </c>
      <c r="F319" s="1">
        <f>LOOKUP(E319,{0,0.4,1.2,2,2.8,3.6,4.4,5.7,7,8.3,9.6,10.9,12.2,13.5,14.8,16.1,17.4,19.1,20.8,22.5,24.2},{0,10,20,30,40,50,60,62,64,66,68,70,72,74,76,78,80,85,90,95,100})</f>
        <v>76</v>
      </c>
      <c r="G319" s="15">
        <v>193</v>
      </c>
      <c r="H319" s="1">
        <f>LOOKUP(G319,{0,123,128,133,138,143,148,151,154,157,160,163,166,169,172,175,178,185,192,198,204},{0,10,20,30,40,50,60,62,64,66,68,70,72,74,76,78,80,85,90,95,100})</f>
        <v>90</v>
      </c>
      <c r="I319" s="15"/>
      <c r="J319" s="1"/>
      <c r="K319" s="20"/>
      <c r="L319" s="20"/>
      <c r="M319" s="21"/>
      <c r="N319" s="15">
        <v>9</v>
      </c>
      <c r="O319" s="19">
        <f t="shared" si="138"/>
        <v>4</v>
      </c>
      <c r="P319" s="1">
        <f>LOOKUP(O319,{0,1.4,1.6,1.8,2,2.2,2.4,2.6,2.8,3,3.2,3.4,3.6,3.8,4,4.2,4.4,4.7,5,5.1,5.2},{0,10,20,30,40,50,60,62,64,66,68,70,72,74,76,78,80,85,90,95,100})</f>
        <v>76</v>
      </c>
      <c r="Q319" s="15"/>
      <c r="R319" s="15"/>
      <c r="S319" s="15"/>
      <c r="T319" s="15"/>
      <c r="U319" s="15"/>
      <c r="V319" s="15"/>
      <c r="W319" s="15" t="s">
        <v>513</v>
      </c>
      <c r="X319" s="21">
        <f t="shared" si="134"/>
        <v>31.8</v>
      </c>
      <c r="Y319" s="21">
        <v>50</v>
      </c>
    </row>
    <row r="320" ht="15.6" outlineLevel="1" collapsed="1" spans="1:25">
      <c r="A320" s="16" t="s">
        <v>857</v>
      </c>
      <c r="B320" s="15"/>
      <c r="C320" s="15"/>
      <c r="D320" s="15"/>
      <c r="E320" s="15"/>
      <c r="F320" s="1">
        <f>SUBTOTAL(1,F296:F319)</f>
        <v>87.7391304347826</v>
      </c>
      <c r="G320" s="15"/>
      <c r="H320" s="1">
        <f>SUBTOTAL(1,H296:H319)</f>
        <v>81.2173913043478</v>
      </c>
      <c r="I320" s="15"/>
      <c r="J320" s="1">
        <f>SUBTOTAL(1,J296:J319)</f>
        <v>84.4761904761905</v>
      </c>
      <c r="K320" s="20"/>
      <c r="L320" s="20"/>
      <c r="M320" s="21">
        <f>SUBTOTAL(1,M296:M319)</f>
        <v>84.5714285714286</v>
      </c>
      <c r="N320" s="15"/>
      <c r="O320" s="19"/>
      <c r="P320" s="1">
        <f>SUBTOTAL(1,P296:P319)</f>
        <v>79.6521739130435</v>
      </c>
      <c r="Q320" s="15"/>
      <c r="R320" s="15"/>
      <c r="S320" s="15">
        <f>SUBTOTAL(1,S296:S319)</f>
        <v>89.2727272727273</v>
      </c>
      <c r="T320" s="15"/>
      <c r="U320" s="15"/>
      <c r="V320" s="15">
        <f>SUBTOTAL(1,V296:V319)</f>
        <v>89.5454545454545</v>
      </c>
      <c r="W320" s="15"/>
      <c r="X320" s="21">
        <f>SUBTOTAL(1,X296:X319)</f>
        <v>55.2166666666667</v>
      </c>
      <c r="Y320" s="21">
        <f>SUBTOTAL(1,Y296:Y319)</f>
        <v>81.4880952380952</v>
      </c>
    </row>
    <row r="321" ht="15.6" spans="1:25">
      <c r="A321" s="16" t="s">
        <v>858</v>
      </c>
      <c r="B321" s="15"/>
      <c r="C321" s="15"/>
      <c r="D321" s="15"/>
      <c r="E321" s="15"/>
      <c r="F321" s="1">
        <f>SUBTOTAL(1,F2:F319)</f>
        <v>80.8131487889273</v>
      </c>
      <c r="G321" s="15"/>
      <c r="H321" s="1">
        <f>SUBTOTAL(1,H2:H319)</f>
        <v>77.401384083045</v>
      </c>
      <c r="I321" s="15"/>
      <c r="J321" s="1">
        <f>SUBTOTAL(1,J2:J319)</f>
        <v>86.609756097561</v>
      </c>
      <c r="K321" s="20"/>
      <c r="L321" s="20"/>
      <c r="M321" s="21">
        <f>SUBTOTAL(1,M2:M319)</f>
        <v>86.7770034843206</v>
      </c>
      <c r="N321" s="15"/>
      <c r="O321" s="19"/>
      <c r="P321" s="1">
        <f>SUBTOTAL(1,P2:P319)</f>
        <v>79.1354166666667</v>
      </c>
      <c r="Q321" s="15"/>
      <c r="R321" s="15"/>
      <c r="S321" s="15">
        <f>SUBTOTAL(1,S2:S319)</f>
        <v>83.2720848056537</v>
      </c>
      <c r="T321" s="15"/>
      <c r="U321" s="15"/>
      <c r="V321" s="15">
        <f>SUBTOTAL(1,V2:V319)</f>
        <v>83.4452296819788</v>
      </c>
      <c r="W321" s="15"/>
      <c r="X321" s="21">
        <f>SUBTOTAL(1,X2:X319)</f>
        <v>53.7154605263158</v>
      </c>
      <c r="Y321" s="21">
        <f>SUBTOTAL(1,Y2:Y319)</f>
        <v>79.2363721804511</v>
      </c>
    </row>
    <row r="322" spans="3:4">
      <c r="C322" s="29"/>
      <c r="D322" s="29"/>
    </row>
    <row r="323" spans="3:4">
      <c r="C323" s="29"/>
      <c r="D323" s="29"/>
    </row>
    <row r="324" spans="3:4">
      <c r="C324" s="29"/>
      <c r="D324" s="29"/>
    </row>
    <row r="325" spans="3:4">
      <c r="C325" s="29"/>
      <c r="D325" s="29"/>
    </row>
    <row r="328" spans="3:4">
      <c r="C328" s="29"/>
      <c r="D328" s="29"/>
    </row>
    <row r="331" s="3" customFormat="1" spans="1:2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9" spans="3:4">
      <c r="C339" s="29"/>
      <c r="D339" s="29"/>
    </row>
    <row r="341" spans="3:4">
      <c r="C341" s="29"/>
      <c r="D341" s="29"/>
    </row>
    <row r="345" s="3" customFormat="1" spans="1:2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3:4">
      <c r="C346" s="29"/>
      <c r="D346" s="29"/>
    </row>
    <row r="349" spans="3:4">
      <c r="C349" s="29"/>
      <c r="D349" s="29"/>
    </row>
    <row r="352" spans="3:4">
      <c r="C352" s="29"/>
      <c r="D352" s="29"/>
    </row>
    <row r="354" spans="3:4">
      <c r="C354" s="29"/>
      <c r="D354" s="29"/>
    </row>
    <row r="357" spans="3:4">
      <c r="C357" s="29"/>
      <c r="D357" s="29"/>
    </row>
    <row r="362" spans="3:4">
      <c r="C362" s="29"/>
      <c r="D362" s="29"/>
    </row>
    <row r="366" s="3" customFormat="1" spans="1:2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3:4">
      <c r="C367" s="29"/>
      <c r="D367" s="29"/>
    </row>
    <row r="370" spans="1:23">
      <c r="A370" s="30"/>
      <c r="B370" s="31"/>
      <c r="C370" s="32"/>
      <c r="D370" s="32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1"/>
      <c r="S370" s="31"/>
      <c r="T370" s="31"/>
      <c r="U370" s="31"/>
      <c r="V370" s="31"/>
      <c r="W370" s="31"/>
    </row>
    <row r="372" spans="3:4">
      <c r="C372" s="29"/>
      <c r="D372" s="29"/>
    </row>
    <row r="374" spans="3:4">
      <c r="C374" s="29"/>
      <c r="D374" s="29"/>
    </row>
    <row r="376" spans="3:4">
      <c r="C376" s="29"/>
      <c r="D376" s="29"/>
    </row>
    <row r="377" spans="3:4">
      <c r="C377" s="29"/>
      <c r="D377" s="29"/>
    </row>
    <row r="378" spans="3:4">
      <c r="C378" s="29"/>
      <c r="D378" s="29"/>
    </row>
    <row r="379" spans="3:4">
      <c r="C379" s="29"/>
      <c r="D379" s="29"/>
    </row>
    <row r="380" s="3" customFormat="1" spans="1:23">
      <c r="A380" s="6"/>
      <c r="B380" s="6"/>
      <c r="C380" s="29"/>
      <c r="D380" s="29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3:4">
      <c r="C381" s="29"/>
      <c r="D381" s="29"/>
    </row>
    <row r="382" spans="3:4">
      <c r="C382" s="29"/>
      <c r="D382" s="29"/>
    </row>
    <row r="383" spans="3:4">
      <c r="C383" s="29"/>
      <c r="D383" s="29"/>
    </row>
    <row r="384" spans="3:4">
      <c r="C384" s="29"/>
      <c r="D384" s="29"/>
    </row>
    <row r="385" spans="3:4">
      <c r="C385" s="29"/>
      <c r="D385" s="29"/>
    </row>
    <row r="389" spans="3:4">
      <c r="C389" s="29"/>
      <c r="D389" s="29"/>
    </row>
    <row r="390" spans="3:4">
      <c r="C390" s="29"/>
      <c r="D390" s="29"/>
    </row>
    <row r="391" spans="3:4">
      <c r="C391" s="29"/>
      <c r="D391" s="29"/>
    </row>
    <row r="392" spans="3:4">
      <c r="C392" s="29"/>
      <c r="D392" s="29"/>
    </row>
    <row r="393" spans="3:4">
      <c r="C393" s="29"/>
      <c r="D393" s="29"/>
    </row>
    <row r="396" spans="3:4">
      <c r="C396" s="29"/>
      <c r="D396" s="29"/>
    </row>
    <row r="397" spans="3:4">
      <c r="C397" s="29"/>
      <c r="D397" s="29"/>
    </row>
    <row r="398" spans="3:4">
      <c r="C398" s="29"/>
      <c r="D398" s="29"/>
    </row>
    <row r="399" spans="3:4">
      <c r="C399" s="29"/>
      <c r="D399" s="29"/>
    </row>
    <row r="400" spans="3:4">
      <c r="C400" s="29"/>
      <c r="D400" s="29"/>
    </row>
    <row r="401" s="3" customFormat="1" spans="1:23">
      <c r="A401" s="6"/>
      <c r="B401" s="6"/>
      <c r="C401" s="29"/>
      <c r="D401" s="29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3:4">
      <c r="C402" s="29"/>
      <c r="D402" s="29"/>
    </row>
    <row r="403" spans="3:4">
      <c r="C403" s="29"/>
      <c r="D403" s="29"/>
    </row>
    <row r="406" spans="3:4">
      <c r="C406" s="29"/>
      <c r="D406" s="29"/>
    </row>
    <row r="408" spans="3:4">
      <c r="C408" s="29"/>
      <c r="D408" s="29"/>
    </row>
    <row r="409" spans="3:4">
      <c r="C409" s="29"/>
      <c r="D409" s="29"/>
    </row>
    <row r="411" spans="3:4">
      <c r="C411" s="29"/>
      <c r="D411" s="29"/>
    </row>
    <row r="412" spans="3:4">
      <c r="C412" s="29"/>
      <c r="D412" s="29"/>
    </row>
    <row r="413" spans="3:4">
      <c r="C413" s="29"/>
      <c r="D413" s="29"/>
    </row>
    <row r="414" spans="3:4">
      <c r="C414" s="29"/>
      <c r="D414" s="29"/>
    </row>
    <row r="415" s="3" customFormat="1" spans="1:23">
      <c r="A415" s="6"/>
      <c r="B415" s="6"/>
      <c r="C415" s="29"/>
      <c r="D415" s="29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3:4">
      <c r="C416" s="29"/>
      <c r="D416" s="29"/>
    </row>
    <row r="417" spans="3:4">
      <c r="C417" s="29"/>
      <c r="D417" s="29"/>
    </row>
    <row r="418" spans="3:4">
      <c r="C418" s="29"/>
      <c r="D418" s="29"/>
    </row>
    <row r="419" spans="3:4">
      <c r="C419" s="29"/>
      <c r="D419" s="29"/>
    </row>
    <row r="421" spans="3:4">
      <c r="C421" s="29"/>
      <c r="D421" s="29"/>
    </row>
    <row r="422" spans="3:4">
      <c r="C422" s="29"/>
      <c r="D422" s="29"/>
    </row>
    <row r="423" spans="3:4">
      <c r="C423" s="29"/>
      <c r="D423" s="29"/>
    </row>
    <row r="424" spans="3:4">
      <c r="C424" s="29"/>
      <c r="D424" s="29"/>
    </row>
    <row r="425" spans="3:4">
      <c r="C425" s="29"/>
      <c r="D425" s="29"/>
    </row>
    <row r="426" spans="3:4">
      <c r="C426" s="29"/>
      <c r="D426" s="29"/>
    </row>
    <row r="427" spans="3:4">
      <c r="C427" s="29"/>
      <c r="D427" s="29"/>
    </row>
    <row r="429" spans="3:4">
      <c r="C429" s="29"/>
      <c r="D429" s="29"/>
    </row>
    <row r="430" spans="3:4">
      <c r="C430" s="29"/>
      <c r="D430" s="29"/>
    </row>
    <row r="431" spans="3:4">
      <c r="C431" s="29"/>
      <c r="D431" s="29"/>
    </row>
    <row r="432" spans="3:4">
      <c r="C432" s="29"/>
      <c r="D432" s="29"/>
    </row>
    <row r="433" spans="3:4">
      <c r="C433" s="29"/>
      <c r="D433" s="29"/>
    </row>
    <row r="434" spans="3:4">
      <c r="C434" s="29"/>
      <c r="D434" s="29"/>
    </row>
    <row r="435" s="3" customFormat="1" spans="1:2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7" spans="3:4">
      <c r="C437" s="29"/>
      <c r="D437" s="29"/>
    </row>
    <row r="438" spans="3:4">
      <c r="C438" s="29"/>
      <c r="D438" s="29"/>
    </row>
    <row r="439" spans="3:4">
      <c r="C439" s="29"/>
      <c r="D439" s="29"/>
    </row>
    <row r="440" spans="3:4">
      <c r="C440" s="29"/>
      <c r="D440" s="29"/>
    </row>
    <row r="441" spans="3:4">
      <c r="C441" s="29"/>
      <c r="D441" s="29"/>
    </row>
    <row r="442" spans="3:4">
      <c r="C442" s="29"/>
      <c r="D442" s="29"/>
    </row>
    <row r="445" spans="3:4">
      <c r="C445" s="29"/>
      <c r="D445" s="29"/>
    </row>
    <row r="446" spans="3:4">
      <c r="C446" s="29"/>
      <c r="D446" s="29"/>
    </row>
    <row r="447" spans="3:4">
      <c r="C447" s="29"/>
      <c r="D447" s="29"/>
    </row>
    <row r="448" spans="3:4">
      <c r="C448" s="29"/>
      <c r="D448" s="29"/>
    </row>
    <row r="449" spans="3:4">
      <c r="C449" s="29"/>
      <c r="D449" s="29"/>
    </row>
    <row r="450" s="3" customFormat="1" spans="1:23">
      <c r="A450" s="6"/>
      <c r="B450" s="6"/>
      <c r="C450" s="29"/>
      <c r="D450" s="29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3:4">
      <c r="C451" s="29"/>
      <c r="D451" s="29"/>
    </row>
    <row r="454" spans="3:4">
      <c r="C454" s="29"/>
      <c r="D454" s="29"/>
    </row>
    <row r="455" spans="3:4">
      <c r="C455" s="29"/>
      <c r="D455" s="29"/>
    </row>
    <row r="456" spans="3:4">
      <c r="C456" s="29"/>
      <c r="D456" s="29"/>
    </row>
    <row r="457" spans="3:4">
      <c r="C457" s="29"/>
      <c r="D457" s="29"/>
    </row>
    <row r="458" spans="3:4">
      <c r="C458" s="29"/>
      <c r="D458" s="29"/>
    </row>
    <row r="459" spans="3:4">
      <c r="C459" s="29"/>
      <c r="D459" s="29"/>
    </row>
    <row r="460" spans="3:4">
      <c r="C460" s="29"/>
      <c r="D460" s="29"/>
    </row>
    <row r="463" spans="3:4">
      <c r="C463" s="29"/>
      <c r="D463" s="29"/>
    </row>
    <row r="464" spans="3:4">
      <c r="C464" s="29"/>
      <c r="D464" s="29"/>
    </row>
    <row r="465" s="3" customFormat="1" spans="1:23">
      <c r="A465" s="6"/>
      <c r="B465" s="6"/>
      <c r="C465" s="29"/>
      <c r="D465" s="29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3:4">
      <c r="C466" s="29"/>
      <c r="D466" s="29"/>
    </row>
    <row r="467" spans="3:4">
      <c r="C467" s="29"/>
      <c r="D467" s="29"/>
    </row>
    <row r="468" spans="3:4">
      <c r="C468" s="29"/>
      <c r="D468" s="29"/>
    </row>
    <row r="471" spans="3:4">
      <c r="C471" s="29"/>
      <c r="D471" s="29"/>
    </row>
    <row r="472" spans="3:4">
      <c r="C472" s="29"/>
      <c r="D472" s="29"/>
    </row>
    <row r="473" spans="3:4">
      <c r="C473" s="29"/>
      <c r="D473" s="29"/>
    </row>
    <row r="474" spans="3:4">
      <c r="C474" s="29"/>
      <c r="D474" s="29"/>
    </row>
    <row r="475" spans="3:4">
      <c r="C475" s="29"/>
      <c r="D475" s="29"/>
    </row>
  </sheetData>
  <autoFilter ref="A1:Y320">
    <extLst/>
  </autoFilter>
  <pageMargins left="0.7" right="0.7" top="0.75" bottom="0.75" header="0.3" footer="0.3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7"/>
  <sheetViews>
    <sheetView workbookViewId="0">
      <selection activeCell="F2" sqref="F2:G17"/>
    </sheetView>
  </sheetViews>
  <sheetFormatPr defaultColWidth="8.88888888888889" defaultRowHeight="14.4" outlineLevelCol="6"/>
  <sheetData>
    <row r="1" ht="15.6" spans="2:2">
      <c r="B1" s="1"/>
    </row>
    <row r="2" ht="15.6" spans="6:7">
      <c r="F2">
        <v>1</v>
      </c>
      <c r="G2" s="1">
        <v>87.82</v>
      </c>
    </row>
    <row r="3" spans="6:7">
      <c r="F3">
        <v>2</v>
      </c>
      <c r="G3">
        <v>86.9</v>
      </c>
    </row>
    <row r="4" spans="6:7">
      <c r="F4">
        <v>3</v>
      </c>
      <c r="G4">
        <v>86.24</v>
      </c>
    </row>
    <row r="5" spans="6:7">
      <c r="F5">
        <v>15</v>
      </c>
      <c r="G5">
        <v>85.38</v>
      </c>
    </row>
    <row r="6" spans="6:7">
      <c r="F6">
        <v>14</v>
      </c>
      <c r="G6">
        <v>85.02</v>
      </c>
    </row>
    <row r="7" spans="6:7">
      <c r="F7">
        <v>11</v>
      </c>
      <c r="G7">
        <v>84.66</v>
      </c>
    </row>
    <row r="8" spans="6:7">
      <c r="F8">
        <v>4</v>
      </c>
      <c r="G8">
        <v>84.45</v>
      </c>
    </row>
    <row r="9" spans="6:7">
      <c r="F9">
        <v>8</v>
      </c>
      <c r="G9">
        <v>83.91</v>
      </c>
    </row>
    <row r="10" spans="6:7">
      <c r="F10">
        <v>12</v>
      </c>
      <c r="G10">
        <v>83.91</v>
      </c>
    </row>
    <row r="11" spans="6:7">
      <c r="F11">
        <v>7</v>
      </c>
      <c r="G11">
        <v>83.84</v>
      </c>
    </row>
    <row r="12" spans="2:7">
      <c r="B12" s="2"/>
      <c r="F12">
        <v>9</v>
      </c>
      <c r="G12" s="2">
        <v>83.7</v>
      </c>
    </row>
    <row r="13" spans="6:7">
      <c r="F13">
        <v>6</v>
      </c>
      <c r="G13">
        <v>83.22</v>
      </c>
    </row>
    <row r="14" spans="6:7">
      <c r="F14">
        <v>10</v>
      </c>
      <c r="G14">
        <v>83</v>
      </c>
    </row>
    <row r="15" spans="6:7">
      <c r="F15">
        <v>13</v>
      </c>
      <c r="G15" t="s">
        <v>859</v>
      </c>
    </row>
    <row r="16" spans="6:7">
      <c r="F16">
        <v>5</v>
      </c>
      <c r="G16">
        <v>82.23</v>
      </c>
    </row>
    <row r="17" spans="6:7">
      <c r="F17">
        <v>16</v>
      </c>
      <c r="G17">
        <v>81.17</v>
      </c>
    </row>
  </sheetData>
  <sortState ref="F1:G20">
    <sortCondition ref="G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高一原始数据</vt:lpstr>
      <vt:lpstr>高一成绩</vt:lpstr>
      <vt:lpstr>高一平均成绩</vt:lpstr>
      <vt:lpstr>男平均</vt:lpstr>
      <vt:lpstr>女平均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shereid</dc:creator>
  <cp:lastModifiedBy>50616</cp:lastModifiedBy>
  <dcterms:created xsi:type="dcterms:W3CDTF">2023-05-14T10:20:00Z</dcterms:created>
  <dcterms:modified xsi:type="dcterms:W3CDTF">2023-05-16T12:10:45Z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EE877EF0C0214D6C9F260FC17A277B68_11</vt:lpwstr>
  </property>
  <property fmtid="{D5CDD505-2E9C-101B-9397-08002B2CF9AE}" pid="3" name="KSOProductBuildVer">
    <vt:lpwstr>2052-11.1.0.14309</vt:lpwstr>
  </property>
</Properties>
</file>